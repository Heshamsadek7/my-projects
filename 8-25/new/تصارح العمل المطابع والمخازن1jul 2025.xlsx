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imelineCaches/timelineCache4.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timelines/timeline4.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tables/table2.xml" ContentType="application/vnd.openxmlformats-officedocument.spreadsheetml.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D:\Hesham Sadek\Annual report\planing\20252026\082025\"/>
    </mc:Choice>
  </mc:AlternateContent>
  <xr:revisionPtr revIDLastSave="0" documentId="13_ncr:1_{9954AFE5-7280-4AA7-A8BA-DB5D820D2751}" xr6:coauthVersionLast="47" xr6:coauthVersionMax="47" xr10:uidLastSave="{00000000-0000-0000-0000-000000000000}"/>
  <bookViews>
    <workbookView xWindow="-120" yWindow="-120" windowWidth="20730" windowHeight="11160" tabRatio="586" firstSheet="6" activeTab="8" xr2:uid="{00000000-000D-0000-FFFF-FFFF00000000}"/>
  </bookViews>
  <sheets>
    <sheet name="إجمالي الساعات لكل موقع " sheetId="10" state="hidden" r:id="rId1"/>
    <sheet name="Sheet1" sheetId="8" r:id="rId2"/>
    <sheet name="مخزن الجديد" sheetId="1" state="hidden" r:id="rId3"/>
    <sheet name="Sheet2" sheetId="11" r:id="rId4"/>
    <sheet name="Monthly (2)" sheetId="17" r:id="rId5"/>
    <sheet name="Contractors (2)" sheetId="16" r:id="rId6"/>
    <sheet name="Contractors" sheetId="15" r:id="rId7"/>
    <sheet name="Monthly" sheetId="14" r:id="rId8"/>
    <sheet name="المواقع" sheetId="5" r:id="rId9"/>
    <sheet name="Sheet3" sheetId="22" r:id="rId10"/>
    <sheet name="TEAM" sheetId="21" r:id="rId11"/>
    <sheet name="الفجاله" sheetId="12" state="hidden" r:id="rId12"/>
    <sheet name="البرج" sheetId="13" state="hidden" r:id="rId13"/>
    <sheet name="دويتش" sheetId="6" state="hidden" r:id="rId14"/>
    <sheet name="مخزن قديم" sheetId="2" state="hidden" r:id="rId15"/>
    <sheet name="مخزن الوزاره" sheetId="7" state="hidden" r:id="rId16"/>
  </sheets>
  <definedNames>
    <definedName name="_xlnm._FilterDatabase" localSheetId="8" hidden="1">المواقع!$A$1:$Z$770</definedName>
    <definedName name="_xlnm._FilterDatabase" localSheetId="2" hidden="1">'مخزن الجديد'!$M$1:$N$1</definedName>
    <definedName name="_xlnm.Print_Area" localSheetId="8">المواقع!$B$1:$M$266</definedName>
    <definedName name="_xlnm.Print_Area" localSheetId="2">'مخزن الجديد'!$A$1:$O$205</definedName>
    <definedName name="الخط_الزمني_الأصلي_الشهر">#N/A</definedName>
    <definedName name="الخط_الزمني_الأصلي_الشهر1">#N/A</definedName>
    <definedName name="الخط_الزمني_الأصلي_الشهر11">#N/A</definedName>
    <definedName name="الخط_الزمني_الأصلي_الشهر2">#N/A</definedName>
    <definedName name="مقسم_طريقة_العرض_إسم_الشركة">#N/A</definedName>
    <definedName name="مقسم_طريقة_العرض_إسم_الشركة1">#N/A</definedName>
    <definedName name="مقسم_طريقة_العرض_الموقع">#N/A</definedName>
    <definedName name="مقسم_طريقة_العرض_الموقع1">#N/A</definedName>
  </definedNames>
  <calcPr calcId="191029"/>
  <pivotCaches>
    <pivotCache cacheId="0" r:id="rId17"/>
    <pivotCache cacheId="1" r:id="rId18"/>
    <pivotCache cacheId="2" r:id="rId19"/>
    <pivotCache cacheId="3" r:id="rId20"/>
    <pivotCache cacheId="4" r:id="rId21"/>
  </pivotCaches>
  <extLst>
    <ext xmlns:x14="http://schemas.microsoft.com/office/spreadsheetml/2009/9/main" uri="{BBE1A952-AA13-448e-AADC-164F8A28A991}">
      <x14:slicerCaches>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6"/>
        <x15:timelineCacheRef r:id="rId27"/>
        <x15:timelineCacheRef r:id="rId28"/>
        <x15:timelineCacheRef r:id="rId29"/>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336" i="5" l="1"/>
  <c r="J1610" i="5"/>
  <c r="L1610" i="5" s="1"/>
  <c r="J1609" i="5"/>
  <c r="L1609" i="5" s="1"/>
  <c r="J1608" i="5"/>
  <c r="L1608" i="5" s="1"/>
  <c r="J1607" i="5"/>
  <c r="L1607" i="5" s="1"/>
  <c r="J1606" i="5"/>
  <c r="L1606" i="5" s="1"/>
  <c r="J1605" i="5"/>
  <c r="L1605" i="5" s="1"/>
  <c r="J1604" i="5"/>
  <c r="L1604" i="5" s="1"/>
  <c r="J1603" i="5"/>
  <c r="L1603" i="5" s="1"/>
  <c r="J1602" i="5"/>
  <c r="L1602" i="5" s="1"/>
  <c r="J1601" i="5"/>
  <c r="L1601" i="5" s="1"/>
  <c r="J1600" i="5"/>
  <c r="L1600" i="5" s="1"/>
  <c r="J1599" i="5"/>
  <c r="L1599" i="5" s="1"/>
  <c r="J1598" i="5"/>
  <c r="L1598" i="5" s="1"/>
  <c r="J1597" i="5"/>
  <c r="L1597" i="5" s="1"/>
  <c r="J1596" i="5"/>
  <c r="L1596" i="5" s="1"/>
  <c r="J1595" i="5"/>
  <c r="L1595" i="5" s="1"/>
  <c r="J1594" i="5"/>
  <c r="L1594" i="5" s="1"/>
  <c r="J1593" i="5"/>
  <c r="L1593" i="5" s="1"/>
  <c r="J1592" i="5"/>
  <c r="L1592" i="5" s="1"/>
  <c r="J1591" i="5"/>
  <c r="L1591" i="5" s="1"/>
  <c r="J1590" i="5"/>
  <c r="L1590" i="5" s="1"/>
  <c r="J1589" i="5"/>
  <c r="L1589" i="5" s="1"/>
  <c r="J1588" i="5"/>
  <c r="L1588" i="5" s="1"/>
  <c r="J1587" i="5"/>
  <c r="L1587" i="5" s="1"/>
  <c r="J1586" i="5"/>
  <c r="L1586" i="5" s="1"/>
  <c r="J1585" i="5"/>
  <c r="L1585" i="5" s="1"/>
  <c r="J1584" i="5"/>
  <c r="L1584" i="5" s="1"/>
  <c r="J1583" i="5"/>
  <c r="L1583" i="5" s="1"/>
  <c r="J1582" i="5"/>
  <c r="L1582" i="5" s="1"/>
  <c r="J1581" i="5"/>
  <c r="L1581" i="5" s="1"/>
  <c r="J1580" i="5"/>
  <c r="L1580" i="5" s="1"/>
  <c r="J1579" i="5"/>
  <c r="L1579" i="5" s="1"/>
  <c r="J1578" i="5"/>
  <c r="L1578" i="5" s="1"/>
  <c r="J1577" i="5"/>
  <c r="L1577" i="5" s="1"/>
  <c r="L1576" i="5"/>
  <c r="J1576" i="5"/>
  <c r="L1575" i="5"/>
  <c r="J1575" i="5"/>
  <c r="J1574" i="5"/>
  <c r="L1574" i="5" s="1"/>
  <c r="J1573" i="5"/>
  <c r="L1573" i="5" s="1"/>
  <c r="J1572" i="5"/>
  <c r="L1572" i="5" s="1"/>
  <c r="J1571" i="5"/>
  <c r="L1571" i="5" s="1"/>
  <c r="J1570" i="5"/>
  <c r="L1570" i="5" s="1"/>
  <c r="J1569" i="5"/>
  <c r="L1569" i="5" s="1"/>
  <c r="J1568" i="5"/>
  <c r="L1568" i="5" s="1"/>
  <c r="J1567" i="5"/>
  <c r="L1567" i="5" s="1"/>
  <c r="J1566" i="5"/>
  <c r="L1566" i="5" s="1"/>
  <c r="J1565" i="5"/>
  <c r="L1565" i="5" s="1"/>
  <c r="J1564" i="5"/>
  <c r="L1564" i="5" s="1"/>
  <c r="J1563" i="5"/>
  <c r="L1563" i="5" s="1"/>
  <c r="J1562" i="5"/>
  <c r="L1562" i="5" s="1"/>
  <c r="J1561" i="5"/>
  <c r="L1561" i="5" s="1"/>
  <c r="L1560" i="5"/>
  <c r="J1560" i="5"/>
  <c r="J1559" i="5"/>
  <c r="L1559" i="5" s="1"/>
  <c r="J1558" i="5"/>
  <c r="L1558" i="5" s="1"/>
  <c r="J1557" i="5"/>
  <c r="L1557" i="5" s="1"/>
  <c r="J1556" i="5"/>
  <c r="L1556" i="5" s="1"/>
  <c r="J1555" i="5"/>
  <c r="L1555" i="5" s="1"/>
  <c r="J1554" i="5"/>
  <c r="L1554" i="5" s="1"/>
  <c r="J1553" i="5"/>
  <c r="L1553" i="5" s="1"/>
  <c r="J1552" i="5"/>
  <c r="L1552" i="5" s="1"/>
  <c r="J1551" i="5"/>
  <c r="L1551" i="5" s="1"/>
  <c r="J1550" i="5"/>
  <c r="L1550" i="5" s="1"/>
  <c r="J1549" i="5"/>
  <c r="L1549" i="5" s="1"/>
  <c r="J1548" i="5"/>
  <c r="L1548" i="5" s="1"/>
  <c r="J1547" i="5"/>
  <c r="L1547" i="5" s="1"/>
  <c r="J1546" i="5"/>
  <c r="L1546" i="5" s="1"/>
  <c r="J1545" i="5"/>
  <c r="L1545" i="5" s="1"/>
  <c r="J1544" i="5"/>
  <c r="L1544" i="5" s="1"/>
  <c r="J1543" i="5"/>
  <c r="L1543" i="5" s="1"/>
  <c r="J1542" i="5"/>
  <c r="L1542" i="5" s="1"/>
  <c r="J1541" i="5"/>
  <c r="L1541" i="5" s="1"/>
  <c r="J1540" i="5"/>
  <c r="L1540" i="5" s="1"/>
  <c r="J1539" i="5"/>
  <c r="L1539" i="5" s="1"/>
  <c r="J1538" i="5"/>
  <c r="L1538" i="5" s="1"/>
  <c r="J1537" i="5"/>
  <c r="L1537" i="5" s="1"/>
  <c r="J1536" i="5"/>
  <c r="L1536" i="5" s="1"/>
  <c r="J1535" i="5"/>
  <c r="L1535" i="5" s="1"/>
  <c r="J1534" i="5"/>
  <c r="L1534" i="5" s="1"/>
  <c r="J1533" i="5"/>
  <c r="L1533" i="5" s="1"/>
  <c r="J1532" i="5"/>
  <c r="L1532" i="5" s="1"/>
  <c r="J1531" i="5"/>
  <c r="L1531" i="5" s="1"/>
  <c r="J1530" i="5"/>
  <c r="L1530" i="5" s="1"/>
  <c r="J1529" i="5"/>
  <c r="L1529" i="5" s="1"/>
  <c r="J1528" i="5"/>
  <c r="L1528" i="5" s="1"/>
  <c r="J1527" i="5"/>
  <c r="L1527" i="5" s="1"/>
  <c r="J1526" i="5"/>
  <c r="L1526" i="5" s="1"/>
  <c r="J1525" i="5"/>
  <c r="L1525" i="5" s="1"/>
  <c r="J1524" i="5"/>
  <c r="L1524" i="5" s="1"/>
  <c r="J1523" i="5"/>
  <c r="L1523" i="5" s="1"/>
  <c r="J1522" i="5"/>
  <c r="L1522" i="5" s="1"/>
  <c r="J1521" i="5"/>
  <c r="L1521" i="5" s="1"/>
  <c r="J1520" i="5"/>
  <c r="L1520" i="5" s="1"/>
  <c r="J1519" i="5"/>
  <c r="L1519" i="5" s="1"/>
  <c r="J1518" i="5"/>
  <c r="L1518" i="5" s="1"/>
  <c r="J1517" i="5"/>
  <c r="L1517" i="5" s="1"/>
  <c r="J1516" i="5"/>
  <c r="L1516" i="5" s="1"/>
  <c r="J1515" i="5"/>
  <c r="L1515" i="5" s="1"/>
  <c r="J1514" i="5"/>
  <c r="L1514" i="5" s="1"/>
  <c r="J1513" i="5"/>
  <c r="L1513" i="5" s="1"/>
  <c r="J1512" i="5"/>
  <c r="L1512" i="5" s="1"/>
  <c r="J1511" i="5"/>
  <c r="L1511" i="5" s="1"/>
  <c r="J1510" i="5"/>
  <c r="L1510" i="5" s="1"/>
  <c r="J1509" i="5"/>
  <c r="L1509" i="5" s="1"/>
  <c r="J1508" i="5"/>
  <c r="L1508" i="5" s="1"/>
  <c r="J1507" i="5"/>
  <c r="L1507" i="5" s="1"/>
  <c r="J1506" i="5"/>
  <c r="L1506" i="5" s="1"/>
  <c r="J1505" i="5"/>
  <c r="L1505" i="5" s="1"/>
  <c r="J1504" i="5"/>
  <c r="L1504" i="5" s="1"/>
  <c r="J1503" i="5"/>
  <c r="L1503" i="5" s="1"/>
  <c r="J1502" i="5"/>
  <c r="L1502" i="5" s="1"/>
  <c r="J1501" i="5"/>
  <c r="L1501" i="5" s="1"/>
  <c r="J1500" i="5"/>
  <c r="L1500" i="5" s="1"/>
  <c r="J1499" i="5"/>
  <c r="L1499" i="5" s="1"/>
  <c r="J1498" i="5"/>
  <c r="L1498" i="5" s="1"/>
  <c r="J1497" i="5"/>
  <c r="L1497" i="5" s="1"/>
  <c r="J1496" i="5"/>
  <c r="L1496" i="5" s="1"/>
  <c r="J1495" i="5"/>
  <c r="L1495" i="5" s="1"/>
  <c r="J1494" i="5"/>
  <c r="L1494" i="5" s="1"/>
  <c r="J1493" i="5"/>
  <c r="L1493" i="5" s="1"/>
  <c r="J1492" i="5"/>
  <c r="L1492" i="5" s="1"/>
  <c r="J1491" i="5"/>
  <c r="L1491" i="5" s="1"/>
  <c r="J1490" i="5"/>
  <c r="L1490" i="5" s="1"/>
  <c r="J1489" i="5"/>
  <c r="L1489" i="5" s="1"/>
  <c r="J1488" i="5"/>
  <c r="L1488" i="5" s="1"/>
  <c r="J1487" i="5"/>
  <c r="L1487" i="5" s="1"/>
  <c r="J1486" i="5"/>
  <c r="L1486" i="5" s="1"/>
  <c r="J1485" i="5"/>
  <c r="L1485" i="5" s="1"/>
  <c r="J1484" i="5"/>
  <c r="L1484" i="5" s="1"/>
  <c r="J1483" i="5"/>
  <c r="L1483" i="5" s="1"/>
  <c r="J1482" i="5"/>
  <c r="L1482" i="5" s="1"/>
  <c r="J1481" i="5"/>
  <c r="L1481" i="5" s="1"/>
  <c r="J1480" i="5"/>
  <c r="L1480" i="5" s="1"/>
  <c r="J1479" i="5"/>
  <c r="L1479" i="5" s="1"/>
  <c r="J1478" i="5"/>
  <c r="L1478" i="5" s="1"/>
  <c r="J1477" i="5"/>
  <c r="L1477" i="5" s="1"/>
  <c r="J1476" i="5"/>
  <c r="L1476" i="5" s="1"/>
  <c r="J1475" i="5"/>
  <c r="L1475" i="5" s="1"/>
  <c r="J1474" i="5"/>
  <c r="L1474" i="5" s="1"/>
  <c r="J1473" i="5"/>
  <c r="L1473" i="5" s="1"/>
  <c r="J1472" i="5"/>
  <c r="L1472" i="5" s="1"/>
  <c r="J1471" i="5"/>
  <c r="L1471" i="5" s="1"/>
  <c r="J1470" i="5"/>
  <c r="L1470" i="5" s="1"/>
  <c r="J1469" i="5"/>
  <c r="L1469" i="5" s="1"/>
  <c r="J1468" i="5"/>
  <c r="L1468" i="5" s="1"/>
  <c r="J1467" i="5"/>
  <c r="L1467" i="5" s="1"/>
  <c r="J1466" i="5"/>
  <c r="L1466" i="5" s="1"/>
  <c r="J1465" i="5"/>
  <c r="L1465" i="5" s="1"/>
  <c r="J1464" i="5"/>
  <c r="L1464" i="5" s="1"/>
  <c r="J1463" i="5"/>
  <c r="L1463" i="5" s="1"/>
  <c r="J1462" i="5"/>
  <c r="L1462" i="5" s="1"/>
  <c r="J1461" i="5"/>
  <c r="L1461" i="5" s="1"/>
  <c r="J1460" i="5"/>
  <c r="L1460" i="5" s="1"/>
  <c r="J1459" i="5"/>
  <c r="L1459" i="5" s="1"/>
  <c r="J1458" i="5"/>
  <c r="L1458" i="5" s="1"/>
  <c r="J1457" i="5"/>
  <c r="L1457" i="5" s="1"/>
  <c r="L1456" i="5"/>
  <c r="J1456" i="5"/>
  <c r="J1455" i="5"/>
  <c r="L1455" i="5" s="1"/>
  <c r="J1454" i="5"/>
  <c r="L1454" i="5" s="1"/>
  <c r="J1453" i="5"/>
  <c r="L1453" i="5" s="1"/>
  <c r="J1452" i="5"/>
  <c r="L1452" i="5" s="1"/>
  <c r="J1451" i="5"/>
  <c r="L1451" i="5" s="1"/>
  <c r="J1450" i="5"/>
  <c r="L1450" i="5" s="1"/>
  <c r="L1449" i="5"/>
  <c r="J1449" i="5"/>
  <c r="J1448" i="5"/>
  <c r="L1448" i="5" s="1"/>
  <c r="J1447" i="5"/>
  <c r="L1447" i="5" s="1"/>
  <c r="J1446" i="5"/>
  <c r="L1446" i="5" s="1"/>
  <c r="J1445" i="5"/>
  <c r="L1445" i="5" s="1"/>
  <c r="J1444" i="5"/>
  <c r="L1444" i="5" s="1"/>
  <c r="J1443" i="5"/>
  <c r="L1443" i="5" s="1"/>
  <c r="J1442" i="5"/>
  <c r="L1442" i="5" s="1"/>
  <c r="J1441" i="5"/>
  <c r="L1441" i="5" s="1"/>
  <c r="L1440" i="5"/>
  <c r="J1440" i="5"/>
  <c r="J1439" i="5"/>
  <c r="L1439" i="5" s="1"/>
  <c r="J1438" i="5"/>
  <c r="L1438" i="5" s="1"/>
  <c r="J1437" i="5"/>
  <c r="L1437" i="5" s="1"/>
  <c r="J1436" i="5"/>
  <c r="L1436" i="5" s="1"/>
  <c r="J1435" i="5"/>
  <c r="L1435" i="5" s="1"/>
  <c r="J1434" i="5"/>
  <c r="L1434" i="5" s="1"/>
  <c r="L1433" i="5"/>
  <c r="J1433" i="5"/>
  <c r="J1432" i="5"/>
  <c r="L1432" i="5" s="1"/>
  <c r="J1431" i="5"/>
  <c r="L1431" i="5" s="1"/>
  <c r="J1430" i="5"/>
  <c r="L1430" i="5" s="1"/>
  <c r="J1429" i="5"/>
  <c r="L1429" i="5" s="1"/>
  <c r="J1428" i="5"/>
  <c r="L1428" i="5" s="1"/>
  <c r="J1427" i="5"/>
  <c r="L1427" i="5" s="1"/>
  <c r="J1426" i="5"/>
  <c r="L1426" i="5" s="1"/>
  <c r="J1425" i="5"/>
  <c r="L1425" i="5" s="1"/>
  <c r="L1424" i="5"/>
  <c r="J1424" i="5"/>
  <c r="J1423" i="5"/>
  <c r="L1423" i="5" s="1"/>
  <c r="J1422" i="5"/>
  <c r="L1422" i="5" s="1"/>
  <c r="J1421" i="5"/>
  <c r="L1421" i="5" s="1"/>
  <c r="J1420" i="5"/>
  <c r="L1420" i="5" s="1"/>
  <c r="J1419" i="5"/>
  <c r="L1419" i="5" s="1"/>
  <c r="J1418" i="5"/>
  <c r="L1418" i="5" s="1"/>
  <c r="L1417" i="5"/>
  <c r="J1417" i="5"/>
  <c r="J1416" i="5"/>
  <c r="L1416" i="5" s="1"/>
  <c r="J1415" i="5"/>
  <c r="L1415" i="5" s="1"/>
  <c r="J1414" i="5"/>
  <c r="L1414" i="5" s="1"/>
  <c r="J1413" i="5"/>
  <c r="L1413" i="5" s="1"/>
  <c r="J1412" i="5"/>
  <c r="L1412" i="5" s="1"/>
  <c r="J1411" i="5"/>
  <c r="L1411" i="5" s="1"/>
  <c r="J1410" i="5"/>
  <c r="L1410" i="5" s="1"/>
  <c r="J1409" i="5"/>
  <c r="L1409" i="5" s="1"/>
  <c r="L1408" i="5"/>
  <c r="J1408" i="5"/>
  <c r="J1407" i="5"/>
  <c r="L1407" i="5" s="1"/>
  <c r="J1406" i="5"/>
  <c r="L1406" i="5" s="1"/>
  <c r="J1405" i="5"/>
  <c r="L1405" i="5" s="1"/>
  <c r="J1404" i="5"/>
  <c r="L1404" i="5" s="1"/>
  <c r="J1403" i="5"/>
  <c r="L1403" i="5" s="1"/>
  <c r="J1402" i="5"/>
  <c r="L1402" i="5" s="1"/>
  <c r="L1401" i="5"/>
  <c r="J1401" i="5"/>
  <c r="J1400" i="5"/>
  <c r="L1400" i="5" s="1"/>
  <c r="J1399" i="5"/>
  <c r="L1399" i="5" s="1"/>
  <c r="J1398" i="5"/>
  <c r="L1398" i="5" s="1"/>
  <c r="J1397" i="5"/>
  <c r="L1397" i="5" s="1"/>
  <c r="J1396" i="5"/>
  <c r="L1396" i="5" s="1"/>
  <c r="J1395" i="5"/>
  <c r="L1395" i="5" s="1"/>
  <c r="J1394" i="5"/>
  <c r="L1394" i="5" s="1"/>
  <c r="J1393" i="5"/>
  <c r="L1393" i="5" s="1"/>
  <c r="J1392" i="5"/>
  <c r="L1392" i="5" s="1"/>
  <c r="J1391" i="5"/>
  <c r="L1391" i="5" s="1"/>
  <c r="J1390" i="5"/>
  <c r="L1390" i="5" s="1"/>
  <c r="J1389" i="5"/>
  <c r="L1389" i="5" s="1"/>
  <c r="J1388" i="5"/>
  <c r="L1388" i="5" s="1"/>
  <c r="J1387" i="5"/>
  <c r="L1387" i="5" s="1"/>
  <c r="J1386" i="5"/>
  <c r="L1386" i="5" s="1"/>
  <c r="J1385" i="5"/>
  <c r="L1385" i="5" s="1"/>
  <c r="J1384" i="5"/>
  <c r="L1384" i="5" s="1"/>
  <c r="J1383" i="5"/>
  <c r="L1383" i="5" s="1"/>
  <c r="J1382" i="5"/>
  <c r="L1382" i="5" s="1"/>
  <c r="J1381" i="5"/>
  <c r="L1381" i="5" s="1"/>
  <c r="J1380" i="5"/>
  <c r="L1380" i="5" s="1"/>
  <c r="J1379" i="5"/>
  <c r="L1379" i="5" s="1"/>
  <c r="J1378" i="5"/>
  <c r="L1378" i="5" s="1"/>
  <c r="J1377" i="5"/>
  <c r="L1377" i="5" s="1"/>
  <c r="J1376" i="5"/>
  <c r="L1376" i="5" s="1"/>
  <c r="J1375" i="5"/>
  <c r="L1375" i="5" s="1"/>
  <c r="J1374" i="5" l="1"/>
  <c r="L1374" i="5" s="1"/>
  <c r="J1373" i="5"/>
  <c r="L1373" i="5" s="1"/>
  <c r="J1372" i="5"/>
  <c r="L1372" i="5" s="1"/>
  <c r="J1371" i="5"/>
  <c r="L1371" i="5" s="1"/>
  <c r="J1370" i="5"/>
  <c r="L1370" i="5" s="1"/>
  <c r="J1369" i="5"/>
  <c r="L1369" i="5" s="1"/>
  <c r="J1368" i="5"/>
  <c r="L1368" i="5" s="1"/>
  <c r="J1367" i="5"/>
  <c r="L1367" i="5" s="1"/>
  <c r="J1366" i="5"/>
  <c r="L1366" i="5" s="1"/>
  <c r="J1365" i="5"/>
  <c r="L1365" i="5" s="1"/>
  <c r="J1364" i="5"/>
  <c r="L1364" i="5" s="1"/>
  <c r="J1363" i="5"/>
  <c r="L1363" i="5" s="1"/>
  <c r="J1362" i="5"/>
  <c r="L1362" i="5" s="1"/>
  <c r="J1361" i="5"/>
  <c r="L1361" i="5" s="1"/>
  <c r="L1360" i="5"/>
  <c r="J1360" i="5"/>
  <c r="J1359" i="5"/>
  <c r="L1359" i="5" s="1"/>
  <c r="J1358" i="5"/>
  <c r="L1358" i="5" s="1"/>
  <c r="J1357" i="5"/>
  <c r="L1357" i="5" s="1"/>
  <c r="J1356" i="5"/>
  <c r="L1356" i="5" s="1"/>
  <c r="J1355" i="5"/>
  <c r="L1355" i="5" s="1"/>
  <c r="L1354" i="5"/>
  <c r="J1354" i="5"/>
  <c r="J1353" i="5"/>
  <c r="L1353" i="5" s="1"/>
  <c r="J1352" i="5"/>
  <c r="L1352" i="5" s="1"/>
  <c r="J1351" i="5"/>
  <c r="L1351" i="5" s="1"/>
  <c r="J1350" i="5"/>
  <c r="L1350" i="5" s="1"/>
  <c r="J1349" i="5"/>
  <c r="L1349" i="5" s="1"/>
  <c r="J1348" i="5"/>
  <c r="L1348" i="5" s="1"/>
  <c r="J1347" i="5"/>
  <c r="L1347" i="5" s="1"/>
  <c r="J1346" i="5"/>
  <c r="L1346" i="5" s="1"/>
  <c r="J1345" i="5"/>
  <c r="L1345" i="5" s="1"/>
  <c r="J1344" i="5"/>
  <c r="L1344" i="5" s="1"/>
  <c r="J1343" i="5"/>
  <c r="L1343" i="5" s="1"/>
  <c r="J1342" i="5"/>
  <c r="L1342" i="5" s="1"/>
  <c r="J1341" i="5"/>
  <c r="L1341" i="5" s="1"/>
  <c r="J1340" i="5"/>
  <c r="L1340" i="5" s="1"/>
  <c r="J1339" i="5"/>
  <c r="L1339" i="5" s="1"/>
  <c r="J1338" i="5"/>
  <c r="L1338" i="5" s="1"/>
  <c r="J1337" i="5"/>
  <c r="L1337" i="5" s="1"/>
  <c r="L1336" i="5"/>
  <c r="J1335" i="5"/>
  <c r="L1335" i="5" s="1"/>
  <c r="J1334" i="5"/>
  <c r="L1334" i="5" s="1"/>
  <c r="J1333" i="5"/>
  <c r="L1333" i="5" s="1"/>
  <c r="J1332" i="5"/>
  <c r="L1332" i="5" s="1"/>
  <c r="J1331" i="5"/>
  <c r="L1331" i="5" s="1"/>
  <c r="J1330" i="5"/>
  <c r="L1330" i="5" s="1"/>
  <c r="J1329" i="5"/>
  <c r="L1329" i="5" s="1"/>
  <c r="J1328" i="5"/>
  <c r="L1328" i="5" s="1"/>
  <c r="J1327" i="5"/>
  <c r="L1327" i="5" s="1"/>
  <c r="J1326" i="5"/>
  <c r="L1326" i="5" s="1"/>
  <c r="J1325" i="5"/>
  <c r="L1325" i="5" s="1"/>
  <c r="J1324" i="5"/>
  <c r="L1324" i="5" s="1"/>
  <c r="J1323" i="5"/>
  <c r="L1323" i="5" s="1"/>
  <c r="J1322" i="5"/>
  <c r="L1322" i="5" s="1"/>
  <c r="J1321" i="5"/>
  <c r="L1321" i="5" s="1"/>
  <c r="J1320" i="5"/>
  <c r="L1320" i="5" s="1"/>
  <c r="J1319" i="5"/>
  <c r="L1319" i="5" s="1"/>
  <c r="J1318" i="5"/>
  <c r="L1318" i="5" s="1"/>
  <c r="J1317" i="5"/>
  <c r="L1317" i="5" s="1"/>
  <c r="J1316" i="5"/>
  <c r="L1316" i="5" s="1"/>
  <c r="J1315" i="5"/>
  <c r="L1315" i="5" s="1"/>
  <c r="J1314" i="5"/>
  <c r="L1314" i="5" s="1"/>
  <c r="J1313" i="5"/>
  <c r="L1313" i="5" s="1"/>
  <c r="J1312" i="5"/>
  <c r="L1312" i="5" s="1"/>
  <c r="J1311" i="5"/>
  <c r="L1311" i="5" s="1"/>
  <c r="J1310" i="5"/>
  <c r="L1310" i="5" s="1"/>
  <c r="J1309" i="5"/>
  <c r="L1309" i="5" s="1"/>
  <c r="J1308" i="5"/>
  <c r="L1308" i="5" s="1"/>
  <c r="J1307" i="5"/>
  <c r="L1307" i="5" s="1"/>
  <c r="J1306" i="5"/>
  <c r="L1306" i="5" s="1"/>
  <c r="J1305" i="5"/>
  <c r="L1305" i="5" s="1"/>
  <c r="J1304" i="5"/>
  <c r="L1304" i="5" s="1"/>
  <c r="J1303" i="5"/>
  <c r="L1303" i="5" s="1"/>
  <c r="J1302" i="5"/>
  <c r="L1302" i="5" s="1"/>
  <c r="J1301" i="5"/>
  <c r="L1301" i="5" s="1"/>
  <c r="J1300" i="5"/>
  <c r="L1300" i="5" s="1"/>
  <c r="J1299" i="5"/>
  <c r="L1299" i="5" s="1"/>
  <c r="J1298" i="5"/>
  <c r="L1298" i="5" s="1"/>
  <c r="J1297" i="5"/>
  <c r="L1297" i="5" s="1"/>
  <c r="J1296" i="5"/>
  <c r="L1296" i="5" s="1"/>
  <c r="J1295" i="5"/>
  <c r="L1295" i="5" s="1"/>
  <c r="J1294" i="5"/>
  <c r="L1294" i="5" s="1"/>
  <c r="J1293" i="5"/>
  <c r="L1293" i="5" s="1"/>
  <c r="J1292" i="5"/>
  <c r="L1292" i="5" s="1"/>
  <c r="J1291" i="5"/>
  <c r="L1291" i="5" s="1"/>
  <c r="J1290" i="5"/>
  <c r="L1290" i="5" s="1"/>
  <c r="J1289" i="5"/>
  <c r="L1289" i="5" s="1"/>
  <c r="J1288" i="5"/>
  <c r="L1288" i="5" s="1"/>
  <c r="J1287" i="5"/>
  <c r="L1287" i="5" s="1"/>
  <c r="J1286" i="5"/>
  <c r="L1286" i="5" s="1"/>
  <c r="J1285" i="5"/>
  <c r="L1285" i="5" s="1"/>
  <c r="J1284" i="5"/>
  <c r="L1284" i="5" s="1"/>
  <c r="J1283" i="5"/>
  <c r="L1283" i="5" s="1"/>
  <c r="J1282" i="5"/>
  <c r="L1282" i="5" s="1"/>
  <c r="J1281" i="5"/>
  <c r="L1281" i="5" s="1"/>
  <c r="J1280" i="5"/>
  <c r="L1280" i="5" s="1"/>
  <c r="J1279" i="5"/>
  <c r="L1279" i="5" s="1"/>
  <c r="J1278" i="5"/>
  <c r="L1278" i="5" s="1"/>
  <c r="J1277" i="5"/>
  <c r="L1277" i="5" s="1"/>
  <c r="J1276" i="5"/>
  <c r="L1276" i="5" s="1"/>
  <c r="J1275" i="5"/>
  <c r="L1275" i="5" s="1"/>
  <c r="J1274" i="5"/>
  <c r="L1274" i="5" s="1"/>
  <c r="J1273" i="5"/>
  <c r="L1273" i="5" s="1"/>
  <c r="J1272" i="5"/>
  <c r="L1272" i="5" s="1"/>
  <c r="J1271" i="5"/>
  <c r="L1271" i="5" s="1"/>
  <c r="J1270" i="5"/>
  <c r="L1270" i="5" s="1"/>
  <c r="J1269" i="5"/>
  <c r="L1269" i="5" s="1"/>
  <c r="J1268" i="5"/>
  <c r="L1268" i="5" s="1"/>
  <c r="J1267" i="5"/>
  <c r="L1267" i="5" s="1"/>
  <c r="J1266" i="5"/>
  <c r="L1266" i="5" s="1"/>
  <c r="J1265" i="5"/>
  <c r="L1265" i="5" s="1"/>
  <c r="J1264" i="5"/>
  <c r="L1264" i="5" s="1"/>
  <c r="J1263" i="5"/>
  <c r="L1263" i="5" s="1"/>
  <c r="J1262" i="5"/>
  <c r="L1262" i="5" s="1"/>
  <c r="J1261" i="5"/>
  <c r="L1261" i="5" s="1"/>
  <c r="J1260" i="5"/>
  <c r="L1260" i="5" s="1"/>
  <c r="J1259" i="5"/>
  <c r="L1259" i="5" s="1"/>
  <c r="J1258" i="5"/>
  <c r="L1258" i="5" s="1"/>
  <c r="J1257" i="5"/>
  <c r="L1257" i="5" s="1"/>
  <c r="J1256" i="5"/>
  <c r="L1256" i="5" s="1"/>
  <c r="J1255" i="5"/>
  <c r="L1255" i="5" s="1"/>
  <c r="J1254" i="5"/>
  <c r="L1254" i="5" s="1"/>
  <c r="J1253" i="5"/>
  <c r="L1253" i="5" s="1"/>
  <c r="J1252" i="5"/>
  <c r="L1252" i="5" s="1"/>
  <c r="J1251" i="5"/>
  <c r="L1251" i="5" s="1"/>
  <c r="J1250" i="5"/>
  <c r="L1250" i="5" s="1"/>
  <c r="J1249" i="5"/>
  <c r="L1249" i="5" s="1"/>
  <c r="J1248" i="5" l="1"/>
  <c r="L1248" i="5" s="1"/>
  <c r="J1247" i="5"/>
  <c r="L1247" i="5" s="1"/>
  <c r="J1246" i="5"/>
  <c r="L1246" i="5" s="1"/>
  <c r="J1245" i="5"/>
  <c r="L1245" i="5" s="1"/>
  <c r="J1244" i="5"/>
  <c r="L1244" i="5" s="1"/>
  <c r="J1243" i="5"/>
  <c r="L1243" i="5" s="1"/>
  <c r="J1242" i="5"/>
  <c r="L1242" i="5" s="1"/>
  <c r="J1241" i="5"/>
  <c r="L1241" i="5" s="1"/>
  <c r="J1240" i="5"/>
  <c r="L1240" i="5" s="1"/>
  <c r="J1239" i="5"/>
  <c r="L1239" i="5" s="1"/>
  <c r="J1238" i="5"/>
  <c r="L1238" i="5" s="1"/>
  <c r="J1237" i="5"/>
  <c r="L1237" i="5" s="1"/>
  <c r="J1236" i="5"/>
  <c r="L1236" i="5" s="1"/>
  <c r="J1235" i="5"/>
  <c r="L1235" i="5" s="1"/>
  <c r="J1234" i="5"/>
  <c r="L1234" i="5" s="1"/>
  <c r="J1233" i="5"/>
  <c r="L1233" i="5" s="1"/>
  <c r="J1232" i="5"/>
  <c r="L1232" i="5" s="1"/>
  <c r="J1231" i="5"/>
  <c r="L1231" i="5" s="1"/>
  <c r="J1230" i="5"/>
  <c r="L1230" i="5" s="1"/>
  <c r="J1229" i="5"/>
  <c r="L1229" i="5" s="1"/>
  <c r="J1228" i="5"/>
  <c r="L1228" i="5" s="1"/>
  <c r="J1227" i="5"/>
  <c r="L1227" i="5" s="1"/>
  <c r="J1226" i="5"/>
  <c r="L1226" i="5" s="1"/>
  <c r="J1225" i="5"/>
  <c r="L1225" i="5" s="1"/>
  <c r="J1224" i="5"/>
  <c r="L1224" i="5" s="1"/>
  <c r="J1223" i="5"/>
  <c r="L1223" i="5" s="1"/>
  <c r="J1222" i="5"/>
  <c r="L1222" i="5" s="1"/>
  <c r="J1221" i="5"/>
  <c r="L1221" i="5" s="1"/>
  <c r="J1220" i="5"/>
  <c r="L1220" i="5" s="1"/>
  <c r="J1219" i="5"/>
  <c r="L1219" i="5" s="1"/>
  <c r="J1218" i="5"/>
  <c r="L1218" i="5" s="1"/>
  <c r="J1217" i="5"/>
  <c r="L1217" i="5" s="1"/>
  <c r="J1216" i="5"/>
  <c r="L1216" i="5" s="1"/>
  <c r="J1215" i="5"/>
  <c r="L1215" i="5" s="1"/>
  <c r="J1214" i="5"/>
  <c r="L1214" i="5" s="1"/>
  <c r="J1213" i="5"/>
  <c r="L1213" i="5" s="1"/>
  <c r="J1212" i="5"/>
  <c r="L1212" i="5" s="1"/>
  <c r="J1211" i="5"/>
  <c r="L1211" i="5" s="1"/>
  <c r="J1210" i="5"/>
  <c r="L1210" i="5" s="1"/>
  <c r="J1209" i="5"/>
  <c r="L1209" i="5" s="1"/>
  <c r="J1208" i="5"/>
  <c r="L1208" i="5" s="1"/>
  <c r="J1207" i="5"/>
  <c r="L1207" i="5" s="1"/>
  <c r="J1206" i="5"/>
  <c r="L1206" i="5" s="1"/>
  <c r="J1205" i="5"/>
  <c r="L1205" i="5" s="1"/>
  <c r="J1204" i="5"/>
  <c r="L1204" i="5" s="1"/>
  <c r="J1203" i="5"/>
  <c r="L1203" i="5" s="1"/>
  <c r="J1202" i="5"/>
  <c r="L1202" i="5" s="1"/>
  <c r="J1201" i="5"/>
  <c r="L1201" i="5" s="1"/>
  <c r="J1200" i="5"/>
  <c r="L1200" i="5" s="1"/>
  <c r="J1199" i="5"/>
  <c r="L1199" i="5" s="1"/>
  <c r="J1198" i="5"/>
  <c r="L1198" i="5" s="1"/>
  <c r="J1197" i="5"/>
  <c r="L1197" i="5" s="1"/>
  <c r="J1196" i="5"/>
  <c r="L1196" i="5" s="1"/>
  <c r="J1195" i="5"/>
  <c r="L1195" i="5" s="1"/>
  <c r="J1194" i="5"/>
  <c r="L1194" i="5" s="1"/>
  <c r="J1193" i="5"/>
  <c r="L1193" i="5" s="1"/>
  <c r="J1192" i="5"/>
  <c r="L1192" i="5" s="1"/>
  <c r="J1191" i="5"/>
  <c r="L1191" i="5" s="1"/>
  <c r="J1190" i="5"/>
  <c r="L1190" i="5" s="1"/>
  <c r="J1189" i="5"/>
  <c r="L1189" i="5" s="1"/>
  <c r="J1188" i="5"/>
  <c r="L1188" i="5" s="1"/>
  <c r="J1187" i="5"/>
  <c r="L1187" i="5" s="1"/>
  <c r="J1186" i="5"/>
  <c r="L1186" i="5" s="1"/>
  <c r="J1185" i="5"/>
  <c r="L1185" i="5" s="1"/>
  <c r="J1184" i="5"/>
  <c r="L1184" i="5" s="1"/>
  <c r="J1183" i="5"/>
  <c r="L1183" i="5" s="1"/>
  <c r="J1182" i="5"/>
  <c r="L1182" i="5" s="1"/>
  <c r="J1181" i="5"/>
  <c r="L1181" i="5" s="1"/>
  <c r="J1180" i="5"/>
  <c r="L1180" i="5" s="1"/>
  <c r="J1179" i="5"/>
  <c r="L1179" i="5" s="1"/>
  <c r="J1178" i="5"/>
  <c r="L1178" i="5" s="1"/>
  <c r="J1177" i="5"/>
  <c r="L1177" i="5" s="1"/>
  <c r="J1176" i="5"/>
  <c r="L1176" i="5" s="1"/>
  <c r="J1175" i="5"/>
  <c r="L1175" i="5" s="1"/>
  <c r="J1174" i="5"/>
  <c r="L1174" i="5" s="1"/>
  <c r="J1173" i="5"/>
  <c r="L1173" i="5" s="1"/>
  <c r="J1172" i="5"/>
  <c r="L1172" i="5" s="1"/>
  <c r="J1171" i="5"/>
  <c r="L1171" i="5" s="1"/>
  <c r="J1170" i="5"/>
  <c r="L1170" i="5" s="1"/>
  <c r="J1169" i="5"/>
  <c r="L1169" i="5" s="1"/>
  <c r="J1168" i="5"/>
  <c r="L1168" i="5" s="1"/>
  <c r="J1167" i="5"/>
  <c r="L1167" i="5" s="1"/>
  <c r="J1166" i="5"/>
  <c r="L1166" i="5" s="1"/>
  <c r="J1165" i="5"/>
  <c r="L1165" i="5" s="1"/>
  <c r="J1164" i="5"/>
  <c r="L1164" i="5" s="1"/>
  <c r="J1163" i="5"/>
  <c r="L1163" i="5" s="1"/>
  <c r="J1162" i="5"/>
  <c r="L1162" i="5" s="1"/>
  <c r="J1161" i="5"/>
  <c r="L1161" i="5" s="1"/>
  <c r="J1160" i="5"/>
  <c r="L1160" i="5" s="1"/>
  <c r="J1159" i="5"/>
  <c r="L1159" i="5" s="1"/>
  <c r="J1158" i="5"/>
  <c r="L1158" i="5" s="1"/>
  <c r="J1157" i="5"/>
  <c r="L1157" i="5" s="1"/>
  <c r="J1156" i="5"/>
  <c r="L1156" i="5" s="1"/>
  <c r="J1155" i="5"/>
  <c r="L1155" i="5" s="1"/>
  <c r="J1154" i="5"/>
  <c r="L1154" i="5" s="1"/>
  <c r="J1153" i="5"/>
  <c r="L1153" i="5" s="1"/>
  <c r="J1152" i="5"/>
  <c r="L1152" i="5" s="1"/>
  <c r="J1151" i="5"/>
  <c r="L1151" i="5" s="1"/>
  <c r="J1150" i="5"/>
  <c r="L1150" i="5" s="1"/>
  <c r="J1149" i="5"/>
  <c r="L1149" i="5" s="1"/>
  <c r="J1148" i="5"/>
  <c r="L1148" i="5" s="1"/>
  <c r="J1147" i="5"/>
  <c r="L1147" i="5" s="1"/>
  <c r="J1146" i="5"/>
  <c r="L1146" i="5" s="1"/>
  <c r="J1145" i="5"/>
  <c r="L1145" i="5" s="1"/>
  <c r="J1144" i="5"/>
  <c r="L1144" i="5" s="1"/>
  <c r="J1143" i="5"/>
  <c r="L1143" i="5" s="1"/>
  <c r="J1142" i="5"/>
  <c r="L1142" i="5" s="1"/>
  <c r="J1141" i="5"/>
  <c r="L1141" i="5" s="1"/>
  <c r="J1140" i="5"/>
  <c r="L1140" i="5" s="1"/>
  <c r="J1139" i="5"/>
  <c r="L1139" i="5" s="1"/>
  <c r="J1138" i="5"/>
  <c r="L1138" i="5" s="1"/>
  <c r="J1137" i="5"/>
  <c r="L1137" i="5" s="1"/>
  <c r="J1136" i="5"/>
  <c r="L1136" i="5" s="1"/>
  <c r="J1135" i="5"/>
  <c r="L1135" i="5" s="1"/>
  <c r="J1134" i="5"/>
  <c r="L1134" i="5" s="1"/>
  <c r="J1133" i="5"/>
  <c r="L1133" i="5" s="1"/>
  <c r="J1132" i="5"/>
  <c r="L1132" i="5" s="1"/>
  <c r="J1131" i="5"/>
  <c r="L1131" i="5" s="1"/>
  <c r="J1126" i="5" l="1"/>
  <c r="L1126" i="5" s="1"/>
  <c r="J1124" i="5"/>
  <c r="L1124" i="5" s="1"/>
  <c r="J1121" i="5"/>
  <c r="L1121" i="5" s="1"/>
  <c r="J1118" i="5"/>
  <c r="L1118" i="5" s="1"/>
  <c r="J1116" i="5"/>
  <c r="L1116" i="5" s="1"/>
  <c r="J1114" i="5"/>
  <c r="L1114" i="5" s="1"/>
  <c r="J1110" i="5"/>
  <c r="L1110" i="5" s="1"/>
  <c r="J1105" i="5"/>
  <c r="L1105" i="5" s="1"/>
  <c r="J1130" i="5"/>
  <c r="L1130" i="5" s="1"/>
  <c r="J1129" i="5"/>
  <c r="L1129" i="5" s="1"/>
  <c r="J1128" i="5"/>
  <c r="L1128" i="5" s="1"/>
  <c r="J1127" i="5"/>
  <c r="L1127" i="5" s="1"/>
  <c r="J1119" i="5"/>
  <c r="L1119" i="5" s="1"/>
  <c r="J1120" i="5"/>
  <c r="L1120" i="5" s="1"/>
  <c r="J1125" i="5"/>
  <c r="L1125" i="5" s="1"/>
  <c r="J1123" i="5"/>
  <c r="L1123" i="5" s="1"/>
  <c r="J1122" i="5"/>
  <c r="L1122" i="5" s="1"/>
  <c r="J1117" i="5"/>
  <c r="L1117" i="5" s="1"/>
  <c r="J1115" i="5"/>
  <c r="L1115" i="5" s="1"/>
  <c r="J1106" i="5"/>
  <c r="L1106" i="5" s="1"/>
  <c r="J1103" i="5"/>
  <c r="L1103" i="5" s="1"/>
  <c r="J1113" i="5"/>
  <c r="L1113" i="5" s="1"/>
  <c r="J1112" i="5"/>
  <c r="L1112" i="5" s="1"/>
  <c r="J1108" i="5"/>
  <c r="L1108" i="5" s="1"/>
  <c r="J1102" i="5"/>
  <c r="L1102" i="5" s="1"/>
  <c r="J1111" i="5"/>
  <c r="L1111" i="5" s="1"/>
  <c r="J1109" i="5"/>
  <c r="L1109" i="5" s="1"/>
  <c r="J1107" i="5"/>
  <c r="L1107" i="5" s="1"/>
  <c r="J1104" i="5"/>
  <c r="L1104" i="5" s="1"/>
  <c r="J1101" i="5"/>
  <c r="L1101" i="5" s="1"/>
  <c r="J1095" i="5"/>
  <c r="J1097" i="5"/>
  <c r="L1097" i="5" s="1"/>
  <c r="J1100" i="5"/>
  <c r="L1100" i="5" s="1"/>
  <c r="J1099" i="5"/>
  <c r="L1099" i="5" s="1"/>
  <c r="J1098" i="5"/>
  <c r="L1098" i="5" s="1"/>
  <c r="J1096" i="5"/>
  <c r="L1096" i="5" s="1"/>
  <c r="J1094" i="5"/>
  <c r="L1094" i="5" s="1"/>
  <c r="J1089" i="5"/>
  <c r="L1089" i="5" s="1"/>
  <c r="J1090" i="5"/>
  <c r="L1090" i="5" s="1"/>
  <c r="J1093" i="5"/>
  <c r="L1093" i="5" s="1"/>
  <c r="J1092" i="5"/>
  <c r="L1092" i="5" s="1"/>
  <c r="J1091" i="5"/>
  <c r="L1091" i="5" s="1"/>
  <c r="J1088" i="5"/>
  <c r="L1088" i="5" s="1"/>
  <c r="J1079" i="5"/>
  <c r="L1079" i="5" s="1"/>
  <c r="J1081" i="5"/>
  <c r="L1081" i="5" s="1"/>
  <c r="J1082" i="5"/>
  <c r="L1082" i="5" s="1"/>
  <c r="J1083" i="5"/>
  <c r="L1083" i="5" s="1"/>
  <c r="J1084" i="5"/>
  <c r="L1084" i="5" s="1"/>
  <c r="J1068" i="5"/>
  <c r="L1068" i="5" s="1"/>
  <c r="J1069" i="5"/>
  <c r="L1069" i="5" s="1"/>
  <c r="J1070" i="5"/>
  <c r="L1070" i="5" s="1"/>
  <c r="J1087" i="5"/>
  <c r="L1087" i="5" s="1"/>
  <c r="J1086" i="5"/>
  <c r="L1086" i="5" s="1"/>
  <c r="J1085" i="5"/>
  <c r="L1085" i="5" s="1"/>
  <c r="J1080" i="5"/>
  <c r="L1080" i="5" s="1"/>
  <c r="J1078" i="5"/>
  <c r="L1078" i="5" s="1"/>
  <c r="J1077" i="5"/>
  <c r="L1077" i="5" s="1"/>
  <c r="J1071" i="5"/>
  <c r="L1071" i="5" s="1"/>
  <c r="J1059" i="5"/>
  <c r="J1076" i="5"/>
  <c r="L1076" i="5" s="1"/>
  <c r="J1075" i="5"/>
  <c r="L1075" i="5" s="1"/>
  <c r="J1074" i="5"/>
  <c r="L1074" i="5" s="1"/>
  <c r="J1073" i="5"/>
  <c r="L1073" i="5" s="1"/>
  <c r="J1072" i="5"/>
  <c r="L1072" i="5" s="1"/>
  <c r="J1067" i="5"/>
  <c r="L1067" i="5" s="1"/>
  <c r="J1066" i="5"/>
  <c r="L1066" i="5" s="1"/>
  <c r="J1065" i="5"/>
  <c r="L1065" i="5" s="1"/>
  <c r="J1064" i="5"/>
  <c r="L1064" i="5" s="1"/>
  <c r="J1058" i="5"/>
  <c r="L1058" i="5" s="1"/>
  <c r="J1060" i="5"/>
  <c r="L1060" i="5" s="1"/>
  <c r="J1063" i="5"/>
  <c r="L1063" i="5" s="1"/>
  <c r="J1062" i="5"/>
  <c r="L1062" i="5" s="1"/>
  <c r="J1061" i="5"/>
  <c r="L1061" i="5" s="1"/>
  <c r="J1057" i="5"/>
  <c r="L1057" i="5" s="1"/>
  <c r="J1056" i="5"/>
  <c r="L1056" i="5" s="1"/>
  <c r="J1052" i="5"/>
  <c r="L1052" i="5" s="1"/>
  <c r="J1055" i="5"/>
  <c r="L1055" i="5" s="1"/>
  <c r="J1054" i="5"/>
  <c r="L1054" i="5" s="1"/>
  <c r="J1053" i="5"/>
  <c r="L1053" i="5" s="1"/>
  <c r="J1051" i="5"/>
  <c r="L1051" i="5" s="1"/>
  <c r="J1050" i="5"/>
  <c r="L1050" i="5" s="1"/>
  <c r="J1049" i="5"/>
  <c r="L1049" i="5" s="1"/>
  <c r="J1044" i="5"/>
  <c r="L1044" i="5" s="1"/>
  <c r="J1041" i="5"/>
  <c r="L1041" i="5" s="1"/>
  <c r="J1042" i="5"/>
  <c r="L1042" i="5" s="1"/>
  <c r="J1040" i="5"/>
  <c r="L1040" i="5" s="1"/>
  <c r="J1048" i="5"/>
  <c r="L1048" i="5" s="1"/>
  <c r="J1034" i="5"/>
  <c r="L1034" i="5" s="1"/>
  <c r="J1047" i="5"/>
  <c r="L1047" i="5" s="1"/>
  <c r="J1046" i="5"/>
  <c r="L1046" i="5" s="1"/>
  <c r="J1045" i="5"/>
  <c r="L1045" i="5" s="1"/>
  <c r="J1038" i="5"/>
  <c r="L1038" i="5" s="1"/>
  <c r="J1037" i="5"/>
  <c r="L1037" i="5" s="1"/>
  <c r="J1043" i="5"/>
  <c r="L1043" i="5" s="1"/>
  <c r="J1039" i="5"/>
  <c r="L1039" i="5" s="1"/>
  <c r="J1036" i="5"/>
  <c r="L1036" i="5" s="1"/>
  <c r="J1035" i="5"/>
  <c r="L1035" i="5" s="1"/>
  <c r="J1033" i="5"/>
  <c r="L1033" i="5" s="1"/>
  <c r="J1029" i="5"/>
  <c r="L1029" i="5" s="1"/>
  <c r="J1026" i="5"/>
  <c r="L1026" i="5" s="1"/>
  <c r="J1030" i="5"/>
  <c r="L1030" i="5" s="1"/>
  <c r="J1024" i="5"/>
  <c r="L1024" i="5" s="1"/>
  <c r="J1025" i="5"/>
  <c r="L1025" i="5" s="1"/>
  <c r="J1021" i="5"/>
  <c r="L1021" i="5" s="1"/>
  <c r="J1032" i="5"/>
  <c r="L1032" i="5" s="1"/>
  <c r="J1031" i="5"/>
  <c r="L1031" i="5" s="1"/>
  <c r="J1028" i="5"/>
  <c r="L1028" i="5" s="1"/>
  <c r="J1027" i="5"/>
  <c r="L1027" i="5" s="1"/>
  <c r="J1023" i="5"/>
  <c r="L1023" i="5" s="1"/>
  <c r="J1022" i="5"/>
  <c r="L1022" i="5" s="1"/>
  <c r="J1020" i="5"/>
  <c r="L1020" i="5" s="1"/>
  <c r="J1019" i="5"/>
  <c r="L1019" i="5" s="1"/>
  <c r="J1018" i="5"/>
  <c r="L1018" i="5" s="1"/>
  <c r="J1017" i="5"/>
  <c r="L1017" i="5" s="1"/>
  <c r="J1016" i="5"/>
  <c r="L1016" i="5" s="1"/>
  <c r="J1015" i="5"/>
  <c r="L1015" i="5" s="1"/>
  <c r="J1007" i="5"/>
  <c r="L1007" i="5" s="1"/>
  <c r="J1014" i="5"/>
  <c r="L1014" i="5" s="1"/>
  <c r="J1013" i="5"/>
  <c r="J1012" i="5"/>
  <c r="L1012" i="5" s="1"/>
  <c r="J1011" i="5"/>
  <c r="L1011" i="5" s="1"/>
  <c r="J1010" i="5"/>
  <c r="L1010" i="5" s="1"/>
  <c r="J1009" i="5"/>
  <c r="L1009" i="5" s="1"/>
  <c r="J1008" i="5"/>
  <c r="L1008" i="5" s="1"/>
  <c r="J1006" i="5"/>
  <c r="L1006" i="5" s="1"/>
  <c r="J1005" i="5"/>
  <c r="L1005" i="5" s="1"/>
  <c r="J1004" i="5"/>
  <c r="L1004" i="5" s="1"/>
  <c r="J1003" i="5"/>
  <c r="L1003" i="5" s="1"/>
  <c r="J995" i="5"/>
  <c r="L995" i="5" s="1"/>
  <c r="J1002" i="5"/>
  <c r="L1002" i="5" s="1"/>
  <c r="J1001" i="5"/>
  <c r="J993" i="5"/>
  <c r="J1000" i="5"/>
  <c r="L1000" i="5" s="1"/>
  <c r="J999" i="5"/>
  <c r="L999" i="5" s="1"/>
  <c r="J998" i="5"/>
  <c r="L998" i="5" s="1"/>
  <c r="J997" i="5"/>
  <c r="L997" i="5" s="1"/>
  <c r="J996" i="5"/>
  <c r="L996" i="5" s="1"/>
  <c r="J994" i="5"/>
  <c r="L994" i="5" s="1"/>
  <c r="J992" i="5"/>
  <c r="L992" i="5" s="1"/>
  <c r="J991" i="5"/>
  <c r="L991" i="5" s="1"/>
  <c r="J990" i="5"/>
  <c r="L990" i="5" s="1"/>
  <c r="J989" i="5"/>
  <c r="L989" i="5" s="1"/>
  <c r="J988" i="5"/>
  <c r="L988" i="5" s="1"/>
  <c r="J987" i="5"/>
  <c r="L987" i="5" s="1"/>
  <c r="J986" i="5"/>
  <c r="L986" i="5" s="1"/>
  <c r="J985" i="5"/>
  <c r="L985" i="5" s="1"/>
  <c r="J984" i="5"/>
  <c r="L984" i="5" s="1"/>
  <c r="J983" i="5"/>
  <c r="L983" i="5" s="1"/>
  <c r="J982" i="5"/>
  <c r="L982" i="5" s="1"/>
  <c r="J981" i="5"/>
  <c r="L981" i="5" s="1"/>
  <c r="J980" i="5"/>
  <c r="L980" i="5" s="1"/>
  <c r="J979" i="5"/>
  <c r="L979" i="5" s="1"/>
  <c r="J978" i="5"/>
  <c r="L978" i="5" s="1"/>
  <c r="J977" i="5"/>
  <c r="L977" i="5" s="1"/>
  <c r="J976" i="5"/>
  <c r="L976" i="5" s="1"/>
  <c r="J975" i="5"/>
  <c r="L975" i="5" s="1"/>
  <c r="J974" i="5"/>
  <c r="J973" i="5"/>
  <c r="J972" i="5"/>
  <c r="L971" i="5" s="1"/>
  <c r="J971" i="5"/>
  <c r="J970" i="5"/>
  <c r="L970" i="5" s="1"/>
  <c r="J969" i="5"/>
  <c r="L969" i="5" s="1"/>
  <c r="J968" i="5"/>
  <c r="L968" i="5" s="1"/>
  <c r="J967" i="5"/>
  <c r="L967" i="5" s="1"/>
  <c r="J966" i="5"/>
  <c r="L966" i="5" s="1"/>
  <c r="J965" i="5"/>
  <c r="L965" i="5" s="1"/>
  <c r="J961" i="5"/>
  <c r="L961" i="5" s="1"/>
  <c r="J957" i="5"/>
  <c r="L957" i="5" s="1"/>
  <c r="J964" i="5"/>
  <c r="L964" i="5" s="1"/>
  <c r="J963" i="5"/>
  <c r="L963" i="5" s="1"/>
  <c r="J962" i="5"/>
  <c r="L962" i="5" s="1"/>
  <c r="J946" i="5"/>
  <c r="L946" i="5" s="1"/>
  <c r="J960" i="5"/>
  <c r="L960" i="5" s="1"/>
  <c r="J959" i="5"/>
  <c r="L959" i="5" s="1"/>
  <c r="J958" i="5"/>
  <c r="L958" i="5" s="1"/>
  <c r="J956" i="5"/>
  <c r="L956" i="5" s="1"/>
  <c r="J955" i="5"/>
  <c r="L955" i="5" s="1"/>
  <c r="J954" i="5"/>
  <c r="L954" i="5" s="1"/>
  <c r="J953" i="5"/>
  <c r="L953" i="5" s="1"/>
  <c r="J952" i="5"/>
  <c r="L952" i="5" s="1"/>
  <c r="J951" i="5"/>
  <c r="L951" i="5" s="1"/>
  <c r="J950" i="5"/>
  <c r="L950" i="5" s="1"/>
  <c r="J949" i="5"/>
  <c r="L949" i="5" s="1"/>
  <c r="J948" i="5"/>
  <c r="L948" i="5" s="1"/>
  <c r="J947" i="5"/>
  <c r="L947" i="5" s="1"/>
  <c r="J945" i="5"/>
  <c r="L945" i="5" s="1"/>
  <c r="J944" i="5"/>
  <c r="L944" i="5" s="1"/>
  <c r="J943" i="5"/>
  <c r="L943" i="5" s="1"/>
  <c r="J942" i="5"/>
  <c r="L942" i="5" s="1"/>
  <c r="J941" i="5"/>
  <c r="L941" i="5" s="1"/>
  <c r="J911" i="5"/>
  <c r="L911" i="5" s="1"/>
  <c r="J940" i="5"/>
  <c r="L940" i="5" s="1"/>
  <c r="J939" i="5"/>
  <c r="L939" i="5" s="1"/>
  <c r="J938" i="5"/>
  <c r="L938" i="5" s="1"/>
  <c r="J937" i="5"/>
  <c r="L937" i="5" s="1"/>
  <c r="J936" i="5"/>
  <c r="L936" i="5" s="1"/>
  <c r="J935" i="5"/>
  <c r="L935" i="5" s="1"/>
  <c r="J934" i="5"/>
  <c r="L934" i="5" s="1"/>
  <c r="J933" i="5"/>
  <c r="L933" i="5" s="1"/>
  <c r="J932" i="5"/>
  <c r="L932" i="5" s="1"/>
  <c r="J931" i="5"/>
  <c r="L931" i="5" s="1"/>
  <c r="J930" i="5"/>
  <c r="L930" i="5" s="1"/>
  <c r="J929" i="5"/>
  <c r="L929" i="5" s="1"/>
  <c r="J928" i="5"/>
  <c r="L928" i="5" s="1"/>
  <c r="J927" i="5"/>
  <c r="L927" i="5" s="1"/>
  <c r="J926" i="5"/>
  <c r="L926" i="5" s="1"/>
  <c r="J925" i="5"/>
  <c r="L925" i="5" s="1"/>
  <c r="J924" i="5"/>
  <c r="L924" i="5" s="1"/>
  <c r="J923" i="5"/>
  <c r="L923" i="5" s="1"/>
  <c r="J922" i="5"/>
  <c r="L922" i="5" s="1"/>
  <c r="J921" i="5"/>
  <c r="L921" i="5" s="1"/>
  <c r="J920" i="5"/>
  <c r="L920" i="5" s="1"/>
  <c r="J919" i="5"/>
  <c r="L919" i="5" s="1"/>
  <c r="J918" i="5"/>
  <c r="L918" i="5" s="1"/>
  <c r="J917" i="5"/>
  <c r="L917" i="5" s="1"/>
  <c r="J909" i="5"/>
  <c r="L909" i="5" s="1"/>
  <c r="J916" i="5"/>
  <c r="L916" i="5" s="1"/>
  <c r="J915" i="5"/>
  <c r="L915" i="5" s="1"/>
  <c r="J914" i="5"/>
  <c r="L914" i="5" s="1"/>
  <c r="J913" i="5"/>
  <c r="L913" i="5" s="1"/>
  <c r="J912" i="5"/>
  <c r="L912" i="5" s="1"/>
  <c r="J910" i="5"/>
  <c r="L910" i="5" s="1"/>
  <c r="J908" i="5"/>
  <c r="L908" i="5" s="1"/>
  <c r="J907" i="5"/>
  <c r="L907" i="5" s="1"/>
  <c r="J906" i="5"/>
  <c r="L906" i="5" s="1"/>
  <c r="J905" i="5"/>
  <c r="L905" i="5" s="1"/>
  <c r="J904" i="5"/>
  <c r="L904" i="5" s="1"/>
  <c r="J903" i="5"/>
  <c r="L903" i="5" s="1"/>
  <c r="J902" i="5"/>
  <c r="L902" i="5" s="1"/>
  <c r="J901" i="5"/>
  <c r="L901" i="5" s="1"/>
  <c r="J900" i="5"/>
  <c r="L900" i="5" s="1"/>
  <c r="J899" i="5"/>
  <c r="L899" i="5" s="1"/>
  <c r="J898" i="5"/>
  <c r="L898" i="5" s="1"/>
  <c r="J897" i="5"/>
  <c r="L897" i="5" s="1"/>
  <c r="J896" i="5"/>
  <c r="L896" i="5" s="1"/>
  <c r="J895" i="5"/>
  <c r="L895" i="5" s="1"/>
  <c r="J894" i="5"/>
  <c r="L894" i="5" s="1"/>
  <c r="J893" i="5"/>
  <c r="L893" i="5" s="1"/>
  <c r="J892" i="5"/>
  <c r="L892" i="5" s="1"/>
  <c r="J891" i="5"/>
  <c r="L891" i="5" s="1"/>
  <c r="J890" i="5"/>
  <c r="L890" i="5" s="1"/>
  <c r="J889" i="5"/>
  <c r="L889" i="5" s="1"/>
  <c r="J888" i="5"/>
  <c r="L888" i="5" s="1"/>
  <c r="J873" i="5"/>
  <c r="L873" i="5" s="1"/>
  <c r="J874" i="5"/>
  <c r="L874" i="5" s="1"/>
  <c r="J887" i="5"/>
  <c r="L887" i="5" s="1"/>
  <c r="J886" i="5"/>
  <c r="L886" i="5" s="1"/>
  <c r="J885" i="5"/>
  <c r="L885" i="5" s="1"/>
  <c r="J884" i="5"/>
  <c r="L884" i="5" s="1"/>
  <c r="J883" i="5"/>
  <c r="L883" i="5" s="1"/>
  <c r="J882" i="5"/>
  <c r="L882" i="5" s="1"/>
  <c r="J881" i="5"/>
  <c r="L881" i="5" s="1"/>
  <c r="J880" i="5"/>
  <c r="L880" i="5" s="1"/>
  <c r="J879" i="5"/>
  <c r="L879" i="5" s="1"/>
  <c r="J878" i="5"/>
  <c r="J877" i="5"/>
  <c r="L877" i="5" s="1"/>
  <c r="J876" i="5"/>
  <c r="L876" i="5" s="1"/>
  <c r="J875" i="5"/>
  <c r="L875" i="5" s="1"/>
  <c r="J872" i="5"/>
  <c r="L872" i="5" s="1"/>
  <c r="J871" i="5"/>
  <c r="L871" i="5" s="1"/>
  <c r="J870" i="5"/>
  <c r="L870" i="5" s="1"/>
  <c r="J869" i="5"/>
  <c r="L869" i="5" s="1"/>
  <c r="J868" i="5"/>
  <c r="L868" i="5" s="1"/>
  <c r="J867" i="5"/>
  <c r="L867" i="5" s="1"/>
  <c r="J866" i="5"/>
  <c r="L866" i="5" s="1"/>
  <c r="J865" i="5"/>
  <c r="L865" i="5" s="1"/>
  <c r="J864" i="5"/>
  <c r="L864" i="5" s="1"/>
  <c r="J863" i="5"/>
  <c r="L863" i="5" s="1"/>
  <c r="J862" i="5"/>
  <c r="L862" i="5" s="1"/>
  <c r="J861" i="5"/>
  <c r="L861" i="5" s="1"/>
  <c r="J860" i="5"/>
  <c r="L860" i="5" s="1"/>
  <c r="J859" i="5"/>
  <c r="L859" i="5" s="1"/>
  <c r="J858" i="5"/>
  <c r="L858" i="5" s="1"/>
  <c r="J857" i="5"/>
  <c r="L857" i="5" s="1"/>
  <c r="J848" i="5"/>
  <c r="L848" i="5" s="1"/>
  <c r="J849" i="5"/>
  <c r="L849" i="5" s="1"/>
  <c r="J856" i="5"/>
  <c r="L856" i="5" s="1"/>
  <c r="J855" i="5"/>
  <c r="L855" i="5" s="1"/>
  <c r="J854" i="5"/>
  <c r="L854" i="5" s="1"/>
  <c r="J853" i="5"/>
  <c r="L853" i="5" s="1"/>
  <c r="J843" i="5"/>
  <c r="L843" i="5" s="1"/>
  <c r="J842" i="5"/>
  <c r="L842" i="5" s="1"/>
  <c r="J852" i="5"/>
  <c r="L852" i="5" s="1"/>
  <c r="J851" i="5"/>
  <c r="L851" i="5" s="1"/>
  <c r="J850" i="5"/>
  <c r="L850" i="5" s="1"/>
  <c r="J847" i="5"/>
  <c r="L847" i="5" s="1"/>
  <c r="J846" i="5"/>
  <c r="L846" i="5" s="1"/>
  <c r="J845" i="5"/>
  <c r="L845" i="5" s="1"/>
  <c r="J844" i="5"/>
  <c r="L844" i="5" s="1"/>
  <c r="J841" i="5"/>
  <c r="L841" i="5" s="1"/>
  <c r="J840" i="5"/>
  <c r="L840" i="5" s="1"/>
  <c r="J839" i="5"/>
  <c r="L839" i="5" s="1"/>
  <c r="J838" i="5"/>
  <c r="L838" i="5" s="1"/>
  <c r="J837" i="5"/>
  <c r="L837" i="5" s="1"/>
  <c r="J836" i="5"/>
  <c r="L836" i="5" s="1"/>
  <c r="J835" i="5"/>
  <c r="L835" i="5" s="1"/>
  <c r="J834" i="5"/>
  <c r="L834" i="5" s="1"/>
  <c r="J833" i="5"/>
  <c r="L833" i="5" s="1"/>
  <c r="J832" i="5"/>
  <c r="L832" i="5" s="1"/>
  <c r="J831" i="5"/>
  <c r="L831" i="5" s="1"/>
  <c r="J570" i="5"/>
  <c r="J546" i="5"/>
  <c r="J346" i="5"/>
  <c r="J328" i="5"/>
  <c r="J284" i="5"/>
  <c r="J161" i="5"/>
  <c r="J145" i="5"/>
  <c r="J792" i="5"/>
  <c r="J790" i="5"/>
  <c r="L790" i="5" s="1"/>
  <c r="J782" i="5"/>
  <c r="J783" i="5"/>
  <c r="L783" i="5" s="1"/>
  <c r="J781" i="5"/>
  <c r="J771" i="5"/>
  <c r="L771" i="5" s="1"/>
  <c r="J761" i="5"/>
  <c r="L761" i="5" s="1"/>
  <c r="J753" i="5"/>
  <c r="L753" i="5" s="1"/>
  <c r="J762" i="5"/>
  <c r="L762" i="5" s="1"/>
  <c r="J755" i="5"/>
  <c r="L755" i="5" s="1"/>
  <c r="J740" i="5"/>
  <c r="J742" i="5"/>
  <c r="L742" i="5" s="1"/>
  <c r="J741" i="5"/>
  <c r="L741" i="5" s="1"/>
  <c r="J730" i="5"/>
  <c r="J728" i="5"/>
  <c r="L728" i="5" s="1"/>
  <c r="J720" i="5"/>
  <c r="L720" i="5" s="1"/>
  <c r="J717" i="5"/>
  <c r="J718" i="5"/>
  <c r="L718" i="5" s="1"/>
  <c r="J710" i="5"/>
  <c r="L710" i="5" s="1"/>
  <c r="J705" i="5"/>
  <c r="L705" i="5" s="1"/>
  <c r="J699" i="5"/>
  <c r="L699" i="5" s="1"/>
  <c r="J698" i="5"/>
  <c r="L698" i="5" s="1"/>
  <c r="J689" i="5"/>
  <c r="L689" i="5" s="1"/>
  <c r="J692" i="5"/>
  <c r="L692" i="5" s="1"/>
  <c r="J687" i="5"/>
  <c r="L687" i="5" s="1"/>
  <c r="J830" i="5"/>
  <c r="L830" i="5" s="1"/>
  <c r="J829" i="5"/>
  <c r="L829" i="5" s="1"/>
  <c r="J828" i="5"/>
  <c r="L828" i="5" s="1"/>
  <c r="J827" i="5"/>
  <c r="L827" i="5" s="1"/>
  <c r="J826" i="5"/>
  <c r="L826" i="5" s="1"/>
  <c r="J825" i="5"/>
  <c r="L825" i="5" s="1"/>
  <c r="J824" i="5"/>
  <c r="L824" i="5" s="1"/>
  <c r="J822" i="5"/>
  <c r="L822" i="5" s="1"/>
  <c r="J821" i="5"/>
  <c r="L821" i="5" s="1"/>
  <c r="J820" i="5"/>
  <c r="L820" i="5" s="1"/>
  <c r="J819" i="5"/>
  <c r="L819" i="5" s="1"/>
  <c r="J818" i="5"/>
  <c r="L818" i="5" s="1"/>
  <c r="J817" i="5"/>
  <c r="L817" i="5" s="1"/>
  <c r="J816" i="5"/>
  <c r="L816" i="5" s="1"/>
  <c r="J815" i="5"/>
  <c r="J814" i="5"/>
  <c r="L814" i="5" s="1"/>
  <c r="J813" i="5"/>
  <c r="L813" i="5" s="1"/>
  <c r="J812" i="5"/>
  <c r="J811" i="5"/>
  <c r="L811" i="5" s="1"/>
  <c r="J810" i="5"/>
  <c r="L810" i="5" s="1"/>
  <c r="J809" i="5"/>
  <c r="L809" i="5" s="1"/>
  <c r="J808" i="5"/>
  <c r="L808" i="5" s="1"/>
  <c r="J807" i="5"/>
  <c r="L807" i="5" s="1"/>
  <c r="J806" i="5"/>
  <c r="L806" i="5" s="1"/>
  <c r="J805" i="5"/>
  <c r="L805" i="5" s="1"/>
  <c r="J804" i="5"/>
  <c r="J803" i="5"/>
  <c r="L803" i="5" s="1"/>
  <c r="J802" i="5"/>
  <c r="L802" i="5" s="1"/>
  <c r="J801" i="5"/>
  <c r="L801" i="5" s="1"/>
  <c r="J800" i="5"/>
  <c r="J799" i="5"/>
  <c r="J798" i="5"/>
  <c r="J797" i="5"/>
  <c r="J796" i="5"/>
  <c r="L796" i="5" s="1"/>
  <c r="J795" i="5"/>
  <c r="L795" i="5" s="1"/>
  <c r="J794" i="5"/>
  <c r="J793" i="5"/>
  <c r="J791" i="5"/>
  <c r="J789" i="5"/>
  <c r="L789" i="5" s="1"/>
  <c r="J788" i="5"/>
  <c r="J787" i="5"/>
  <c r="L787" i="5" s="1"/>
  <c r="J786" i="5"/>
  <c r="L786" i="5" s="1"/>
  <c r="J785" i="5"/>
  <c r="L785" i="5" s="1"/>
  <c r="J784" i="5"/>
  <c r="L784" i="5" s="1"/>
  <c r="J780" i="5"/>
  <c r="J779" i="5"/>
  <c r="L779" i="5" s="1"/>
  <c r="J778" i="5"/>
  <c r="L778" i="5" s="1"/>
  <c r="J777" i="5"/>
  <c r="J776" i="5"/>
  <c r="L776" i="5" s="1"/>
  <c r="J775" i="5"/>
  <c r="L775" i="5" s="1"/>
  <c r="J774" i="5"/>
  <c r="J773" i="5"/>
  <c r="J772" i="5"/>
  <c r="L772" i="5" s="1"/>
  <c r="J770" i="5"/>
  <c r="J769" i="5"/>
  <c r="J768" i="5"/>
  <c r="L768" i="5" s="1"/>
  <c r="J767" i="5"/>
  <c r="J766" i="5"/>
  <c r="J765" i="5"/>
  <c r="L765" i="5" s="1"/>
  <c r="J764" i="5"/>
  <c r="J763" i="5"/>
  <c r="J760" i="5"/>
  <c r="L760" i="5" s="1"/>
  <c r="J759" i="5"/>
  <c r="J758" i="5"/>
  <c r="J757" i="5"/>
  <c r="J756" i="5"/>
  <c r="L756" i="5" s="1"/>
  <c r="J754" i="5"/>
  <c r="J752" i="5"/>
  <c r="L752" i="5" s="1"/>
  <c r="J751" i="5"/>
  <c r="L751" i="5" s="1"/>
  <c r="J750" i="5"/>
  <c r="L750" i="5" s="1"/>
  <c r="J749" i="5"/>
  <c r="L749" i="5" s="1"/>
  <c r="J748" i="5"/>
  <c r="L748" i="5" s="1"/>
  <c r="J747" i="5"/>
  <c r="L747" i="5" s="1"/>
  <c r="J746" i="5"/>
  <c r="J745" i="5"/>
  <c r="L745" i="5" s="1"/>
  <c r="J744" i="5"/>
  <c r="J743" i="5"/>
  <c r="L743" i="5" s="1"/>
  <c r="J739" i="5"/>
  <c r="J738" i="5"/>
  <c r="J737" i="5"/>
  <c r="L737" i="5" s="1"/>
  <c r="J736" i="5"/>
  <c r="J735" i="5"/>
  <c r="L735" i="5" s="1"/>
  <c r="J734" i="5"/>
  <c r="J733" i="5"/>
  <c r="J732" i="5"/>
  <c r="J731" i="5"/>
  <c r="J729" i="5"/>
  <c r="J727" i="5"/>
  <c r="L727" i="5" s="1"/>
  <c r="J726" i="5"/>
  <c r="L726" i="5" s="1"/>
  <c r="J725" i="5"/>
  <c r="L725" i="5" s="1"/>
  <c r="J724" i="5"/>
  <c r="L724" i="5" s="1"/>
  <c r="J723" i="5"/>
  <c r="L723" i="5" s="1"/>
  <c r="J722" i="5"/>
  <c r="L722" i="5" s="1"/>
  <c r="J721" i="5"/>
  <c r="L721" i="5" s="1"/>
  <c r="J719" i="5"/>
  <c r="L719" i="5" s="1"/>
  <c r="J716" i="5"/>
  <c r="L716" i="5" s="1"/>
  <c r="J715" i="5"/>
  <c r="L715" i="5" s="1"/>
  <c r="J714" i="5"/>
  <c r="L714" i="5" s="1"/>
  <c r="J713" i="5"/>
  <c r="L713" i="5" s="1"/>
  <c r="J712" i="5"/>
  <c r="J711" i="5"/>
  <c r="J709" i="5"/>
  <c r="J708" i="5"/>
  <c r="L708" i="5" s="1"/>
  <c r="J707" i="5"/>
  <c r="L707" i="5" s="1"/>
  <c r="J706" i="5"/>
  <c r="J704" i="5"/>
  <c r="J703" i="5"/>
  <c r="L703" i="5" s="1"/>
  <c r="J702" i="5"/>
  <c r="L702" i="5" s="1"/>
  <c r="J701" i="5"/>
  <c r="L701" i="5" s="1"/>
  <c r="J700" i="5"/>
  <c r="L700" i="5" s="1"/>
  <c r="J697" i="5"/>
  <c r="J696" i="5"/>
  <c r="J695" i="5"/>
  <c r="J694" i="5"/>
  <c r="J693" i="5"/>
  <c r="J691" i="5"/>
  <c r="L691" i="5" s="1"/>
  <c r="J690" i="5"/>
  <c r="L690" i="5" s="1"/>
  <c r="J688" i="5"/>
  <c r="J686" i="5"/>
  <c r="J685" i="5"/>
  <c r="L685" i="5" s="1"/>
  <c r="J684" i="5"/>
  <c r="J683" i="5"/>
  <c r="J682" i="5"/>
  <c r="L682" i="5" s="1"/>
  <c r="J681" i="5"/>
  <c r="L681" i="5" s="1"/>
  <c r="J680" i="5"/>
  <c r="L680" i="5" s="1"/>
  <c r="J679" i="5"/>
  <c r="L679" i="5" s="1"/>
  <c r="J678" i="5"/>
  <c r="L678" i="5" s="1"/>
  <c r="J677" i="5"/>
  <c r="J676" i="5"/>
  <c r="L676" i="5" s="1"/>
  <c r="J675" i="5"/>
  <c r="L675" i="5" s="1"/>
  <c r="J674" i="5"/>
  <c r="L674" i="5" s="1"/>
  <c r="J673" i="5"/>
  <c r="L673" i="5" s="1"/>
  <c r="J672" i="5"/>
  <c r="J671" i="5"/>
  <c r="L671" i="5" s="1"/>
  <c r="J670" i="5"/>
  <c r="L670" i="5" s="1"/>
  <c r="J669" i="5"/>
  <c r="L669" i="5" s="1"/>
  <c r="J668" i="5"/>
  <c r="L668" i="5" s="1"/>
  <c r="J667" i="5"/>
  <c r="L667" i="5" s="1"/>
  <c r="J666" i="5"/>
  <c r="J665" i="5"/>
  <c r="J664" i="5"/>
  <c r="J663" i="5"/>
  <c r="L663" i="5" s="1"/>
  <c r="J662" i="5"/>
  <c r="L662" i="5" s="1"/>
  <c r="J661" i="5"/>
  <c r="L661" i="5" s="1"/>
  <c r="J660" i="5"/>
  <c r="L660" i="5" s="1"/>
  <c r="J659" i="5"/>
  <c r="L659" i="5" s="1"/>
  <c r="J658" i="5"/>
  <c r="L658" i="5" s="1"/>
  <c r="J657" i="5"/>
  <c r="L657" i="5" s="1"/>
  <c r="J656" i="5"/>
  <c r="L665" i="5" s="1"/>
  <c r="J655" i="5"/>
  <c r="L664" i="5" s="1"/>
  <c r="J654" i="5"/>
  <c r="J653" i="5"/>
  <c r="L653" i="5" s="1"/>
  <c r="J652" i="5"/>
  <c r="J651" i="5"/>
  <c r="J650" i="5"/>
  <c r="L650" i="5" s="1"/>
  <c r="J649" i="5"/>
  <c r="L649" i="5" s="1"/>
  <c r="J648" i="5"/>
  <c r="L648" i="5" s="1"/>
  <c r="J647" i="5"/>
  <c r="L647" i="5" s="1"/>
  <c r="J646" i="5"/>
  <c r="J645" i="5"/>
  <c r="J644" i="5"/>
  <c r="L644" i="5" s="1"/>
  <c r="J643" i="5"/>
  <c r="L643" i="5" s="1"/>
  <c r="J642" i="5"/>
  <c r="L642" i="5" s="1"/>
  <c r="J641" i="5"/>
  <c r="L641" i="5" s="1"/>
  <c r="J640" i="5"/>
  <c r="L640" i="5" s="1"/>
  <c r="J639" i="5"/>
  <c r="L639" i="5" s="1"/>
  <c r="J638" i="5"/>
  <c r="L638" i="5" s="1"/>
  <c r="J637" i="5"/>
  <c r="L637" i="5" s="1"/>
  <c r="J636" i="5"/>
  <c r="J635" i="5"/>
  <c r="L635" i="5" s="1"/>
  <c r="J634" i="5"/>
  <c r="J633" i="5"/>
  <c r="L633" i="5" s="1"/>
  <c r="J632" i="5"/>
  <c r="L632" i="5" s="1"/>
  <c r="J631" i="5"/>
  <c r="L631" i="5" s="1"/>
  <c r="J630" i="5"/>
  <c r="J629" i="5"/>
  <c r="L629" i="5" s="1"/>
  <c r="J628" i="5"/>
  <c r="L628" i="5" s="1"/>
  <c r="J627" i="5"/>
  <c r="L627" i="5" s="1"/>
  <c r="J626" i="5"/>
  <c r="L626" i="5" s="1"/>
  <c r="J625" i="5"/>
  <c r="L625" i="5" s="1"/>
  <c r="J624" i="5"/>
  <c r="L624" i="5" s="1"/>
  <c r="J623" i="5"/>
  <c r="L623" i="5" s="1"/>
  <c r="J622" i="5"/>
  <c r="J621" i="5"/>
  <c r="L621" i="5" s="1"/>
  <c r="J620" i="5"/>
  <c r="L620" i="5" s="1"/>
  <c r="J619" i="5"/>
  <c r="J618" i="5"/>
  <c r="L618" i="5" s="1"/>
  <c r="J617" i="5"/>
  <c r="L617" i="5" s="1"/>
  <c r="J616" i="5"/>
  <c r="J615" i="5"/>
  <c r="J614" i="5"/>
  <c r="J613" i="5"/>
  <c r="J612" i="5"/>
  <c r="J611" i="5"/>
  <c r="J610" i="5"/>
  <c r="J609" i="5"/>
  <c r="J608" i="5"/>
  <c r="J607" i="5"/>
  <c r="J606" i="5"/>
  <c r="J605" i="5"/>
  <c r="J604" i="5"/>
  <c r="L604" i="5" s="1"/>
  <c r="J603" i="5"/>
  <c r="J602" i="5"/>
  <c r="J601" i="5"/>
  <c r="J600" i="5"/>
  <c r="J599" i="5"/>
  <c r="J598" i="5"/>
  <c r="J597" i="5"/>
  <c r="J596" i="5"/>
  <c r="J595" i="5"/>
  <c r="J594" i="5"/>
  <c r="J593" i="5"/>
  <c r="J592" i="5"/>
  <c r="J591" i="5"/>
  <c r="J590" i="5"/>
  <c r="J589" i="5"/>
  <c r="J588" i="5"/>
  <c r="J587" i="5"/>
  <c r="J823" i="5"/>
  <c r="L823" i="5" s="1"/>
  <c r="J531" i="5"/>
  <c r="L531" i="5" s="1"/>
  <c r="J357" i="5"/>
  <c r="J83" i="5"/>
  <c r="L83" i="5" s="1"/>
  <c r="J164" i="5"/>
  <c r="L164" i="5" s="1"/>
  <c r="L656" i="5" l="1"/>
  <c r="L688" i="5"/>
  <c r="L683" i="5"/>
  <c r="L696" i="5"/>
  <c r="L652" i="5"/>
  <c r="L686" i="5"/>
  <c r="L684" i="5"/>
  <c r="L634" i="5"/>
  <c r="L615" i="5"/>
  <c r="L614" i="5"/>
  <c r="L613" i="5"/>
  <c r="L612" i="5"/>
  <c r="L603" i="5"/>
  <c r="L602" i="5"/>
  <c r="L596" i="5"/>
  <c r="L609" i="5"/>
  <c r="L608" i="5"/>
  <c r="L607" i="5"/>
  <c r="L606" i="5"/>
  <c r="L601" i="5"/>
  <c r="L599" i="5"/>
  <c r="L597" i="5"/>
  <c r="L595" i="5"/>
  <c r="L594" i="5"/>
  <c r="L593" i="5"/>
  <c r="L592" i="5"/>
  <c r="L589" i="5"/>
  <c r="L588" i="5"/>
  <c r="L587" i="5"/>
  <c r="L586" i="5"/>
  <c r="L585" i="5"/>
  <c r="J584" i="5"/>
  <c r="L584" i="5" s="1"/>
  <c r="J583" i="5"/>
  <c r="L583" i="5" s="1"/>
  <c r="J582" i="5"/>
  <c r="L582" i="5" s="1"/>
  <c r="L581" i="5"/>
  <c r="J580" i="5"/>
  <c r="L580" i="5" s="1"/>
  <c r="J579" i="5"/>
  <c r="L579" i="5" s="1"/>
  <c r="L578" i="5"/>
  <c r="J577" i="5"/>
  <c r="L577" i="5" s="1"/>
  <c r="J576" i="5"/>
  <c r="L576" i="5" s="1"/>
  <c r="J575" i="5"/>
  <c r="J574" i="5"/>
  <c r="L574" i="5" s="1"/>
  <c r="J572" i="5"/>
  <c r="L572" i="5" s="1"/>
  <c r="L571" i="5"/>
  <c r="L570" i="5"/>
  <c r="J569" i="5"/>
  <c r="L569" i="5" s="1"/>
  <c r="J568" i="5"/>
  <c r="L568" i="5" s="1"/>
  <c r="J565" i="5"/>
  <c r="L565" i="5" s="1"/>
  <c r="J564" i="5"/>
  <c r="J563" i="5"/>
  <c r="L563" i="5" s="1"/>
  <c r="J562" i="5"/>
  <c r="L562" i="5" s="1"/>
  <c r="J561" i="5"/>
  <c r="L561" i="5" s="1"/>
  <c r="J560" i="5"/>
  <c r="L560" i="5" s="1"/>
  <c r="J559" i="5"/>
  <c r="L559" i="5" s="1"/>
  <c r="J484" i="5"/>
  <c r="L484" i="5" s="1"/>
  <c r="J558" i="5"/>
  <c r="J557" i="5"/>
  <c r="L557" i="5" s="1"/>
  <c r="J556" i="5"/>
  <c r="J552" i="5"/>
  <c r="L552" i="5" s="1"/>
  <c r="J551" i="5"/>
  <c r="L551" i="5" s="1"/>
  <c r="L549" i="5"/>
  <c r="J547" i="5"/>
  <c r="L547" i="5" s="1"/>
  <c r="L546" i="5"/>
  <c r="J530" i="5"/>
  <c r="L530" i="5" s="1"/>
  <c r="J545" i="5"/>
  <c r="J544" i="5"/>
  <c r="L544" i="5" s="1"/>
  <c r="J543" i="5"/>
  <c r="L543" i="5" s="1"/>
  <c r="J542" i="5"/>
  <c r="L542" i="5" s="1"/>
  <c r="J541" i="5"/>
  <c r="L541" i="5" s="1"/>
  <c r="J540" i="5"/>
  <c r="L540" i="5" s="1"/>
  <c r="J539" i="5"/>
  <c r="J538" i="5"/>
  <c r="L538" i="5" s="1"/>
  <c r="J537" i="5"/>
  <c r="J534" i="5"/>
  <c r="L534" i="5" s="1"/>
  <c r="J533" i="5"/>
  <c r="L533" i="5" s="1"/>
  <c r="J532" i="5"/>
  <c r="L532" i="5" s="1"/>
  <c r="J529" i="5"/>
  <c r="L529" i="5" s="1"/>
  <c r="L513" i="5"/>
  <c r="L511" i="5"/>
  <c r="J527" i="5"/>
  <c r="J526" i="5"/>
  <c r="L526" i="5" s="1"/>
  <c r="J525" i="5"/>
  <c r="L525" i="5" s="1"/>
  <c r="J524" i="5"/>
  <c r="L524" i="5" s="1"/>
  <c r="L523" i="5"/>
  <c r="J521" i="5"/>
  <c r="L521" i="5" s="1"/>
  <c r="L519" i="5"/>
  <c r="L516" i="5"/>
  <c r="L515" i="5"/>
  <c r="L510" i="5"/>
  <c r="L509" i="5"/>
  <c r="J508" i="5"/>
  <c r="L508" i="5" s="1"/>
  <c r="J507" i="5"/>
  <c r="L507" i="5" s="1"/>
  <c r="J506" i="5"/>
  <c r="L506" i="5" s="1"/>
  <c r="J505" i="5"/>
  <c r="L505" i="5" s="1"/>
  <c r="J504" i="5"/>
  <c r="L504" i="5" s="1"/>
  <c r="J503" i="5"/>
  <c r="L503" i="5" s="1"/>
  <c r="J502" i="5"/>
  <c r="L502" i="5" s="1"/>
  <c r="L501" i="5"/>
  <c r="J500" i="5"/>
  <c r="L500" i="5" s="1"/>
  <c r="J499" i="5"/>
  <c r="L499" i="5" s="1"/>
  <c r="J498" i="5"/>
  <c r="L498" i="5" s="1"/>
  <c r="L497" i="5"/>
  <c r="J495" i="5"/>
  <c r="L495" i="5" s="1"/>
  <c r="J496" i="5"/>
  <c r="L496" i="5" s="1"/>
  <c r="J488" i="5"/>
  <c r="L488" i="5" s="1"/>
  <c r="J483" i="5"/>
  <c r="L483" i="5" s="1"/>
  <c r="J487" i="5"/>
  <c r="L487" i="5" s="1"/>
  <c r="J490" i="5"/>
  <c r="L490" i="5" s="1"/>
  <c r="J485" i="5"/>
  <c r="L485" i="5" s="1"/>
  <c r="J482" i="5"/>
  <c r="L482" i="5" s="1"/>
  <c r="J486" i="5"/>
  <c r="L486" i="5" s="1"/>
  <c r="L494" i="5"/>
  <c r="J493" i="5"/>
  <c r="L493" i="5" s="1"/>
  <c r="J492" i="5"/>
  <c r="L492" i="5" s="1"/>
  <c r="J491" i="5"/>
  <c r="L491" i="5" s="1"/>
  <c r="L489" i="5"/>
  <c r="J481" i="5"/>
  <c r="L481" i="5" s="1"/>
  <c r="J480" i="5"/>
  <c r="L480" i="5" s="1"/>
  <c r="J472" i="5"/>
  <c r="L472" i="5" s="1"/>
  <c r="L473" i="5"/>
  <c r="L466" i="5"/>
  <c r="L465" i="5"/>
  <c r="L460" i="5"/>
  <c r="L461" i="5"/>
  <c r="J479" i="5"/>
  <c r="L479" i="5" s="1"/>
  <c r="J478" i="5"/>
  <c r="L478" i="5" s="1"/>
  <c r="J477" i="5"/>
  <c r="L477" i="5" s="1"/>
  <c r="J476" i="5"/>
  <c r="L476" i="5" s="1"/>
  <c r="J475" i="5"/>
  <c r="L475" i="5" s="1"/>
  <c r="J474" i="5"/>
  <c r="L474" i="5" s="1"/>
  <c r="J471" i="5"/>
  <c r="L471" i="5" s="1"/>
  <c r="J462" i="5"/>
  <c r="L462" i="5" s="1"/>
  <c r="J470" i="5"/>
  <c r="L470" i="5" s="1"/>
  <c r="J469" i="5"/>
  <c r="L469" i="5" s="1"/>
  <c r="J468" i="5"/>
  <c r="L468" i="5" s="1"/>
  <c r="L467" i="5"/>
  <c r="L463" i="5"/>
  <c r="J464" i="5"/>
  <c r="L464" i="5" s="1"/>
  <c r="J459" i="5"/>
  <c r="L459" i="5" s="1"/>
  <c r="J458" i="5"/>
  <c r="L458" i="5" s="1"/>
  <c r="L447" i="5"/>
  <c r="L457" i="5"/>
  <c r="J450" i="5"/>
  <c r="L450" i="5" s="1"/>
  <c r="L451" i="5"/>
  <c r="L456" i="5"/>
  <c r="J455" i="5"/>
  <c r="L455" i="5" s="1"/>
  <c r="L453" i="5"/>
  <c r="L446" i="5"/>
  <c r="J452" i="5"/>
  <c r="L452" i="5" s="1"/>
  <c r="J449" i="5"/>
  <c r="L449" i="5" s="1"/>
  <c r="J448" i="5"/>
  <c r="L448" i="5" s="1"/>
  <c r="J445" i="5"/>
  <c r="L445" i="5" s="1"/>
  <c r="L444" i="5"/>
  <c r="L441" i="5"/>
  <c r="L428" i="5"/>
  <c r="L419" i="5"/>
  <c r="L415" i="5"/>
  <c r="L409" i="5"/>
  <c r="L402" i="5"/>
  <c r="L400" i="5"/>
  <c r="L399" i="5"/>
  <c r="L390" i="5"/>
  <c r="L385" i="5"/>
  <c r="L377" i="5"/>
  <c r="L369" i="5"/>
  <c r="L366" i="5"/>
  <c r="L343" i="5"/>
  <c r="L335" i="5"/>
  <c r="L334" i="5"/>
  <c r="L333" i="5"/>
  <c r="L331" i="5"/>
  <c r="J443" i="5"/>
  <c r="L443" i="5" s="1"/>
  <c r="J442" i="5"/>
  <c r="L442" i="5" s="1"/>
  <c r="J440" i="5"/>
  <c r="L440" i="5" s="1"/>
  <c r="J414" i="5"/>
  <c r="L414" i="5" s="1"/>
  <c r="J439" i="5"/>
  <c r="L439" i="5" s="1"/>
  <c r="J438" i="5"/>
  <c r="L438" i="5" s="1"/>
  <c r="J434" i="5"/>
  <c r="L434" i="5" s="1"/>
  <c r="J437" i="5"/>
  <c r="L437" i="5" s="1"/>
  <c r="J436" i="5"/>
  <c r="L436" i="5" s="1"/>
  <c r="J435" i="5"/>
  <c r="L435" i="5" s="1"/>
  <c r="J433" i="5"/>
  <c r="L433" i="5" s="1"/>
  <c r="J432" i="5"/>
  <c r="L432" i="5" s="1"/>
  <c r="J431" i="5"/>
  <c r="L431" i="5" s="1"/>
  <c r="J430" i="5"/>
  <c r="L430" i="5" s="1"/>
  <c r="J429" i="5"/>
  <c r="L429" i="5" s="1"/>
  <c r="J427" i="5"/>
  <c r="L427" i="5" s="1"/>
  <c r="J426" i="5"/>
  <c r="L426" i="5" s="1"/>
  <c r="J425" i="5"/>
  <c r="L425" i="5" s="1"/>
  <c r="J424" i="5"/>
  <c r="L424" i="5" s="1"/>
  <c r="J423" i="5"/>
  <c r="L423" i="5" s="1"/>
  <c r="J422" i="5"/>
  <c r="L422" i="5" s="1"/>
  <c r="J421" i="5"/>
  <c r="L421" i="5" s="1"/>
  <c r="J420" i="5"/>
  <c r="L420" i="5" s="1"/>
  <c r="J418" i="5"/>
  <c r="L418" i="5" s="1"/>
  <c r="J417" i="5"/>
  <c r="L417" i="5" s="1"/>
  <c r="J48" i="5"/>
  <c r="J49" i="5"/>
  <c r="L49" i="5" s="1"/>
  <c r="J163" i="5"/>
  <c r="L163" i="5" s="1"/>
  <c r="J360" i="5"/>
  <c r="L360" i="5" s="1"/>
  <c r="J412" i="5"/>
  <c r="L412" i="5" s="1"/>
  <c r="J408" i="5"/>
  <c r="L408" i="5" s="1"/>
  <c r="J416" i="5"/>
  <c r="L416" i="5" s="1"/>
  <c r="J413" i="5"/>
  <c r="L413" i="5" s="1"/>
  <c r="J411" i="5"/>
  <c r="L411" i="5" s="1"/>
  <c r="J410" i="5"/>
  <c r="L410" i="5" s="1"/>
  <c r="J407" i="5"/>
  <c r="L407" i="5" s="1"/>
  <c r="J401" i="5"/>
  <c r="L401" i="5" s="1"/>
  <c r="J406" i="5"/>
  <c r="L406" i="5" s="1"/>
  <c r="J405" i="5"/>
  <c r="L405" i="5" s="1"/>
  <c r="J404" i="5"/>
  <c r="L404" i="5" s="1"/>
  <c r="J403" i="5"/>
  <c r="L403" i="5" s="1"/>
  <c r="J398" i="5"/>
  <c r="L398" i="5" s="1"/>
  <c r="J397" i="5"/>
  <c r="L397" i="5" s="1"/>
  <c r="J396" i="5"/>
  <c r="L396" i="5" s="1"/>
  <c r="J395" i="5"/>
  <c r="L395" i="5" s="1"/>
  <c r="J394" i="5"/>
  <c r="L394" i="5" s="1"/>
  <c r="J393" i="5"/>
  <c r="L393" i="5" s="1"/>
  <c r="J392" i="5"/>
  <c r="L392" i="5" s="1"/>
  <c r="J391" i="5"/>
  <c r="L391" i="5" s="1"/>
  <c r="J389" i="5"/>
  <c r="L389" i="5" s="1"/>
  <c r="J388" i="5"/>
  <c r="L388" i="5" s="1"/>
  <c r="J387" i="5"/>
  <c r="L387" i="5" s="1"/>
  <c r="J386" i="5"/>
  <c r="L386" i="5" s="1"/>
  <c r="J384" i="5"/>
  <c r="L384" i="5" s="1"/>
  <c r="J383" i="5"/>
  <c r="L383" i="5" s="1"/>
  <c r="J382" i="5"/>
  <c r="L382" i="5" s="1"/>
  <c r="J372" i="5"/>
  <c r="L372" i="5" s="1"/>
  <c r="J373" i="5"/>
  <c r="L373" i="5" s="1"/>
  <c r="J368" i="5"/>
  <c r="L368" i="5" s="1"/>
  <c r="J365" i="5"/>
  <c r="L365" i="5" s="1"/>
  <c r="J364" i="5"/>
  <c r="L364" i="5" s="1"/>
  <c r="J363" i="5"/>
  <c r="L363" i="5" s="1"/>
  <c r="J381" i="5"/>
  <c r="L381" i="5" s="1"/>
  <c r="J380" i="5"/>
  <c r="L380" i="5" s="1"/>
  <c r="J379" i="5"/>
  <c r="L379" i="5" s="1"/>
  <c r="J378" i="5"/>
  <c r="L378" i="5" s="1"/>
  <c r="J376" i="5"/>
  <c r="L376" i="5" s="1"/>
  <c r="J375" i="5"/>
  <c r="L375" i="5" s="1"/>
  <c r="J374" i="5"/>
  <c r="L374" i="5" s="1"/>
  <c r="J371" i="5"/>
  <c r="L371" i="5" s="1"/>
  <c r="J370" i="5"/>
  <c r="L370" i="5" s="1"/>
  <c r="J367" i="5"/>
  <c r="L367" i="5" s="1"/>
  <c r="J361" i="5"/>
  <c r="L361" i="5" s="1"/>
  <c r="J359" i="5"/>
  <c r="L359" i="5" s="1"/>
  <c r="J358" i="5"/>
  <c r="L358" i="5" s="1"/>
  <c r="J362" i="5"/>
  <c r="L362" i="5" s="1"/>
  <c r="J356" i="5"/>
  <c r="L356" i="5" s="1"/>
  <c r="J355" i="5"/>
  <c r="L355" i="5" s="1"/>
  <c r="J354" i="5"/>
  <c r="L354" i="5" s="1"/>
  <c r="J351" i="5"/>
  <c r="L351" i="5" s="1"/>
  <c r="J352" i="5"/>
  <c r="L352" i="5" s="1"/>
  <c r="J353" i="5"/>
  <c r="L353" i="5" s="1"/>
  <c r="J344" i="5"/>
  <c r="L344" i="5" s="1"/>
  <c r="J350" i="5"/>
  <c r="L350" i="5" s="1"/>
  <c r="J339" i="5"/>
  <c r="L339" i="5" s="1"/>
  <c r="J349" i="5" l="1"/>
  <c r="L349" i="5" s="1"/>
  <c r="J348" i="5"/>
  <c r="L348" i="5" s="1"/>
  <c r="J347" i="5"/>
  <c r="L346" i="5"/>
  <c r="J345" i="5"/>
  <c r="L345" i="5" s="1"/>
  <c r="J342" i="5"/>
  <c r="L342" i="5" s="1"/>
  <c r="J341" i="5"/>
  <c r="L341" i="5" s="1"/>
  <c r="J340" i="5"/>
  <c r="L340" i="5" s="1"/>
  <c r="J338" i="5"/>
  <c r="L338" i="5" s="1"/>
  <c r="J337" i="5"/>
  <c r="L337" i="5" s="1"/>
  <c r="J336" i="5"/>
  <c r="L336" i="5" s="1"/>
  <c r="J332" i="5"/>
  <c r="L332" i="5" s="1"/>
  <c r="J330" i="5"/>
  <c r="L330" i="5" s="1"/>
  <c r="J329" i="5"/>
  <c r="L329" i="5" s="1"/>
  <c r="L328" i="5"/>
  <c r="J324" i="5"/>
  <c r="L324" i="5" s="1"/>
  <c r="J323" i="5"/>
  <c r="J322" i="5"/>
  <c r="L322" i="5" s="1"/>
  <c r="J320" i="5"/>
  <c r="L320" i="5" s="1"/>
  <c r="J319" i="5"/>
  <c r="L319" i="5" s="1"/>
  <c r="J317" i="5"/>
  <c r="J315" i="5"/>
  <c r="L315" i="5" s="1"/>
  <c r="J314" i="5"/>
  <c r="L314" i="5" s="1"/>
  <c r="J309" i="5"/>
  <c r="L309" i="5" s="1"/>
  <c r="J308" i="5"/>
  <c r="L308" i="5" s="1"/>
  <c r="J305" i="5"/>
  <c r="L305" i="5" s="1"/>
  <c r="J300" i="5"/>
  <c r="L300" i="5" s="1"/>
  <c r="J294" i="5"/>
  <c r="L294" i="5" s="1"/>
  <c r="J298" i="5"/>
  <c r="L298" i="5" s="1"/>
  <c r="J296" i="5"/>
  <c r="L296" i="5" s="1"/>
  <c r="J293" i="5"/>
  <c r="L293" i="5" s="1"/>
  <c r="J290" i="5"/>
  <c r="L290" i="5" s="1"/>
  <c r="J288" i="5"/>
  <c r="L288" i="5" s="1"/>
  <c r="J287" i="5"/>
  <c r="L287" i="5" s="1"/>
  <c r="L284" i="5"/>
  <c r="J282" i="5"/>
  <c r="L282" i="5" s="1"/>
  <c r="J278" i="5"/>
  <c r="L278" i="5" s="1"/>
  <c r="J275" i="5"/>
  <c r="L275" i="5" s="1"/>
  <c r="J274" i="5"/>
  <c r="L274" i="5" s="1"/>
  <c r="J273" i="5"/>
  <c r="L273" i="5" s="1"/>
  <c r="J270" i="5"/>
  <c r="L270" i="5" s="1"/>
  <c r="J266" i="5"/>
  <c r="L266" i="5" s="1"/>
  <c r="J260" i="5"/>
  <c r="L260" i="5" s="1"/>
  <c r="J255" i="5"/>
  <c r="L255" i="5" s="1"/>
  <c r="J234" i="5"/>
  <c r="L234" i="5" s="1"/>
  <c r="J265" i="5"/>
  <c r="J263" i="5"/>
  <c r="L263" i="5" s="1"/>
  <c r="J262" i="5"/>
  <c r="J258" i="5"/>
  <c r="L258" i="5" s="1"/>
  <c r="J256" i="5"/>
  <c r="J252" i="5"/>
  <c r="L252" i="5" s="1"/>
  <c r="J250" i="5"/>
  <c r="L250" i="5" s="1"/>
  <c r="J249" i="5"/>
  <c r="J248" i="5"/>
  <c r="L248" i="5" s="1"/>
  <c r="J247" i="5"/>
  <c r="L247" i="5" s="1"/>
  <c r="J245" i="5"/>
  <c r="L245" i="5" s="1"/>
  <c r="J243" i="5"/>
  <c r="J238" i="5"/>
  <c r="L238" i="5" s="1"/>
  <c r="J228" i="5"/>
  <c r="L228" i="5" s="1"/>
  <c r="J223" i="5"/>
  <c r="L223" i="5" s="1"/>
  <c r="J221" i="5"/>
  <c r="L221" i="5" s="1"/>
  <c r="J219" i="5"/>
  <c r="J218" i="5"/>
  <c r="L218" i="5" s="1"/>
  <c r="J216" i="5"/>
  <c r="L216" i="5" s="1"/>
  <c r="J214" i="5"/>
  <c r="L214" i="5" s="1"/>
  <c r="J213" i="5"/>
  <c r="L213" i="5" s="1"/>
  <c r="J210" i="5"/>
  <c r="L210" i="5" s="1"/>
  <c r="J206" i="5"/>
  <c r="L206" i="5" s="1"/>
  <c r="J205" i="5"/>
  <c r="L205" i="5" s="1"/>
  <c r="J198" i="5"/>
  <c r="L198" i="5" s="1"/>
  <c r="J174" i="5"/>
  <c r="L174" i="5" s="1"/>
  <c r="J175" i="5"/>
  <c r="L175" i="5" s="1"/>
  <c r="L161" i="5"/>
  <c r="J155" i="5"/>
  <c r="L155" i="5" s="1"/>
  <c r="J195" i="5"/>
  <c r="L195" i="5" s="1"/>
  <c r="J194" i="5"/>
  <c r="L194" i="5" s="1"/>
  <c r="J193" i="5"/>
  <c r="L193" i="5" s="1"/>
  <c r="J192" i="5"/>
  <c r="J191" i="5"/>
  <c r="J189" i="5"/>
  <c r="L189" i="5" s="1"/>
  <c r="J136" i="5"/>
  <c r="L136" i="5" s="1"/>
  <c r="J182" i="5"/>
  <c r="L182" i="5" s="1"/>
  <c r="J172" i="5"/>
  <c r="L172" i="5" s="1"/>
  <c r="J169" i="5"/>
  <c r="J168" i="5"/>
  <c r="L168" i="5" s="1"/>
  <c r="J166" i="5"/>
  <c r="L166" i="5" s="1"/>
  <c r="J165" i="5"/>
  <c r="L165" i="5" s="1"/>
  <c r="J162" i="5"/>
  <c r="L162" i="5" s="1"/>
  <c r="J160" i="5"/>
  <c r="L160" i="5" s="1"/>
  <c r="J158" i="5"/>
  <c r="L158" i="5" s="1"/>
  <c r="J157" i="5"/>
  <c r="L157" i="5" s="1"/>
  <c r="J153" i="5"/>
  <c r="L153" i="5" s="1"/>
  <c r="J151" i="5"/>
  <c r="L151" i="5" s="1"/>
  <c r="J149" i="5"/>
  <c r="L149" i="5" s="1"/>
  <c r="J148" i="5"/>
  <c r="L145" i="5"/>
  <c r="J143" i="5"/>
  <c r="L143" i="5" s="1"/>
  <c r="J142" i="5"/>
  <c r="L142" i="5" s="1"/>
  <c r="J141" i="5"/>
  <c r="L141" i="5" s="1"/>
  <c r="J140" i="5"/>
  <c r="L140" i="5" s="1"/>
  <c r="J139" i="5"/>
  <c r="L139" i="5" s="1"/>
  <c r="J138" i="5"/>
  <c r="L138" i="5" s="1"/>
  <c r="J137" i="5" l="1"/>
  <c r="L137" i="5" s="1"/>
  <c r="J135" i="5"/>
  <c r="L135" i="5" s="1"/>
  <c r="J134" i="5"/>
  <c r="L134" i="5" s="1"/>
  <c r="J132" i="5"/>
  <c r="L132" i="5" s="1"/>
  <c r="J131" i="5"/>
  <c r="L131" i="5" s="1"/>
  <c r="L130" i="5"/>
  <c r="J128" i="5"/>
  <c r="L128" i="5" s="1"/>
  <c r="J127" i="5"/>
  <c r="L127" i="5" s="1"/>
  <c r="J120" i="5"/>
  <c r="L120" i="5" s="1"/>
  <c r="J121" i="5"/>
  <c r="L121" i="5" s="1"/>
  <c r="J123" i="5"/>
  <c r="L123" i="5" s="1"/>
  <c r="J122" i="5"/>
  <c r="L122" i="5" s="1"/>
  <c r="J119" i="5"/>
  <c r="L119" i="5" s="1"/>
  <c r="J113" i="5"/>
  <c r="J118" i="5"/>
  <c r="L118" i="5" s="1"/>
  <c r="J116" i="5"/>
  <c r="L116" i="5" s="1"/>
  <c r="J115" i="5"/>
  <c r="L115" i="5" s="1"/>
  <c r="J110" i="5"/>
  <c r="L110" i="5" s="1"/>
  <c r="J114" i="5"/>
  <c r="L114" i="5" s="1"/>
  <c r="J99" i="5"/>
  <c r="L99" i="5" s="1"/>
  <c r="J100" i="5"/>
  <c r="J112" i="5"/>
  <c r="L112" i="5" s="1"/>
  <c r="J111" i="5"/>
  <c r="L111" i="5" s="1"/>
  <c r="J109" i="5"/>
  <c r="L109" i="5" s="1"/>
  <c r="J108" i="5"/>
  <c r="L108" i="5" s="1"/>
  <c r="J107" i="5"/>
  <c r="L107" i="5" s="1"/>
  <c r="J106" i="5"/>
  <c r="L106" i="5" s="1"/>
  <c r="J105" i="5"/>
  <c r="L105" i="5" s="1"/>
  <c r="J104" i="5"/>
  <c r="L104" i="5" s="1"/>
  <c r="J103" i="5"/>
  <c r="L103" i="5" s="1"/>
  <c r="J102" i="5" l="1"/>
  <c r="J101" i="5"/>
  <c r="L101" i="5" s="1"/>
  <c r="J98" i="5"/>
  <c r="L98" i="5" s="1"/>
  <c r="J97" i="5"/>
  <c r="L97" i="5" s="1"/>
  <c r="J96" i="5"/>
  <c r="L96" i="5" s="1"/>
  <c r="J92" i="5"/>
  <c r="L92" i="5" s="1"/>
  <c r="J95" i="5"/>
  <c r="L95" i="5" s="1"/>
  <c r="J47" i="5"/>
  <c r="L47" i="5" s="1"/>
  <c r="J45" i="5"/>
  <c r="L45" i="5" s="1"/>
  <c r="J88" i="5"/>
  <c r="L88" i="5" s="1"/>
  <c r="J94" i="5"/>
  <c r="L94" i="5" s="1"/>
  <c r="J93" i="5"/>
  <c r="L93" i="5" s="1"/>
  <c r="J91" i="5"/>
  <c r="L91" i="5" s="1"/>
  <c r="J90" i="5"/>
  <c r="J89" i="5"/>
  <c r="J87" i="5"/>
  <c r="J71" i="5"/>
  <c r="L71" i="5" s="1"/>
  <c r="J86" i="5"/>
  <c r="L86" i="5" s="1"/>
  <c r="J85" i="5"/>
  <c r="J84" i="5"/>
  <c r="L84" i="5" s="1"/>
  <c r="J82" i="5" l="1"/>
  <c r="L82" i="5" s="1"/>
  <c r="J70" i="5"/>
  <c r="L70" i="5" s="1"/>
  <c r="J80" i="5"/>
  <c r="L80" i="5" s="1"/>
  <c r="J79" i="5"/>
  <c r="L79" i="5" s="1"/>
  <c r="J74" i="5"/>
  <c r="L74" i="5" s="1"/>
  <c r="J77" i="5"/>
  <c r="L77" i="5" s="1"/>
  <c r="J75" i="5"/>
  <c r="L75" i="5" s="1"/>
  <c r="J72" i="5"/>
  <c r="J69" i="5"/>
  <c r="L69" i="5" s="1"/>
  <c r="J68" i="5"/>
  <c r="L68" i="5" s="1"/>
  <c r="J66" i="5"/>
  <c r="L66" i="5" s="1"/>
  <c r="J65" i="5"/>
  <c r="L65" i="5" s="1"/>
  <c r="J63" i="5"/>
  <c r="L63" i="5" s="1"/>
  <c r="J62" i="5"/>
  <c r="L62" i="5" s="1"/>
  <c r="J61" i="5"/>
  <c r="L61" i="5" s="1"/>
  <c r="J60" i="5"/>
  <c r="L60" i="5" s="1"/>
  <c r="J59" i="5"/>
  <c r="L59" i="5" s="1"/>
  <c r="J58" i="5"/>
  <c r="L58" i="5" s="1"/>
  <c r="J57" i="5"/>
  <c r="L57" i="5" s="1"/>
  <c r="J54" i="5"/>
  <c r="L54" i="5" s="1"/>
  <c r="J53" i="5"/>
  <c r="L53" i="5" s="1"/>
  <c r="J52" i="5"/>
  <c r="L52" i="5" s="1"/>
  <c r="J51" i="5"/>
  <c r="J50" i="5"/>
  <c r="L50" i="5" s="1"/>
  <c r="J46" i="5"/>
  <c r="L46" i="5" s="1"/>
  <c r="J11" i="5"/>
  <c r="L11" i="5" s="1"/>
  <c r="J12" i="5"/>
  <c r="L12" i="5" s="1"/>
  <c r="J6" i="5"/>
  <c r="L6" i="5" s="1"/>
  <c r="J5" i="5"/>
  <c r="L5" i="5" s="1"/>
  <c r="J40" i="5"/>
  <c r="L40" i="5" s="1"/>
  <c r="J39" i="5"/>
  <c r="L39" i="5" s="1"/>
  <c r="J38" i="5"/>
  <c r="L38" i="5" s="1"/>
  <c r="J37" i="5"/>
  <c r="L37" i="5" s="1"/>
  <c r="J36" i="5"/>
  <c r="L36" i="5" s="1"/>
  <c r="J35" i="5"/>
  <c r="L35" i="5" s="1"/>
  <c r="J33" i="5"/>
  <c r="L33" i="5" s="1"/>
  <c r="J32" i="5" l="1"/>
  <c r="J23" i="5" l="1"/>
  <c r="L23" i="5" s="1"/>
  <c r="J24" i="5"/>
  <c r="L24" i="5" s="1"/>
  <c r="J25" i="5" l="1"/>
  <c r="L25" i="5" s="1"/>
  <c r="J30" i="5"/>
  <c r="L30" i="5" s="1"/>
  <c r="J29" i="5"/>
  <c r="J28" i="5"/>
  <c r="L28" i="5" s="1"/>
  <c r="J27" i="5" l="1"/>
  <c r="L27" i="5" s="1"/>
  <c r="J26" i="5"/>
  <c r="L26" i="5" s="1"/>
  <c r="J22" i="5" l="1"/>
  <c r="L22" i="5" s="1"/>
  <c r="J20" i="5"/>
  <c r="L20" i="5" s="1"/>
  <c r="J19" i="5"/>
  <c r="L19" i="5" s="1"/>
  <c r="J18" i="5"/>
  <c r="L18" i="5" s="1"/>
  <c r="J17" i="5"/>
  <c r="L17" i="5" s="1"/>
  <c r="J16" i="5"/>
  <c r="L16" i="5" s="1"/>
  <c r="J15" i="5"/>
  <c r="L15" i="5" s="1"/>
  <c r="J14" i="5"/>
  <c r="J13" i="5" l="1"/>
  <c r="L13" i="5" s="1"/>
  <c r="J10" i="5"/>
  <c r="L10" i="5" s="1"/>
  <c r="J9" i="5"/>
  <c r="L9" i="5" s="1"/>
  <c r="J8" i="5"/>
  <c r="L8" i="5" s="1"/>
  <c r="J7" i="5" l="1"/>
  <c r="L7" i="5" s="1"/>
  <c r="J4" i="5"/>
  <c r="L4" i="5" s="1"/>
  <c r="J3" i="5"/>
  <c r="L3" i="5" s="1"/>
  <c r="J2" i="5"/>
  <c r="L2" i="5" s="1"/>
  <c r="J206" i="1" l="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170" i="1"/>
  <c r="J169" i="1"/>
  <c r="J42" i="2"/>
  <c r="J168" i="1"/>
  <c r="J167" i="1"/>
  <c r="J166" i="1"/>
  <c r="J165" i="1"/>
  <c r="J164" i="1"/>
  <c r="J163" i="1"/>
  <c r="J162"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161"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2" i="1"/>
  <c r="J41" i="2"/>
  <c r="N13" i="7"/>
  <c r="J13" i="7"/>
  <c r="N12" i="7"/>
  <c r="J12" i="7"/>
  <c r="J40" i="2"/>
  <c r="J4" i="12"/>
  <c r="M4" i="12"/>
  <c r="J5" i="12"/>
  <c r="M5" i="12"/>
  <c r="J6" i="12"/>
  <c r="M6" i="12"/>
  <c r="J7" i="12"/>
  <c r="M7" i="12"/>
  <c r="J8" i="12"/>
  <c r="M8" i="12"/>
  <c r="J9" i="12"/>
  <c r="M9" i="12"/>
  <c r="J10" i="12"/>
  <c r="J11" i="12"/>
  <c r="M11" i="12"/>
  <c r="J12" i="12"/>
  <c r="M12" i="12"/>
  <c r="J13" i="12"/>
  <c r="J14" i="12"/>
  <c r="M10" i="12" s="1"/>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4" i="13"/>
  <c r="J233" i="13"/>
  <c r="J232" i="13"/>
  <c r="J231" i="13"/>
  <c r="J230" i="13"/>
  <c r="J229" i="13"/>
  <c r="J228" i="13"/>
  <c r="J227" i="13"/>
  <c r="J226" i="13"/>
  <c r="J225" i="13"/>
  <c r="J224" i="13"/>
  <c r="J223" i="13"/>
  <c r="J222" i="13"/>
  <c r="J221" i="13"/>
  <c r="J220" i="13"/>
  <c r="J219" i="13"/>
  <c r="J218" i="13"/>
  <c r="J217" i="13"/>
  <c r="J216" i="13"/>
  <c r="J215" i="13"/>
  <c r="J214" i="13"/>
  <c r="J213" i="13"/>
  <c r="J212" i="13"/>
  <c r="J211" i="13"/>
  <c r="J210" i="13"/>
  <c r="J209" i="13"/>
  <c r="J208" i="13"/>
  <c r="J207" i="13"/>
  <c r="J206" i="13"/>
  <c r="J205" i="13"/>
  <c r="J204" i="13"/>
  <c r="J203" i="13"/>
  <c r="J202" i="13"/>
  <c r="J201" i="13"/>
  <c r="J200" i="13"/>
  <c r="J199" i="13"/>
  <c r="J198" i="13"/>
  <c r="J197" i="13"/>
  <c r="J196" i="13"/>
  <c r="J195" i="13"/>
  <c r="J194" i="13"/>
  <c r="J193" i="13"/>
  <c r="J192" i="13"/>
  <c r="J191" i="13"/>
  <c r="J190" i="13"/>
  <c r="J189" i="13"/>
  <c r="J188" i="13"/>
  <c r="J187" i="13"/>
  <c r="J186" i="13"/>
  <c r="J185" i="13"/>
  <c r="J184" i="13"/>
  <c r="J183" i="13"/>
  <c r="J182" i="13"/>
  <c r="J181" i="13"/>
  <c r="J180" i="13"/>
  <c r="J179" i="13"/>
  <c r="J178" i="13"/>
  <c r="J177" i="13"/>
  <c r="J176" i="13"/>
  <c r="J175" i="13"/>
  <c r="J174" i="13"/>
  <c r="J173" i="13"/>
  <c r="J172" i="13"/>
  <c r="J171" i="13"/>
  <c r="J170" i="13"/>
  <c r="J169" i="13"/>
  <c r="J168" i="13"/>
  <c r="J167" i="13"/>
  <c r="J166" i="13"/>
  <c r="J165" i="13"/>
  <c r="J164" i="13"/>
  <c r="J163" i="13"/>
  <c r="J162" i="13"/>
  <c r="J161" i="13"/>
  <c r="J160" i="13"/>
  <c r="J159" i="13"/>
  <c r="J158" i="13"/>
  <c r="J157" i="13"/>
  <c r="J156" i="13"/>
  <c r="J155" i="13"/>
  <c r="J154" i="13"/>
  <c r="J153" i="13"/>
  <c r="J152" i="13"/>
  <c r="J151" i="13"/>
  <c r="J150" i="13"/>
  <c r="J149" i="13"/>
  <c r="J148" i="13"/>
  <c r="J147" i="13"/>
  <c r="J146" i="13"/>
  <c r="J145" i="13"/>
  <c r="J144" i="13"/>
  <c r="J143" i="13"/>
  <c r="J142" i="13"/>
  <c r="J141" i="13"/>
  <c r="J140" i="13"/>
  <c r="J139" i="13"/>
  <c r="J138" i="13"/>
  <c r="J137" i="13"/>
  <c r="J136" i="13"/>
  <c r="J135" i="13"/>
  <c r="J134" i="13"/>
  <c r="J133" i="13"/>
  <c r="J132" i="13"/>
  <c r="J131" i="13"/>
  <c r="J130" i="13"/>
  <c r="J129" i="13"/>
  <c r="J128" i="13"/>
  <c r="J127" i="13"/>
  <c r="J126" i="13"/>
  <c r="J125" i="13"/>
  <c r="J124" i="13"/>
  <c r="J123" i="13"/>
  <c r="J122" i="13"/>
  <c r="J121" i="13"/>
  <c r="J120" i="13"/>
  <c r="J119" i="13"/>
  <c r="J118" i="13"/>
  <c r="J117" i="13"/>
  <c r="J116" i="13"/>
  <c r="J115" i="13"/>
  <c r="J114" i="13"/>
  <c r="J113" i="13"/>
  <c r="J112" i="13"/>
  <c r="J111" i="13"/>
  <c r="J110" i="13"/>
  <c r="J109" i="13"/>
  <c r="J108" i="13"/>
  <c r="J107" i="13"/>
  <c r="J106" i="13"/>
  <c r="J105" i="13"/>
  <c r="J104" i="13"/>
  <c r="J103" i="13"/>
  <c r="J102" i="13"/>
  <c r="J101" i="13"/>
  <c r="J100" i="13"/>
  <c r="J99" i="13"/>
  <c r="J98" i="13"/>
  <c r="J97" i="13"/>
  <c r="J96" i="13"/>
  <c r="J95" i="13"/>
  <c r="J94" i="13"/>
  <c r="J93" i="13"/>
  <c r="J92" i="13"/>
  <c r="J91" i="13"/>
  <c r="J90" i="13"/>
  <c r="J89" i="13"/>
  <c r="J88" i="13"/>
  <c r="J87" i="13"/>
  <c r="J86" i="13"/>
  <c r="J85" i="13"/>
  <c r="J84" i="13"/>
  <c r="J83" i="13"/>
  <c r="J82" i="13"/>
  <c r="J81" i="13"/>
  <c r="J80" i="13"/>
  <c r="J79" i="13"/>
  <c r="J78" i="13"/>
  <c r="J77" i="13"/>
  <c r="J76" i="13"/>
  <c r="J75" i="13"/>
  <c r="J74" i="13"/>
  <c r="J73" i="13"/>
  <c r="J72" i="13"/>
  <c r="J71" i="13"/>
  <c r="J70" i="13"/>
  <c r="J69" i="13"/>
  <c r="J68" i="13"/>
  <c r="J67" i="13"/>
  <c r="J66" i="13"/>
  <c r="J65" i="13"/>
  <c r="J64" i="13"/>
  <c r="J63" i="13"/>
  <c r="J62" i="13"/>
  <c r="J61" i="13"/>
  <c r="J60" i="13"/>
  <c r="J59" i="13"/>
  <c r="J58" i="13"/>
  <c r="J57" i="13"/>
  <c r="J56" i="13"/>
  <c r="J55" i="13"/>
  <c r="J54" i="13"/>
  <c r="J53" i="13"/>
  <c r="J52" i="13"/>
  <c r="J51" i="13"/>
  <c r="J50" i="13"/>
  <c r="J49" i="13"/>
  <c r="J48" i="13"/>
  <c r="J47" i="13"/>
  <c r="J46" i="13"/>
  <c r="J45" i="13"/>
  <c r="J44" i="13"/>
  <c r="J43" i="13"/>
  <c r="J42" i="13"/>
  <c r="J41" i="13"/>
  <c r="J40" i="13"/>
  <c r="J39" i="13"/>
  <c r="J38" i="13"/>
  <c r="J37" i="13"/>
  <c r="J36" i="13"/>
  <c r="J35" i="13"/>
  <c r="J34" i="13"/>
  <c r="J33" i="13"/>
  <c r="J32" i="13"/>
  <c r="J31" i="13"/>
  <c r="J30" i="13"/>
  <c r="J29" i="13"/>
  <c r="J28" i="13"/>
  <c r="J27" i="13"/>
  <c r="J26" i="13"/>
  <c r="J25" i="13"/>
  <c r="J24" i="13"/>
  <c r="J23" i="13"/>
  <c r="J22" i="13"/>
  <c r="J21" i="13"/>
  <c r="J20" i="13"/>
  <c r="J19" i="13"/>
  <c r="J18" i="13"/>
  <c r="J17" i="13"/>
  <c r="J16" i="13"/>
  <c r="J15" i="13"/>
  <c r="J14" i="13"/>
  <c r="J13" i="13"/>
  <c r="M12" i="13"/>
  <c r="J12" i="13"/>
  <c r="M11" i="13"/>
  <c r="J11" i="13"/>
  <c r="M10" i="13"/>
  <c r="J10" i="13"/>
  <c r="M9" i="13"/>
  <c r="J9" i="13"/>
  <c r="M8" i="13"/>
  <c r="J8" i="13"/>
  <c r="M7" i="13"/>
  <c r="J7" i="13"/>
  <c r="M6" i="13"/>
  <c r="J6" i="13"/>
  <c r="M5" i="13"/>
  <c r="J5" i="13"/>
  <c r="M4" i="13"/>
  <c r="J4" i="13"/>
  <c r="M3" i="13"/>
  <c r="J3" i="13"/>
  <c r="M2" i="13"/>
  <c r="J2" i="13"/>
  <c r="J38" i="2"/>
  <c r="N2" i="2"/>
  <c r="J3" i="2"/>
  <c r="J11" i="7"/>
  <c r="J28" i="2"/>
  <c r="J27" i="2"/>
  <c r="J31" i="2"/>
  <c r="J37" i="2"/>
  <c r="J10" i="7"/>
  <c r="J36" i="2"/>
  <c r="N9" i="7"/>
  <c r="J9" i="7"/>
  <c r="J35" i="2"/>
  <c r="J34" i="2"/>
  <c r="N8" i="7"/>
  <c r="J8" i="7"/>
  <c r="N7" i="7"/>
  <c r="J7" i="7"/>
  <c r="J6" i="7"/>
  <c r="J33" i="2"/>
  <c r="J29" i="2"/>
  <c r="J5" i="7"/>
  <c r="J32" i="2"/>
  <c r="J14" i="7"/>
  <c r="N13" i="1"/>
  <c r="N12" i="1"/>
  <c r="O9" i="6"/>
  <c r="O10" i="6"/>
  <c r="O11" i="6"/>
  <c r="O12" i="6"/>
  <c r="N13" i="2"/>
  <c r="N12" i="2"/>
  <c r="J7" i="6"/>
  <c r="J6" i="6"/>
  <c r="J5" i="6"/>
  <c r="O4" i="6"/>
  <c r="J4" i="6"/>
  <c r="J26" i="2"/>
  <c r="J24" i="2"/>
  <c r="J23" i="2"/>
  <c r="J25" i="2"/>
  <c r="J22" i="2"/>
  <c r="J21" i="2"/>
  <c r="J20" i="2"/>
  <c r="J19" i="2"/>
  <c r="J18" i="2"/>
  <c r="J226" i="2"/>
  <c r="J225" i="2"/>
  <c r="J224" i="2"/>
  <c r="J223" i="2"/>
  <c r="J222" i="2"/>
  <c r="J221" i="2"/>
  <c r="J220" i="2"/>
  <c r="J219" i="2"/>
  <c r="J218" i="2"/>
  <c r="J217" i="2"/>
  <c r="J216" i="2"/>
  <c r="J215" i="2"/>
  <c r="J214" i="2"/>
  <c r="J213" i="2"/>
  <c r="J212" i="2"/>
  <c r="J211" i="2"/>
  <c r="J210" i="2"/>
  <c r="J209" i="2"/>
  <c r="J208" i="2"/>
  <c r="J207" i="2"/>
  <c r="J206" i="2"/>
  <c r="J205" i="2"/>
  <c r="J204" i="2"/>
  <c r="J203" i="2"/>
  <c r="J202" i="2"/>
  <c r="J201" i="2"/>
  <c r="J200" i="2"/>
  <c r="J199" i="2"/>
  <c r="J198" i="2"/>
  <c r="J197" i="2"/>
  <c r="J196" i="2"/>
  <c r="J195" i="2"/>
  <c r="J194" i="2"/>
  <c r="J193" i="2"/>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30" i="2"/>
  <c r="J17" i="2"/>
  <c r="J16" i="2"/>
  <c r="N6" i="2" s="1"/>
  <c r="J15" i="2"/>
  <c r="J14" i="2"/>
  <c r="J13" i="2"/>
  <c r="J12" i="2"/>
  <c r="J11" i="2"/>
  <c r="J10" i="2"/>
  <c r="J9" i="2"/>
  <c r="J8" i="2"/>
  <c r="J7" i="2"/>
  <c r="J6" i="2"/>
  <c r="J5" i="2"/>
  <c r="J4" i="2"/>
  <c r="J2" i="2"/>
  <c r="N3" i="7"/>
  <c r="J3" i="7"/>
  <c r="N2" i="7"/>
  <c r="J2" i="7"/>
  <c r="N4" i="7" s="1"/>
  <c r="N7" i="2"/>
  <c r="J237" i="7"/>
  <c r="J236" i="7"/>
  <c r="J235" i="7"/>
  <c r="J234" i="7"/>
  <c r="J233" i="7"/>
  <c r="J232" i="7"/>
  <c r="J231" i="7"/>
  <c r="J230" i="7"/>
  <c r="J229" i="7"/>
  <c r="J228" i="7"/>
  <c r="J227" i="7"/>
  <c r="J226" i="7"/>
  <c r="J225" i="7"/>
  <c r="J224" i="7"/>
  <c r="J223" i="7"/>
  <c r="J222" i="7"/>
  <c r="J221" i="7"/>
  <c r="J220" i="7"/>
  <c r="J219" i="7"/>
  <c r="J218" i="7"/>
  <c r="J217" i="7"/>
  <c r="J216" i="7"/>
  <c r="J215" i="7"/>
  <c r="J214" i="7"/>
  <c r="J213" i="7"/>
  <c r="J212" i="7"/>
  <c r="J211" i="7"/>
  <c r="J210" i="7"/>
  <c r="J209" i="7"/>
  <c r="J208" i="7"/>
  <c r="J207" i="7"/>
  <c r="J206" i="7"/>
  <c r="J205" i="7"/>
  <c r="J204" i="7"/>
  <c r="J203" i="7"/>
  <c r="J202" i="7"/>
  <c r="J201" i="7"/>
  <c r="J200" i="7"/>
  <c r="J199" i="7"/>
  <c r="J198" i="7"/>
  <c r="J197" i="7"/>
  <c r="J196" i="7"/>
  <c r="J195" i="7"/>
  <c r="J194" i="7"/>
  <c r="J193" i="7"/>
  <c r="J192" i="7"/>
  <c r="J191" i="7"/>
  <c r="J190" i="7"/>
  <c r="J189" i="7"/>
  <c r="J188" i="7"/>
  <c r="J187" i="7"/>
  <c r="J186" i="7"/>
  <c r="J185" i="7"/>
  <c r="J184" i="7"/>
  <c r="J183" i="7"/>
  <c r="J182" i="7"/>
  <c r="J181" i="7"/>
  <c r="J180" i="7"/>
  <c r="J179" i="7"/>
  <c r="J178" i="7"/>
  <c r="J177" i="7"/>
  <c r="J176" i="7"/>
  <c r="J175" i="7"/>
  <c r="J174" i="7"/>
  <c r="J173" i="7"/>
  <c r="J172" i="7"/>
  <c r="J171" i="7"/>
  <c r="J170" i="7"/>
  <c r="J169" i="7"/>
  <c r="J168" i="7"/>
  <c r="J167" i="7"/>
  <c r="J166" i="7"/>
  <c r="J165" i="7"/>
  <c r="J164" i="7"/>
  <c r="J163" i="7"/>
  <c r="J162" i="7"/>
  <c r="J161" i="7"/>
  <c r="J160" i="7"/>
  <c r="J159" i="7"/>
  <c r="J158" i="7"/>
  <c r="J157" i="7"/>
  <c r="J156" i="7"/>
  <c r="J155" i="7"/>
  <c r="J154" i="7"/>
  <c r="J153" i="7"/>
  <c r="J152" i="7"/>
  <c r="J151" i="7"/>
  <c r="J150" i="7"/>
  <c r="J149" i="7"/>
  <c r="J148" i="7"/>
  <c r="J147" i="7"/>
  <c r="J146" i="7"/>
  <c r="J145" i="7"/>
  <c r="J144" i="7"/>
  <c r="J143" i="7"/>
  <c r="J142" i="7"/>
  <c r="J141" i="7"/>
  <c r="J140" i="7"/>
  <c r="J139" i="7"/>
  <c r="J138" i="7"/>
  <c r="J137" i="7"/>
  <c r="J136" i="7"/>
  <c r="J135" i="7"/>
  <c r="J134" i="7"/>
  <c r="J133" i="7"/>
  <c r="J132" i="7"/>
  <c r="J131" i="7"/>
  <c r="J130" i="7"/>
  <c r="J129" i="7"/>
  <c r="J128" i="7"/>
  <c r="J127" i="7"/>
  <c r="J126" i="7"/>
  <c r="J125" i="7"/>
  <c r="J124" i="7"/>
  <c r="J123" i="7"/>
  <c r="J122" i="7"/>
  <c r="J121" i="7"/>
  <c r="J120" i="7"/>
  <c r="J119" i="7"/>
  <c r="J118" i="7"/>
  <c r="J117" i="7"/>
  <c r="J116" i="7"/>
  <c r="J115" i="7"/>
  <c r="J114" i="7"/>
  <c r="J113" i="7"/>
  <c r="J112" i="7"/>
  <c r="J111" i="7"/>
  <c r="J110" i="7"/>
  <c r="J109" i="7"/>
  <c r="J108" i="7"/>
  <c r="J107" i="7"/>
  <c r="J106" i="7"/>
  <c r="J105" i="7"/>
  <c r="J104" i="7"/>
  <c r="J103" i="7"/>
  <c r="J102" i="7"/>
  <c r="J101" i="7"/>
  <c r="J100" i="7"/>
  <c r="J99" i="7"/>
  <c r="J98" i="7"/>
  <c r="J97" i="7"/>
  <c r="J96" i="7"/>
  <c r="J95" i="7"/>
  <c r="J94" i="7"/>
  <c r="J93" i="7"/>
  <c r="J92" i="7"/>
  <c r="J91" i="7"/>
  <c r="J90" i="7"/>
  <c r="J89" i="7"/>
  <c r="J88" i="7"/>
  <c r="J87" i="7"/>
  <c r="J86" i="7"/>
  <c r="J85" i="7"/>
  <c r="J84" i="7"/>
  <c r="J83" i="7"/>
  <c r="J82" i="7"/>
  <c r="J81" i="7"/>
  <c r="J80" i="7"/>
  <c r="J79" i="7"/>
  <c r="J78" i="7"/>
  <c r="J77" i="7"/>
  <c r="J76" i="7"/>
  <c r="J75" i="7"/>
  <c r="J74" i="7"/>
  <c r="J73" i="7"/>
  <c r="J72" i="7"/>
  <c r="J71" i="7"/>
  <c r="J70" i="7"/>
  <c r="J69" i="7"/>
  <c r="J68" i="7"/>
  <c r="J67" i="7"/>
  <c r="J66" i="7"/>
  <c r="J65" i="7"/>
  <c r="J64" i="7"/>
  <c r="J63" i="7"/>
  <c r="J62" i="7"/>
  <c r="J61" i="7"/>
  <c r="J60" i="7"/>
  <c r="J59" i="7"/>
  <c r="J58" i="7"/>
  <c r="J57" i="7"/>
  <c r="J56" i="7"/>
  <c r="J55" i="7"/>
  <c r="J54" i="7"/>
  <c r="J53" i="7"/>
  <c r="J52" i="7"/>
  <c r="J51" i="7"/>
  <c r="J50" i="7"/>
  <c r="J49" i="7"/>
  <c r="J48" i="7"/>
  <c r="J47" i="7"/>
  <c r="J46" i="7"/>
  <c r="J45" i="7"/>
  <c r="J44" i="7"/>
  <c r="J43" i="7"/>
  <c r="J42" i="7"/>
  <c r="J41" i="7"/>
  <c r="J40" i="7"/>
  <c r="J39" i="7"/>
  <c r="J38" i="7"/>
  <c r="J37" i="7"/>
  <c r="J36" i="7"/>
  <c r="J35" i="7"/>
  <c r="J34" i="7"/>
  <c r="J33" i="7"/>
  <c r="J32" i="7"/>
  <c r="J31" i="7"/>
  <c r="J30" i="7"/>
  <c r="J29" i="7"/>
  <c r="J28" i="7"/>
  <c r="J27" i="7"/>
  <c r="J26" i="7"/>
  <c r="J25" i="7"/>
  <c r="J24" i="7"/>
  <c r="J23" i="7"/>
  <c r="J22" i="7"/>
  <c r="J21" i="7"/>
  <c r="J20" i="7"/>
  <c r="J19" i="7"/>
  <c r="J18" i="7"/>
  <c r="J17" i="7"/>
  <c r="J16" i="7"/>
  <c r="J15" i="7"/>
  <c r="J4" i="7"/>
  <c r="N11" i="2" l="1"/>
  <c r="M13" i="13"/>
  <c r="M13" i="12"/>
  <c r="N11" i="1"/>
  <c r="N10" i="7"/>
  <c r="N11" i="7"/>
  <c r="N9" i="2"/>
  <c r="N6" i="7"/>
  <c r="N5" i="7"/>
  <c r="N10" i="2"/>
  <c r="N8" i="2"/>
  <c r="J233" i="6"/>
  <c r="J232" i="6"/>
  <c r="J231" i="6"/>
  <c r="J230" i="6"/>
  <c r="J229" i="6"/>
  <c r="J228" i="6"/>
  <c r="J227" i="6"/>
  <c r="J226" i="6"/>
  <c r="J225" i="6"/>
  <c r="J224" i="6"/>
  <c r="J223" i="6"/>
  <c r="J222" i="6"/>
  <c r="J221" i="6"/>
  <c r="J220" i="6"/>
  <c r="J219" i="6"/>
  <c r="J218" i="6"/>
  <c r="J217" i="6"/>
  <c r="J216" i="6"/>
  <c r="J215" i="6"/>
  <c r="J214" i="6"/>
  <c r="J213" i="6"/>
  <c r="J212" i="6"/>
  <c r="J211" i="6"/>
  <c r="J210" i="6"/>
  <c r="J209" i="6"/>
  <c r="J208" i="6"/>
  <c r="J207" i="6"/>
  <c r="J206" i="6"/>
  <c r="J205" i="6"/>
  <c r="J204" i="6"/>
  <c r="J203" i="6"/>
  <c r="J202" i="6"/>
  <c r="J201" i="6"/>
  <c r="J200" i="6"/>
  <c r="J199" i="6"/>
  <c r="J198" i="6"/>
  <c r="J197" i="6"/>
  <c r="J196" i="6"/>
  <c r="J195" i="6"/>
  <c r="J194" i="6"/>
  <c r="J193" i="6"/>
  <c r="J192" i="6"/>
  <c r="J191" i="6"/>
  <c r="J190" i="6"/>
  <c r="J189" i="6"/>
  <c r="J188" i="6"/>
  <c r="J187" i="6"/>
  <c r="J186" i="6"/>
  <c r="J185" i="6"/>
  <c r="J184" i="6"/>
  <c r="J183" i="6"/>
  <c r="J182" i="6"/>
  <c r="J181" i="6"/>
  <c r="J180" i="6"/>
  <c r="J179" i="6"/>
  <c r="J178" i="6"/>
  <c r="J177" i="6"/>
  <c r="J176" i="6"/>
  <c r="J175" i="6"/>
  <c r="J174" i="6"/>
  <c r="J173" i="6"/>
  <c r="J172" i="6"/>
  <c r="J171" i="6"/>
  <c r="J170" i="6"/>
  <c r="J169" i="6"/>
  <c r="J168" i="6"/>
  <c r="J167" i="6"/>
  <c r="J166" i="6"/>
  <c r="J165" i="6"/>
  <c r="J164" i="6"/>
  <c r="J163" i="6"/>
  <c r="J162" i="6"/>
  <c r="J161" i="6"/>
  <c r="J160" i="6"/>
  <c r="J159" i="6"/>
  <c r="J158" i="6"/>
  <c r="J157" i="6"/>
  <c r="J156" i="6"/>
  <c r="J155" i="6"/>
  <c r="J154" i="6"/>
  <c r="J153" i="6"/>
  <c r="J152" i="6"/>
  <c r="J151" i="6"/>
  <c r="J150" i="6"/>
  <c r="J149" i="6"/>
  <c r="J148" i="6"/>
  <c r="J147" i="6"/>
  <c r="J146" i="6"/>
  <c r="J145" i="6"/>
  <c r="J144" i="6"/>
  <c r="J143" i="6"/>
  <c r="J142" i="6"/>
  <c r="J141" i="6"/>
  <c r="J140" i="6"/>
  <c r="J139" i="6"/>
  <c r="J138" i="6"/>
  <c r="J137" i="6"/>
  <c r="J136" i="6"/>
  <c r="J135" i="6"/>
  <c r="J134" i="6"/>
  <c r="J133" i="6"/>
  <c r="J132" i="6"/>
  <c r="J131" i="6"/>
  <c r="J130" i="6"/>
  <c r="J129" i="6"/>
  <c r="J128" i="6"/>
  <c r="J127" i="6"/>
  <c r="J126" i="6"/>
  <c r="J125" i="6"/>
  <c r="J124" i="6"/>
  <c r="J123" i="6"/>
  <c r="J122" i="6"/>
  <c r="J121" i="6"/>
  <c r="J120" i="6"/>
  <c r="J119" i="6"/>
  <c r="J118" i="6"/>
  <c r="J117" i="6"/>
  <c r="J116" i="6"/>
  <c r="J115" i="6"/>
  <c r="J114" i="6"/>
  <c r="J113" i="6"/>
  <c r="J112" i="6"/>
  <c r="J111" i="6"/>
  <c r="J110" i="6"/>
  <c r="J109" i="6"/>
  <c r="J108" i="6"/>
  <c r="J107" i="6"/>
  <c r="J106" i="6"/>
  <c r="J105" i="6"/>
  <c r="J104" i="6"/>
  <c r="J103" i="6"/>
  <c r="J102" i="6"/>
  <c r="J101" i="6"/>
  <c r="J100" i="6"/>
  <c r="J99" i="6"/>
  <c r="J98" i="6"/>
  <c r="J97" i="6"/>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J31" i="6"/>
  <c r="J30" i="6"/>
  <c r="J29" i="6"/>
  <c r="J28" i="6"/>
  <c r="J27" i="6"/>
  <c r="J26" i="6"/>
  <c r="J25" i="6"/>
  <c r="J24" i="6"/>
  <c r="J23" i="6"/>
  <c r="J22" i="6"/>
  <c r="J21" i="6"/>
  <c r="J20" i="6"/>
  <c r="J19" i="6"/>
  <c r="J18" i="6"/>
  <c r="J17" i="6"/>
  <c r="J16" i="6"/>
  <c r="J15" i="6"/>
  <c r="J14" i="6"/>
  <c r="J13" i="6"/>
  <c r="J12" i="6"/>
  <c r="J11" i="6"/>
  <c r="J10" i="6"/>
  <c r="J9" i="6"/>
  <c r="J8" i="6"/>
  <c r="J3" i="6"/>
  <c r="O3" i="6" s="1"/>
  <c r="J2" i="6"/>
  <c r="O2" i="6" s="1"/>
  <c r="J234" i="2"/>
  <c r="J233" i="2"/>
  <c r="J232" i="2"/>
  <c r="J231" i="2"/>
  <c r="J230" i="2"/>
  <c r="J229" i="2"/>
  <c r="J228" i="2"/>
  <c r="J227" i="2"/>
  <c r="N4" i="2"/>
  <c r="N7" i="1"/>
  <c r="N10" i="1" l="1"/>
  <c r="O8" i="6"/>
  <c r="O13" i="6" s="1"/>
  <c r="N5" i="1"/>
  <c r="N14" i="7"/>
  <c r="N6" i="1"/>
  <c r="N2" i="1"/>
  <c r="N3" i="2"/>
  <c r="N5" i="2"/>
  <c r="N8" i="1"/>
  <c r="N3" i="1"/>
  <c r="N4" i="1"/>
  <c r="N9" i="1"/>
  <c r="N14" i="2" l="1"/>
  <c r="N14" i="1"/>
</calcChain>
</file>

<file path=xl/sharedStrings.xml><?xml version="1.0" encoding="utf-8"?>
<sst xmlns="http://schemas.openxmlformats.org/spreadsheetml/2006/main" count="14233" uniqueCount="1762">
  <si>
    <t xml:space="preserve">ساعة الدخول </t>
  </si>
  <si>
    <t>ساعة الخروج</t>
  </si>
  <si>
    <t>إجمالي عدد الساعات</t>
  </si>
  <si>
    <t>التاريخ</t>
  </si>
  <si>
    <t>اليوم</t>
  </si>
  <si>
    <t>الثلاثاء</t>
  </si>
  <si>
    <t>إسم الشركة</t>
  </si>
  <si>
    <t>Emc</t>
  </si>
  <si>
    <t xml:space="preserve">وادى النيل </t>
  </si>
  <si>
    <t xml:space="preserve">االاربعاء  </t>
  </si>
  <si>
    <t>الخميس</t>
  </si>
  <si>
    <t>السبت</t>
  </si>
  <si>
    <t>الاحد</t>
  </si>
  <si>
    <t>الاثنين</t>
  </si>
  <si>
    <t>13/11/2022</t>
  </si>
  <si>
    <t>14/11/2022</t>
  </si>
  <si>
    <t xml:space="preserve">الاربعاء  </t>
  </si>
  <si>
    <t>15/11/2022</t>
  </si>
  <si>
    <t>16/11/2022</t>
  </si>
  <si>
    <t>17/11/2022</t>
  </si>
  <si>
    <t>19/11/2022</t>
  </si>
  <si>
    <t>20/11/2022</t>
  </si>
  <si>
    <t>21/11/2022</t>
  </si>
  <si>
    <t>22/11/2022</t>
  </si>
  <si>
    <t>2311/2022</t>
  </si>
  <si>
    <t>24/11/2022</t>
  </si>
  <si>
    <t>26/11/2022</t>
  </si>
  <si>
    <t>27/11/2022</t>
  </si>
  <si>
    <t>28/11/2022</t>
  </si>
  <si>
    <t>29/11/2022</t>
  </si>
  <si>
    <t>30/11/2022</t>
  </si>
  <si>
    <t xml:space="preserve">الاحد </t>
  </si>
  <si>
    <t xml:space="preserve">القطاع الهندسى </t>
  </si>
  <si>
    <t xml:space="preserve">الجمعة </t>
  </si>
  <si>
    <t xml:space="preserve">السبت </t>
  </si>
  <si>
    <t>22/12/2022</t>
  </si>
  <si>
    <t>13/12/2022</t>
  </si>
  <si>
    <t>اوزوريون</t>
  </si>
  <si>
    <t>14/12/2022</t>
  </si>
  <si>
    <t>15/12/2022</t>
  </si>
  <si>
    <t>17/12/2022</t>
  </si>
  <si>
    <t>18/12/2022</t>
  </si>
  <si>
    <t>19/12/2022</t>
  </si>
  <si>
    <t>20/12/2022</t>
  </si>
  <si>
    <t>21/12/2022</t>
  </si>
  <si>
    <t xml:space="preserve">الاثنين </t>
  </si>
  <si>
    <t xml:space="preserve">الورشة الهندسية </t>
  </si>
  <si>
    <t xml:space="preserve">اوزريون </t>
  </si>
  <si>
    <t>28/1/2023</t>
  </si>
  <si>
    <t>القطاع الهندسي</t>
  </si>
  <si>
    <t>30/1/2023</t>
  </si>
  <si>
    <t>الشؤو ن الادارية</t>
  </si>
  <si>
    <t>الاربعاء</t>
  </si>
  <si>
    <t>13/2/2023</t>
  </si>
  <si>
    <t>14/2/2023</t>
  </si>
  <si>
    <t>15/2/2023</t>
  </si>
  <si>
    <t>16/2/2023</t>
  </si>
  <si>
    <t>18/2/2023</t>
  </si>
  <si>
    <t>20/2/2023</t>
  </si>
  <si>
    <t>21/2/2023</t>
  </si>
  <si>
    <t>22/2/2023</t>
  </si>
  <si>
    <t>19/2/2023</t>
  </si>
  <si>
    <t xml:space="preserve">الزامل </t>
  </si>
  <si>
    <t>23/2/2023</t>
  </si>
  <si>
    <t>25/2/2023</t>
  </si>
  <si>
    <t>26/2/2023</t>
  </si>
  <si>
    <t>27/2/2023</t>
  </si>
  <si>
    <t>شهر</t>
  </si>
  <si>
    <t>إجمالي الساعات</t>
  </si>
  <si>
    <t>الشهر</t>
  </si>
  <si>
    <t xml:space="preserve">الاجمالي </t>
  </si>
  <si>
    <t>13/3/2023</t>
  </si>
  <si>
    <t>14/3/2023</t>
  </si>
  <si>
    <t>15/3/2023</t>
  </si>
  <si>
    <t>16/3/2023</t>
  </si>
  <si>
    <t>18/3/2023</t>
  </si>
  <si>
    <t>19/3/2023</t>
  </si>
  <si>
    <t>22/3/2023</t>
  </si>
  <si>
    <t>25/3/2023</t>
  </si>
  <si>
    <t>26/3/2023</t>
  </si>
  <si>
    <t>29/3/2023</t>
  </si>
  <si>
    <t>27/3/2023</t>
  </si>
  <si>
    <t>28/3/2023</t>
  </si>
  <si>
    <t>29/1/2023</t>
  </si>
  <si>
    <t>شركة الايمان</t>
  </si>
  <si>
    <t xml:space="preserve">مقاول خارجى </t>
  </si>
  <si>
    <t xml:space="preserve">بازان </t>
  </si>
  <si>
    <t>18/4/2023</t>
  </si>
  <si>
    <t>15/5/2023</t>
  </si>
  <si>
    <t>17/5/2023</t>
  </si>
  <si>
    <t>21/5/2023</t>
  </si>
  <si>
    <t>22/5/2023</t>
  </si>
  <si>
    <t>23/5/2023</t>
  </si>
  <si>
    <t>24/5/2023</t>
  </si>
  <si>
    <t>25/5/2023</t>
  </si>
  <si>
    <t>30/5/2023</t>
  </si>
  <si>
    <t>16/5/2023</t>
  </si>
  <si>
    <t>18/5/2023</t>
  </si>
  <si>
    <t xml:space="preserve">الشؤون الادارية </t>
  </si>
  <si>
    <t>27/5/2023</t>
  </si>
  <si>
    <t>13/6/2023</t>
  </si>
  <si>
    <t>14/6/2023</t>
  </si>
  <si>
    <t>15/6/2023</t>
  </si>
  <si>
    <t>17/6/2023</t>
  </si>
  <si>
    <t>18/6/2023</t>
  </si>
  <si>
    <t>31/5/2023</t>
  </si>
  <si>
    <t xml:space="preserve">الثلاثاء </t>
  </si>
  <si>
    <t xml:space="preserve">  12/6/2023    </t>
  </si>
  <si>
    <t xml:space="preserve">اجمالي الساعات </t>
  </si>
  <si>
    <t xml:space="preserve">الموقع </t>
  </si>
  <si>
    <t xml:space="preserve">المخزن الجديد </t>
  </si>
  <si>
    <t>المطابع</t>
  </si>
  <si>
    <t>دويتش</t>
  </si>
  <si>
    <t xml:space="preserve">المخزن القديم </t>
  </si>
  <si>
    <t xml:space="preserve">مخزن الوزارة </t>
  </si>
  <si>
    <t xml:space="preserve">Sum of اجمالي الساعات </t>
  </si>
  <si>
    <t>19/6/2023</t>
  </si>
  <si>
    <t>20/6/2023</t>
  </si>
  <si>
    <t>22/6/2023</t>
  </si>
  <si>
    <t>24/6/2023</t>
  </si>
  <si>
    <t>25/6/2023</t>
  </si>
  <si>
    <t>الاجمالي</t>
  </si>
  <si>
    <t xml:space="preserve">مالك المخزن </t>
  </si>
  <si>
    <t>26/6/2023</t>
  </si>
  <si>
    <t xml:space="preserve">الخميس </t>
  </si>
  <si>
    <t xml:space="preserve"> الاثنين </t>
  </si>
  <si>
    <t xml:space="preserve">الشركة الالمانية </t>
  </si>
  <si>
    <t>نوع العمل</t>
  </si>
  <si>
    <t xml:space="preserve">نوع العمل </t>
  </si>
  <si>
    <t>لحام وتثبيت الرامب</t>
  </si>
  <si>
    <t>13/7/2023</t>
  </si>
  <si>
    <t>تركيب وزرة سلم الادارة</t>
  </si>
  <si>
    <t>14/7/2023</t>
  </si>
  <si>
    <t>لحام الباب الرئيسى</t>
  </si>
  <si>
    <t>اعمال نقاشة</t>
  </si>
  <si>
    <t xml:space="preserve">أعمال نجارة ونقاشة </t>
  </si>
  <si>
    <t>15/7/2023</t>
  </si>
  <si>
    <t xml:space="preserve">أعمال نقاشة </t>
  </si>
  <si>
    <t>16/7/2023</t>
  </si>
  <si>
    <t>17/7/2023</t>
  </si>
  <si>
    <t>تركيب الشبابيك</t>
  </si>
  <si>
    <t xml:space="preserve">تنزيل مدادات </t>
  </si>
  <si>
    <t>تم العمل</t>
  </si>
  <si>
    <t>موقف التصريح</t>
  </si>
  <si>
    <t>مواقف التصريح</t>
  </si>
  <si>
    <t>19/7/2023</t>
  </si>
  <si>
    <t xml:space="preserve">دهان مواسير الحريق </t>
  </si>
  <si>
    <t>20/7/2023</t>
  </si>
  <si>
    <t xml:space="preserve">تركيب تريهات الكهرباء </t>
  </si>
  <si>
    <t>22/7/2023</t>
  </si>
  <si>
    <t xml:space="preserve">الفرح للفراشة  </t>
  </si>
  <si>
    <t xml:space="preserve">فك جزء من الفراشة </t>
  </si>
  <si>
    <t xml:space="preserve">تركيب رخام السلم </t>
  </si>
  <si>
    <t xml:space="preserve">تركيب استكمال الفراشة </t>
  </si>
  <si>
    <t xml:space="preserve">تركيب الفراشة فى الشارع </t>
  </si>
  <si>
    <t xml:space="preserve">لحام قضيب البوابة </t>
  </si>
  <si>
    <t xml:space="preserve">تعديل البوابة الرئيسية </t>
  </si>
  <si>
    <t xml:space="preserve">تعديل بالبوابة الرئيسية </t>
  </si>
  <si>
    <t xml:space="preserve">لحام  باب الامن </t>
  </si>
  <si>
    <t xml:space="preserve">تركيب تريهات ودهان  </t>
  </si>
  <si>
    <t xml:space="preserve">تركيب شبابيك المونتال </t>
  </si>
  <si>
    <t xml:space="preserve">رفع رتش السور </t>
  </si>
  <si>
    <t xml:space="preserve">فك سلم الرخام الادارة  </t>
  </si>
  <si>
    <t xml:space="preserve">تركيب رخام سلم الادارة </t>
  </si>
  <si>
    <t>23/6/2023</t>
  </si>
  <si>
    <t xml:space="preserve">تركيب درج سلم الادارة </t>
  </si>
  <si>
    <t xml:space="preserve">صب خرسانة للبوابة  </t>
  </si>
  <si>
    <t xml:space="preserve">صيانة رامب المخزن </t>
  </si>
  <si>
    <t xml:space="preserve">لحام رامب المخزن </t>
  </si>
  <si>
    <t>توسيع البوابة الرئيسية</t>
  </si>
  <si>
    <t xml:space="preserve">تعديل مدخل البوابة </t>
  </si>
  <si>
    <t xml:space="preserve">تركيب ابواب  ونقاشة </t>
  </si>
  <si>
    <t xml:space="preserve">تغير لمبات الكشافات </t>
  </si>
  <si>
    <t xml:space="preserve">تركيب ابواب  العنبر  </t>
  </si>
  <si>
    <t xml:space="preserve">محارة اعمدة المخزن </t>
  </si>
  <si>
    <t xml:space="preserve">محارة وتركيب باب العنبر </t>
  </si>
  <si>
    <t xml:space="preserve">مكافحة الحشرات </t>
  </si>
  <si>
    <t xml:space="preserve">تركيب مجر الابواب </t>
  </si>
  <si>
    <t xml:space="preserve">تركيب ابواب المخزن </t>
  </si>
  <si>
    <t xml:space="preserve">العمل فى ابواب العنبر </t>
  </si>
  <si>
    <t xml:space="preserve">استكمال العمل فى الابواب </t>
  </si>
  <si>
    <t>محارة مدخل العنبر</t>
  </si>
  <si>
    <t xml:space="preserve">اعمال محارة </t>
  </si>
  <si>
    <t xml:space="preserve">تكسير سلم الادارى </t>
  </si>
  <si>
    <t xml:space="preserve">تسوية الشارع الخلفى </t>
  </si>
  <si>
    <t xml:space="preserve">أحلال وتجديد المبنى </t>
  </si>
  <si>
    <t>19/5/2023</t>
  </si>
  <si>
    <t xml:space="preserve">تركيب الرخام </t>
  </si>
  <si>
    <t xml:space="preserve">صيانة البوابة الرئيسية </t>
  </si>
  <si>
    <t xml:space="preserve">صب خرسانة رصيف الشارع </t>
  </si>
  <si>
    <t xml:space="preserve">صب  رصيف الشارع </t>
  </si>
  <si>
    <t xml:space="preserve">صب ارضيات الشوارع </t>
  </si>
  <si>
    <t xml:space="preserve">تسوية الشارع اما م المخزن </t>
  </si>
  <si>
    <t>صب الشارع امام بوابة 2</t>
  </si>
  <si>
    <t xml:space="preserve">تقصير من البوابة الرئيسية </t>
  </si>
  <si>
    <t xml:space="preserve">تربيط التيش الموجود </t>
  </si>
  <si>
    <t xml:space="preserve">تركيب الخشب بجوار السور </t>
  </si>
  <si>
    <t xml:space="preserve">تركيب مجر صرف الامطار </t>
  </si>
  <si>
    <t xml:space="preserve">تركيب صاج سطح  العنبر </t>
  </si>
  <si>
    <t xml:space="preserve">استكمال  صاج سطح  العنبر </t>
  </si>
  <si>
    <t>فك الكشافات وتغيرها</t>
  </si>
  <si>
    <t xml:space="preserve">لحام  البوابة الرئيسية   </t>
  </si>
  <si>
    <t xml:space="preserve">لحام مجر صرف السقف </t>
  </si>
  <si>
    <t>رفض التصريح</t>
  </si>
  <si>
    <r>
      <t>ت</t>
    </r>
    <r>
      <rPr>
        <sz val="10"/>
        <color theme="1"/>
        <rFont val="Arial"/>
        <family val="2"/>
        <scheme val="minor"/>
      </rPr>
      <t xml:space="preserve">كسير اشاير عمدان السور </t>
    </r>
  </si>
  <si>
    <t xml:space="preserve">دهان اماكن اللحام </t>
  </si>
  <si>
    <t>تركيب فرش بجانب الباب</t>
  </si>
  <si>
    <t xml:space="preserve">صيانة ابواب وتركيب كانات </t>
  </si>
  <si>
    <t xml:space="preserve">تعديل فى ابواب المخازن </t>
  </si>
  <si>
    <t>تركيب كراسى تقوية الكمر</t>
  </si>
  <si>
    <t xml:space="preserve">تركيب بالتات حديد  ولحام </t>
  </si>
  <si>
    <t>عمل كراسى تثبيت للمجارى</t>
  </si>
  <si>
    <t>تركيب بالتات أبواب الطوارىء</t>
  </si>
  <si>
    <t>أصلاح ابواب الطوارىء</t>
  </si>
  <si>
    <t xml:space="preserve">تكسير سقف مبيت االامن </t>
  </si>
  <si>
    <t xml:space="preserve">كشط حائط غرفة الطلمبات </t>
  </si>
  <si>
    <t xml:space="preserve">فطع ولحام وتركيب الرشاشات </t>
  </si>
  <si>
    <t xml:space="preserve">لحام وتركيب شبكة الرشاشات </t>
  </si>
  <si>
    <t xml:space="preserve">لحام مواسير  4 بوصة وتعديل </t>
  </si>
  <si>
    <t xml:space="preserve">تركيب شبكة الرشاشات </t>
  </si>
  <si>
    <t xml:space="preserve">تركيب شبكة الكهرباء </t>
  </si>
  <si>
    <t xml:space="preserve">تركيب صاج سقف سطح  العنبر </t>
  </si>
  <si>
    <t xml:space="preserve">فك وتركيب الصاج </t>
  </si>
  <si>
    <t xml:space="preserve">تركيب صاج جبلون  العنبر </t>
  </si>
  <si>
    <t xml:space="preserve">تكسير ومحارة </t>
  </si>
  <si>
    <t xml:space="preserve">فك وتنزيل المدادات </t>
  </si>
  <si>
    <t xml:space="preserve">رفع وتصبين جمالون السقف </t>
  </si>
  <si>
    <t>تسوية الشارع ورفع الرتش</t>
  </si>
  <si>
    <t xml:space="preserve">تركيب عزل فى حمامات المخزن </t>
  </si>
  <si>
    <t xml:space="preserve">هرس ودك ارضية الشوارع </t>
  </si>
  <si>
    <t xml:space="preserve">تركيب رشاشات خط الحريق </t>
  </si>
  <si>
    <t xml:space="preserve">تسوية الشوارع الجانبية </t>
  </si>
  <si>
    <t xml:space="preserve">تركيب شبكة الانزار داخل العنبر </t>
  </si>
  <si>
    <t xml:space="preserve">تركيب جوانب مجر الصرف </t>
  </si>
  <si>
    <t xml:space="preserve">للعمل فى الشوارع الجانبية للعنبر </t>
  </si>
  <si>
    <t xml:space="preserve">تركيب صاج العنبر الجديد </t>
  </si>
  <si>
    <t xml:space="preserve">تركيب الجمالون ومجر الصرف </t>
  </si>
  <si>
    <t xml:space="preserve">تركيب جوانب الصاج الخاصة </t>
  </si>
  <si>
    <t xml:space="preserve">تركيب جوانب الصاج العنبر </t>
  </si>
  <si>
    <t xml:space="preserve">تركيب صاج جانبى </t>
  </si>
  <si>
    <t xml:space="preserve">استكمال تركيب صاج العنبر </t>
  </si>
  <si>
    <t xml:space="preserve">تركيب كهرباء وتوصيل كابلات </t>
  </si>
  <si>
    <t>رفع وتركيب صاج سقف العنبر</t>
  </si>
  <si>
    <t>تركيب كهرباء العنبر الجديد</t>
  </si>
  <si>
    <t xml:space="preserve">تركيب صاج الجمالون </t>
  </si>
  <si>
    <t>تركيب شبكة الانزار والحريق</t>
  </si>
  <si>
    <t xml:space="preserve">تركيب محابس شبكة الحريق </t>
  </si>
  <si>
    <t>تجهيز تركيب صاج سقف العنبر</t>
  </si>
  <si>
    <t xml:space="preserve">تركيب سقف جمالون العنبر </t>
  </si>
  <si>
    <t xml:space="preserve">استكمال تركيب الرشاشات </t>
  </si>
  <si>
    <t xml:space="preserve">صب خرسانة لتثبيت المواسير </t>
  </si>
  <si>
    <r>
      <rPr>
        <b/>
        <sz val="9"/>
        <color theme="1"/>
        <rFont val="Arial"/>
        <family val="2"/>
        <scheme val="minor"/>
      </rPr>
      <t>صب خرسانة لتثبيت المواسير</t>
    </r>
    <r>
      <rPr>
        <b/>
        <sz val="8"/>
        <color theme="1"/>
        <rFont val="Arial"/>
        <family val="2"/>
        <scheme val="minor"/>
      </rPr>
      <t xml:space="preserve">   </t>
    </r>
  </si>
  <si>
    <t xml:space="preserve">صب خرسانة ارضيات الشوارع </t>
  </si>
  <si>
    <t>23/7/2023</t>
  </si>
  <si>
    <t xml:space="preserve">تركيب تريهات الكهرباءالعنبر </t>
  </si>
  <si>
    <t xml:space="preserve">اعمال محارة ونقاشة </t>
  </si>
  <si>
    <t>24/7/2023</t>
  </si>
  <si>
    <t xml:space="preserve">شركة الفيل  </t>
  </si>
  <si>
    <t>26/7/2023</t>
  </si>
  <si>
    <t>25/7/2023</t>
  </si>
  <si>
    <t xml:space="preserve">عمل رفع مواسير 4 بوصة </t>
  </si>
  <si>
    <t xml:space="preserve">تقفيل شنايش السور </t>
  </si>
  <si>
    <t>27/7/2023</t>
  </si>
  <si>
    <t xml:space="preserve">تقفيل الفتحات بالسور </t>
  </si>
  <si>
    <t>29/7/2023</t>
  </si>
  <si>
    <t xml:space="preserve">تجهيزوتجميع مواسير الحريق  </t>
  </si>
  <si>
    <t xml:space="preserve">تركيب وحدة اطفاء ذاتى FM200 </t>
  </si>
  <si>
    <t xml:space="preserve">هاى سكيور  سيستم </t>
  </si>
  <si>
    <t>31/7/2023</t>
  </si>
  <si>
    <t xml:space="preserve">ازالة فراشة الموسم  </t>
  </si>
  <si>
    <t xml:space="preserve">تغيير وصلة راجع الجاز </t>
  </si>
  <si>
    <t xml:space="preserve">توصيل كهرباء </t>
  </si>
  <si>
    <t xml:space="preserve">تركيب شبكة الكهرباء  </t>
  </si>
  <si>
    <t xml:space="preserve">تركيب شبكة الفاير  </t>
  </si>
  <si>
    <t xml:space="preserve">صيانة المولد </t>
  </si>
  <si>
    <t>تركيب شبكةالحريق والكهرباء</t>
  </si>
  <si>
    <t>تركيب شبكة الكهرباء الحريق</t>
  </si>
  <si>
    <t xml:space="preserve">القطاع الهندسى  </t>
  </si>
  <si>
    <t xml:space="preserve">اعمال لحام استندات </t>
  </si>
  <si>
    <t xml:space="preserve"> </t>
  </si>
  <si>
    <t xml:space="preserve">الكريم للتجارة </t>
  </si>
  <si>
    <t xml:space="preserve">حفر وكشف على ماسورة حريق </t>
  </si>
  <si>
    <t xml:space="preserve">اعمال نقاشة </t>
  </si>
  <si>
    <t xml:space="preserve">توصيل خط الحريق الرئيسى  </t>
  </si>
  <si>
    <t>تركيب شبكةا والكهرباء</t>
  </si>
  <si>
    <t xml:space="preserve">تركيب شبكةالحريق </t>
  </si>
  <si>
    <t xml:space="preserve">الجمعة   </t>
  </si>
  <si>
    <t>ردم ماسورة الحريق الجديدة</t>
  </si>
  <si>
    <t xml:space="preserve">المخازن  </t>
  </si>
  <si>
    <t xml:space="preserve">تنزيل حاويات خامات  </t>
  </si>
  <si>
    <t xml:space="preserve">لحام مواسير خط الحريق </t>
  </si>
  <si>
    <t xml:space="preserve">المشرف التنفيزى </t>
  </si>
  <si>
    <t>المشرف التنفيذى</t>
  </si>
  <si>
    <t xml:space="preserve">المشرف التنفيذى </t>
  </si>
  <si>
    <t>الموقع</t>
  </si>
  <si>
    <t>مخزن الوزارة</t>
  </si>
  <si>
    <t>الفجالة</t>
  </si>
  <si>
    <t>إجمالي ساعات العمل</t>
  </si>
  <si>
    <t>مجموع من إجمالي ساعات العمل</t>
  </si>
  <si>
    <t>مراد صالح</t>
  </si>
  <si>
    <t>البرج</t>
  </si>
  <si>
    <t>المصدر</t>
  </si>
  <si>
    <t>صيغة1</t>
  </si>
  <si>
    <t>صيغة2</t>
  </si>
  <si>
    <t>هانى لطفى الميلجي عبد الحميد</t>
  </si>
  <si>
    <t>مشرف السلامة</t>
  </si>
  <si>
    <t>تقييم العملية</t>
  </si>
  <si>
    <t xml:space="preserve"> شركة الفتح </t>
  </si>
  <si>
    <t xml:space="preserve">الشركة الوطنية </t>
  </si>
  <si>
    <t xml:space="preserve">فرانس ميتال </t>
  </si>
  <si>
    <t xml:space="preserve">ادارة المتابعة والمراقبة </t>
  </si>
  <si>
    <t xml:space="preserve">ستار كول  للتبريد والتكيف </t>
  </si>
  <si>
    <t xml:space="preserve">ترى تك لا نظمة التحكم والمراقبة </t>
  </si>
  <si>
    <t xml:space="preserve">لفت ايجبت </t>
  </si>
  <si>
    <t xml:space="preserve">محمود مصطفى سيد </t>
  </si>
  <si>
    <t xml:space="preserve">    ممدوح عبد التواب     </t>
  </si>
  <si>
    <t xml:space="preserve">اعمال بناء </t>
  </si>
  <si>
    <t xml:space="preserve">شركة فودافون </t>
  </si>
  <si>
    <t xml:space="preserve">شركة المتحدة للمصاعد </t>
  </si>
  <si>
    <t>شركة الامل للالمونتال</t>
  </si>
  <si>
    <t>ساعات العمل الخارجي</t>
  </si>
  <si>
    <t xml:space="preserve">شركة الايمان </t>
  </si>
  <si>
    <t xml:space="preserve">شركة نات جاز </t>
  </si>
  <si>
    <t>شركة نيو بيلنتج</t>
  </si>
  <si>
    <t xml:space="preserve">شركة المصرية المتحدة </t>
  </si>
  <si>
    <t>شركة الفرج</t>
  </si>
  <si>
    <t xml:space="preserve">شركة جلوب ويل </t>
  </si>
  <si>
    <t xml:space="preserve">شركة اكوا تراست </t>
  </si>
  <si>
    <t xml:space="preserve">محمود سعيد </t>
  </si>
  <si>
    <t xml:space="preserve">محمد زقل  جاد </t>
  </si>
  <si>
    <t xml:space="preserve">تركيب سيراميك حمامات </t>
  </si>
  <si>
    <t xml:space="preserve">تركيب خط الحريق  </t>
  </si>
  <si>
    <t xml:space="preserve">نظافة العنبر </t>
  </si>
  <si>
    <t xml:space="preserve">سعداوى </t>
  </si>
  <si>
    <t xml:space="preserve">لم يتم غلق التصريح </t>
  </si>
  <si>
    <t xml:space="preserve">تركيب كهرباء وعمل دهان </t>
  </si>
  <si>
    <t xml:space="preserve">تركيب الفاير </t>
  </si>
  <si>
    <t xml:space="preserve">محمد خليل النقيب </t>
  </si>
  <si>
    <t xml:space="preserve">تركيب مروحة سقف فى مبيت الامن </t>
  </si>
  <si>
    <t xml:space="preserve">صيانة خط الحريق </t>
  </si>
  <si>
    <t>صابر ابراهيم</t>
  </si>
  <si>
    <t xml:space="preserve">اعمال لحام </t>
  </si>
  <si>
    <t xml:space="preserve">مكافحة حشرات </t>
  </si>
  <si>
    <t xml:space="preserve">زياد </t>
  </si>
  <si>
    <t xml:space="preserve">المرور على لوح انزار غرف الكهرباء </t>
  </si>
  <si>
    <t xml:space="preserve">سعداوى رياض </t>
  </si>
  <si>
    <t xml:space="preserve">تركيب كهرباء المبنى الادارى </t>
  </si>
  <si>
    <t xml:space="preserve">تركيب سيراميك الحمامات </t>
  </si>
  <si>
    <t xml:space="preserve">سعداوى  رياض </t>
  </si>
  <si>
    <t xml:space="preserve">تجميع وتركيب تريهات الكهرباء </t>
  </si>
  <si>
    <t xml:space="preserve">سامى شعبان  </t>
  </si>
  <si>
    <t xml:space="preserve">تركيب عفشة لكلارك 29 </t>
  </si>
  <si>
    <t xml:space="preserve">محمد ماهر </t>
  </si>
  <si>
    <t xml:space="preserve">ياسر روبى  </t>
  </si>
  <si>
    <t xml:space="preserve"> تركيب سيراميك غرفة شؤون الطلبة  الاكادمية </t>
  </si>
  <si>
    <t xml:space="preserve">احمد على فؤاد </t>
  </si>
  <si>
    <t xml:space="preserve">تركيب شبكة الحريق </t>
  </si>
  <si>
    <t xml:space="preserve">عبد العاطى سعيد عبد العاطى </t>
  </si>
  <si>
    <t xml:space="preserve">علاء عنتر  محمد </t>
  </si>
  <si>
    <t xml:space="preserve">احمد مرسى مرسى جبر </t>
  </si>
  <si>
    <t xml:space="preserve">احمد محمود بكرى </t>
  </si>
  <si>
    <t xml:space="preserve">احمد سعد طلبة </t>
  </si>
  <si>
    <t xml:space="preserve">محمد محمود عبد العال </t>
  </si>
  <si>
    <t xml:space="preserve">محمد موسى اسماعيل  </t>
  </si>
  <si>
    <t xml:space="preserve">ادهم مصطفى عبد العليم </t>
  </si>
  <si>
    <t xml:space="preserve">المطابع </t>
  </si>
  <si>
    <t xml:space="preserve">دويتش </t>
  </si>
  <si>
    <t xml:space="preserve">داود تك </t>
  </si>
  <si>
    <t xml:space="preserve">مراد صالح  </t>
  </si>
  <si>
    <t xml:space="preserve">تركيب سيراميك مكتب د/ احمد </t>
  </si>
  <si>
    <t xml:space="preserve">فرج محمد </t>
  </si>
  <si>
    <t xml:space="preserve">فك الفراشة الموجودة فى الشوارع الخارجية </t>
  </si>
  <si>
    <t xml:space="preserve">مصطفى محمود </t>
  </si>
  <si>
    <t xml:space="preserve">دهان تندة خزانات المياه والطلمبة الاحتياطى  </t>
  </si>
  <si>
    <t xml:space="preserve">ناقص  تويقعات  </t>
  </si>
  <si>
    <t xml:space="preserve">صفوت شفيق </t>
  </si>
  <si>
    <t>لحام باب الامن  وباب عنبر رقم د</t>
  </si>
  <si>
    <t xml:space="preserve">محمد رمضان   </t>
  </si>
  <si>
    <t xml:space="preserve">محمود ربيع  </t>
  </si>
  <si>
    <t xml:space="preserve">صيانة الكلاركات </t>
  </si>
  <si>
    <t xml:space="preserve">محمد رجب </t>
  </si>
  <si>
    <t xml:space="preserve">محمد رجب  </t>
  </si>
  <si>
    <t xml:space="preserve">استكمال تركيب كهرباء المبنى الادارى </t>
  </si>
  <si>
    <t xml:space="preserve">استكمال اعمال السباكة المبنى الادارى </t>
  </si>
  <si>
    <t xml:space="preserve">رامى </t>
  </si>
  <si>
    <t xml:space="preserve">تركيب شباك المونتال فى حمام الادارى </t>
  </si>
  <si>
    <t xml:space="preserve">محمد جابر </t>
  </si>
  <si>
    <t xml:space="preserve">تركيب  شفاط الكهرباء فى غرفة تغيير الملابس   </t>
  </si>
  <si>
    <t xml:space="preserve">صابر ابراهيم </t>
  </si>
  <si>
    <t xml:space="preserve">عمل تقوية لحوامل خط الحريق </t>
  </si>
  <si>
    <t xml:space="preserve">ناقص  توقيعات </t>
  </si>
  <si>
    <t xml:space="preserve">عمل نجارة ابواب الخشب  فى المبنى الادارى </t>
  </si>
  <si>
    <t xml:space="preserve">تجميع وتركيب شبكة الحريق </t>
  </si>
  <si>
    <t xml:space="preserve">تركيبات  </t>
  </si>
  <si>
    <t xml:space="preserve">حامد      </t>
  </si>
  <si>
    <t>عمل نقاشة فى مكتب  د/ احمد</t>
  </si>
  <si>
    <t xml:space="preserve">مصطفى عاشور       </t>
  </si>
  <si>
    <t xml:space="preserve">صيانة الطلمبة جوكى </t>
  </si>
  <si>
    <t xml:space="preserve">الاربعاء </t>
  </si>
  <si>
    <t xml:space="preserve">تركيب تندة حديد لخزان المياه </t>
  </si>
  <si>
    <t xml:space="preserve">صيانة كلارك </t>
  </si>
  <si>
    <t xml:space="preserve">تركيب كشاف على المبنى الادارى من الخارج    </t>
  </si>
  <si>
    <t>استكمال اعمال  نقاشة فى مكتب  د/ احمد</t>
  </si>
  <si>
    <t xml:space="preserve"> على الشنوبى     </t>
  </si>
  <si>
    <t xml:space="preserve">حسام جناد </t>
  </si>
  <si>
    <t>تركيب لوحة ويب 9</t>
  </si>
  <si>
    <t xml:space="preserve">شركة الهدى </t>
  </si>
  <si>
    <t xml:space="preserve">اسلام مصطفى  </t>
  </si>
  <si>
    <t>عمل صيانة الكنترول  CTB</t>
  </si>
  <si>
    <t xml:space="preserve">محمد عادل  </t>
  </si>
  <si>
    <t xml:space="preserve">صيانة المصاعد    </t>
  </si>
  <si>
    <t xml:space="preserve"> استكمال تركيب تندة حديد لخزان المياه </t>
  </si>
  <si>
    <t xml:space="preserve">حامد ابو المحاميد   </t>
  </si>
  <si>
    <t xml:space="preserve">فك الطلمبة الجوكى واصلاحها  وعمل صيانة </t>
  </si>
  <si>
    <t xml:space="preserve">احمد سعيد  </t>
  </si>
  <si>
    <t xml:space="preserve">تركيب مواسير صرف الامطار العنابر     </t>
  </si>
  <si>
    <t xml:space="preserve">تركيب مواسير صرف الامطارفى  العنابر     </t>
  </si>
  <si>
    <t xml:space="preserve">ياسر ابراهيم  </t>
  </si>
  <si>
    <t xml:space="preserve">تركيب رخام المطبخ فى المبنى الادارى      </t>
  </si>
  <si>
    <t xml:space="preserve">استكمال اعمال النجارة فى ابواب الخشب المبنى  </t>
  </si>
  <si>
    <t xml:space="preserve">تجميع وتركيب شبكة الحريق والكهرباء </t>
  </si>
  <si>
    <t xml:space="preserve">عمرو الجندى </t>
  </si>
  <si>
    <r>
      <rPr>
        <sz val="10"/>
        <color theme="1"/>
        <rFont val="Arial"/>
        <family val="2"/>
        <scheme val="minor"/>
      </rPr>
      <t xml:space="preserve">انشائات </t>
    </r>
    <r>
      <rPr>
        <b/>
        <sz val="10"/>
        <color theme="1"/>
        <rFont val="Arial"/>
        <family val="2"/>
        <scheme val="minor"/>
      </rPr>
      <t xml:space="preserve"> </t>
    </r>
  </si>
  <si>
    <t xml:space="preserve">احمد عامر </t>
  </si>
  <si>
    <t xml:space="preserve">حامد عطوان   </t>
  </si>
  <si>
    <t xml:space="preserve"> على الشحات </t>
  </si>
  <si>
    <t xml:space="preserve">تركيب انزار المبنى الادارى  </t>
  </si>
  <si>
    <t xml:space="preserve">ادم محمد   </t>
  </si>
  <si>
    <t xml:space="preserve">صيانة  ماسورة  صرف الامطارفى عنبر  ويب 2     </t>
  </si>
  <si>
    <t xml:space="preserve">توضيح  مكان العمل ونوع العمل </t>
  </si>
  <si>
    <t xml:space="preserve">تركيبات ولحام  </t>
  </si>
  <si>
    <t xml:space="preserve">تجميع وتركيب شبكة  والكهرباء </t>
  </si>
  <si>
    <t xml:space="preserve">تجميع وتركيب شبكةا لحريق </t>
  </si>
  <si>
    <t xml:space="preserve">الاهتمام بشكل التصريح </t>
  </si>
  <si>
    <t xml:space="preserve">تركيب كوالين  الابواب الخشب  وعمل نجارة </t>
  </si>
  <si>
    <t xml:space="preserve">تقطيع بالصاروخ </t>
  </si>
  <si>
    <t xml:space="preserve">مصطفى رشاد    </t>
  </si>
  <si>
    <t xml:space="preserve">دهان حوائط الكفتريا      </t>
  </si>
  <si>
    <t xml:space="preserve">شركة فاكتو </t>
  </si>
  <si>
    <t xml:space="preserve">تصليح باب مخزن الوزارة </t>
  </si>
  <si>
    <t xml:space="preserve">توضيع ساعات الانتهاء من العمل </t>
  </si>
  <si>
    <t xml:space="preserve">تجميع وتركيب شبكة الكهرباء </t>
  </si>
  <si>
    <t>تجميع وتركيب شبكة الحريق</t>
  </si>
  <si>
    <t xml:space="preserve">لحام مجرى الباب الرئيسى </t>
  </si>
  <si>
    <t xml:space="preserve">لحام حوامل الطفايات </t>
  </si>
  <si>
    <t>الشركة الهندسية</t>
  </si>
  <si>
    <t xml:space="preserve">فارس خليل </t>
  </si>
  <si>
    <t>تجميع وتركيب سلم الطوارىء</t>
  </si>
  <si>
    <t xml:space="preserve">مصطفى عبد الله </t>
  </si>
  <si>
    <t xml:space="preserve">رامى محمد  </t>
  </si>
  <si>
    <t>تركيب قواطع الالمونتال</t>
  </si>
  <si>
    <t xml:space="preserve">أحمد مخيمر  </t>
  </si>
  <si>
    <t xml:space="preserve">سامى محمود </t>
  </si>
  <si>
    <t xml:space="preserve">فيكتور     </t>
  </si>
  <si>
    <t xml:space="preserve">صيانة الديزل وشبكة الحريق </t>
  </si>
  <si>
    <t xml:space="preserve">التاكد من تاريخ التصريح </t>
  </si>
  <si>
    <t xml:space="preserve">ناقص  توقيعات  والتاكد من تاريخ التصريح  </t>
  </si>
  <si>
    <t xml:space="preserve">تجميع وتركيب شبكة الحريق والانزار </t>
  </si>
  <si>
    <t xml:space="preserve">عصام شرف      </t>
  </si>
  <si>
    <t xml:space="preserve">تركيب الطلمبة الجوكى </t>
  </si>
  <si>
    <t xml:space="preserve">محمود طلعت </t>
  </si>
  <si>
    <t xml:space="preserve">الشركة المصرية للعمارة الحديثة </t>
  </si>
  <si>
    <t xml:space="preserve">حازم عبد الرحيم </t>
  </si>
  <si>
    <t xml:space="preserve">انس اسماعيل </t>
  </si>
  <si>
    <t xml:space="preserve">تركيب ستاير  مكتب مدير المخازن  </t>
  </si>
  <si>
    <t xml:space="preserve">صيانة كهرباء المسجد </t>
  </si>
  <si>
    <t xml:space="preserve">تركيب خرطوم الديزل </t>
  </si>
  <si>
    <t xml:space="preserve">حسن </t>
  </si>
  <si>
    <t xml:space="preserve">توصيل الطلمبة الجوكى </t>
  </si>
  <si>
    <t xml:space="preserve">صيانة طلمبة الجوكى </t>
  </si>
  <si>
    <t xml:space="preserve">علاء الشابورى   </t>
  </si>
  <si>
    <t xml:space="preserve">سيد معوض </t>
  </si>
  <si>
    <t xml:space="preserve">ناقص توقيعات </t>
  </si>
  <si>
    <t xml:space="preserve">اشرف عبد العاطى </t>
  </si>
  <si>
    <t>لحام قواعد حديد ماكينة حقن الامونيوم</t>
  </si>
  <si>
    <t xml:space="preserve">افارس خليل  </t>
  </si>
  <si>
    <t xml:space="preserve">الورشة الفنية لتشغيلات المعدنية </t>
  </si>
  <si>
    <t xml:space="preserve">طارق رجب </t>
  </si>
  <si>
    <t xml:space="preserve"> صيانة سقف عنبر  المعدنى ومجر صرف </t>
  </si>
  <si>
    <t xml:space="preserve">م/ رمضان  </t>
  </si>
  <si>
    <t xml:space="preserve">تركيب حديد على عمدان الجمالون </t>
  </si>
  <si>
    <t xml:space="preserve">شركة اوزوريون </t>
  </si>
  <si>
    <t xml:space="preserve">زياد على </t>
  </si>
  <si>
    <t xml:space="preserve">شركة الدروى </t>
  </si>
  <si>
    <t xml:space="preserve">محمود الدروى </t>
  </si>
  <si>
    <t xml:space="preserve">صيانة تكيفات </t>
  </si>
  <si>
    <t xml:space="preserve">شركة اشتيكس </t>
  </si>
  <si>
    <t>محمد عبد الرحمن</t>
  </si>
  <si>
    <t>تغير سير ماكينة كولبس 2</t>
  </si>
  <si>
    <t xml:space="preserve">ايمن رمضان </t>
  </si>
  <si>
    <t>تجميع ودهان  سلم الطوارىء</t>
  </si>
  <si>
    <t xml:space="preserve">توصيل  ماسورة المياة للطلمبة الجوكى  </t>
  </si>
  <si>
    <t xml:space="preserve">الشركة المتحدة </t>
  </si>
  <si>
    <t xml:space="preserve">حسين حجاج </t>
  </si>
  <si>
    <t xml:space="preserve">احمد مظهر  </t>
  </si>
  <si>
    <t xml:space="preserve">صلاح خميس </t>
  </si>
  <si>
    <t xml:space="preserve">اعمال لحام ارجون  ويب </t>
  </si>
  <si>
    <t xml:space="preserve">زياد عادل </t>
  </si>
  <si>
    <t>الورشة الهندسية للخراطة</t>
  </si>
  <si>
    <t xml:space="preserve">الشركة المصرية </t>
  </si>
  <si>
    <t xml:space="preserve">شركة انت فاير </t>
  </si>
  <si>
    <t xml:space="preserve">محمد حسن </t>
  </si>
  <si>
    <t xml:space="preserve">تركيبات على ارتفعات </t>
  </si>
  <si>
    <t xml:space="preserve">مينا محروس </t>
  </si>
  <si>
    <t xml:space="preserve">لحام وتريكبات </t>
  </si>
  <si>
    <t xml:space="preserve">علاء احمد </t>
  </si>
  <si>
    <t xml:space="preserve">تريكبات </t>
  </si>
  <si>
    <t xml:space="preserve">رصف  ارضيات الشوارع </t>
  </si>
  <si>
    <t xml:space="preserve">رصف ارضيات الشوارع </t>
  </si>
  <si>
    <t xml:space="preserve">حامد  عطوان    </t>
  </si>
  <si>
    <t xml:space="preserve">زيارة شركة كريم  للصيانة  الدورية </t>
  </si>
  <si>
    <t xml:space="preserve">عمل صنفرة ودهانات </t>
  </si>
  <si>
    <t xml:space="preserve">تكسير الحمام الخاص بالعاملين للتجديدة </t>
  </si>
  <si>
    <t xml:space="preserve">محمد حسنى   </t>
  </si>
  <si>
    <t xml:space="preserve">صيانة دورية لغرف ومحابس الغاز     </t>
  </si>
  <si>
    <t xml:space="preserve">احمد صلاح  </t>
  </si>
  <si>
    <t xml:space="preserve">صيانة الدور العاشر </t>
  </si>
  <si>
    <t xml:space="preserve">شركة جيلا  </t>
  </si>
  <si>
    <t xml:space="preserve">استكمال اعمال تجديد حمام العاملين بالمخازن </t>
  </si>
  <si>
    <t xml:space="preserve">شريف حسن </t>
  </si>
  <si>
    <t xml:space="preserve">صيانة وتركيبات الدور العاشر </t>
  </si>
  <si>
    <t xml:space="preserve">صيانة الكلاركات الهونداى </t>
  </si>
  <si>
    <t xml:space="preserve">محمود ابو شادى </t>
  </si>
  <si>
    <t xml:space="preserve">انشاء حمام بديل حمام العمال  يتم تجديدة  </t>
  </si>
  <si>
    <t xml:space="preserve">اعمال شق وتكسير بالرامب </t>
  </si>
  <si>
    <t xml:space="preserve">عبد الله السيد عباس </t>
  </si>
  <si>
    <t xml:space="preserve">اكرم  رجب </t>
  </si>
  <si>
    <t xml:space="preserve">عبد الحميد </t>
  </si>
  <si>
    <t xml:space="preserve">عمل قوائم خرسانة للجمالون  </t>
  </si>
  <si>
    <t xml:space="preserve">فارس خليل  </t>
  </si>
  <si>
    <t xml:space="preserve">لحامات فى الجمالون </t>
  </si>
  <si>
    <t xml:space="preserve">احلا ل وتجديد سقف جمالون دويتش  </t>
  </si>
  <si>
    <t>خميس محمد ع الحليم</t>
  </si>
  <si>
    <t xml:space="preserve">هدم وتكسير سلم العاملين   </t>
  </si>
  <si>
    <t xml:space="preserve">ممدوح عبد التواب </t>
  </si>
  <si>
    <t xml:space="preserve">تغيير  واستبدال حساسات التجليد </t>
  </si>
  <si>
    <t xml:space="preserve">صيانة شبكة الانزار </t>
  </si>
  <si>
    <t xml:space="preserve">عبد الرحمان محمد </t>
  </si>
  <si>
    <t xml:space="preserve">تركيب رخام سلم العاملين  </t>
  </si>
  <si>
    <t>محمود عبد التواب  عبد الحميد</t>
  </si>
  <si>
    <t xml:space="preserve">التعديل بالرامب </t>
  </si>
  <si>
    <t xml:space="preserve">حسن  عبد العظيم </t>
  </si>
  <si>
    <t xml:space="preserve">توصيل كونتا كتور الخاص بالطلمبة الجوكى </t>
  </si>
  <si>
    <t xml:space="preserve">محمد خليل </t>
  </si>
  <si>
    <t xml:space="preserve">توصيل ماتور رفع المياة فى المبنى الادالرى  </t>
  </si>
  <si>
    <t xml:space="preserve"> تجديد حمام العاملين بالمخازن </t>
  </si>
  <si>
    <t xml:space="preserve">احمد عبد النبى  </t>
  </si>
  <si>
    <t xml:space="preserve">محمد حسنى  </t>
  </si>
  <si>
    <t>عمل شدة خشبية  عمدان العنبر الجديد</t>
  </si>
  <si>
    <t xml:space="preserve">تركيب رخام لحمام استراحة المهندسين </t>
  </si>
  <si>
    <t xml:space="preserve">اكرم طارق  </t>
  </si>
  <si>
    <t xml:space="preserve">طارق رجب   </t>
  </si>
  <si>
    <t xml:space="preserve">تجميع وتركيب  والكهرباء </t>
  </si>
  <si>
    <t>حامد المحاميد</t>
  </si>
  <si>
    <t xml:space="preserve">دهان ماسورة فى غرفة الطرمبات </t>
  </si>
  <si>
    <t xml:space="preserve">كمال مرسى </t>
  </si>
  <si>
    <t xml:space="preserve">ازالة بلاور  الويب القديم </t>
  </si>
  <si>
    <t xml:space="preserve">تجهيز لحامات </t>
  </si>
  <si>
    <t xml:space="preserve">مرور شهرى على خط  الاطفاء </t>
  </si>
  <si>
    <t xml:space="preserve">تقطيع ولحام </t>
  </si>
  <si>
    <t xml:space="preserve">تركيب السيراميك فى الحمام  العاملين </t>
  </si>
  <si>
    <t xml:space="preserve">حازم عبد الرحيم  </t>
  </si>
  <si>
    <t xml:space="preserve">تريكبات وصيانة  </t>
  </si>
  <si>
    <t xml:space="preserve">لحام زاويه حديدفى تنكات الاحبار </t>
  </si>
  <si>
    <t xml:space="preserve">تجديد الحمام  </t>
  </si>
  <si>
    <t xml:space="preserve">شامخ سيد </t>
  </si>
  <si>
    <t xml:space="preserve">صيانة شبكة فودافون </t>
  </si>
  <si>
    <t xml:space="preserve">حامد عطوان </t>
  </si>
  <si>
    <t xml:space="preserve">زيارة شركة الصيانة  </t>
  </si>
  <si>
    <t xml:space="preserve">محمد خليل   </t>
  </si>
  <si>
    <t xml:space="preserve">توصيل  كهرباء انارة وسخان </t>
  </si>
  <si>
    <t xml:space="preserve">احمد نوفل </t>
  </si>
  <si>
    <t xml:space="preserve">تركيب حوض حمام </t>
  </si>
  <si>
    <t xml:space="preserve">اعمال ردم خرسانة </t>
  </si>
  <si>
    <t xml:space="preserve">تركيب بلور </t>
  </si>
  <si>
    <t xml:space="preserve">تركيب كابل نت   </t>
  </si>
  <si>
    <t xml:space="preserve"> كريم مجدى </t>
  </si>
  <si>
    <t xml:space="preserve">تركيب كابل تكيف </t>
  </si>
  <si>
    <t xml:space="preserve">عمل لحام  تنكات الاحبار </t>
  </si>
  <si>
    <t xml:space="preserve">احمد سلامة </t>
  </si>
  <si>
    <t xml:space="preserve">اعمال نقاشة   </t>
  </si>
  <si>
    <t xml:space="preserve">صيانة طلمبات الحريق </t>
  </si>
  <si>
    <t xml:space="preserve">تركيب كاميرات </t>
  </si>
  <si>
    <t xml:space="preserve">لحام صيانة باب المخزن </t>
  </si>
  <si>
    <t>فك خشب</t>
  </si>
  <si>
    <t>تعديل ولحام شاسيه</t>
  </si>
  <si>
    <t>عادل شحات</t>
  </si>
  <si>
    <t>تسوية الارضيه</t>
  </si>
  <si>
    <t>احمد بدوي</t>
  </si>
  <si>
    <t>تركيب حساسات</t>
  </si>
  <si>
    <t>صيانة تكييفات</t>
  </si>
  <si>
    <t xml:space="preserve">مجدى كرم  </t>
  </si>
  <si>
    <t xml:space="preserve">تغير السقف المعلق </t>
  </si>
  <si>
    <t xml:space="preserve">تركيب  السقف المعلق </t>
  </si>
  <si>
    <t xml:space="preserve">وائل انور  </t>
  </si>
  <si>
    <t xml:space="preserve">فك وتغيير وتركيب  السقف المعلق </t>
  </si>
  <si>
    <t>ادم</t>
  </si>
  <si>
    <t>رصف مدخل بوابة 2</t>
  </si>
  <si>
    <t xml:space="preserve">استكمال العمل فى رصف ارضيات الشوارع </t>
  </si>
  <si>
    <t xml:space="preserve">الشركة العالمية لاعمال الهندسية  </t>
  </si>
  <si>
    <t xml:space="preserve">صابر احمد السيد </t>
  </si>
  <si>
    <t xml:space="preserve">تركيب تشيلر حديد ولحام </t>
  </si>
  <si>
    <t xml:space="preserve">عبد الله السعيد </t>
  </si>
  <si>
    <t xml:space="preserve">لحام وتجليخ </t>
  </si>
  <si>
    <t xml:space="preserve">احمد حسن   </t>
  </si>
  <si>
    <t xml:space="preserve">دهان المبنى الادارى </t>
  </si>
  <si>
    <t xml:space="preserve">اعمال لحام ودهان اعمدة جمالون دويتش  </t>
  </si>
  <si>
    <t xml:space="preserve">ولحام وتجليح بمجرى الدنسر </t>
  </si>
  <si>
    <t xml:space="preserve">صيانة كراسى </t>
  </si>
  <si>
    <t xml:space="preserve">شركة ابداع </t>
  </si>
  <si>
    <t xml:space="preserve">محمد سعيد  </t>
  </si>
  <si>
    <t xml:space="preserve">دهانات المقاعد بالكفتريا </t>
  </si>
  <si>
    <t xml:space="preserve">محمد النقيب </t>
  </si>
  <si>
    <t xml:space="preserve">عمل صيانة الكهرباء بالعنابر </t>
  </si>
  <si>
    <t xml:space="preserve">ياسر  روبى </t>
  </si>
  <si>
    <t xml:space="preserve">تركيب انتر لوك </t>
  </si>
  <si>
    <t>صيانة ماكينة CTP</t>
  </si>
  <si>
    <t xml:space="preserve">محمود عويس </t>
  </si>
  <si>
    <t xml:space="preserve">صيانة تكييف </t>
  </si>
  <si>
    <t xml:space="preserve">صبانة حمام الامن بالمبنى الادارى </t>
  </si>
  <si>
    <t xml:space="preserve">محمد ماهر   </t>
  </si>
  <si>
    <t xml:space="preserve">تركيب فايبر على الشبابيك </t>
  </si>
  <si>
    <t xml:space="preserve">محمد مدنى </t>
  </si>
  <si>
    <t xml:space="preserve">لحام استندات </t>
  </si>
  <si>
    <t xml:space="preserve">عمل معجون بكمر ورصيف السور  </t>
  </si>
  <si>
    <t xml:space="preserve">امير رضا  </t>
  </si>
  <si>
    <t xml:space="preserve">فرش طبقة ناعمة على الاسفلت   </t>
  </si>
  <si>
    <t xml:space="preserve">تركيب سلم الطوارىء </t>
  </si>
  <si>
    <t xml:space="preserve">عمل حماية للكبسات التكيف </t>
  </si>
  <si>
    <t xml:space="preserve">دهانات رصيف السور  </t>
  </si>
  <si>
    <t xml:space="preserve">معروف محمد </t>
  </si>
  <si>
    <t xml:space="preserve">صيانة الكمبروسر </t>
  </si>
  <si>
    <t xml:space="preserve">الهندسية لضواغط الهواء </t>
  </si>
  <si>
    <t xml:space="preserve">محمود الدروى  </t>
  </si>
  <si>
    <t>صيانةماكينات CTB</t>
  </si>
  <si>
    <t xml:space="preserve">شريف عيد </t>
  </si>
  <si>
    <t xml:space="preserve">صيانة كشافات الكهرباء </t>
  </si>
  <si>
    <t xml:space="preserve">على  الشابورى </t>
  </si>
  <si>
    <t xml:space="preserve">تركيب حساسات </t>
  </si>
  <si>
    <t xml:space="preserve">ماجيك تاتش </t>
  </si>
  <si>
    <t xml:space="preserve">اكرم عياد </t>
  </si>
  <si>
    <t xml:space="preserve">تركيب يافطة على بوابة المبنى الادارى </t>
  </si>
  <si>
    <t xml:space="preserve">حسن عبد العظيم  </t>
  </si>
  <si>
    <t xml:space="preserve">تغيير كابل الخاص  ايروشر الهواء </t>
  </si>
  <si>
    <t xml:space="preserve">محمد حمزة </t>
  </si>
  <si>
    <t xml:space="preserve">تثبيت الرامب </t>
  </si>
  <si>
    <t xml:space="preserve">عمرو مسعد </t>
  </si>
  <si>
    <t xml:space="preserve">تشطيب دهانات رصيف السور  </t>
  </si>
  <si>
    <t xml:space="preserve">صيانة الكهرباء بالعنابر </t>
  </si>
  <si>
    <t xml:space="preserve">محمد كمالى  </t>
  </si>
  <si>
    <t xml:space="preserve">عمل تشحيم اجهزة التكيف </t>
  </si>
  <si>
    <t xml:space="preserve">صيانة التكيف بغرفة السلفر  </t>
  </si>
  <si>
    <t xml:space="preserve">حسن عبد العظيم    </t>
  </si>
  <si>
    <t xml:space="preserve">تركيب وصيانة كشافات العنابر </t>
  </si>
  <si>
    <t xml:space="preserve">حسن عبد العظيم </t>
  </si>
  <si>
    <t xml:space="preserve">صيانة كشافات العنابر </t>
  </si>
  <si>
    <t xml:space="preserve">مصطفى  احمد </t>
  </si>
  <si>
    <t xml:space="preserve">تغير السقف المعلق بالاكادمية    </t>
  </si>
  <si>
    <t xml:space="preserve">ادارة المخازن </t>
  </si>
  <si>
    <t>دهانات الاستندات  بالمخازن</t>
  </si>
  <si>
    <t xml:space="preserve">تركيب دكت  اسلاك </t>
  </si>
  <si>
    <t xml:space="preserve">صابر ابلراهيم </t>
  </si>
  <si>
    <t xml:space="preserve">شركة هيدروليك ميكانيك </t>
  </si>
  <si>
    <t xml:space="preserve">محمد  حمزة </t>
  </si>
  <si>
    <t xml:space="preserve">محمودعويس   </t>
  </si>
  <si>
    <t xml:space="preserve">محمودالدروى    </t>
  </si>
  <si>
    <t xml:space="preserve">مصطفى شاكر    </t>
  </si>
  <si>
    <t xml:space="preserve">تركيب لوحة استلس </t>
  </si>
  <si>
    <t xml:space="preserve">تركيب لمبات بيان فى الحمامات </t>
  </si>
  <si>
    <t xml:space="preserve">تثبيت  الاستندات  </t>
  </si>
  <si>
    <t xml:space="preserve">أختبار طلمبات الحريق </t>
  </si>
  <si>
    <t xml:space="preserve">المرور على الديزل والطلمبات </t>
  </si>
  <si>
    <t xml:space="preserve">شركة الامل </t>
  </si>
  <si>
    <t xml:space="preserve">وائل جودة   </t>
  </si>
  <si>
    <t xml:space="preserve">احلال وتجديد السقف </t>
  </si>
  <si>
    <t xml:space="preserve">احمد حسن  </t>
  </si>
  <si>
    <t xml:space="preserve">صيانة الابواب الامونتيال </t>
  </si>
  <si>
    <t xml:space="preserve">السعيد متولى  </t>
  </si>
  <si>
    <t xml:space="preserve">تركيب كمبروسون التبريد </t>
  </si>
  <si>
    <t xml:space="preserve">صيانة تكييف باعنبر الطباعة </t>
  </si>
  <si>
    <t xml:space="preserve">صيانة الكهرباء بالشوارع </t>
  </si>
  <si>
    <t xml:space="preserve">محمد عبالعزيز </t>
  </si>
  <si>
    <t xml:space="preserve">لحام طربيزات مطبخ الكفتريا </t>
  </si>
  <si>
    <t xml:space="preserve">تجميع كمر ودهان </t>
  </si>
  <si>
    <t xml:space="preserve">صنفرة ودهان </t>
  </si>
  <si>
    <t xml:space="preserve">صيانة واصلاح الكراسى الادارية </t>
  </si>
  <si>
    <t xml:space="preserve">مصطفى صلاح </t>
  </si>
  <si>
    <t xml:space="preserve">صيانة كشافات المخزن </t>
  </si>
  <si>
    <t xml:space="preserve">ابو المجد السورى </t>
  </si>
  <si>
    <t xml:space="preserve">السيد عبد الله  </t>
  </si>
  <si>
    <t xml:space="preserve">دهانات المخزن المدرسى </t>
  </si>
  <si>
    <t xml:space="preserve">صنفرة وتجليخ </t>
  </si>
  <si>
    <t xml:space="preserve">نافص توقيعات </t>
  </si>
  <si>
    <t xml:space="preserve">على الشحات </t>
  </si>
  <si>
    <t xml:space="preserve">محمد احمد    </t>
  </si>
  <si>
    <t xml:space="preserve">صيانة خط النت </t>
  </si>
  <si>
    <t xml:space="preserve">أعمال صيانة </t>
  </si>
  <si>
    <t xml:space="preserve">لحام سلم اشراف الويب </t>
  </si>
  <si>
    <t xml:space="preserve">تامر احمد   </t>
  </si>
  <si>
    <t xml:space="preserve">اصلاح وصيانة الكولدير </t>
  </si>
  <si>
    <t xml:space="preserve">اسامة فتحى   </t>
  </si>
  <si>
    <t xml:space="preserve">فك وتركيب صاج سقف  عنبر دويتش </t>
  </si>
  <si>
    <t xml:space="preserve">شركة سكوير </t>
  </si>
  <si>
    <t xml:space="preserve">احمد فرج    </t>
  </si>
  <si>
    <t xml:space="preserve">تركيب فراشة بالشارع  </t>
  </si>
  <si>
    <t>لحام بجوار ويب  8</t>
  </si>
  <si>
    <t xml:space="preserve">تركيب عجل استندات  </t>
  </si>
  <si>
    <t>شريف عيد</t>
  </si>
  <si>
    <t xml:space="preserve">توصيل كهرباء الرامب </t>
  </si>
  <si>
    <t xml:space="preserve">محمد مهنى  </t>
  </si>
  <si>
    <t>لم يتم غلق التصريح</t>
  </si>
  <si>
    <t xml:space="preserve">مراد  صالح </t>
  </si>
  <si>
    <t>احمد عبد المنعم</t>
  </si>
  <si>
    <t xml:space="preserve">تلقيح النخل ونظافتة  </t>
  </si>
  <si>
    <t xml:space="preserve">احمد ابو زيد </t>
  </si>
  <si>
    <t xml:space="preserve">قطع تيلة من ماكينة اسبيد ماستر </t>
  </si>
  <si>
    <t xml:space="preserve">صيانة  الاستندات  </t>
  </si>
  <si>
    <t xml:space="preserve">كمال احمد </t>
  </si>
  <si>
    <t xml:space="preserve">تركيب كابل فايبر  </t>
  </si>
  <si>
    <t xml:space="preserve">شركة اتصلات </t>
  </si>
  <si>
    <t xml:space="preserve">KUC  شركة </t>
  </si>
  <si>
    <t xml:space="preserve">اسلام مفرح </t>
  </si>
  <si>
    <t xml:space="preserve">علاء عبد الرحمن    </t>
  </si>
  <si>
    <t xml:space="preserve">حسن احمد  </t>
  </si>
  <si>
    <t xml:space="preserve">مصطفى صلاح   </t>
  </si>
  <si>
    <t xml:space="preserve">صيانة كراسى المكاتب الادالرية </t>
  </si>
  <si>
    <t xml:space="preserve">تجهيز لعمل ارضية خرسانية </t>
  </si>
  <si>
    <t xml:space="preserve">احمد سعيد </t>
  </si>
  <si>
    <t xml:space="preserve">لم يتم غلق التصريح  وناقص التوقيعات </t>
  </si>
  <si>
    <t xml:space="preserve">راضى سعيد </t>
  </si>
  <si>
    <t xml:space="preserve">صيانة نظام الانزار </t>
  </si>
  <si>
    <t xml:space="preserve">احمد عبد الله </t>
  </si>
  <si>
    <t xml:space="preserve">ترميم فى العنابر بالمخازن </t>
  </si>
  <si>
    <t xml:space="preserve">رامى محمد </t>
  </si>
  <si>
    <t xml:space="preserve">توصيل و تركيب كابل فايبر  </t>
  </si>
  <si>
    <t xml:space="preserve">اسلام على  رمضان </t>
  </si>
  <si>
    <t xml:space="preserve">تركيب مصاعد المخازن  الجديدة </t>
  </si>
  <si>
    <t>عمل ارضية خرسانية لخزنات الطوارىء</t>
  </si>
  <si>
    <t xml:space="preserve">طه سعيد </t>
  </si>
  <si>
    <t xml:space="preserve">علاج مكان تسريب الاحبار </t>
  </si>
  <si>
    <t xml:space="preserve">شركة شلاندر </t>
  </si>
  <si>
    <t xml:space="preserve">تركيب سقالات لمصاعد المخازن  الجديدة </t>
  </si>
  <si>
    <t>تركيب كمر لمصاعد المخزن الجديد</t>
  </si>
  <si>
    <t xml:space="preserve">علاء احمد     </t>
  </si>
  <si>
    <t>تركيب ماتور لكولدير المياه</t>
  </si>
  <si>
    <t>ايهاب سيد</t>
  </si>
  <si>
    <t>حمادة شعبان</t>
  </si>
  <si>
    <t>سامح الامير</t>
  </si>
  <si>
    <t>ايمن محمد</t>
  </si>
  <si>
    <t>احمد فايد</t>
  </si>
  <si>
    <t>تغير فلاتر المياه</t>
  </si>
  <si>
    <t>محمد على</t>
  </si>
  <si>
    <t>تركيب خيمة للاضحية</t>
  </si>
  <si>
    <t xml:space="preserve">محمد رسمى </t>
  </si>
  <si>
    <t xml:space="preserve">احمد عبد الله  </t>
  </si>
  <si>
    <t xml:space="preserve">دهانات سلم المبنى الادارى  </t>
  </si>
  <si>
    <t xml:space="preserve">لحام  تسريب الاحبار </t>
  </si>
  <si>
    <t xml:space="preserve">احمد السيد </t>
  </si>
  <si>
    <t xml:space="preserve">تركيب اسنسيرات البضائع </t>
  </si>
  <si>
    <t>صيانة الرامب المتحرك</t>
  </si>
  <si>
    <t>صيانة برايز الكهرباء في غرفة الامن</t>
  </si>
  <si>
    <t>صيانة سباكة للمخزن</t>
  </si>
  <si>
    <t>محمد البدري</t>
  </si>
  <si>
    <t>تركيب ارفينت على شبكة الحريق</t>
  </si>
  <si>
    <t xml:space="preserve">محمد متولى  </t>
  </si>
  <si>
    <t xml:space="preserve">ماستر برنت </t>
  </si>
  <si>
    <t xml:space="preserve">محمد فاروق  </t>
  </si>
  <si>
    <t xml:space="preserve">لصق اعلانات على الاستاندات </t>
  </si>
  <si>
    <t xml:space="preserve">محمدحسنى </t>
  </si>
  <si>
    <t xml:space="preserve">مصطفى حمزة </t>
  </si>
  <si>
    <t xml:space="preserve">عمل صيانة فى غرفة الهواء     </t>
  </si>
  <si>
    <t xml:space="preserve">علاء احمد   </t>
  </si>
  <si>
    <t xml:space="preserve">تركيب سلم طوارىء </t>
  </si>
  <si>
    <t xml:space="preserve">احمد السيد  </t>
  </si>
  <si>
    <t xml:space="preserve">فيكتور لوندى      </t>
  </si>
  <si>
    <t xml:space="preserve"> عمل صيانة الرامب التحميل </t>
  </si>
  <si>
    <t xml:space="preserve">تشغيل تنكات الاحبار التى بهاتسريب </t>
  </si>
  <si>
    <t xml:space="preserve">عدم غلق التصريح </t>
  </si>
  <si>
    <t xml:space="preserve">صيانة فى خطوط الغاز      </t>
  </si>
  <si>
    <t xml:space="preserve">صيانةكشافات الشوارع الخارجية </t>
  </si>
  <si>
    <t xml:space="preserve">مرور دورى على المصائدو مكافحة حشرات </t>
  </si>
  <si>
    <t xml:space="preserve">استكمال عمل  ارضية خرسانية لخزنات الحريق </t>
  </si>
  <si>
    <t xml:space="preserve">عدم غلق التصريح  وناقص توقيعات </t>
  </si>
  <si>
    <t xml:space="preserve">رش وتعقيم سكن الامن  </t>
  </si>
  <si>
    <t xml:space="preserve">تركيب  علبة حديد على لوحة كهرباء  </t>
  </si>
  <si>
    <t xml:space="preserve">تركيب مصاعد البضائع </t>
  </si>
  <si>
    <t xml:space="preserve">على  شحات </t>
  </si>
  <si>
    <t xml:space="preserve">صابر  محمد </t>
  </si>
  <si>
    <t xml:space="preserve">لحام تربيزات داخل الكفتريا </t>
  </si>
  <si>
    <t xml:space="preserve">فك التندة الخاصة بمخزن التجارة والتوزيع </t>
  </si>
  <si>
    <t xml:space="preserve">حسن  محمد   </t>
  </si>
  <si>
    <t xml:space="preserve">حسن  محمد    </t>
  </si>
  <si>
    <t xml:space="preserve">تعديل  حوامل التندة وتركيب الصاج  </t>
  </si>
  <si>
    <t xml:space="preserve">تركيب وعمل تندة فى مخزن التجارة والتوزيع </t>
  </si>
  <si>
    <t xml:space="preserve">فتحى طه سعيد </t>
  </si>
  <si>
    <t xml:space="preserve">احمد عبد الناصر </t>
  </si>
  <si>
    <t xml:space="preserve">فك العداد للصيانة ومعايرة   </t>
  </si>
  <si>
    <t xml:space="preserve">لحامات السلم   </t>
  </si>
  <si>
    <t xml:space="preserve">تركيب خزانات الحريق </t>
  </si>
  <si>
    <t xml:space="preserve">حامد ابو المحاميد  </t>
  </si>
  <si>
    <t xml:space="preserve">المرور الدورى على المعدات  </t>
  </si>
  <si>
    <t xml:space="preserve">مجدى كرم   </t>
  </si>
  <si>
    <t xml:space="preserve">اصلاح وصيانة عربيات النقل </t>
  </si>
  <si>
    <t xml:space="preserve">صيانةالكهرباء بالمعرض  </t>
  </si>
  <si>
    <t xml:space="preserve">صيانةالتكيف بالمعرض  </t>
  </si>
  <si>
    <t xml:space="preserve">اعمال حدادة  </t>
  </si>
  <si>
    <t xml:space="preserve">عمل صيانة للتكيفات بالمكتبة </t>
  </si>
  <si>
    <t xml:space="preserve">دهانات بالمخزن المدرسى  </t>
  </si>
  <si>
    <t xml:space="preserve">نافص توقيعات وعدم غلق التصريح </t>
  </si>
  <si>
    <t>صيانة الاسانسير</t>
  </si>
  <si>
    <t>عمود1</t>
  </si>
  <si>
    <t>عمود2</t>
  </si>
  <si>
    <t>عمود3</t>
  </si>
  <si>
    <t>عمود4</t>
  </si>
  <si>
    <t>عمود5</t>
  </si>
  <si>
    <t>عمود6</t>
  </si>
  <si>
    <t>عمود7</t>
  </si>
  <si>
    <t>عمود8</t>
  </si>
  <si>
    <t>عمود9</t>
  </si>
  <si>
    <t>عمود10</t>
  </si>
  <si>
    <t xml:space="preserve">على صلاح على حسين   </t>
  </si>
  <si>
    <t xml:space="preserve">محمد فؤاد خليل ابراهيم </t>
  </si>
  <si>
    <t>رفض الأعمال</t>
  </si>
  <si>
    <t>Row Labels</t>
  </si>
  <si>
    <t>(blank)</t>
  </si>
  <si>
    <t>Grand Total</t>
  </si>
  <si>
    <t>Column Labels</t>
  </si>
  <si>
    <t xml:space="preserve">تركيب عداد الغاز </t>
  </si>
  <si>
    <t xml:space="preserve">توصيل فرع نور للفراشة </t>
  </si>
  <si>
    <t>تركيب باب حديد</t>
  </si>
  <si>
    <t xml:space="preserve">شركة الكريم </t>
  </si>
  <si>
    <t xml:space="preserve">محمود شعبان </t>
  </si>
  <si>
    <t xml:space="preserve">لحام </t>
  </si>
  <si>
    <t xml:space="preserve">صيانة كشافات الشوارع </t>
  </si>
  <si>
    <t xml:space="preserve">صيانة كولدير المياه </t>
  </si>
  <si>
    <t xml:space="preserve">صيانة التكيف </t>
  </si>
  <si>
    <t xml:space="preserve">محمد رفعت  </t>
  </si>
  <si>
    <t xml:space="preserve">تركيبات </t>
  </si>
  <si>
    <t xml:space="preserve">محمد سمير </t>
  </si>
  <si>
    <t xml:space="preserve">صيانة دورية   </t>
  </si>
  <si>
    <t xml:space="preserve">المصرية للاسكان </t>
  </si>
  <si>
    <t xml:space="preserve">احمد سمير </t>
  </si>
  <si>
    <t>صيانة ctB</t>
  </si>
  <si>
    <t xml:space="preserve">توصيل كهرباء للفراشة </t>
  </si>
  <si>
    <t xml:space="preserve">عمل صيانة للتكيفات </t>
  </si>
  <si>
    <t xml:space="preserve">تركيب اجهزة انزار </t>
  </si>
  <si>
    <t xml:space="preserve">تشطيب سلم الطوارىء </t>
  </si>
  <si>
    <t>تركيب الاسانسير</t>
  </si>
  <si>
    <t xml:space="preserve">دهانات سلم الطوارىء </t>
  </si>
  <si>
    <t xml:space="preserve">صيانةالتكيف فى غرفة السلفر </t>
  </si>
  <si>
    <t xml:space="preserve">صيانةالتكيف المركزى فى الدور الاول </t>
  </si>
  <si>
    <t xml:space="preserve">مصطفى السيد </t>
  </si>
  <si>
    <t>عمل صيانة تكييف</t>
  </si>
  <si>
    <t xml:space="preserve">محمد مصطفى </t>
  </si>
  <si>
    <t xml:space="preserve">تشطيب باب الامن </t>
  </si>
  <si>
    <t xml:space="preserve">تركيب شبكة الانزار </t>
  </si>
  <si>
    <t xml:space="preserve">ترميم خزان خط الحريق  </t>
  </si>
  <si>
    <t xml:space="preserve">محمود سالم </t>
  </si>
  <si>
    <t xml:space="preserve">فك طلمبات الحريق </t>
  </si>
  <si>
    <t xml:space="preserve">تركيب بوابة صغيرةبمكتب الامن </t>
  </si>
  <si>
    <t xml:space="preserve">عدم عمل التصريح فى الوقت المناسب  </t>
  </si>
  <si>
    <t xml:space="preserve">عبد الرحمن حسين </t>
  </si>
  <si>
    <t xml:space="preserve">تركيب الاسانسير </t>
  </si>
  <si>
    <t xml:space="preserve">تركيب  باب الامن </t>
  </si>
  <si>
    <t xml:space="preserve">تغيير محبس </t>
  </si>
  <si>
    <t xml:space="preserve">احمد على </t>
  </si>
  <si>
    <t xml:space="preserve">استكمال تركيب شبكة الفاير </t>
  </si>
  <si>
    <t xml:space="preserve">هانى محمد  </t>
  </si>
  <si>
    <t xml:space="preserve">تصليح المقص </t>
  </si>
  <si>
    <t xml:space="preserve">تثبيت حاجز  المقص اليدوى </t>
  </si>
  <si>
    <t xml:space="preserve">تكسير خرسانة </t>
  </si>
  <si>
    <t xml:space="preserve">اهدار لموارد الشركة </t>
  </si>
  <si>
    <t xml:space="preserve">مصطفى شعبان </t>
  </si>
  <si>
    <t xml:space="preserve">صيانة ماكينات التربيط </t>
  </si>
  <si>
    <t xml:space="preserve">شركة الدلتا </t>
  </si>
  <si>
    <t xml:space="preserve">تسليك انسداد بلاعة صرف </t>
  </si>
  <si>
    <t xml:space="preserve">تركيب وتثبيت باب المونتال  فى فسم CD </t>
  </si>
  <si>
    <t xml:space="preserve">عمل لحام فى الرامب وتغيير زيت الديزل </t>
  </si>
  <si>
    <t xml:space="preserve">عمل صيانة لخزنات الحريق  </t>
  </si>
  <si>
    <t>عدم كتابة وقت فتح التصريح</t>
  </si>
  <si>
    <t xml:space="preserve">احمد محمد </t>
  </si>
  <si>
    <t xml:space="preserve">تركيب رشاشات الفاير </t>
  </si>
  <si>
    <t xml:space="preserve">محمود  السيد  </t>
  </si>
  <si>
    <t xml:space="preserve">استكمال تركيب الاسانسير </t>
  </si>
  <si>
    <t xml:space="preserve">محمود عويس  </t>
  </si>
  <si>
    <t xml:space="preserve">صيانة القارورة  </t>
  </si>
  <si>
    <t xml:space="preserve">صيانةوحدات التكييف </t>
  </si>
  <si>
    <t>صيانة تكييف لوحة كهرباء كولبس 5</t>
  </si>
  <si>
    <t xml:space="preserve">محمود احمد </t>
  </si>
  <si>
    <t xml:space="preserve">المرور الاسبوعى للمكافحة </t>
  </si>
  <si>
    <t xml:space="preserve">السيد اسماعيل  </t>
  </si>
  <si>
    <t xml:space="preserve">محمود السيد </t>
  </si>
  <si>
    <t xml:space="preserve">عمل مكافحة </t>
  </si>
  <si>
    <t xml:space="preserve">عمل صيانةلخط السيتما </t>
  </si>
  <si>
    <t xml:space="preserve">ترميم خزان الحريق </t>
  </si>
  <si>
    <t xml:space="preserve">تركيب ابواب التربيزات </t>
  </si>
  <si>
    <t xml:space="preserve">محمد سعيد   </t>
  </si>
  <si>
    <t xml:space="preserve">ترميم ارضية الكفتريا </t>
  </si>
  <si>
    <t xml:space="preserve">سعيد متولى    </t>
  </si>
  <si>
    <t xml:space="preserve">عمل لحام فى كباس وصيانة فى ماكينة سبيد 4 </t>
  </si>
  <si>
    <t xml:space="preserve">صيانة كولدير  المياه الخاص بالعمال </t>
  </si>
  <si>
    <t xml:space="preserve">حامد  ابو المحاميد    </t>
  </si>
  <si>
    <t xml:space="preserve">نظام الانزار </t>
  </si>
  <si>
    <t xml:space="preserve">توصيل وتركيب  كهرباء </t>
  </si>
  <si>
    <t xml:space="preserve">تركيب تندة للتكيف </t>
  </si>
  <si>
    <t xml:space="preserve">مكافحة الافات </t>
  </si>
  <si>
    <t xml:space="preserve">الزيارة الدورية للمكافحة الحشرات </t>
  </si>
  <si>
    <t xml:space="preserve">اصطياد قطط بالمطابع </t>
  </si>
  <si>
    <t>على الشابوري</t>
  </si>
  <si>
    <t>الزيارة الشهرية المرور علي لوحات الانزار</t>
  </si>
  <si>
    <t xml:space="preserve">الزيارة الشهريةعمل صيانة  الحساسات </t>
  </si>
  <si>
    <t xml:space="preserve">الزيارة الشهرية عمل صيانة  لخط الحريق </t>
  </si>
  <si>
    <t xml:space="preserve"> الزيارة الشهرية وتغيير بطاريات لوحات الانزار</t>
  </si>
  <si>
    <t xml:space="preserve">الزيارة الشهرية والمرور على لوحة الانزار </t>
  </si>
  <si>
    <t xml:space="preserve">االزيارة الشهرية صيانة نظام الانزار </t>
  </si>
  <si>
    <t xml:space="preserve">الزيارة الشهرية  شهرى على خط  الاطفاء </t>
  </si>
  <si>
    <t xml:space="preserve">الزيارة الشهرية  ورش مبيت الامن </t>
  </si>
  <si>
    <t>الزيارة الشهرية ومكافحة القورض والحشرات</t>
  </si>
  <si>
    <t xml:space="preserve">رش وتعقيم سكن الامن  ومبيت السائقين </t>
  </si>
  <si>
    <t xml:space="preserve">رش وتعقيم سكن الشقق الخارجية  للعاملين </t>
  </si>
  <si>
    <t xml:space="preserve">الزيارة الشهرية ومكافحة حشرات </t>
  </si>
  <si>
    <t xml:space="preserve">الزيارة الشهرية و مكافحة حشرات </t>
  </si>
  <si>
    <t xml:space="preserve">الزيارة الشهرية وصيانة نظام الانزار </t>
  </si>
  <si>
    <t xml:space="preserve">حامد ابو المحاميد       </t>
  </si>
  <si>
    <t xml:space="preserve">الزيارة الشهرية وصيانة خط الحريق </t>
  </si>
  <si>
    <t xml:space="preserve">محمود احمد  </t>
  </si>
  <si>
    <t xml:space="preserve">الزيارة الشهرية ومكافحة الحشرات </t>
  </si>
  <si>
    <t>شكل التصريح سىء</t>
  </si>
  <si>
    <t xml:space="preserve">ضبط ضغط شبكة الحريق  </t>
  </si>
  <si>
    <t xml:space="preserve">تركيبات وصيانة </t>
  </si>
  <si>
    <t xml:space="preserve">عهدى ابراهيم </t>
  </si>
  <si>
    <t xml:space="preserve">شركة راية </t>
  </si>
  <si>
    <t xml:space="preserve"> الزيارة الشهرية والمرور على لوح انزار غرف الكهرباء </t>
  </si>
  <si>
    <t xml:space="preserve"> الزيارة الشهرية و مكافحة حشرات </t>
  </si>
  <si>
    <t xml:space="preserve">الزيارة الشهرية و صيانة للوح الانزار </t>
  </si>
  <si>
    <t xml:space="preserve">الزيارة الشهرية و اختبار صناديق الحريق  1.5 بوصة </t>
  </si>
  <si>
    <t xml:space="preserve">الزيارة الشهرية وتركيب لوحات انزار غرف الكهرباء  </t>
  </si>
  <si>
    <t xml:space="preserve">الزيارة الشهرية صيانة نظام الانزار  </t>
  </si>
  <si>
    <t>استكمال اعمال سلم الطوارىء</t>
  </si>
  <si>
    <t>المرور الدورى على تكيف ويب 11</t>
  </si>
  <si>
    <t xml:space="preserve">انشائات  </t>
  </si>
  <si>
    <t xml:space="preserve">تركيب عجلات السلالم  المتحركة </t>
  </si>
  <si>
    <t>عمل مكان لباب سلم الطوارىء</t>
  </si>
  <si>
    <t xml:space="preserve">صيانة تكييف غرفة السرفر </t>
  </si>
  <si>
    <t xml:space="preserve">محمد عبد الستار   </t>
  </si>
  <si>
    <t xml:space="preserve">تركيب مقابض وعمل صيانة </t>
  </si>
  <si>
    <t xml:space="preserve">احمد سعيد    </t>
  </si>
  <si>
    <t xml:space="preserve">صيانة تكييف وحدة السريفر  </t>
  </si>
  <si>
    <t xml:space="preserve"> عدم فتح توقبت بداية التصريح وغلقة </t>
  </si>
  <si>
    <t xml:space="preserve">صيانة التكييف المركزى </t>
  </si>
  <si>
    <t xml:space="preserve">مد كابلات كهرباء </t>
  </si>
  <si>
    <t xml:space="preserve">احمد  السيد </t>
  </si>
  <si>
    <t xml:space="preserve">اعمال البناء </t>
  </si>
  <si>
    <t xml:space="preserve">عبد الله مبارك     </t>
  </si>
  <si>
    <t xml:space="preserve">العشرى للمقاولات </t>
  </si>
  <si>
    <t xml:space="preserve">تكسير خزان الاطفاء </t>
  </si>
  <si>
    <t xml:space="preserve">احمد حسن </t>
  </si>
  <si>
    <t xml:space="preserve">صيانة العربية الهاند بالن </t>
  </si>
  <si>
    <t xml:space="preserve">احلال وتجديدخزان الاطفاء </t>
  </si>
  <si>
    <t xml:space="preserve">عمرو فاروق      </t>
  </si>
  <si>
    <t xml:space="preserve">انشاءات  </t>
  </si>
  <si>
    <t xml:space="preserve">انس احمد  </t>
  </si>
  <si>
    <t xml:space="preserve">توصيل كهرباء المصعد </t>
  </si>
  <si>
    <t xml:space="preserve">صيانة عامة  تكييف </t>
  </si>
  <si>
    <t>صيانة تكييف كولبس 5 وصيانة عامة</t>
  </si>
  <si>
    <t xml:space="preserve">مرادصالح </t>
  </si>
  <si>
    <t xml:space="preserve">فك خشب عامود باب الطوارىء </t>
  </si>
  <si>
    <t xml:space="preserve">حامد ابو المحاميد </t>
  </si>
  <si>
    <t xml:space="preserve">الزيارة  الشهرية المرور على خط الحريق  </t>
  </si>
  <si>
    <t xml:space="preserve">مصطفى محمد </t>
  </si>
  <si>
    <t xml:space="preserve">قص الاشجار </t>
  </si>
  <si>
    <t>تركيب  تكييف كولبس 5</t>
  </si>
  <si>
    <t xml:space="preserve">صيانةكولدير المياه </t>
  </si>
  <si>
    <t xml:space="preserve">حماده شعبان   </t>
  </si>
  <si>
    <t xml:space="preserve">فك فراشة الشوارع </t>
  </si>
  <si>
    <t xml:space="preserve">تركيب تكييف فى غرفة المراقب المالى </t>
  </si>
  <si>
    <t>تركيب باب الطوارىء</t>
  </si>
  <si>
    <t xml:space="preserve">تركيب رخام لباب الامن الجديد </t>
  </si>
  <si>
    <t xml:space="preserve"> عدم غلق التصريح </t>
  </si>
  <si>
    <t xml:space="preserve">اعمال محارة وبناء </t>
  </si>
  <si>
    <t xml:space="preserve"> عدم غلق التصريح  وناقص توقيعات </t>
  </si>
  <si>
    <t>تركيب باب فى مخزن CD</t>
  </si>
  <si>
    <t xml:space="preserve">صيانة كبروسر الهواء </t>
  </si>
  <si>
    <t xml:space="preserve">شركة نما </t>
  </si>
  <si>
    <t xml:space="preserve">الزيارة الشهرية والمرور علىخط الحريق </t>
  </si>
  <si>
    <t xml:space="preserve">الحاج فرج  </t>
  </si>
  <si>
    <t xml:space="preserve">تحميل كسر باللودر </t>
  </si>
  <si>
    <t xml:space="preserve">الزيارة الشهرية والمرور على خط الحريق </t>
  </si>
  <si>
    <t xml:space="preserve"> الزيارة الشهرية وصيانة فى غرفة الطلمبات </t>
  </si>
  <si>
    <t xml:space="preserve">عمل صيانة للكلدير </t>
  </si>
  <si>
    <t xml:space="preserve">تركيب باب </t>
  </si>
  <si>
    <t xml:space="preserve">احلال وتجديدخزان الحريق </t>
  </si>
  <si>
    <t xml:space="preserve">تركيب اللوحة الضوئية </t>
  </si>
  <si>
    <t xml:space="preserve">فك تكييف قديم من المكتبة </t>
  </si>
  <si>
    <t xml:space="preserve">محمد شكرى </t>
  </si>
  <si>
    <t xml:space="preserve">رفع وازالة التكسير </t>
  </si>
  <si>
    <t xml:space="preserve">احمد زنفل </t>
  </si>
  <si>
    <t xml:space="preserve">احمد فرج   </t>
  </si>
  <si>
    <t xml:space="preserve">فك وازالة الفراشة </t>
  </si>
  <si>
    <t xml:space="preserve">تغطية ملاحظات بالكهرباء </t>
  </si>
  <si>
    <t xml:space="preserve">اسلام مليجى </t>
  </si>
  <si>
    <t xml:space="preserve">تغيير فلاتر المياه </t>
  </si>
  <si>
    <t xml:space="preserve">محمد شعبان </t>
  </si>
  <si>
    <t xml:space="preserve">الزيارة الشهرية  مكافحة القوارض </t>
  </si>
  <si>
    <t xml:space="preserve">استكمال اعمال سلم الطوارىء  </t>
  </si>
  <si>
    <t xml:space="preserve">احمد مخيمر </t>
  </si>
  <si>
    <t xml:space="preserve">تركيب الرشاشات </t>
  </si>
  <si>
    <t xml:space="preserve">فيكتور لاوندى </t>
  </si>
  <si>
    <t xml:space="preserve">عمل لحام فى الرامب </t>
  </si>
  <si>
    <t xml:space="preserve">تركيب المصاعد </t>
  </si>
  <si>
    <t xml:space="preserve"> اعمال دهان فى سلم الطوارىء  </t>
  </si>
  <si>
    <t xml:space="preserve">تركيب خط الحريق   </t>
  </si>
  <si>
    <t xml:space="preserve">فك وحدة التكيف </t>
  </si>
  <si>
    <t xml:space="preserve">صابر ايراهيم   </t>
  </si>
  <si>
    <t xml:space="preserve">تركيب حاجز حماية </t>
  </si>
  <si>
    <t xml:space="preserve">على السعيد  </t>
  </si>
  <si>
    <t xml:space="preserve">عمل صيانة كراسى المكاتب الادارية </t>
  </si>
  <si>
    <t xml:space="preserve">اسلام محمد </t>
  </si>
  <si>
    <t xml:space="preserve">صيانة فلتر المياة </t>
  </si>
  <si>
    <t xml:space="preserve">عمل صيانة لتكيفات </t>
  </si>
  <si>
    <t xml:space="preserve">تركيب وحدة فان التكيف  </t>
  </si>
  <si>
    <t xml:space="preserve">عمل ترميم و لحام فى الرامب </t>
  </si>
  <si>
    <t xml:space="preserve">محمد </t>
  </si>
  <si>
    <t xml:space="preserve">تصليح وصيانة مواتير المياه </t>
  </si>
  <si>
    <t xml:space="preserve">صيانة بوابة 3 الخلفية  </t>
  </si>
  <si>
    <t xml:space="preserve">صيانة الشبابيك الالموتال </t>
  </si>
  <si>
    <t xml:space="preserve">عمل صيانة بوحدة الايوشر </t>
  </si>
  <si>
    <t xml:space="preserve">احمد ماهر </t>
  </si>
  <si>
    <t xml:space="preserve">اصلاح ابواب عنابر الانتاج  </t>
  </si>
  <si>
    <t>احمد ياسر</t>
  </si>
  <si>
    <t xml:space="preserve">استكمال اعمال الفاير  </t>
  </si>
  <si>
    <t>استكمال اعمال صيانة وتغيير فى شبكة خط المياه</t>
  </si>
  <si>
    <t xml:space="preserve">علاء الشحات </t>
  </si>
  <si>
    <t xml:space="preserve">الزيارة الشهرية لصيانة خط الانزار </t>
  </si>
  <si>
    <t xml:space="preserve">عبد الرحمن حسين   </t>
  </si>
  <si>
    <t xml:space="preserve">وائل انور مصطفى  </t>
  </si>
  <si>
    <t xml:space="preserve">صيانة شبابيك الالمونتال </t>
  </si>
  <si>
    <t xml:space="preserve">محسن عبد الباسط  </t>
  </si>
  <si>
    <t xml:space="preserve">عمل صيانة تنكات الاحبار </t>
  </si>
  <si>
    <t xml:space="preserve">تركيب الكهرباء </t>
  </si>
  <si>
    <t xml:space="preserve">محب منسى </t>
  </si>
  <si>
    <t xml:space="preserve">تركيب خط الحريق </t>
  </si>
  <si>
    <t xml:space="preserve">الزيارة الشهرية </t>
  </si>
  <si>
    <t xml:space="preserve">فيكتور لاوند  </t>
  </si>
  <si>
    <t>صيانة البطاريات والتشيك على ضغط الخط</t>
  </si>
  <si>
    <t xml:space="preserve">علاء محمد </t>
  </si>
  <si>
    <t xml:space="preserve">احمد ياسر </t>
  </si>
  <si>
    <t xml:space="preserve">مراجعة لوحات كهرباء </t>
  </si>
  <si>
    <t xml:space="preserve">عمل ترميم فى ارضية جراج السيارات  </t>
  </si>
  <si>
    <t xml:space="preserve">لحام الباب الخلفى </t>
  </si>
  <si>
    <t xml:space="preserve">صلاح منصور </t>
  </si>
  <si>
    <t>صيانة تكييف ويب 11</t>
  </si>
  <si>
    <t xml:space="preserve">ايمن محمد كامل </t>
  </si>
  <si>
    <t xml:space="preserve">لحام تسريب  الاحبار </t>
  </si>
  <si>
    <t>صيانة الخط المكسور بمخزن رقم 2</t>
  </si>
  <si>
    <t xml:space="preserve">مصطفى عبد الجواد </t>
  </si>
  <si>
    <t xml:space="preserve">الكشف على جهاز التكييف من ضمان كارير </t>
  </si>
  <si>
    <t xml:space="preserve">شحن فريون للتكييف 5 حصان فى غرفة السلفر </t>
  </si>
  <si>
    <t xml:space="preserve">تركيب قاعدة تثبيت للماتور </t>
  </si>
  <si>
    <t xml:space="preserve">صيانة الكولدير </t>
  </si>
  <si>
    <t xml:space="preserve">شركة منصور للتبريد والتكيف </t>
  </si>
  <si>
    <t xml:space="preserve">عمل صيانة للطرمبة الكهرباء </t>
  </si>
  <si>
    <t xml:space="preserve">حسن محمد حسن </t>
  </si>
  <si>
    <t xml:space="preserve">عمل صيانةفى ماكينة التكويد </t>
  </si>
  <si>
    <t xml:space="preserve">شركةأودك </t>
  </si>
  <si>
    <t>Column1</t>
  </si>
  <si>
    <t>عمل صيانة فى نظام  FM200</t>
  </si>
  <si>
    <t>شركة هاى سكيور</t>
  </si>
  <si>
    <t xml:space="preserve">ابراهيم  الخزرجى </t>
  </si>
  <si>
    <t xml:space="preserve">محمود ابوشادى </t>
  </si>
  <si>
    <t xml:space="preserve">تجديد دهان المسجد  </t>
  </si>
  <si>
    <t xml:space="preserve">محمد زنفل  </t>
  </si>
  <si>
    <t xml:space="preserve">استكمال تقفيل لوحات كهرباء </t>
  </si>
  <si>
    <t xml:space="preserve">مراد صالح   </t>
  </si>
  <si>
    <t xml:space="preserve">تكسير خزان الاطفاء  </t>
  </si>
  <si>
    <t xml:space="preserve">احمد مبروك </t>
  </si>
  <si>
    <t xml:space="preserve">تركيب محابس خط الحريق </t>
  </si>
  <si>
    <t xml:space="preserve">استكمال تركيب شبابيك الالمونتال </t>
  </si>
  <si>
    <t xml:space="preserve">استكمال تركيب  شبابيك الالمونتال </t>
  </si>
  <si>
    <t xml:space="preserve">لحام وتقطيع  </t>
  </si>
  <si>
    <t xml:space="preserve">ايهاب خليل </t>
  </si>
  <si>
    <t xml:space="preserve">عمل صيانة فى الانزار </t>
  </si>
  <si>
    <t xml:space="preserve">حسام مرزوق   </t>
  </si>
  <si>
    <t>لحام شكمان كلارك  60550</t>
  </si>
  <si>
    <t xml:space="preserve">تركيب علبة </t>
  </si>
  <si>
    <t xml:space="preserve">حسام احمد </t>
  </si>
  <si>
    <t xml:space="preserve">تركيب كشافات لاسانسير  </t>
  </si>
  <si>
    <t xml:space="preserve">معروف محمد  </t>
  </si>
  <si>
    <t xml:space="preserve">صيانة لغرف الهواء </t>
  </si>
  <si>
    <t xml:space="preserve">فيكتور لواندى </t>
  </si>
  <si>
    <t xml:space="preserve">تصليح المبرد  </t>
  </si>
  <si>
    <t xml:space="preserve">ابوبكر احمد </t>
  </si>
  <si>
    <t xml:space="preserve">صيانة ماكينة التصوير </t>
  </si>
  <si>
    <t xml:space="preserve">احلال وتجديد خزان الاطفاء </t>
  </si>
  <si>
    <t xml:space="preserve">مصطفى حسين   </t>
  </si>
  <si>
    <t xml:space="preserve">اصلاح  شبابيك الالمونتال </t>
  </si>
  <si>
    <t xml:space="preserve">اسلام مصطفى    </t>
  </si>
  <si>
    <t>صيانة ماكينات CTP</t>
  </si>
  <si>
    <t xml:space="preserve">ابراهيم  </t>
  </si>
  <si>
    <t xml:space="preserve">عمل فتحات فى حائط غرفة الطلمبات </t>
  </si>
  <si>
    <t xml:space="preserve">حامد ابو المجد </t>
  </si>
  <si>
    <t xml:space="preserve">الزيارة الشهرية وصيانة شبكة الانزار </t>
  </si>
  <si>
    <t xml:space="preserve">محمد عبد الغفار     </t>
  </si>
  <si>
    <t>توصيل كهرباء كابلات</t>
  </si>
  <si>
    <t xml:space="preserve">عبد الرحمن حسين    </t>
  </si>
  <si>
    <t xml:space="preserve">صيانة المصاعد </t>
  </si>
  <si>
    <t xml:space="preserve">احمد حسنى     </t>
  </si>
  <si>
    <t xml:space="preserve">بناء حائط المصاعد </t>
  </si>
  <si>
    <t xml:space="preserve">مصطفى حمزة     </t>
  </si>
  <si>
    <t xml:space="preserve">محمد سعيد    </t>
  </si>
  <si>
    <t xml:space="preserve">تركيب مكونات </t>
  </si>
  <si>
    <t xml:space="preserve">رامى محمد    </t>
  </si>
  <si>
    <t xml:space="preserve">صيانة باب الامونتال </t>
  </si>
  <si>
    <t xml:space="preserve">محمود عويس     </t>
  </si>
  <si>
    <t xml:space="preserve">صيانة كولدير الماء بالطبع شيت </t>
  </si>
  <si>
    <t xml:space="preserve">محمد عبد الحميد </t>
  </si>
  <si>
    <t xml:space="preserve">تركيب محبس  </t>
  </si>
  <si>
    <t xml:space="preserve">عمل دهان  </t>
  </si>
  <si>
    <t xml:space="preserve">لم يتم غلق التصريح وناقص  توقيعات </t>
  </si>
  <si>
    <t xml:space="preserve">استكمال بناء حائط المصاعد </t>
  </si>
  <si>
    <t xml:space="preserve">الزيارة الشهرية وتركيب  محبس و2 حنفية  </t>
  </si>
  <si>
    <t xml:space="preserve">تكسير واحلال الخزان  </t>
  </si>
  <si>
    <t xml:space="preserve">محمد عويس </t>
  </si>
  <si>
    <t xml:space="preserve">اعمال صيانة بالكولدير  </t>
  </si>
  <si>
    <t xml:space="preserve">تركيب غطاء على مروحة تكيف كولبس 5 </t>
  </si>
  <si>
    <t xml:space="preserve">عمل مكافحة فى مخزن الوزارة </t>
  </si>
  <si>
    <t xml:space="preserve">صيانة كولدير مياه </t>
  </si>
  <si>
    <t xml:space="preserve">علاء الشابورى  </t>
  </si>
  <si>
    <t xml:space="preserve">الزيارة الشهرية وفك الحساسات القديمة </t>
  </si>
  <si>
    <t xml:space="preserve">محمد زفل   </t>
  </si>
  <si>
    <t xml:space="preserve">تركيب عدادات  ضغط </t>
  </si>
  <si>
    <t xml:space="preserve">تركيب لوحات كهرباء </t>
  </si>
  <si>
    <t xml:space="preserve">تركيب تندة حديد اعلى المصاعد </t>
  </si>
  <si>
    <t xml:space="preserve">توصيل كهرباء بالمصاعد  </t>
  </si>
  <si>
    <t>صيانة تكييف CTP</t>
  </si>
  <si>
    <t xml:space="preserve">أدم محمد </t>
  </si>
  <si>
    <t xml:space="preserve">تركيب صرف تكييف </t>
  </si>
  <si>
    <t xml:space="preserve">الزيارة الشهرية ومكافحة القوارض </t>
  </si>
  <si>
    <t xml:space="preserve">محمود  عويس </t>
  </si>
  <si>
    <t xml:space="preserve">صيانة مبرد مياة الطبع شيت </t>
  </si>
  <si>
    <t xml:space="preserve">استكمال سلم الطوارىء </t>
  </si>
  <si>
    <t xml:space="preserve">اسلام صالح </t>
  </si>
  <si>
    <t xml:space="preserve">تركيب انارة  </t>
  </si>
  <si>
    <t xml:space="preserve">استكمال صيانة شبابيك الالمونتال </t>
  </si>
  <si>
    <t xml:space="preserve">احلال وتجديد خزان الاطفاء   </t>
  </si>
  <si>
    <t xml:space="preserve">ياسر الروبى     </t>
  </si>
  <si>
    <t xml:space="preserve">صيانة رخام حوض الحمام </t>
  </si>
  <si>
    <t xml:space="preserve">صيانة تكييف المكتب  </t>
  </si>
  <si>
    <t xml:space="preserve">هيثم سعيد </t>
  </si>
  <si>
    <t xml:space="preserve">صيانة ماكينة طباعة بالتسليمات   </t>
  </si>
  <si>
    <t xml:space="preserve">ادم محمد </t>
  </si>
  <si>
    <t xml:space="preserve">ترميم وتثبيت باب وطوارىء </t>
  </si>
  <si>
    <t>شركة MFP</t>
  </si>
  <si>
    <t>صيانة تكييف</t>
  </si>
  <si>
    <t xml:space="preserve">استكمال تركيب تندة حديد اعلى المصاعد </t>
  </si>
  <si>
    <t xml:space="preserve">توصيلات كهربائية </t>
  </si>
  <si>
    <t xml:space="preserve">الزيارة الشهرية وتغيير حنفية 2.3 بوصة </t>
  </si>
  <si>
    <t xml:space="preserve">صيانة ايروشر  </t>
  </si>
  <si>
    <t xml:space="preserve">تركيب تاندة حديد </t>
  </si>
  <si>
    <t xml:space="preserve">تركيبات كهربائية </t>
  </si>
  <si>
    <t xml:space="preserve">صيانة كشافات الطوارىء </t>
  </si>
  <si>
    <t xml:space="preserve">تجميع شبكة  الكهرباء </t>
  </si>
  <si>
    <t>احمد السيد</t>
  </si>
  <si>
    <t xml:space="preserve">تركيب مصعد البضائع </t>
  </si>
  <si>
    <t xml:space="preserve">منع تسريب الزيت </t>
  </si>
  <si>
    <t>ذياد عادل</t>
  </si>
  <si>
    <t xml:space="preserve">وليد فتحى </t>
  </si>
  <si>
    <t>تركيب  تكييف</t>
  </si>
  <si>
    <t xml:space="preserve">العمل فى خزان الاطفاء    </t>
  </si>
  <si>
    <t xml:space="preserve">لحام منع تسريب الاحبار  </t>
  </si>
  <si>
    <t xml:space="preserve">صيانة تكييف غرفة الكهرباء ويب 7 </t>
  </si>
  <si>
    <t xml:space="preserve">صيانة تكييف مكتب السلامة والصحة والسرفر </t>
  </si>
  <si>
    <t xml:space="preserve">شريف  عيد </t>
  </si>
  <si>
    <t xml:space="preserve">سامى الامير </t>
  </si>
  <si>
    <t>عمل مكافحة لشقق  العاملين عدد 3 لحشرة للبق</t>
  </si>
  <si>
    <t xml:space="preserve">عادل ابراهيم </t>
  </si>
  <si>
    <t xml:space="preserve">مصطفى نصار  </t>
  </si>
  <si>
    <t xml:space="preserve">العمل على ارتفعات تحرير كابل الفايبر  </t>
  </si>
  <si>
    <t xml:space="preserve">مصطفى رشاد  </t>
  </si>
  <si>
    <t xml:space="preserve">انشاءات و دهانات </t>
  </si>
  <si>
    <t>نظم المعلومات (IT)</t>
  </si>
  <si>
    <t xml:space="preserve">ترميم خزان الاطفاء    </t>
  </si>
  <si>
    <t xml:space="preserve">علاء الشابورى </t>
  </si>
  <si>
    <t xml:space="preserve">الزيارة الشهرية لصيانة نظام الانزار    </t>
  </si>
  <si>
    <t>عمل صيانةلكولدير مياة الطبع شيت</t>
  </si>
  <si>
    <t xml:space="preserve">الزيارة الشهرية وعمل مكافحة للحشرات </t>
  </si>
  <si>
    <t xml:space="preserve">مخلص كامل </t>
  </si>
  <si>
    <t xml:space="preserve">عمل صيانة المصاعد </t>
  </si>
  <si>
    <t xml:space="preserve">اعمال البناء  </t>
  </si>
  <si>
    <t>عمل صيانةلكولدير مياة الكافتريا</t>
  </si>
  <si>
    <t xml:space="preserve">اشرف فتجى </t>
  </si>
  <si>
    <t xml:space="preserve">تغيير بطاريات </t>
  </si>
  <si>
    <t xml:space="preserve">نظافة ورفع المخلفات حول المخزن </t>
  </si>
  <si>
    <t xml:space="preserve">محمود ابو شادى  </t>
  </si>
  <si>
    <t xml:space="preserve">محمد على </t>
  </si>
  <si>
    <t xml:space="preserve">صيانة غرفة الكمبروسر </t>
  </si>
  <si>
    <t xml:space="preserve">اشرف فهمى  </t>
  </si>
  <si>
    <t>صيانة بطاريات</t>
  </si>
  <si>
    <t xml:space="preserve">شركة سيتا </t>
  </si>
  <si>
    <t xml:space="preserve"> استكمال تجميع شبكة  الكهرباء </t>
  </si>
  <si>
    <t xml:space="preserve">سالم حسام </t>
  </si>
  <si>
    <t xml:space="preserve">صيانة الرامب الجديد  </t>
  </si>
  <si>
    <t xml:space="preserve">عمل صيانة للابواب الالمونتال </t>
  </si>
  <si>
    <t xml:space="preserve"> تجميع شبكة  الكهرباء </t>
  </si>
  <si>
    <t xml:space="preserve">ناروز  سليمان </t>
  </si>
  <si>
    <t xml:space="preserve">تجميع  المصاعد </t>
  </si>
  <si>
    <t xml:space="preserve">انشائات   </t>
  </si>
  <si>
    <t xml:space="preserve">سلامة يوسف </t>
  </si>
  <si>
    <t xml:space="preserve">صيانة لحام العاملين بالكفتريا    </t>
  </si>
  <si>
    <t xml:space="preserve">ادم مجمد </t>
  </si>
  <si>
    <t xml:space="preserve">اعمال النقاشة  </t>
  </si>
  <si>
    <t xml:space="preserve">مراد </t>
  </si>
  <si>
    <t xml:space="preserve">احلال وتجديد خزان الاطفاء    </t>
  </si>
  <si>
    <t xml:space="preserve">صيانة التكيفات </t>
  </si>
  <si>
    <t xml:space="preserve">محمد السيد عبد التواب </t>
  </si>
  <si>
    <t xml:space="preserve">احمد حسين </t>
  </si>
  <si>
    <t>اعمال سيراميك</t>
  </si>
  <si>
    <t xml:space="preserve">استكمال العمل فى  شبكة  الكهرباء </t>
  </si>
  <si>
    <t xml:space="preserve">ابراهيم حسين </t>
  </si>
  <si>
    <t>تركيب الراكات بالعنبر</t>
  </si>
  <si>
    <t xml:space="preserve">شركة لنك مصر </t>
  </si>
  <si>
    <t xml:space="preserve">عرفات  محمد </t>
  </si>
  <si>
    <t xml:space="preserve">صيانة فلتر مياه </t>
  </si>
  <si>
    <t xml:space="preserve">عمل تسليح حديد بخزان حريق     </t>
  </si>
  <si>
    <t xml:space="preserve">احلال وتجديد بخزان حريق     </t>
  </si>
  <si>
    <t xml:space="preserve">الزيارة الشهرية  المرور على نقط الاطفاء   </t>
  </si>
  <si>
    <t xml:space="preserve">تركيبات حساسات   </t>
  </si>
  <si>
    <t xml:space="preserve">فك وتركيب باب المونتال  </t>
  </si>
  <si>
    <t xml:space="preserve">تركيب باب الامونتال </t>
  </si>
  <si>
    <t>اعمال تركيبات كهرباء</t>
  </si>
  <si>
    <t xml:space="preserve">حكيم سعيد </t>
  </si>
  <si>
    <t xml:space="preserve">تركيب ستائر </t>
  </si>
  <si>
    <t xml:space="preserve">شركة فينسيا للستائر </t>
  </si>
  <si>
    <t xml:space="preserve">مراد صالح </t>
  </si>
  <si>
    <t xml:space="preserve">عمل حدادة      </t>
  </si>
  <si>
    <t xml:space="preserve">صيانة للتكيفات </t>
  </si>
  <si>
    <t xml:space="preserve">تجديد واحلال خزان الاطفاء     </t>
  </si>
  <si>
    <t xml:space="preserve">قطع ولحام     </t>
  </si>
  <si>
    <t xml:space="preserve">صيانة تكييف  </t>
  </si>
  <si>
    <t xml:space="preserve">عمل تسليح بخزان الاطفاء    </t>
  </si>
  <si>
    <t xml:space="preserve">الزيارة الشهرية والمرور على شبكة الحريق  </t>
  </si>
  <si>
    <t xml:space="preserve">ابراهيم الصفتى  </t>
  </si>
  <si>
    <t xml:space="preserve">تويصلات غرفة الطلمبات   </t>
  </si>
  <si>
    <t xml:space="preserve">عمل صيانة لوحات تكييف  </t>
  </si>
  <si>
    <t xml:space="preserve">عمل صيانة لابواب الامونتال </t>
  </si>
  <si>
    <t xml:space="preserve">عمل غرفة للتدخين بالكفتريا  لابواب الامونتال </t>
  </si>
  <si>
    <t xml:space="preserve">حسام سمير </t>
  </si>
  <si>
    <t xml:space="preserve">عمل معايرة وفحص للكلااركات </t>
  </si>
  <si>
    <t xml:space="preserve">ابراهيم محمد </t>
  </si>
  <si>
    <t xml:space="preserve">شركة ايكو ماستر </t>
  </si>
  <si>
    <t xml:space="preserve">الشركة الدولية الاعمال الهندسية </t>
  </si>
  <si>
    <t xml:space="preserve">صيانة تكيفات اعلى الطبع شيت </t>
  </si>
  <si>
    <t xml:space="preserve">احمد عبد العال </t>
  </si>
  <si>
    <t xml:space="preserve">شركة استار كول </t>
  </si>
  <si>
    <t xml:space="preserve">صيانة تشلير كولبس 3  </t>
  </si>
  <si>
    <t xml:space="preserve">احلال وتجديد خزان الاطفاء     </t>
  </si>
  <si>
    <t xml:space="preserve">استكمال احلال وتجديد خزان الاطفاء     </t>
  </si>
  <si>
    <t xml:space="preserve">عبد الرحمن عادل </t>
  </si>
  <si>
    <t xml:space="preserve">توصيل كابل الفاير </t>
  </si>
  <si>
    <t xml:space="preserve">نركيبات </t>
  </si>
  <si>
    <t xml:space="preserve">احمد عبد العليم </t>
  </si>
  <si>
    <t xml:space="preserve">صيانة تكيف </t>
  </si>
  <si>
    <t xml:space="preserve">محمود </t>
  </si>
  <si>
    <t>دهان سلم الطوارئ</t>
  </si>
  <si>
    <t xml:space="preserve">احمد ماهر  </t>
  </si>
  <si>
    <t>الزيارة الشهرية واعمال مكافحة القوارض</t>
  </si>
  <si>
    <t>نا قص توقيعات</t>
  </si>
  <si>
    <t xml:space="preserve">ناقص توقيعات ولم يتم غلق التصريح </t>
  </si>
  <si>
    <t xml:space="preserve">تغيير فلاتر     </t>
  </si>
  <si>
    <t xml:space="preserve">صيانة </t>
  </si>
  <si>
    <t xml:space="preserve">احمد محمود </t>
  </si>
  <si>
    <t xml:space="preserve">صيانة غرفة الغاز </t>
  </si>
  <si>
    <t xml:space="preserve">ناقص توقيعات  وعدم غلق التصريح </t>
  </si>
  <si>
    <t xml:space="preserve">احمد </t>
  </si>
  <si>
    <t xml:space="preserve">تدعيم خط الحريق </t>
  </si>
  <si>
    <t xml:space="preserve">م/ محمد  صلاح </t>
  </si>
  <si>
    <t xml:space="preserve">استكمال العمل خزان الاطفاء     </t>
  </si>
  <si>
    <t xml:space="preserve">عبد الرحمن اشرف </t>
  </si>
  <si>
    <t xml:space="preserve">صيانة ماكينة سبيد ماستر </t>
  </si>
  <si>
    <t xml:space="preserve">3M شركة </t>
  </si>
  <si>
    <t xml:space="preserve">عبد الرحمن حسن </t>
  </si>
  <si>
    <t>صيانة ثلاجة تبريد ماكينة ويب 4</t>
  </si>
  <si>
    <t xml:space="preserve">حامد عطوان      </t>
  </si>
  <si>
    <t xml:space="preserve">الزيارة الشهرية على نظام الاطفاء </t>
  </si>
  <si>
    <t xml:space="preserve">ترميم  خزان الاطفاء     </t>
  </si>
  <si>
    <t xml:space="preserve">اسلام ابراهيم </t>
  </si>
  <si>
    <t xml:space="preserve">احمد عادل </t>
  </si>
  <si>
    <t xml:space="preserve">صيانة ماكينة ATM   </t>
  </si>
  <si>
    <t>شركة NCR</t>
  </si>
  <si>
    <t xml:space="preserve">وليد محمد   </t>
  </si>
  <si>
    <t xml:space="preserve">صيانة كلاركات </t>
  </si>
  <si>
    <t>عصام حسين</t>
  </si>
  <si>
    <t>امير</t>
  </si>
  <si>
    <t>تركيب كاميرات</t>
  </si>
  <si>
    <t xml:space="preserve">محمد طنطاوى </t>
  </si>
  <si>
    <t xml:space="preserve">تركيب حامل لخط الحريق </t>
  </si>
  <si>
    <t xml:space="preserve">صيانة غرفة الطلمبات  </t>
  </si>
  <si>
    <t>على مصطفى</t>
  </si>
  <si>
    <t>صيانة فلتر المياة بالبوفية</t>
  </si>
  <si>
    <t>صيانة اسانسير</t>
  </si>
  <si>
    <t xml:space="preserve">استكمال اعمال المصاعد </t>
  </si>
  <si>
    <t xml:space="preserve">ابراهيم احمد </t>
  </si>
  <si>
    <t xml:space="preserve">تركيب راكات </t>
  </si>
  <si>
    <t xml:space="preserve">سعيد محمد </t>
  </si>
  <si>
    <t xml:space="preserve">محمد صلاح </t>
  </si>
  <si>
    <t xml:space="preserve">أ حلال وتجديد خزان الحريق </t>
  </si>
  <si>
    <t xml:space="preserve">لحامات بأعمدة المخازن </t>
  </si>
  <si>
    <t xml:space="preserve">اصلاح الكولدير بالكفتريا    </t>
  </si>
  <si>
    <t xml:space="preserve">ابراهيم امين  </t>
  </si>
  <si>
    <t xml:space="preserve">صيانة    </t>
  </si>
  <si>
    <t xml:space="preserve">محمد حسين </t>
  </si>
  <si>
    <t>تغيير كشافات عنبر ويب 3</t>
  </si>
  <si>
    <t xml:space="preserve">تعديل وصيانة الكهرباء السلسيون </t>
  </si>
  <si>
    <t>فيكتور لوندي</t>
  </si>
  <si>
    <t>صالح رمضان</t>
  </si>
  <si>
    <t xml:space="preserve">استكمال اعمال خزان الاطفاء </t>
  </si>
  <si>
    <t xml:space="preserve">رش مبيت الامن وغرفة حركة النقل </t>
  </si>
  <si>
    <t xml:space="preserve"> اسلام ابراهيم </t>
  </si>
  <si>
    <t xml:space="preserve">تركيب زوى حديدبأعمدة المخازن </t>
  </si>
  <si>
    <t xml:space="preserve">اسامة ابراهيم </t>
  </si>
  <si>
    <t>محمد منير</t>
  </si>
  <si>
    <t>صيانة سماعات المسجد</t>
  </si>
  <si>
    <t>شركة وان كونكت</t>
  </si>
  <si>
    <t xml:space="preserve">اعمال سباكة </t>
  </si>
  <si>
    <t>اعمال دهانات</t>
  </si>
  <si>
    <t xml:space="preserve">محمود الشحات </t>
  </si>
  <si>
    <t xml:space="preserve">شركة كايرو تريد </t>
  </si>
  <si>
    <t>محمد ابوسريع</t>
  </si>
  <si>
    <t xml:space="preserve">اعمال تركيب تريهات </t>
  </si>
  <si>
    <t xml:space="preserve">شركة بروفيشنال </t>
  </si>
  <si>
    <t xml:space="preserve">ضياء عبد الله  </t>
  </si>
  <si>
    <t xml:space="preserve">شركة اون فانك </t>
  </si>
  <si>
    <t xml:space="preserve">عبد الرحمن عامر </t>
  </si>
  <si>
    <t xml:space="preserve">صيانة سيور </t>
  </si>
  <si>
    <t>احمد سعيد</t>
  </si>
  <si>
    <t xml:space="preserve">أعمال سباكة </t>
  </si>
  <si>
    <t xml:space="preserve">تركيب المونتال </t>
  </si>
  <si>
    <t xml:space="preserve">استكمال شد الخشب  لخزان الاطفاء </t>
  </si>
  <si>
    <t xml:space="preserve">تركيب  المصاعد </t>
  </si>
  <si>
    <t>اسلام احمد</t>
  </si>
  <si>
    <t>تركيب تكيف مركزي</t>
  </si>
  <si>
    <t xml:space="preserve">شد الخشب  لخزان الاطفاء </t>
  </si>
  <si>
    <t xml:space="preserve">احمد حمادة </t>
  </si>
  <si>
    <t>اعمال لحامات</t>
  </si>
  <si>
    <t xml:space="preserve">عمرو نبوى </t>
  </si>
  <si>
    <t xml:space="preserve">صيانة مجر الصرف </t>
  </si>
  <si>
    <t>صيانة الهيدرولك</t>
  </si>
  <si>
    <t xml:space="preserve">تركيب كشافات كهرباء </t>
  </si>
  <si>
    <t>تركيب سخان بحمامات العمال</t>
  </si>
  <si>
    <t>ابراهيم الخزرجي</t>
  </si>
  <si>
    <t>تركيبات</t>
  </si>
  <si>
    <t xml:space="preserve">مصطفى حسن </t>
  </si>
  <si>
    <r>
      <rPr>
        <b/>
        <sz val="11"/>
        <color theme="1"/>
        <rFont val="Arial"/>
        <family val="2"/>
        <scheme val="minor"/>
      </rPr>
      <t>المخزن القديم</t>
    </r>
    <r>
      <rPr>
        <sz val="11"/>
        <color theme="1"/>
        <rFont val="Arial"/>
        <family val="2"/>
        <scheme val="minor"/>
      </rPr>
      <t xml:space="preserve"> </t>
    </r>
  </si>
  <si>
    <t xml:space="preserve">اعمال صيب خرسانة </t>
  </si>
  <si>
    <t xml:space="preserve">تركيب تندة </t>
  </si>
  <si>
    <t xml:space="preserve">صيانة لوحة اعلانات </t>
  </si>
  <si>
    <t>فك الخشب من حوائط خزان الاطفاء</t>
  </si>
  <si>
    <t>احمد ابوزيت</t>
  </si>
  <si>
    <t>صيانة و نظافة مجر صرف الأمطار</t>
  </si>
  <si>
    <t>حسام جناد</t>
  </si>
  <si>
    <t>تركيب كشافات انارة</t>
  </si>
  <si>
    <t>اعمال صب الخرسانة</t>
  </si>
  <si>
    <t>تغيير صرف الامطار</t>
  </si>
  <si>
    <t>تركيبات و لحام</t>
  </si>
  <si>
    <t xml:space="preserve">استكمال اعمال خزان الحريق </t>
  </si>
  <si>
    <t xml:space="preserve">محمد صالح </t>
  </si>
  <si>
    <t xml:space="preserve">عمل فراشة للساحات  </t>
  </si>
  <si>
    <t xml:space="preserve">محمد جمال </t>
  </si>
  <si>
    <t>عمل مفتاح كهربائي لطرمة الجوكي</t>
  </si>
  <si>
    <t>محمود عويس</t>
  </si>
  <si>
    <t>تركيب شبكات حماية للوحدة الخارجية للتكيف</t>
  </si>
  <si>
    <t>صاينة كولدير المياه</t>
  </si>
  <si>
    <t xml:space="preserve">احمد شعبان </t>
  </si>
  <si>
    <t>صيانة كالاركات</t>
  </si>
  <si>
    <t>خليفة سليمان</t>
  </si>
  <si>
    <t>صيانة غرف الطلمبات</t>
  </si>
  <si>
    <t>استكمال اعمال شبابيك الالموتال</t>
  </si>
  <si>
    <t>عمل سباكة للسخانات بالحمامات</t>
  </si>
  <si>
    <t>تركيب الوميتال</t>
  </si>
  <si>
    <t>حسام الدين محمد</t>
  </si>
  <si>
    <t>عمل عزل بالمداخن الخاصة بماكينات الويب</t>
  </si>
  <si>
    <t>تركيب مصاعد</t>
  </si>
  <si>
    <t>ابراهيم سعد</t>
  </si>
  <si>
    <t>محمد احمد محمد</t>
  </si>
  <si>
    <t>سيد عادل</t>
  </si>
  <si>
    <t>انشائات</t>
  </si>
  <si>
    <t>عبدالله عبدالعليم طه</t>
  </si>
  <si>
    <t>اعمال بناء</t>
  </si>
  <si>
    <t>رامي السعيد</t>
  </si>
  <si>
    <t xml:space="preserve">صيانة كراسي مكتب </t>
  </si>
  <si>
    <t>حامد عطوان</t>
  </si>
  <si>
    <t>مقاول خارجي</t>
  </si>
  <si>
    <t>خليل محمود</t>
  </si>
  <si>
    <t>اعمل سباكة</t>
  </si>
  <si>
    <t>مكافحة قوارض وحشرات</t>
  </si>
  <si>
    <t>صيانة كلارك</t>
  </si>
  <si>
    <t>شركة العشري</t>
  </si>
  <si>
    <t xml:space="preserve">محمد علي </t>
  </si>
  <si>
    <t>تركيب تكييف</t>
  </si>
  <si>
    <t xml:space="preserve">علي الشحات </t>
  </si>
  <si>
    <t>المرور الشهري على نظام الانذار</t>
  </si>
  <si>
    <t>محمد احمد</t>
  </si>
  <si>
    <t>عمرو عصام</t>
  </si>
  <si>
    <t>رامي محمد</t>
  </si>
  <si>
    <t xml:space="preserve">صيانة ثلاجة تبريد </t>
  </si>
  <si>
    <t>يحيى طه</t>
  </si>
  <si>
    <t>تركيب سيراميك</t>
  </si>
  <si>
    <t>توصيل كابلات</t>
  </si>
  <si>
    <t>وليد فتحي</t>
  </si>
  <si>
    <t>تركيب تكييفات</t>
  </si>
  <si>
    <t>مكافحة القوارض والحشرات</t>
  </si>
  <si>
    <t>احمد فرج</t>
  </si>
  <si>
    <t>اعمال فراشة</t>
  </si>
  <si>
    <t xml:space="preserve">عمل صيانة كلاركات </t>
  </si>
  <si>
    <t xml:space="preserve">محمد خليل     </t>
  </si>
  <si>
    <t xml:space="preserve">تركيب كشاف كهرباء  </t>
  </si>
  <si>
    <t>حسام جنات</t>
  </si>
  <si>
    <t>صيانةكشاف كهربئي</t>
  </si>
  <si>
    <t>صيانة كاتور المياة</t>
  </si>
  <si>
    <t>خالد ممدوح</t>
  </si>
  <si>
    <t>معاينة نظام الانذار</t>
  </si>
  <si>
    <t>اسلام حسين</t>
  </si>
  <si>
    <t>تركيب تكيفات</t>
  </si>
  <si>
    <t>صيانة فيشة كهربائية</t>
  </si>
  <si>
    <t xml:space="preserve">دهانات </t>
  </si>
  <si>
    <t xml:space="preserve">ابراهيم سعد </t>
  </si>
  <si>
    <t>انشاءات</t>
  </si>
  <si>
    <t xml:space="preserve">احمد محمد فخرى </t>
  </si>
  <si>
    <t>تركيب خوص حديد لباب الاسانسير</t>
  </si>
  <si>
    <t>عزل كبلات كهرباء غرفة الطرمبات</t>
  </si>
  <si>
    <t>أوفيس مكس</t>
  </si>
  <si>
    <t>شعبان عطا</t>
  </si>
  <si>
    <t xml:space="preserve">أحمد شعبان   </t>
  </si>
  <si>
    <t xml:space="preserve">محمد ماهر  </t>
  </si>
  <si>
    <r>
      <rPr>
        <b/>
        <sz val="11"/>
        <color theme="1"/>
        <rFont val="Arial"/>
        <family val="2"/>
        <scheme val="minor"/>
      </rPr>
      <t xml:space="preserve">انس احمد </t>
    </r>
    <r>
      <rPr>
        <sz val="11"/>
        <color theme="1"/>
        <rFont val="Arial"/>
        <family val="2"/>
        <scheme val="minor"/>
      </rPr>
      <t xml:space="preserve"> </t>
    </r>
  </si>
  <si>
    <t xml:space="preserve">صيانة خطوط التليفون والانترنت </t>
  </si>
  <si>
    <t>استكمال اعمال خزان الاطفاء</t>
  </si>
  <si>
    <t xml:space="preserve">انس احمد </t>
  </si>
  <si>
    <t>محمد صلاح</t>
  </si>
  <si>
    <t>انس احمد</t>
  </si>
  <si>
    <t>مينا سامي</t>
  </si>
  <si>
    <t>استكمال العمل بشبكة الاطفاء</t>
  </si>
  <si>
    <t>ابراهيم العيسوي</t>
  </si>
  <si>
    <t>هيثم جمال</t>
  </si>
  <si>
    <t>تنظيف لوجو الشركة بالمبنى الاداري</t>
  </si>
  <si>
    <t>يوسف عثمان</t>
  </si>
  <si>
    <t xml:space="preserve">تغيير سخانات المياه </t>
  </si>
  <si>
    <t>سامر سامي</t>
  </si>
  <si>
    <t xml:space="preserve">اعمال في شبكة الاطفاء </t>
  </si>
  <si>
    <t>محمد طنطاوي</t>
  </si>
  <si>
    <t>اصلاح بوابة مخزن الوزارة</t>
  </si>
  <si>
    <t>أنشاءات</t>
  </si>
  <si>
    <t>ياسر روبي</t>
  </si>
  <si>
    <t>تركيب درج رخام</t>
  </si>
  <si>
    <t>رافت سعد</t>
  </si>
  <si>
    <t>اشرف لطفي</t>
  </si>
  <si>
    <t>احمد حماده</t>
  </si>
  <si>
    <t>احمد ابوزيد</t>
  </si>
  <si>
    <t>صيانة صرف الامطار</t>
  </si>
  <si>
    <t xml:space="preserve">فرج محمد  </t>
  </si>
  <si>
    <t xml:space="preserve">فك فراشة الشوارع الخارجية </t>
  </si>
  <si>
    <t xml:space="preserve">فؤاد سالم </t>
  </si>
  <si>
    <t>دهان الكفتريا</t>
  </si>
  <si>
    <t xml:space="preserve">عمل صيانة الكلارك </t>
  </si>
  <si>
    <t>علاء على</t>
  </si>
  <si>
    <t>تركيب لوحة انذار على غرفة المحول</t>
  </si>
  <si>
    <t>محمد ماهر</t>
  </si>
  <si>
    <t>عزل اسقف المخزن</t>
  </si>
  <si>
    <t>محمود ابوشادي</t>
  </si>
  <si>
    <t>اعمال نظافة</t>
  </si>
  <si>
    <t>صيانة كشافات الكافيتريا</t>
  </si>
  <si>
    <t>احمد حسن</t>
  </si>
  <si>
    <t>كريم عبداالناصر</t>
  </si>
  <si>
    <t>فرج محمد</t>
  </si>
  <si>
    <t>استكمال الاعمال في شبكة الاطفاء</t>
  </si>
  <si>
    <t>توصيل لوحة الانذار</t>
  </si>
  <si>
    <t>تركيب فليسكبل ب  لكابلات تكيفات المبمى الاداري</t>
  </si>
  <si>
    <t>تركيب سيراميك لغرفة الطلمبات</t>
  </si>
  <si>
    <t>تركيب استاند</t>
  </si>
  <si>
    <t>ابراهيم هارون</t>
  </si>
  <si>
    <t>تركيب شبكة انذار</t>
  </si>
  <si>
    <t>اعمال كهرباء</t>
  </si>
  <si>
    <t>صيانة الوميتال</t>
  </si>
  <si>
    <t>ابراهيم عبدالحليم</t>
  </si>
  <si>
    <t>محمد نقيب</t>
  </si>
  <si>
    <t>حامد ابوالمجد</t>
  </si>
  <si>
    <t>تركيب ماسورة حريق في عنبر 2</t>
  </si>
  <si>
    <t>محمد مصطفى</t>
  </si>
  <si>
    <t>تركيب طلمبات الحريق</t>
  </si>
  <si>
    <t>صيانة كشافات الانارة</t>
  </si>
  <si>
    <t>سيد عاطف</t>
  </si>
  <si>
    <t>صيانة</t>
  </si>
  <si>
    <t>عاطف كمال</t>
  </si>
  <si>
    <t>شركة المدينة</t>
  </si>
  <si>
    <t>محمد عبدالوهاب</t>
  </si>
  <si>
    <t>صيانة ماكينة السلوفان</t>
  </si>
  <si>
    <t>احمد محمد</t>
  </si>
  <si>
    <t>جورج يونان</t>
  </si>
  <si>
    <t>شركة المتحدة</t>
  </si>
  <si>
    <t>محمد الزيني</t>
  </si>
  <si>
    <t>ضياء ابراهيم</t>
  </si>
  <si>
    <t>اسلام شديد</t>
  </si>
  <si>
    <t>صيانة ماكينة التكويد</t>
  </si>
  <si>
    <t>احمد فوزي</t>
  </si>
  <si>
    <t>صيانة لوحات الانذار</t>
  </si>
  <si>
    <t>صيانة ماكينة SPOT</t>
  </si>
  <si>
    <t>بيت الخبرة</t>
  </si>
  <si>
    <t>محمد محمود</t>
  </si>
  <si>
    <t>صيانة زجاج</t>
  </si>
  <si>
    <t xml:space="preserve">صيانة الديزل </t>
  </si>
  <si>
    <t>صيانة غرفة الكهرباء</t>
  </si>
  <si>
    <t>سحب كابلات لغرفة الطلمبات</t>
  </si>
  <si>
    <t>محمد سعيد</t>
  </si>
  <si>
    <t>نادر ياسر</t>
  </si>
  <si>
    <t>صيانة مصاعد</t>
  </si>
  <si>
    <t>عبدالسلام محمد</t>
  </si>
  <si>
    <t>ترميم ارضيات المطابع</t>
  </si>
  <si>
    <t>اسامة داغر</t>
  </si>
  <si>
    <t>اعمال صيانة</t>
  </si>
  <si>
    <t>احمد علي</t>
  </si>
  <si>
    <t>صيانة السلم المتحرك</t>
  </si>
  <si>
    <t>المهندس علاء</t>
  </si>
  <si>
    <t>مصطفى عبدالفتاح</t>
  </si>
  <si>
    <t>صيانة طلمبات</t>
  </si>
  <si>
    <t>استكمال اعمال الكهرباء</t>
  </si>
  <si>
    <t>شركة aps</t>
  </si>
  <si>
    <t>صيانة ماكينة سبيد ماستر 4</t>
  </si>
  <si>
    <t>تركيب ركات</t>
  </si>
  <si>
    <t>حامد ابو المجد</t>
  </si>
  <si>
    <t>صابر احمد</t>
  </si>
  <si>
    <t>شركة الكهرباء</t>
  </si>
  <si>
    <t>المهندس محمد</t>
  </si>
  <si>
    <t>اعمال صيانة غرف الكهرباء</t>
  </si>
  <si>
    <t>احمد شعبان</t>
  </si>
  <si>
    <t>وائل حلمي</t>
  </si>
  <si>
    <t>ابراهيم كمال</t>
  </si>
  <si>
    <t>محسن جمال</t>
  </si>
  <si>
    <t>محمد عطية السيد</t>
  </si>
  <si>
    <t>تركيب ريليف فالف</t>
  </si>
  <si>
    <t>احمد وهبة</t>
  </si>
  <si>
    <t>صيانة ماكينة uv</t>
  </si>
  <si>
    <t xml:space="preserve">صابر ايبراهيم </t>
  </si>
  <si>
    <t xml:space="preserve">تركيب شفاط فى الطبع شيت </t>
  </si>
  <si>
    <t>عمل صيانة  ماكينة CTB</t>
  </si>
  <si>
    <t xml:space="preserve">كامل جمعة  </t>
  </si>
  <si>
    <t xml:space="preserve">الزيارة الشهرية للمكافحة </t>
  </si>
  <si>
    <t xml:space="preserve">حازم عاطف </t>
  </si>
  <si>
    <t xml:space="preserve">صيانة غرفة USB </t>
  </si>
  <si>
    <t xml:space="preserve">شريف عيد  </t>
  </si>
  <si>
    <t xml:space="preserve">عمل صيانة بغرفة الكهرباء </t>
  </si>
  <si>
    <t xml:space="preserve">تركيب كولدير مياه </t>
  </si>
  <si>
    <t xml:space="preserve">لم يتم غلف التصريح </t>
  </si>
  <si>
    <t xml:space="preserve">أحمد حسن </t>
  </si>
  <si>
    <t>دهانات حديد فى مخزن هدايا</t>
  </si>
  <si>
    <t xml:space="preserve">ابراهيم  عبد الحليم   </t>
  </si>
  <si>
    <t>صيانة الكلاركات</t>
  </si>
  <si>
    <t xml:space="preserve">علاء شحات على </t>
  </si>
  <si>
    <t xml:space="preserve">صيانة  خط الحريق فى مخزن الوزارة </t>
  </si>
  <si>
    <t xml:space="preserve">مصطفى مهدى  </t>
  </si>
  <si>
    <t xml:space="preserve">صيانة  الشلندرات  </t>
  </si>
  <si>
    <t xml:space="preserve">اسلام  </t>
  </si>
  <si>
    <t>صيانة  ماكينة CTB</t>
  </si>
  <si>
    <t xml:space="preserve">هشام  حسين  </t>
  </si>
  <si>
    <t>صيانة تنك الاحبار</t>
  </si>
  <si>
    <t xml:space="preserve">احمد عبد العزيز </t>
  </si>
  <si>
    <t>زيروكس</t>
  </si>
  <si>
    <t xml:space="preserve">محمد راضى </t>
  </si>
  <si>
    <t xml:space="preserve">صيانة  ماكينة التصوير  </t>
  </si>
  <si>
    <t xml:space="preserve">محمد عيسى </t>
  </si>
  <si>
    <t xml:space="preserve">صيانة تكييفات  </t>
  </si>
  <si>
    <t>ايمن محمد كامل</t>
  </si>
  <si>
    <t xml:space="preserve">صيانة تكييفات التسليمات </t>
  </si>
  <si>
    <t xml:space="preserve">صيانة فلتر المياه </t>
  </si>
  <si>
    <t>اسلام مليجي</t>
  </si>
  <si>
    <t xml:space="preserve">صيانة اجهزة التكيف </t>
  </si>
  <si>
    <t xml:space="preserve">تركيب كولدير  مياه جديد </t>
  </si>
  <si>
    <t xml:space="preserve">اعمال صيانة الاسانسير </t>
  </si>
  <si>
    <t>محمد سعيد محمد</t>
  </si>
  <si>
    <t>تركيب استيكر على الاستاندات</t>
  </si>
  <si>
    <t xml:space="preserve">سيد جاد  </t>
  </si>
  <si>
    <t>الزيارة الشهرية للمكافحة  الافات والقوارض</t>
  </si>
  <si>
    <t xml:space="preserve">السيد ابراهيم </t>
  </si>
  <si>
    <t xml:space="preserve">صيانة دورية </t>
  </si>
  <si>
    <t xml:space="preserve">سيد عادل  </t>
  </si>
  <si>
    <t xml:space="preserve">صيانة  </t>
  </si>
  <si>
    <t>سيد رفاعي</t>
  </si>
  <si>
    <t>تنزيل ماكينة من حاوية</t>
  </si>
  <si>
    <t>صيانة تانك الاحبار</t>
  </si>
  <si>
    <t>ادم حسن</t>
  </si>
  <si>
    <t>تركيب انتر لوك</t>
  </si>
  <si>
    <t>عيد احمد</t>
  </si>
  <si>
    <t>صيانة ماكينة sp4</t>
  </si>
  <si>
    <t xml:space="preserve">عمل صيانة لغرفة الغاز </t>
  </si>
  <si>
    <t xml:space="preserve">يحيى طه </t>
  </si>
  <si>
    <t>صيانة شيلر الويب الجديد</t>
  </si>
  <si>
    <t>(All)</t>
  </si>
  <si>
    <t>(Multiple Items)</t>
  </si>
  <si>
    <t xml:space="preserve">صيانة مبرد مياه الشرب </t>
  </si>
  <si>
    <t>صيانة ابواب الوميتال المبنى الاداري</t>
  </si>
  <si>
    <t xml:space="preserve">لحام سيور بخط الكولبس </t>
  </si>
  <si>
    <t>عبدالرحمن احمد</t>
  </si>
  <si>
    <t>رفع وتثبيت تشيلر اعلى ويب 3</t>
  </si>
  <si>
    <t>ترميم حائط غرفة السيرفر</t>
  </si>
  <si>
    <t xml:space="preserve">ملخص  كامل   </t>
  </si>
  <si>
    <t xml:space="preserve"> صيانة المصاعد </t>
  </si>
  <si>
    <t xml:space="preserve">محدى كرم </t>
  </si>
  <si>
    <t xml:space="preserve">لحام جنشات  فى كمر السقف </t>
  </si>
  <si>
    <t xml:space="preserve">محمد سعيد </t>
  </si>
  <si>
    <t xml:space="preserve">تركيب مراوح سقف </t>
  </si>
  <si>
    <t>مصطفى رشاد</t>
  </si>
  <si>
    <t xml:space="preserve">عمل نقاشة وترميم للحائط </t>
  </si>
  <si>
    <t xml:space="preserve">صيانة ابواب مكتب الحركة </t>
  </si>
  <si>
    <t>صيانة تكييف غرفة السيرفر</t>
  </si>
  <si>
    <t xml:space="preserve">ممدوح محمد </t>
  </si>
  <si>
    <t xml:space="preserve">صيانة ادوات الاوراق  </t>
  </si>
  <si>
    <t xml:space="preserve">مصطفى محمود  </t>
  </si>
  <si>
    <t xml:space="preserve">تغيير بطارية عداد المياه الديجتال </t>
  </si>
  <si>
    <t>لحام تنكات الاحبار</t>
  </si>
  <si>
    <t>صيانة دورية</t>
  </si>
  <si>
    <t xml:space="preserve">دهان سلم المبنى الادارى </t>
  </si>
  <si>
    <t xml:space="preserve">على اشرف </t>
  </si>
  <si>
    <t xml:space="preserve">معايرة الموازين </t>
  </si>
  <si>
    <t xml:space="preserve">كريم محممود   </t>
  </si>
  <si>
    <t xml:space="preserve">عزل حوائط </t>
  </si>
  <si>
    <t xml:space="preserve">عبد الله محمد </t>
  </si>
  <si>
    <t xml:space="preserve">تغيير حبارات </t>
  </si>
  <si>
    <t xml:space="preserve">صيانة تكييف غرفة السيرفر </t>
  </si>
  <si>
    <t xml:space="preserve">سيد على </t>
  </si>
  <si>
    <t xml:space="preserve">شركة البكرى </t>
  </si>
  <si>
    <t xml:space="preserve">احمد محمد   </t>
  </si>
  <si>
    <t xml:space="preserve">محمد احمد </t>
  </si>
  <si>
    <t xml:space="preserve">الزيارة الشهرية لمكافحة القوارض والحشرات </t>
  </si>
  <si>
    <t>احمد سيد</t>
  </si>
  <si>
    <t xml:space="preserve">صيانة أدوات ادارية </t>
  </si>
  <si>
    <t xml:space="preserve">تركيب فراشة بالشوارع الخارجية </t>
  </si>
  <si>
    <t xml:space="preserve">اعمال الكهرباء </t>
  </si>
  <si>
    <t xml:space="preserve">اسلام السيد </t>
  </si>
  <si>
    <t>تغيير شمعات فلتر المياه</t>
  </si>
  <si>
    <t xml:space="preserve">صابر ابراهيم  </t>
  </si>
  <si>
    <t xml:space="preserve">اصلاح بوابة المخزن </t>
  </si>
  <si>
    <t xml:space="preserve">صيانة تكييف مخزن قطع الغيار </t>
  </si>
  <si>
    <t xml:space="preserve">عمل  فراشة باالمخزن  </t>
  </si>
  <si>
    <t xml:space="preserve">صيانة تكييفات الادارى </t>
  </si>
  <si>
    <t xml:space="preserve">شركة أطلس </t>
  </si>
  <si>
    <t xml:space="preserve">محمد عبد النبى  </t>
  </si>
  <si>
    <t xml:space="preserve">عمل صيانة الكمبروسر  رقم 1 </t>
  </si>
  <si>
    <t xml:space="preserve">معروف محمد   </t>
  </si>
  <si>
    <t xml:space="preserve">عمل صيانة الكمبروسر  </t>
  </si>
  <si>
    <t xml:space="preserve">استكمال  فراشة باالمخزن  </t>
  </si>
  <si>
    <t xml:space="preserve">عمل صيانة تكييف </t>
  </si>
  <si>
    <t>لحام تسريب  الاحبار</t>
  </si>
  <si>
    <t xml:space="preserve">السيد ابراهيم  </t>
  </si>
  <si>
    <t xml:space="preserve">عمل معالجة تسريب للاحبار </t>
  </si>
  <si>
    <t xml:space="preserve">صيانةالتكييف فى المبنى الادارى </t>
  </si>
  <si>
    <t>شركة الدسوقي</t>
  </si>
  <si>
    <t xml:space="preserve">محمد دسوقى  </t>
  </si>
  <si>
    <t xml:space="preserve">محمد احمد   </t>
  </si>
  <si>
    <t xml:space="preserve">صيانة فيشة الكهرباء </t>
  </si>
  <si>
    <t>بيانات خاطئة</t>
  </si>
  <si>
    <t xml:space="preserve">مجدى كرم </t>
  </si>
  <si>
    <t xml:space="preserve">صيانة أعمال سباكة  </t>
  </si>
  <si>
    <t xml:space="preserve">احمد بدوى </t>
  </si>
  <si>
    <t xml:space="preserve">المرور على الكاميرات </t>
  </si>
  <si>
    <t>محمود الدروي</t>
  </si>
  <si>
    <t>صيانةالتكييف فى استراحه المهندسين</t>
  </si>
  <si>
    <t xml:space="preserve">محمد الدسوقى </t>
  </si>
  <si>
    <t xml:space="preserve">لحام وتجميع وصلات اللتشلر </t>
  </si>
  <si>
    <t xml:space="preserve">محمود ماهر  </t>
  </si>
  <si>
    <t>ابراهيم فتح الله</t>
  </si>
  <si>
    <t xml:space="preserve">صيانةكلاركات </t>
  </si>
  <si>
    <t xml:space="preserve">صيانةالتكيفات </t>
  </si>
  <si>
    <t xml:space="preserve">المرور الشهرية على الاسناسير </t>
  </si>
  <si>
    <t>تركيب شيلر قسم ويب 3</t>
  </si>
  <si>
    <t xml:space="preserve">ايمن كامل   </t>
  </si>
  <si>
    <t xml:space="preserve">أحمد حسين  </t>
  </si>
  <si>
    <t xml:space="preserve">الزيارة الشهرية لصيانة الاسانسير </t>
  </si>
  <si>
    <t xml:space="preserve">اعمال لحام فى  سندرة بسح عنبر ويب 3 </t>
  </si>
  <si>
    <t xml:space="preserve">تركيب كشاف بالكفتريا </t>
  </si>
  <si>
    <t xml:space="preserve">ابو المجد  </t>
  </si>
  <si>
    <t xml:space="preserve">اعمال صيانة لعربيات  الهيدورليك </t>
  </si>
  <si>
    <t xml:space="preserve">محمد ابراهيم </t>
  </si>
  <si>
    <t xml:space="preserve">محمود مرعى </t>
  </si>
  <si>
    <t xml:space="preserve">اعمال لحام  شبكة الاطفاء </t>
  </si>
  <si>
    <t xml:space="preserve">على فريد عبد الله </t>
  </si>
  <si>
    <t xml:space="preserve">جمعة محمد </t>
  </si>
  <si>
    <t xml:space="preserve">عمل صيانة تكييف استراحة المهندسين الخزينة </t>
  </si>
  <si>
    <t xml:space="preserve">عمل لحام  تسريب للاحبار </t>
  </si>
  <si>
    <t>اعمال تركيب الشلر</t>
  </si>
  <si>
    <t>شركة كيمكس</t>
  </si>
  <si>
    <t xml:space="preserve">عمل صيانة لوحدة السوفتير </t>
  </si>
  <si>
    <t xml:space="preserve">محمد ماهر    </t>
  </si>
  <si>
    <t>شركة GM</t>
  </si>
  <si>
    <t xml:space="preserve">نادر اسكندر </t>
  </si>
  <si>
    <t xml:space="preserve">اعمال لحام لتجهيز  شبكة اطفاء تلقائى </t>
  </si>
  <si>
    <t>عمل صيانة صيانة لوحدات التكييف بالمطبعة</t>
  </si>
  <si>
    <t xml:space="preserve">عمل انشائات معمارية </t>
  </si>
  <si>
    <t>عمل صيانة تكييف استراحة المهندسين</t>
  </si>
  <si>
    <t>صيانة ابواب الالمونتال</t>
  </si>
  <si>
    <t xml:space="preserve">كمال احمد  </t>
  </si>
  <si>
    <t xml:space="preserve">عمل صيانة تكييف للطبع شيت </t>
  </si>
  <si>
    <t xml:space="preserve">شركة فور تيك </t>
  </si>
  <si>
    <t xml:space="preserve">الزيارة الشهرية  على نقاط الاطفاء وصناديق الحريق </t>
  </si>
  <si>
    <t xml:space="preserve">صيانة الماتور </t>
  </si>
  <si>
    <t xml:space="preserve">ادم محمد  </t>
  </si>
  <si>
    <t xml:space="preserve">اعمال تركيب انتر لك </t>
  </si>
  <si>
    <t xml:space="preserve">سامى سامى </t>
  </si>
  <si>
    <t>عدم غلف التصريح</t>
  </si>
  <si>
    <t xml:space="preserve">على شحات </t>
  </si>
  <si>
    <t xml:space="preserve">الزيارة الشهرية  على الانزار </t>
  </si>
  <si>
    <t xml:space="preserve">صيانة الكلارك </t>
  </si>
  <si>
    <t xml:space="preserve">لحام تنك  للاحبار </t>
  </si>
  <si>
    <t xml:space="preserve">صيانة تكيفات  غرفة السيرفر </t>
  </si>
  <si>
    <t>صيانة ctp</t>
  </si>
  <si>
    <t xml:space="preserve">لحام تسريب  للاحبار </t>
  </si>
  <si>
    <t xml:space="preserve">فرج محمد   </t>
  </si>
  <si>
    <t xml:space="preserve">فرج الفراشة </t>
  </si>
  <si>
    <t xml:space="preserve">امير حجازى </t>
  </si>
  <si>
    <t xml:space="preserve">تركيب خط الفايبر </t>
  </si>
  <si>
    <t xml:space="preserve">استكمال تركيب خط الفايبر </t>
  </si>
  <si>
    <t xml:space="preserve">عمل صرف للتكيفات </t>
  </si>
  <si>
    <t xml:space="preserve">صيانة ابواب العنابر </t>
  </si>
  <si>
    <t>محمود الدروى</t>
  </si>
  <si>
    <t xml:space="preserve">محمد نقيب </t>
  </si>
  <si>
    <t>عمل صيانة كهرباء بالعنابر</t>
  </si>
  <si>
    <t xml:space="preserve">أحمد سعيد </t>
  </si>
  <si>
    <t xml:space="preserve"> صيانة كهرباء </t>
  </si>
  <si>
    <t xml:space="preserve">لحام تسريب  تنك  للاحبار </t>
  </si>
  <si>
    <t xml:space="preserve">استكمال عمل صرف للتكيفات </t>
  </si>
  <si>
    <t xml:space="preserve">كامل جمعة     </t>
  </si>
  <si>
    <t xml:space="preserve">صابر ابراهيم      </t>
  </si>
  <si>
    <t>عمل تنده لخزان السولار  للماكينة الديزل</t>
  </si>
  <si>
    <t xml:space="preserve">أحمد ابوزيد    </t>
  </si>
  <si>
    <t>لحام وقطع فى باب  طوارىء بجوار ويب 2</t>
  </si>
  <si>
    <t xml:space="preserve">صيانة الثلاجة </t>
  </si>
  <si>
    <t xml:space="preserve">مصطفى سليم  </t>
  </si>
  <si>
    <t xml:space="preserve">اسلام  مليجى </t>
  </si>
  <si>
    <t xml:space="preserve">تغيير فلتر </t>
  </si>
  <si>
    <t xml:space="preserve">مصطغى  عماد </t>
  </si>
  <si>
    <t xml:space="preserve"> تركيب خط الفايبر  فى غرفة السيرفر</t>
  </si>
  <si>
    <t xml:space="preserve">صيانة تنكات الاحبار </t>
  </si>
  <si>
    <t xml:space="preserve">سيد ممدوح  </t>
  </si>
  <si>
    <t xml:space="preserve">صيانة اجهزة التكييف فى المبنى الادارى  </t>
  </si>
  <si>
    <t xml:space="preserve">على الشحات  </t>
  </si>
  <si>
    <t xml:space="preserve">الزيارة الشهرية لشركة الكريم شبكة الانزار </t>
  </si>
  <si>
    <t xml:space="preserve">ايمن محمد كامل   </t>
  </si>
  <si>
    <t xml:space="preserve">محمد عابد    </t>
  </si>
  <si>
    <t xml:space="preserve">صيانة الاسانسير  </t>
  </si>
  <si>
    <t>صيانة ماكينة CTB</t>
  </si>
  <si>
    <t xml:space="preserve">عبد الفتاح خضير  </t>
  </si>
  <si>
    <t xml:space="preserve">سقى بلاط المطبخ </t>
  </si>
  <si>
    <t xml:space="preserve">كامل  جمعة    </t>
  </si>
  <si>
    <t xml:space="preserve">اجمد فتحى </t>
  </si>
  <si>
    <t xml:space="preserve">صيانة الاساسنسير </t>
  </si>
  <si>
    <t xml:space="preserve">صيانة تكييف ماكينة ATM </t>
  </si>
  <si>
    <t>شركة الاسكندرية</t>
  </si>
  <si>
    <t>صيانة سقف عنبر 2</t>
  </si>
  <si>
    <t>الشئون الادارية</t>
  </si>
  <si>
    <t>دهان طرقة المسجد</t>
  </si>
  <si>
    <t xml:space="preserve">شركة الهدي </t>
  </si>
  <si>
    <t>لحام تسريب  تانك الاحبار</t>
  </si>
  <si>
    <t>الإجمالي الكلي</t>
  </si>
  <si>
    <t>(عدة عناصر)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</si>
</sst>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 #,##0.00_-;_-* &quot;-&quot;??_-;_-@_-"/>
    <numFmt numFmtId="165" formatCode="[$-F800]dddd\,\ mmmm\ dd\,\ yyyy"/>
    <numFmt numFmtId="166" formatCode="[$-F400]h:mm:ss\ AM/PM"/>
    <numFmt numFmtId="167" formatCode="h:mm;@"/>
    <numFmt numFmtId="168" formatCode="_(* #,##0.0000_);_(* \(#,##0.0000\);_(* &quot;-&quot;??_);_(@_)"/>
    <numFmt numFmtId="169" formatCode="_(* #,##0.0_);_(* \(#,##0.0\);_(* &quot;-&quot;????_);_(@_)"/>
    <numFmt numFmtId="171" formatCode="0.0"/>
  </numFmts>
  <fonts count="16" x14ac:knownFonts="1">
    <font>
      <sz val="11"/>
      <color theme="1"/>
      <name val="Arial"/>
      <family val="2"/>
      <scheme val="minor"/>
    </font>
    <font>
      <b/>
      <sz val="11"/>
      <color theme="1"/>
      <name val="Arial"/>
      <family val="2"/>
      <scheme val="minor"/>
    </font>
    <font>
      <sz val="11"/>
      <color rgb="FFFF0000"/>
      <name val="Arial"/>
      <family val="2"/>
      <scheme val="minor"/>
    </font>
    <font>
      <b/>
      <sz val="9"/>
      <color theme="1"/>
      <name val="Arial"/>
      <family val="2"/>
      <scheme val="minor"/>
    </font>
    <font>
      <b/>
      <sz val="8"/>
      <color theme="1"/>
      <name val="Arial"/>
      <family val="2"/>
      <scheme val="minor"/>
    </font>
    <font>
      <b/>
      <sz val="10"/>
      <color theme="1"/>
      <name val="Arial"/>
      <family val="2"/>
      <scheme val="minor"/>
    </font>
    <font>
      <sz val="12"/>
      <color theme="1"/>
      <name val="Arial"/>
      <family val="2"/>
      <scheme val="minor"/>
    </font>
    <font>
      <b/>
      <sz val="8"/>
      <color rgb="FFFF0000"/>
      <name val="Arial"/>
      <family val="2"/>
      <scheme val="minor"/>
    </font>
    <font>
      <sz val="10"/>
      <color theme="1"/>
      <name val="Arial"/>
      <family val="2"/>
      <scheme val="minor"/>
    </font>
    <font>
      <b/>
      <sz val="12"/>
      <color theme="1"/>
      <name val="Arial"/>
      <family val="2"/>
      <scheme val="minor"/>
    </font>
    <font>
      <b/>
      <sz val="14"/>
      <color theme="1"/>
      <name val="Arial"/>
      <family val="2"/>
      <scheme val="minor"/>
    </font>
    <font>
      <sz val="11"/>
      <color theme="1"/>
      <name val="Arial"/>
      <family val="2"/>
      <scheme val="minor"/>
    </font>
    <font>
      <sz val="8"/>
      <name val="Arial"/>
      <family val="2"/>
      <scheme val="minor"/>
    </font>
    <font>
      <b/>
      <sz val="10"/>
      <color rgb="FFFF0000"/>
      <name val="Arial"/>
      <family val="2"/>
      <scheme val="minor"/>
    </font>
    <font>
      <b/>
      <i/>
      <sz val="11"/>
      <color theme="1"/>
      <name val="Arial"/>
      <family val="2"/>
      <scheme val="minor"/>
    </font>
    <font>
      <b/>
      <i/>
      <sz val="10"/>
      <color theme="1"/>
      <name val="Arial"/>
      <family val="2"/>
      <scheme val="minor"/>
    </font>
  </fonts>
  <fills count="1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rgb="FFFFFF00"/>
        <bgColor indexed="64"/>
      </patternFill>
    </fill>
    <fill>
      <patternFill patternType="solid">
        <fgColor rgb="FFFF0000"/>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theme="7"/>
        <bgColor indexed="64"/>
      </patternFill>
    </fill>
    <fill>
      <patternFill patternType="solid">
        <fgColor theme="5" tint="0.79998168889431442"/>
        <bgColor indexed="64"/>
      </patternFill>
    </fill>
    <fill>
      <patternFill patternType="solid">
        <fgColor rgb="FFFFFF99"/>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7"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s>
  <cellStyleXfs count="2">
    <xf numFmtId="0" fontId="0" fillId="0" borderId="0"/>
    <xf numFmtId="164" fontId="11" fillId="0" borderId="0" applyFont="0" applyFill="0" applyBorder="0" applyAlignment="0" applyProtection="0"/>
  </cellStyleXfs>
  <cellXfs count="137">
    <xf numFmtId="0" fontId="0" fillId="0" borderId="0" xfId="0"/>
    <xf numFmtId="0" fontId="0" fillId="0" borderId="0" xfId="0" applyAlignment="1">
      <alignment horizontal="center" vertical="center"/>
    </xf>
    <xf numFmtId="165" fontId="0" fillId="0" borderId="0" xfId="0" applyNumberFormat="1" applyAlignment="1">
      <alignment horizontal="center" vertical="center"/>
    </xf>
    <xf numFmtId="14" fontId="0" fillId="0" borderId="0" xfId="0" applyNumberFormat="1" applyAlignment="1">
      <alignment horizontal="center" vertical="center"/>
    </xf>
    <xf numFmtId="165" fontId="0" fillId="2" borderId="0" xfId="0" applyNumberFormat="1" applyFill="1" applyAlignment="1">
      <alignment horizontal="center" vertical="center"/>
    </xf>
    <xf numFmtId="165" fontId="0" fillId="2" borderId="1" xfId="0" applyNumberFormat="1" applyFill="1" applyBorder="1" applyAlignment="1">
      <alignment horizontal="center" vertical="center"/>
    </xf>
    <xf numFmtId="14" fontId="0" fillId="0" borderId="1" xfId="0" applyNumberFormat="1" applyBorder="1" applyAlignment="1">
      <alignment horizontal="center" vertical="center"/>
    </xf>
    <xf numFmtId="165" fontId="0" fillId="0" borderId="1" xfId="0" applyNumberFormat="1" applyBorder="1" applyAlignment="1">
      <alignment horizontal="center" vertical="center"/>
    </xf>
    <xf numFmtId="14" fontId="0" fillId="0" borderId="0" xfId="0" applyNumberFormat="1"/>
    <xf numFmtId="0" fontId="0" fillId="3" borderId="0" xfId="0" applyFill="1" applyAlignment="1">
      <alignment horizontal="center" vertical="center"/>
    </xf>
    <xf numFmtId="0" fontId="0" fillId="0" borderId="1" xfId="0" applyBorder="1" applyAlignment="1">
      <alignment horizontal="center" vertical="center"/>
    </xf>
    <xf numFmtId="46" fontId="0" fillId="0" borderId="1" xfId="0" applyNumberFormat="1" applyBorder="1" applyAlignment="1">
      <alignment horizontal="center" vertical="center"/>
    </xf>
    <xf numFmtId="0" fontId="0" fillId="4" borderId="0" xfId="0" applyFill="1" applyAlignment="1">
      <alignment horizontal="center" vertical="center"/>
    </xf>
    <xf numFmtId="46" fontId="0" fillId="4" borderId="0" xfId="0" applyNumberFormat="1" applyFill="1" applyAlignment="1">
      <alignment horizontal="center" vertical="center"/>
    </xf>
    <xf numFmtId="17" fontId="0" fillId="0" borderId="1" xfId="0" applyNumberFormat="1" applyBorder="1" applyAlignment="1">
      <alignment horizontal="center" vertical="center"/>
    </xf>
    <xf numFmtId="0" fontId="0" fillId="0" borderId="0" xfId="0" pivotButton="1"/>
    <xf numFmtId="0" fontId="0" fillId="4" borderId="1" xfId="0" applyFill="1" applyBorder="1" applyAlignment="1">
      <alignment horizontal="center" vertical="center"/>
    </xf>
    <xf numFmtId="46" fontId="0" fillId="4" borderId="1" xfId="0" applyNumberFormat="1" applyFill="1" applyBorder="1" applyAlignment="1">
      <alignment horizontal="center" vertical="center"/>
    </xf>
    <xf numFmtId="0" fontId="0" fillId="3" borderId="1" xfId="0" applyFill="1" applyBorder="1" applyAlignment="1">
      <alignment horizontal="center" vertical="center"/>
    </xf>
    <xf numFmtId="165" fontId="0" fillId="2" borderId="1" xfId="0" applyNumberFormat="1" applyFill="1" applyBorder="1" applyAlignment="1">
      <alignment horizontal="center" vertical="center" wrapText="1"/>
    </xf>
    <xf numFmtId="165" fontId="1" fillId="2" borderId="2" xfId="0" applyNumberFormat="1" applyFont="1" applyFill="1" applyBorder="1" applyAlignment="1">
      <alignment horizontal="center" vertical="center" wrapText="1"/>
    </xf>
    <xf numFmtId="165" fontId="1" fillId="0" borderId="0" xfId="0" applyNumberFormat="1" applyFont="1" applyAlignment="1">
      <alignment horizontal="center" vertical="center"/>
    </xf>
    <xf numFmtId="165" fontId="3" fillId="2" borderId="1" xfId="0" applyNumberFormat="1" applyFont="1" applyFill="1" applyBorder="1" applyAlignment="1">
      <alignment horizontal="center" vertical="center"/>
    </xf>
    <xf numFmtId="165" fontId="3" fillId="0" borderId="1" xfId="0" applyNumberFormat="1" applyFont="1" applyBorder="1" applyAlignment="1">
      <alignment horizontal="center" vertical="center"/>
    </xf>
    <xf numFmtId="165" fontId="3" fillId="0" borderId="0" xfId="0" applyNumberFormat="1" applyFont="1" applyAlignment="1">
      <alignment horizontal="center" vertical="center"/>
    </xf>
    <xf numFmtId="165" fontId="4" fillId="2" borderId="1" xfId="0" applyNumberFormat="1" applyFont="1" applyFill="1" applyBorder="1" applyAlignment="1">
      <alignment horizontal="center" vertical="center"/>
    </xf>
    <xf numFmtId="165" fontId="4" fillId="0" borderId="1" xfId="0" applyNumberFormat="1" applyFont="1" applyBorder="1" applyAlignment="1">
      <alignment horizontal="center" vertical="center"/>
    </xf>
    <xf numFmtId="165" fontId="4" fillId="0" borderId="0" xfId="0" applyNumberFormat="1" applyFont="1" applyAlignment="1">
      <alignment horizontal="center" vertical="center"/>
    </xf>
    <xf numFmtId="165" fontId="4" fillId="2" borderId="1" xfId="0" applyNumberFormat="1" applyFont="1" applyFill="1" applyBorder="1" applyAlignment="1">
      <alignment horizontal="center" vertical="center" wrapText="1"/>
    </xf>
    <xf numFmtId="0" fontId="0" fillId="5" borderId="0" xfId="0" applyFill="1"/>
    <xf numFmtId="165" fontId="1" fillId="2" borderId="1" xfId="0" applyNumberFormat="1" applyFont="1" applyFill="1" applyBorder="1" applyAlignment="1">
      <alignment horizontal="center" vertical="center"/>
    </xf>
    <xf numFmtId="165" fontId="1" fillId="0" borderId="1" xfId="0" applyNumberFormat="1" applyFont="1" applyBorder="1" applyAlignment="1">
      <alignment horizontal="center" vertical="center"/>
    </xf>
    <xf numFmtId="18" fontId="1" fillId="2" borderId="1" xfId="0" applyNumberFormat="1" applyFont="1" applyFill="1" applyBorder="1" applyAlignment="1">
      <alignment horizontal="center" vertical="center"/>
    </xf>
    <xf numFmtId="18" fontId="1" fillId="0" borderId="0" xfId="0" applyNumberFormat="1" applyFont="1" applyAlignment="1">
      <alignment horizontal="center" vertical="center"/>
    </xf>
    <xf numFmtId="18" fontId="1" fillId="6" borderId="1" xfId="0" applyNumberFormat="1" applyFont="1" applyFill="1" applyBorder="1" applyAlignment="1">
      <alignment horizontal="center" vertical="center"/>
    </xf>
    <xf numFmtId="18" fontId="1" fillId="6" borderId="0" xfId="0" applyNumberFormat="1" applyFont="1" applyFill="1" applyAlignment="1">
      <alignment horizontal="center" vertical="center"/>
    </xf>
    <xf numFmtId="20" fontId="1" fillId="7" borderId="1" xfId="0" applyNumberFormat="1" applyFont="1" applyFill="1" applyBorder="1" applyAlignment="1">
      <alignment horizontal="center" vertical="center"/>
    </xf>
    <xf numFmtId="20" fontId="1" fillId="7" borderId="0" xfId="0" applyNumberFormat="1" applyFont="1" applyFill="1" applyAlignment="1">
      <alignment horizontal="center" vertical="center"/>
    </xf>
    <xf numFmtId="165" fontId="2" fillId="0" borderId="1" xfId="0" applyNumberFormat="1" applyFont="1" applyBorder="1" applyAlignment="1">
      <alignment horizontal="center" vertical="center"/>
    </xf>
    <xf numFmtId="165" fontId="6" fillId="0" borderId="1" xfId="0" applyNumberFormat="1" applyFont="1" applyBorder="1" applyAlignment="1">
      <alignment horizontal="center" vertical="center"/>
    </xf>
    <xf numFmtId="165" fontId="7" fillId="0" borderId="1" xfId="0" applyNumberFormat="1" applyFont="1" applyBorder="1" applyAlignment="1">
      <alignment horizontal="center" vertical="center"/>
    </xf>
    <xf numFmtId="166" fontId="5" fillId="6" borderId="0" xfId="0" applyNumberFormat="1" applyFont="1" applyFill="1" applyAlignment="1">
      <alignment horizontal="center" vertical="center"/>
    </xf>
    <xf numFmtId="167" fontId="5" fillId="8" borderId="0" xfId="0" applyNumberFormat="1" applyFont="1" applyFill="1" applyAlignment="1">
      <alignment horizontal="center" vertical="center"/>
    </xf>
    <xf numFmtId="0" fontId="0" fillId="0" borderId="1" xfId="0" applyBorder="1"/>
    <xf numFmtId="0" fontId="1" fillId="0" borderId="0" xfId="0" applyFont="1" applyAlignment="1">
      <alignment horizontal="center" vertical="center"/>
    </xf>
    <xf numFmtId="0" fontId="9" fillId="0" borderId="0" xfId="0" applyFont="1" applyAlignment="1">
      <alignment horizontal="center" vertical="center"/>
    </xf>
    <xf numFmtId="14" fontId="9" fillId="0" borderId="1" xfId="0" applyNumberFormat="1" applyFont="1" applyBorder="1" applyAlignment="1">
      <alignment horizontal="center" vertical="center"/>
    </xf>
    <xf numFmtId="165" fontId="9" fillId="0" borderId="1" xfId="0" applyNumberFormat="1" applyFont="1" applyBorder="1" applyAlignment="1">
      <alignment horizontal="center" vertical="center"/>
    </xf>
    <xf numFmtId="166" fontId="9" fillId="6" borderId="0" xfId="0" applyNumberFormat="1" applyFont="1" applyFill="1" applyAlignment="1">
      <alignment horizontal="center" vertical="center"/>
    </xf>
    <xf numFmtId="20" fontId="9" fillId="7" borderId="0" xfId="0" applyNumberFormat="1" applyFont="1" applyFill="1" applyAlignment="1">
      <alignment horizontal="center" vertical="center"/>
    </xf>
    <xf numFmtId="165" fontId="10" fillId="2" borderId="0" xfId="0" applyNumberFormat="1" applyFont="1" applyFill="1" applyAlignment="1">
      <alignment horizontal="center" vertical="center"/>
    </xf>
    <xf numFmtId="165" fontId="10" fillId="2" borderId="1" xfId="0" applyNumberFormat="1" applyFont="1" applyFill="1" applyBorder="1" applyAlignment="1">
      <alignment horizontal="center" vertical="center" wrapText="1"/>
    </xf>
    <xf numFmtId="18" fontId="10" fillId="2" borderId="3" xfId="0" applyNumberFormat="1" applyFont="1" applyFill="1" applyBorder="1" applyAlignment="1">
      <alignment horizontal="center" vertical="center"/>
    </xf>
    <xf numFmtId="18" fontId="10" fillId="2" borderId="1" xfId="0" applyNumberFormat="1" applyFont="1" applyFill="1" applyBorder="1" applyAlignment="1">
      <alignment horizontal="center" vertical="center"/>
    </xf>
    <xf numFmtId="165" fontId="10" fillId="2" borderId="1" xfId="0" applyNumberFormat="1" applyFont="1" applyFill="1" applyBorder="1" applyAlignment="1">
      <alignment horizontal="center" vertical="center"/>
    </xf>
    <xf numFmtId="0" fontId="10" fillId="0" borderId="0" xfId="0" applyFont="1" applyAlignment="1">
      <alignment horizontal="center" vertical="center"/>
    </xf>
    <xf numFmtId="0" fontId="10" fillId="3" borderId="0" xfId="0" applyFont="1" applyFill="1" applyAlignment="1">
      <alignment horizontal="center" vertical="center"/>
    </xf>
    <xf numFmtId="16" fontId="0" fillId="0" borderId="0" xfId="0" applyNumberFormat="1" applyAlignment="1">
      <alignment horizontal="center" vertical="center"/>
    </xf>
    <xf numFmtId="17" fontId="0" fillId="0" borderId="0" xfId="0" applyNumberFormat="1"/>
    <xf numFmtId="165" fontId="4" fillId="9" borderId="1" xfId="0" applyNumberFormat="1" applyFont="1" applyFill="1" applyBorder="1" applyAlignment="1">
      <alignment horizontal="center" vertical="center"/>
    </xf>
    <xf numFmtId="0" fontId="5" fillId="9" borderId="1" xfId="0" applyFont="1" applyFill="1" applyBorder="1" applyAlignment="1">
      <alignment horizontal="center" vertical="center"/>
    </xf>
    <xf numFmtId="0" fontId="0" fillId="9" borderId="1" xfId="0" applyFill="1" applyBorder="1" applyAlignment="1">
      <alignment horizontal="center" vertical="center"/>
    </xf>
    <xf numFmtId="0" fontId="4" fillId="9" borderId="1" xfId="0" applyFont="1" applyFill="1" applyBorder="1" applyAlignment="1">
      <alignment horizontal="center" vertical="center"/>
    </xf>
    <xf numFmtId="168" fontId="5" fillId="9" borderId="1" xfId="1" applyNumberFormat="1" applyFont="1" applyFill="1" applyBorder="1" applyAlignment="1">
      <alignment horizontal="center" vertical="center"/>
    </xf>
    <xf numFmtId="0" fontId="0" fillId="0" borderId="0" xfId="0" applyAlignment="1">
      <alignment horizontal="right"/>
    </xf>
    <xf numFmtId="0" fontId="0" fillId="10" borderId="0" xfId="0" applyFill="1"/>
    <xf numFmtId="0" fontId="0" fillId="5" borderId="0" xfId="0" applyFill="1" applyAlignment="1">
      <alignment horizontal="right"/>
    </xf>
    <xf numFmtId="0" fontId="0" fillId="8" borderId="0" xfId="0" applyFill="1"/>
    <xf numFmtId="0" fontId="0" fillId="0" borderId="1" xfId="0" pivotButton="1" applyBorder="1"/>
    <xf numFmtId="0" fontId="0" fillId="0" borderId="1" xfId="0" applyBorder="1" applyAlignment="1">
      <alignment horizontal="right"/>
    </xf>
    <xf numFmtId="0" fontId="0" fillId="10" borderId="1" xfId="0" applyFill="1" applyBorder="1"/>
    <xf numFmtId="0" fontId="0" fillId="5" borderId="1" xfId="0" applyFill="1" applyBorder="1" applyAlignment="1">
      <alignment horizontal="right"/>
    </xf>
    <xf numFmtId="165" fontId="5" fillId="9" borderId="1" xfId="0" applyNumberFormat="1" applyFont="1" applyFill="1" applyBorder="1" applyAlignment="1">
      <alignment horizontal="center" vertical="center"/>
    </xf>
    <xf numFmtId="0" fontId="5" fillId="9" borderId="1" xfId="0" applyFont="1" applyFill="1" applyBorder="1" applyAlignment="1">
      <alignment horizontal="center"/>
    </xf>
    <xf numFmtId="14" fontId="1" fillId="9" borderId="1" xfId="0" applyNumberFormat="1" applyFont="1" applyFill="1" applyBorder="1" applyAlignment="1">
      <alignment horizontal="center"/>
    </xf>
    <xf numFmtId="0" fontId="0" fillId="11" borderId="0" xfId="0" applyFill="1"/>
    <xf numFmtId="0" fontId="0" fillId="7" borderId="0" xfId="0" applyFill="1"/>
    <xf numFmtId="0" fontId="0" fillId="12" borderId="0" xfId="0" applyFill="1"/>
    <xf numFmtId="0" fontId="0" fillId="13" borderId="0" xfId="0" applyFill="1"/>
    <xf numFmtId="0" fontId="0" fillId="14" borderId="0" xfId="0" applyFill="1"/>
    <xf numFmtId="0" fontId="1" fillId="0" borderId="1" xfId="0" applyFont="1" applyBorder="1" applyAlignment="1">
      <alignment horizontal="center" vertical="center"/>
    </xf>
    <xf numFmtId="0" fontId="0" fillId="15" borderId="1" xfId="0" applyFill="1" applyBorder="1" applyAlignment="1">
      <alignment horizontal="center" vertical="center"/>
    </xf>
    <xf numFmtId="14" fontId="5" fillId="9" borderId="1" xfId="0" applyNumberFormat="1" applyFont="1" applyFill="1" applyBorder="1" applyAlignment="1">
      <alignment horizontal="center" vertical="center"/>
    </xf>
    <xf numFmtId="18" fontId="5" fillId="9" borderId="1" xfId="0" applyNumberFormat="1" applyFont="1" applyFill="1" applyBorder="1" applyAlignment="1">
      <alignment horizontal="center" vertical="center"/>
    </xf>
    <xf numFmtId="165" fontId="13" fillId="9" borderId="1" xfId="0" applyNumberFormat="1" applyFont="1" applyFill="1" applyBorder="1" applyAlignment="1">
      <alignment horizontal="center" vertical="center"/>
    </xf>
    <xf numFmtId="0" fontId="5" fillId="15" borderId="1" xfId="0" applyFont="1" applyFill="1" applyBorder="1" applyAlignment="1">
      <alignment horizontal="center" vertical="center"/>
    </xf>
    <xf numFmtId="0" fontId="5" fillId="0" borderId="1" xfId="0" applyFont="1" applyBorder="1" applyAlignment="1">
      <alignment horizontal="right"/>
    </xf>
    <xf numFmtId="0" fontId="0" fillId="9" borderId="1" xfId="0" applyFill="1" applyBorder="1"/>
    <xf numFmtId="0" fontId="1" fillId="9" borderId="1" xfId="0" applyFont="1" applyFill="1" applyBorder="1" applyAlignment="1">
      <alignment horizontal="center" vertical="center"/>
    </xf>
    <xf numFmtId="0" fontId="0" fillId="9" borderId="1" xfId="0" applyFill="1" applyBorder="1" applyAlignment="1">
      <alignment horizontal="right" vertical="center"/>
    </xf>
    <xf numFmtId="0" fontId="1" fillId="9" borderId="1" xfId="0" applyFont="1" applyFill="1" applyBorder="1" applyAlignment="1">
      <alignment horizontal="right" vertical="center"/>
    </xf>
    <xf numFmtId="0" fontId="1" fillId="15" borderId="1" xfId="0" applyFont="1" applyFill="1" applyBorder="1" applyAlignment="1">
      <alignment horizontal="center" vertical="center"/>
    </xf>
    <xf numFmtId="0" fontId="5" fillId="9" borderId="1" xfId="0" applyFont="1" applyFill="1" applyBorder="1" applyAlignment="1">
      <alignment horizontal="right"/>
    </xf>
    <xf numFmtId="0" fontId="0" fillId="9" borderId="1" xfId="0" applyFill="1" applyBorder="1" applyAlignment="1">
      <alignment horizontal="right"/>
    </xf>
    <xf numFmtId="0" fontId="1" fillId="9" borderId="1" xfId="0" applyFont="1" applyFill="1" applyBorder="1" applyAlignment="1">
      <alignment horizontal="right"/>
    </xf>
    <xf numFmtId="19" fontId="5" fillId="9" borderId="1" xfId="0" applyNumberFormat="1" applyFont="1" applyFill="1" applyBorder="1" applyAlignment="1">
      <alignment horizontal="center" vertical="center"/>
    </xf>
    <xf numFmtId="0" fontId="8" fillId="9"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15" borderId="1" xfId="0" applyFont="1" applyFill="1" applyBorder="1" applyAlignment="1">
      <alignment horizontal="center" vertical="center" readingOrder="1"/>
    </xf>
    <xf numFmtId="17" fontId="5" fillId="9" borderId="3" xfId="0" applyNumberFormat="1" applyFont="1" applyFill="1" applyBorder="1" applyAlignment="1">
      <alignment horizontal="center" vertical="center"/>
    </xf>
    <xf numFmtId="0" fontId="0" fillId="9" borderId="4" xfId="0" applyFill="1" applyBorder="1" applyAlignment="1">
      <alignment horizontal="center" vertical="center"/>
    </xf>
    <xf numFmtId="0" fontId="1" fillId="9" borderId="4" xfId="0" applyFont="1" applyFill="1" applyBorder="1" applyAlignment="1">
      <alignment horizontal="center" vertical="center"/>
    </xf>
    <xf numFmtId="165" fontId="1" fillId="10" borderId="5" xfId="0" applyNumberFormat="1" applyFont="1" applyFill="1" applyBorder="1" applyAlignment="1">
      <alignment horizontal="center" vertical="center"/>
    </xf>
    <xf numFmtId="165" fontId="1" fillId="10" borderId="6" xfId="0" applyNumberFormat="1" applyFont="1" applyFill="1" applyBorder="1" applyAlignment="1">
      <alignment horizontal="center" vertical="center"/>
    </xf>
    <xf numFmtId="165" fontId="1" fillId="10" borderId="6" xfId="0" applyNumberFormat="1" applyFont="1" applyFill="1" applyBorder="1" applyAlignment="1">
      <alignment horizontal="center" vertical="center" wrapText="1"/>
    </xf>
    <xf numFmtId="18" fontId="1" fillId="10" borderId="6" xfId="0" applyNumberFormat="1" applyFont="1" applyFill="1" applyBorder="1" applyAlignment="1">
      <alignment horizontal="center" vertical="center"/>
    </xf>
    <xf numFmtId="0" fontId="1" fillId="10" borderId="6" xfId="0" applyFont="1" applyFill="1" applyBorder="1" applyAlignment="1">
      <alignment horizontal="center" vertical="center"/>
    </xf>
    <xf numFmtId="0" fontId="0" fillId="9" borderId="6" xfId="0" applyFill="1" applyBorder="1"/>
    <xf numFmtId="0" fontId="5" fillId="9" borderId="6" xfId="0" applyFont="1" applyFill="1" applyBorder="1" applyAlignment="1">
      <alignment horizontal="center" vertical="center"/>
    </xf>
    <xf numFmtId="0" fontId="0" fillId="9" borderId="2" xfId="0" applyFill="1" applyBorder="1" applyAlignment="1">
      <alignment horizontal="center" vertical="center"/>
    </xf>
    <xf numFmtId="0" fontId="0" fillId="9" borderId="2" xfId="0" applyFill="1" applyBorder="1" applyAlignment="1">
      <alignment horizontal="right"/>
    </xf>
    <xf numFmtId="0" fontId="0" fillId="9" borderId="2" xfId="0" applyFill="1" applyBorder="1" applyAlignment="1">
      <alignment horizontal="right" vertical="center"/>
    </xf>
    <xf numFmtId="0" fontId="0" fillId="9" borderId="7" xfId="0" applyFill="1" applyBorder="1" applyAlignment="1">
      <alignment horizontal="center" vertical="center"/>
    </xf>
    <xf numFmtId="0" fontId="2" fillId="9" borderId="4" xfId="0" applyFont="1" applyFill="1" applyBorder="1" applyAlignment="1">
      <alignment horizontal="center" vertical="center"/>
    </xf>
    <xf numFmtId="165" fontId="5" fillId="10" borderId="6" xfId="0" applyNumberFormat="1" applyFont="1" applyFill="1" applyBorder="1" applyAlignment="1">
      <alignment horizontal="center" vertical="center"/>
    </xf>
    <xf numFmtId="0" fontId="3" fillId="9" borderId="1" xfId="0" applyFont="1" applyFill="1" applyBorder="1" applyAlignment="1">
      <alignment horizontal="center" vertical="center"/>
    </xf>
    <xf numFmtId="165" fontId="3" fillId="9" borderId="1" xfId="0" applyNumberFormat="1" applyFont="1" applyFill="1" applyBorder="1" applyAlignment="1">
      <alignment horizontal="center" vertical="center"/>
    </xf>
    <xf numFmtId="0" fontId="9" fillId="9" borderId="1" xfId="0" applyFont="1" applyFill="1" applyBorder="1" applyAlignment="1">
      <alignment horizontal="center" vertical="center"/>
    </xf>
    <xf numFmtId="0" fontId="14" fillId="9" borderId="1" xfId="0" applyFont="1" applyFill="1" applyBorder="1" applyAlignment="1">
      <alignment horizontal="center" vertical="center"/>
    </xf>
    <xf numFmtId="0" fontId="15" fillId="9" borderId="1" xfId="0" applyFont="1" applyFill="1" applyBorder="1" applyAlignment="1">
      <alignment horizontal="center" vertical="center"/>
    </xf>
    <xf numFmtId="0" fontId="1" fillId="10" borderId="1" xfId="0" applyFont="1" applyFill="1" applyBorder="1" applyAlignment="1">
      <alignment horizontal="center"/>
    </xf>
    <xf numFmtId="0" fontId="1" fillId="0" borderId="1" xfId="0" applyFont="1" applyBorder="1" applyAlignment="1">
      <alignment horizontal="center"/>
    </xf>
    <xf numFmtId="0" fontId="1" fillId="5" borderId="1" xfId="0" applyFont="1" applyFill="1" applyBorder="1" applyAlignment="1">
      <alignment horizontal="center"/>
    </xf>
    <xf numFmtId="0" fontId="1" fillId="0" borderId="1" xfId="0" pivotButton="1" applyFont="1" applyBorder="1" applyAlignment="1">
      <alignment horizontal="center"/>
    </xf>
    <xf numFmtId="1" fontId="1" fillId="5" borderId="1" xfId="0" applyNumberFormat="1" applyFont="1" applyFill="1" applyBorder="1" applyAlignment="1">
      <alignment horizontal="center"/>
    </xf>
    <xf numFmtId="1" fontId="1" fillId="0" borderId="1" xfId="0" applyNumberFormat="1" applyFont="1" applyBorder="1" applyAlignment="1">
      <alignment horizontal="center"/>
    </xf>
    <xf numFmtId="166" fontId="5" fillId="9" borderId="1" xfId="0" applyNumberFormat="1" applyFont="1" applyFill="1" applyBorder="1" applyAlignment="1">
      <alignment horizontal="center" vertical="center"/>
    </xf>
    <xf numFmtId="2" fontId="5" fillId="9" borderId="1" xfId="0" applyNumberFormat="1" applyFont="1" applyFill="1" applyBorder="1" applyAlignment="1">
      <alignment horizontal="center" vertical="center"/>
    </xf>
    <xf numFmtId="0" fontId="0" fillId="5" borderId="1" xfId="0" applyFill="1" applyBorder="1"/>
    <xf numFmtId="0" fontId="0" fillId="12" borderId="1" xfId="0" applyFill="1" applyBorder="1"/>
    <xf numFmtId="0" fontId="1" fillId="13" borderId="1" xfId="0" applyFont="1" applyFill="1" applyBorder="1" applyAlignment="1">
      <alignment horizontal="center" vertical="center"/>
    </xf>
    <xf numFmtId="0" fontId="1" fillId="14" borderId="1" xfId="0" applyFont="1" applyFill="1" applyBorder="1" applyAlignment="1">
      <alignment horizontal="center" vertical="center"/>
    </xf>
    <xf numFmtId="0" fontId="1" fillId="0" borderId="1" xfId="0" applyNumberFormat="1" applyFont="1" applyBorder="1" applyAlignment="1">
      <alignment horizontal="center"/>
    </xf>
    <xf numFmtId="171" fontId="1" fillId="10" borderId="6" xfId="0" applyNumberFormat="1" applyFont="1" applyFill="1" applyBorder="1" applyAlignment="1">
      <alignment horizontal="right" vertical="center"/>
    </xf>
    <xf numFmtId="171" fontId="1" fillId="9" borderId="1" xfId="0" applyNumberFormat="1" applyFont="1" applyFill="1" applyBorder="1" applyAlignment="1">
      <alignment horizontal="right" vertical="center"/>
    </xf>
    <xf numFmtId="171" fontId="5" fillId="9" borderId="1" xfId="0" applyNumberFormat="1" applyFont="1" applyFill="1" applyBorder="1" applyAlignment="1">
      <alignment horizontal="right" vertical="center"/>
    </xf>
    <xf numFmtId="171" fontId="1" fillId="9" borderId="1" xfId="0" applyNumberFormat="1" applyFont="1" applyFill="1" applyBorder="1" applyAlignment="1">
      <alignment horizontal="right"/>
    </xf>
  </cellXfs>
  <cellStyles count="2">
    <cellStyle name="Comma" xfId="1" builtinId="3"/>
    <cellStyle name="عادي" xfId="0" builtinId="0"/>
  </cellStyles>
  <dxfs count="135">
    <dxf>
      <font>
        <b/>
      </font>
      <numFmt numFmtId="171" formatCode="0.0"/>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ill>
        <patternFill patternType="solid">
          <bgColor theme="7"/>
        </patternFill>
      </fill>
    </dxf>
    <dxf>
      <fill>
        <patternFill patternType="solid">
          <bgColor theme="7"/>
        </patternFill>
      </fill>
    </dxf>
    <dxf>
      <fill>
        <patternFill patternType="solid">
          <bgColor rgb="FFFF0000"/>
        </patternFill>
      </fill>
    </dxf>
    <dxf>
      <fill>
        <patternFill patternType="solid">
          <bgColor rgb="FFFF0000"/>
        </patternFill>
      </fill>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 formatCode="0"/>
    </dxf>
    <dxf>
      <numFmt numFmtId="1" formatCode="0"/>
    </dxf>
    <dxf>
      <numFmt numFmtId="1" formatCode="0"/>
    </dxf>
    <dxf>
      <numFmt numFmtId="1" formatCode="0"/>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rial"/>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Arial"/>
        <family val="2"/>
        <scheme val="minor"/>
      </font>
      <numFmt numFmtId="165" formatCode="[$-F800]dddd\,\ mmmm\ dd\,\ yyyy"/>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8"/>
        <color theme="1"/>
        <name val="Arial"/>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theme="1"/>
        <name val="Arial"/>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rial"/>
        <family val="2"/>
        <scheme val="minor"/>
      </font>
      <numFmt numFmtId="19" formatCode="dd/mm/yy"/>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1" formatCode="0"/>
    </dxf>
    <dxf>
      <numFmt numFmtId="1" formatCode="0"/>
    </dxf>
    <dxf>
      <numFmt numFmtId="1" formatCode="0"/>
    </dxf>
    <dxf>
      <numFmt numFmtId="1" formatCode="0"/>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ill>
        <patternFill patternType="solid">
          <bgColor rgb="FFFF0000"/>
        </patternFill>
      </fill>
    </dxf>
    <dxf>
      <fill>
        <patternFill patternType="solid">
          <bgColor rgb="FFFF0000"/>
        </patternFill>
      </fill>
    </dxf>
    <dxf>
      <fill>
        <patternFill patternType="solid">
          <bgColor theme="7"/>
        </patternFill>
      </fill>
    </dxf>
    <dxf>
      <fill>
        <patternFill patternType="solid">
          <bgColor theme="7"/>
        </patternFill>
      </fill>
    </dxf>
    <dxf>
      <font>
        <b/>
      </font>
    </dxf>
    <dxf>
      <alignment vertical="center"/>
    </dxf>
    <dxf>
      <alignment horizontal="center"/>
    </dxf>
    <dxf>
      <font>
        <b/>
      </font>
    </dxf>
    <dxf>
      <font>
        <b/>
      </font>
    </dxf>
    <dxf>
      <alignment vertical="center"/>
    </dxf>
    <dxf>
      <alignment vertical="center"/>
    </dxf>
    <dxf>
      <alignment horizontal="center"/>
    </dxf>
    <dxf>
      <alignment horizontal="center"/>
    </dxf>
    <dxf>
      <fill>
        <patternFill>
          <bgColor theme="0" tint="-0.14999847407452621"/>
        </patternFill>
      </fill>
    </dxf>
    <dxf>
      <fill>
        <patternFill>
          <bgColor theme="9" tint="0.39997558519241921"/>
        </patternFill>
      </fill>
    </dxf>
    <dxf>
      <fill>
        <patternFill>
          <bgColor rgb="FFFFFF99"/>
        </patternFill>
      </fill>
    </dxf>
    <dxf>
      <fill>
        <patternFill>
          <bgColor theme="9" tint="0.79998168889431442"/>
        </patternFill>
      </fill>
    </dxf>
    <dxf>
      <fill>
        <patternFill>
          <bgColor theme="5" tint="0.79998168889431442"/>
        </patternFill>
      </fill>
    </dxf>
    <dxf>
      <fill>
        <patternFill>
          <bgColor theme="4"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00"/>
        </patternFill>
      </fill>
    </dxf>
    <dxf>
      <fill>
        <patternFill patternType="solid">
          <bgColor rgb="FFFF0000"/>
        </patternFill>
      </fill>
    </dxf>
    <dxf>
      <fill>
        <patternFill patternType="solid">
          <bgColor theme="7"/>
        </patternFill>
      </fill>
    </dxf>
    <dxf>
      <fill>
        <patternFill patternType="solid">
          <bgColor theme="7"/>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00"/>
        </patternFill>
      </fill>
    </dxf>
    <dxf>
      <fill>
        <patternFill patternType="solid">
          <bgColor rgb="FFFF0000"/>
        </patternFill>
      </fill>
    </dxf>
    <dxf>
      <fill>
        <patternFill patternType="solid">
          <bgColor theme="7"/>
        </patternFill>
      </fill>
    </dxf>
    <dxf>
      <fill>
        <patternFill patternType="solid">
          <bgColor theme="7"/>
        </patternFill>
      </fill>
    </dxf>
    <dxf>
      <fill>
        <patternFill patternType="solid">
          <bgColor theme="4" tint="0.79998168889431442"/>
        </patternFill>
      </fill>
    </dxf>
    <dxf>
      <fill>
        <patternFill patternType="solid">
          <bgColor rgb="FFFF0000"/>
        </patternFill>
      </fill>
    </dxf>
    <dxf>
      <fill>
        <patternFill patternType="solid">
          <bgColor rgb="FFFF0000"/>
        </patternFill>
      </fill>
    </dxf>
    <dxf>
      <fill>
        <patternFill patternType="solid">
          <bgColor theme="7"/>
        </patternFill>
      </fill>
    </dxf>
    <dxf>
      <fill>
        <patternFill patternType="solid">
          <bgColor theme="7"/>
        </patternFill>
      </fill>
    </dxf>
    <dxf>
      <fill>
        <patternFill patternType="solid">
          <bgColor theme="7"/>
        </patternFill>
      </fill>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pivotCacheDefinition" Target="pivotCache/pivotCacheDefinition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4.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29" Type="http://schemas.microsoft.com/office/2011/relationships/timelineCache" Target="timelineCaches/timeline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microsoft.com/office/2011/relationships/timelineCache" Target="timelineCaches/timelineCache3.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microsoft.com/office/2011/relationships/timelineCache" Target="timelineCaches/timelineCache2.xml"/><Relationship Id="rId30" Type="http://schemas.openxmlformats.org/officeDocument/2006/relationships/theme" Target="theme/theme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 Id="rId4" Type="http://schemas.openxmlformats.org/officeDocument/2006/relationships/image" Target="../media/image1.jp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[تصارح العمل المطابع والمخازن1jul 2025.xlsx]إجمالي الساعات لكل موقع !PivotTable11</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Sum of </a:t>
            </a:r>
            <a:r>
              <a:rPr lang="ar-EG"/>
              <a:t>اجمالي الساعات  </a:t>
            </a:r>
            <a:r>
              <a:rPr lang="en-US"/>
              <a:t>by </a:t>
            </a:r>
            <a:r>
              <a:rPr lang="ar-EG"/>
              <a:t>الموقع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00B050"/>
          </a:solidFill>
          <a:ln>
            <a:noFill/>
          </a:ln>
          <a:effectLst/>
        </c:spPr>
      </c:pivotFmt>
      <c:pivotFmt>
        <c:idx val="3"/>
        <c:spPr>
          <a:solidFill>
            <a:srgbClr val="00B050"/>
          </a:solidFill>
          <a:ln>
            <a:noFill/>
          </a:ln>
          <a:effectLst/>
        </c:spPr>
      </c:pivotFmt>
      <c:pivotFmt>
        <c:idx val="4"/>
        <c:spPr>
          <a:solidFill>
            <a:srgbClr val="00B050"/>
          </a:solidFill>
          <a:ln>
            <a:noFill/>
          </a:ln>
          <a:effectLst/>
        </c:spPr>
      </c:pivotFmt>
      <c:pivotFmt>
        <c:idx val="5"/>
        <c:spPr>
          <a:solidFill>
            <a:srgbClr val="00B050"/>
          </a:solidFill>
          <a:ln>
            <a:noFill/>
          </a:ln>
          <a:effectLst/>
        </c:spPr>
      </c:pivotFmt>
      <c:pivotFmt>
        <c:idx val="6"/>
        <c:spPr>
          <a:solidFill>
            <a:srgbClr val="00B050"/>
          </a:solidFill>
          <a:ln>
            <a:noFill/>
          </a:ln>
          <a:effectLst/>
        </c:spPr>
      </c:pivotFmt>
      <c:pivotFmt>
        <c:idx val="7"/>
        <c:spPr>
          <a:solidFill>
            <a:srgbClr val="00B050"/>
          </a:solidFill>
          <a:ln>
            <a:noFill/>
          </a:ln>
          <a:effectLst/>
        </c:spPr>
      </c:pivotFmt>
      <c:pivotFmt>
        <c:idx val="8"/>
        <c:spPr>
          <a:solidFill>
            <a:srgbClr val="00B050"/>
          </a:solidFill>
          <a:ln>
            <a:noFill/>
          </a:ln>
          <a:effectLst/>
        </c:spPr>
      </c:pivotFmt>
      <c:pivotFmt>
        <c:idx val="9"/>
        <c:spPr>
          <a:solidFill>
            <a:schemeClr val="accent4"/>
          </a:solidFill>
          <a:ln>
            <a:noFill/>
          </a:ln>
          <a:effectLst/>
        </c:spPr>
      </c:pivotFmt>
      <c:pivotFmt>
        <c:idx val="10"/>
        <c:spPr>
          <a:solidFill>
            <a:schemeClr val="accent4"/>
          </a:solidFill>
          <a:ln>
            <a:noFill/>
          </a:ln>
          <a:effectLst/>
        </c:spPr>
      </c:pivotFmt>
      <c:pivotFmt>
        <c:idx val="11"/>
        <c:spPr>
          <a:solidFill>
            <a:schemeClr val="accent4"/>
          </a:solidFill>
          <a:ln>
            <a:noFill/>
          </a:ln>
          <a:effectLst/>
        </c:spPr>
      </c:pivotFmt>
      <c:pivotFmt>
        <c:idx val="12"/>
        <c:spPr>
          <a:solidFill>
            <a:schemeClr val="accent4"/>
          </a:solidFill>
          <a:ln>
            <a:noFill/>
          </a:ln>
          <a:effectLst/>
        </c:spPr>
      </c:pivotFmt>
      <c:pivotFmt>
        <c:idx val="13"/>
        <c:spPr>
          <a:solidFill>
            <a:schemeClr val="accent4"/>
          </a:solidFill>
          <a:ln>
            <a:noFill/>
          </a:ln>
          <a:effectLst/>
        </c:spPr>
      </c:pivotFmt>
      <c:pivotFmt>
        <c:idx val="14"/>
        <c:spPr>
          <a:solidFill>
            <a:schemeClr val="accent4"/>
          </a:solidFill>
          <a:ln>
            <a:noFill/>
          </a:ln>
          <a:effectLst/>
        </c:spPr>
      </c:pivotFmt>
      <c:pivotFmt>
        <c:idx val="15"/>
        <c:spPr>
          <a:solidFill>
            <a:srgbClr val="FF0000"/>
          </a:solidFill>
          <a:ln>
            <a:noFill/>
          </a:ln>
          <a:effectLst/>
        </c:spPr>
      </c:pivotFmt>
      <c:pivotFmt>
        <c:idx val="16"/>
        <c:spPr>
          <a:solidFill>
            <a:srgbClr val="FF0000"/>
          </a:solidFill>
          <a:ln>
            <a:noFill/>
          </a:ln>
          <a:effectLst/>
        </c:spPr>
      </c:pivotFmt>
      <c:pivotFmt>
        <c:idx val="17"/>
        <c:spPr>
          <a:solidFill>
            <a:srgbClr val="FF0000"/>
          </a:solidFill>
          <a:ln>
            <a:noFill/>
          </a:ln>
          <a:effectLst/>
        </c:spPr>
      </c:pivotFmt>
      <c:pivotFmt>
        <c:idx val="18"/>
        <c:spPr>
          <a:solidFill>
            <a:srgbClr val="FF0000"/>
          </a:solidFill>
          <a:ln>
            <a:noFill/>
          </a:ln>
          <a:effectLst/>
        </c:spPr>
      </c:pivotFmt>
      <c:pivotFmt>
        <c:idx val="19"/>
        <c:spPr>
          <a:solidFill>
            <a:srgbClr val="FF0000"/>
          </a:solidFill>
          <a:ln>
            <a:noFill/>
          </a:ln>
          <a:effectLst/>
        </c:spPr>
      </c:pivotFmt>
      <c:pivotFmt>
        <c:idx val="20"/>
        <c:spPr>
          <a:solidFill>
            <a:srgbClr val="FF0000"/>
          </a:solidFill>
          <a:ln>
            <a:noFill/>
          </a:ln>
          <a:effectLst/>
        </c:spPr>
      </c:pivotFmt>
      <c:pivotFmt>
        <c:idx val="21"/>
        <c:spPr>
          <a:solidFill>
            <a:srgbClr val="FF0000"/>
          </a:solidFill>
          <a:ln>
            <a:noFill/>
          </a:ln>
          <a:effectLst/>
        </c:spPr>
      </c:pivotFmt>
      <c:pivotFmt>
        <c:idx val="22"/>
        <c:spPr>
          <a:solidFill>
            <a:schemeClr val="tx1"/>
          </a:solidFill>
          <a:ln>
            <a:noFill/>
          </a:ln>
          <a:effectLst/>
        </c:spPr>
      </c:pivotFmt>
      <c:pivotFmt>
        <c:idx val="23"/>
        <c:spPr>
          <a:solidFill>
            <a:schemeClr val="tx1"/>
          </a:solidFill>
          <a:ln>
            <a:noFill/>
          </a:ln>
          <a:effectLst/>
        </c:spPr>
      </c:pivotFmt>
    </c:pivotFmts>
    <c:plotArea>
      <c:layout>
        <c:manualLayout>
          <c:layoutTarget val="inner"/>
          <c:xMode val="edge"/>
          <c:yMode val="edge"/>
          <c:x val="5.7737021699103254E-2"/>
          <c:y val="6.3684383202099737E-2"/>
          <c:w val="0.92098072238176931"/>
          <c:h val="0.60560165556228551"/>
        </c:manualLayout>
      </c:layout>
      <c:barChart>
        <c:barDir val="col"/>
        <c:grouping val="clustered"/>
        <c:varyColors val="0"/>
        <c:ser>
          <c:idx val="0"/>
          <c:order val="0"/>
          <c:tx>
            <c:strRef>
              <c:f>'إجمالي الساعات لكل موقع '!$C$3</c:f>
              <c:strCache>
                <c:ptCount val="1"/>
                <c:pt idx="0">
                  <c:v>الإجمالي</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9-60BB-4310-BA45-D5173150B8CF}"/>
              </c:ext>
            </c:extLst>
          </c:dPt>
          <c:dPt>
            <c:idx val="1"/>
            <c:invertIfNegative val="0"/>
            <c:bubble3D val="0"/>
            <c:extLst>
              <c:ext xmlns:c16="http://schemas.microsoft.com/office/drawing/2014/chart" uri="{C3380CC4-5D6E-409C-BE32-E72D297353CC}">
                <c16:uniqueId val="{00000008-60BB-4310-BA45-D5173150B8CF}"/>
              </c:ext>
            </c:extLst>
          </c:dPt>
          <c:dPt>
            <c:idx val="2"/>
            <c:invertIfNegative val="0"/>
            <c:bubble3D val="0"/>
            <c:extLst>
              <c:ext xmlns:c16="http://schemas.microsoft.com/office/drawing/2014/chart" uri="{C3380CC4-5D6E-409C-BE32-E72D297353CC}">
                <c16:uniqueId val="{00000007-60BB-4310-BA45-D5173150B8CF}"/>
              </c:ext>
            </c:extLst>
          </c:dPt>
          <c:dPt>
            <c:idx val="3"/>
            <c:invertIfNegative val="0"/>
            <c:bubble3D val="0"/>
            <c:extLst>
              <c:ext xmlns:c16="http://schemas.microsoft.com/office/drawing/2014/chart" uri="{C3380CC4-5D6E-409C-BE32-E72D297353CC}">
                <c16:uniqueId val="{00000006-60BB-4310-BA45-D5173150B8CF}"/>
              </c:ext>
            </c:extLst>
          </c:dPt>
          <c:dPt>
            <c:idx val="4"/>
            <c:invertIfNegative val="0"/>
            <c:bubble3D val="0"/>
            <c:extLst>
              <c:ext xmlns:c16="http://schemas.microsoft.com/office/drawing/2014/chart" uri="{C3380CC4-5D6E-409C-BE32-E72D297353CC}">
                <c16:uniqueId val="{00000005-60BB-4310-BA45-D5173150B8CF}"/>
              </c:ext>
            </c:extLst>
          </c:dPt>
          <c:dPt>
            <c:idx val="5"/>
            <c:invertIfNegative val="0"/>
            <c:bubble3D val="0"/>
            <c:extLst>
              <c:ext xmlns:c16="http://schemas.microsoft.com/office/drawing/2014/chart" uri="{C3380CC4-5D6E-409C-BE32-E72D297353CC}">
                <c16:uniqueId val="{00000004-60BB-4310-BA45-D5173150B8CF}"/>
              </c:ext>
            </c:extLst>
          </c:dPt>
          <c:dPt>
            <c:idx val="6"/>
            <c:invertIfNegative val="0"/>
            <c:bubble3D val="0"/>
            <c:extLst>
              <c:ext xmlns:c16="http://schemas.microsoft.com/office/drawing/2014/chart" uri="{C3380CC4-5D6E-409C-BE32-E72D297353CC}">
                <c16:uniqueId val="{00000003-60BB-4310-BA45-D5173150B8CF}"/>
              </c:ext>
            </c:extLst>
          </c:dPt>
          <c:dPt>
            <c:idx val="7"/>
            <c:invertIfNegative val="0"/>
            <c:bubble3D val="0"/>
            <c:extLst>
              <c:ext xmlns:c16="http://schemas.microsoft.com/office/drawing/2014/chart" uri="{C3380CC4-5D6E-409C-BE32-E72D297353CC}">
                <c16:uniqueId val="{00000002-60BB-4310-BA45-D5173150B8CF}"/>
              </c:ext>
            </c:extLst>
          </c:dPt>
          <c:dPt>
            <c:idx val="8"/>
            <c:invertIfNegative val="0"/>
            <c:bubble3D val="0"/>
            <c:extLst>
              <c:ext xmlns:c16="http://schemas.microsoft.com/office/drawing/2014/chart" uri="{C3380CC4-5D6E-409C-BE32-E72D297353CC}">
                <c16:uniqueId val="{0000000B-60BB-4310-BA45-D5173150B8CF}"/>
              </c:ext>
            </c:extLst>
          </c:dPt>
          <c:dPt>
            <c:idx val="9"/>
            <c:invertIfNegative val="0"/>
            <c:bubble3D val="0"/>
            <c:extLst>
              <c:ext xmlns:c16="http://schemas.microsoft.com/office/drawing/2014/chart" uri="{C3380CC4-5D6E-409C-BE32-E72D297353CC}">
                <c16:uniqueId val="{0000000C-60BB-4310-BA45-D5173150B8CF}"/>
              </c:ext>
            </c:extLst>
          </c:dPt>
          <c:dPt>
            <c:idx val="10"/>
            <c:invertIfNegative val="0"/>
            <c:bubble3D val="0"/>
            <c:extLst>
              <c:ext xmlns:c16="http://schemas.microsoft.com/office/drawing/2014/chart" uri="{C3380CC4-5D6E-409C-BE32-E72D297353CC}">
                <c16:uniqueId val="{0000000D-60BB-4310-BA45-D5173150B8CF}"/>
              </c:ext>
            </c:extLst>
          </c:dPt>
          <c:dPt>
            <c:idx val="12"/>
            <c:invertIfNegative val="0"/>
            <c:bubble3D val="0"/>
            <c:extLst>
              <c:ext xmlns:c16="http://schemas.microsoft.com/office/drawing/2014/chart" uri="{C3380CC4-5D6E-409C-BE32-E72D297353CC}">
                <c16:uniqueId val="{0000000E-60BB-4310-BA45-D5173150B8CF}"/>
              </c:ext>
            </c:extLst>
          </c:dPt>
          <c:dPt>
            <c:idx val="13"/>
            <c:invertIfNegative val="0"/>
            <c:bubble3D val="0"/>
            <c:extLst>
              <c:ext xmlns:c16="http://schemas.microsoft.com/office/drawing/2014/chart" uri="{C3380CC4-5D6E-409C-BE32-E72D297353CC}">
                <c16:uniqueId val="{0000000F-60BB-4310-BA45-D5173150B8CF}"/>
              </c:ext>
            </c:extLst>
          </c:dPt>
          <c:dPt>
            <c:idx val="15"/>
            <c:invertIfNegative val="0"/>
            <c:bubble3D val="0"/>
            <c:extLst>
              <c:ext xmlns:c16="http://schemas.microsoft.com/office/drawing/2014/chart" uri="{C3380CC4-5D6E-409C-BE32-E72D297353CC}">
                <c16:uniqueId val="{00000010-60BB-4310-BA45-D5173150B8CF}"/>
              </c:ext>
            </c:extLst>
          </c:dPt>
          <c:dPt>
            <c:idx val="16"/>
            <c:invertIfNegative val="0"/>
            <c:bubble3D val="0"/>
            <c:extLst>
              <c:ext xmlns:c16="http://schemas.microsoft.com/office/drawing/2014/chart" uri="{C3380CC4-5D6E-409C-BE32-E72D297353CC}">
                <c16:uniqueId val="{00000011-60BB-4310-BA45-D5173150B8CF}"/>
              </c:ext>
            </c:extLst>
          </c:dPt>
          <c:dPt>
            <c:idx val="17"/>
            <c:invertIfNegative val="0"/>
            <c:bubble3D val="0"/>
            <c:extLst>
              <c:ext xmlns:c16="http://schemas.microsoft.com/office/drawing/2014/chart" uri="{C3380CC4-5D6E-409C-BE32-E72D297353CC}">
                <c16:uniqueId val="{00000012-60BB-4310-BA45-D5173150B8CF}"/>
              </c:ext>
            </c:extLst>
          </c:dPt>
          <c:dPt>
            <c:idx val="18"/>
            <c:invertIfNegative val="0"/>
            <c:bubble3D val="0"/>
            <c:extLst>
              <c:ext xmlns:c16="http://schemas.microsoft.com/office/drawing/2014/chart" uri="{C3380CC4-5D6E-409C-BE32-E72D297353CC}">
                <c16:uniqueId val="{00000013-60BB-4310-BA45-D5173150B8CF}"/>
              </c:ext>
            </c:extLst>
          </c:dPt>
          <c:dPt>
            <c:idx val="19"/>
            <c:invertIfNegative val="0"/>
            <c:bubble3D val="0"/>
            <c:extLst>
              <c:ext xmlns:c16="http://schemas.microsoft.com/office/drawing/2014/chart" uri="{C3380CC4-5D6E-409C-BE32-E72D297353CC}">
                <c16:uniqueId val="{00000014-60BB-4310-BA45-D5173150B8CF}"/>
              </c:ext>
            </c:extLst>
          </c:dPt>
          <c:dPt>
            <c:idx val="20"/>
            <c:invertIfNegative val="0"/>
            <c:bubble3D val="0"/>
            <c:extLst>
              <c:ext xmlns:c16="http://schemas.microsoft.com/office/drawing/2014/chart" uri="{C3380CC4-5D6E-409C-BE32-E72D297353CC}">
                <c16:uniqueId val="{00000015-60BB-4310-BA45-D5173150B8CF}"/>
              </c:ext>
            </c:extLst>
          </c:dPt>
          <c:dPt>
            <c:idx val="21"/>
            <c:invertIfNegative val="0"/>
            <c:bubble3D val="0"/>
            <c:extLst>
              <c:ext xmlns:c16="http://schemas.microsoft.com/office/drawing/2014/chart" uri="{C3380CC4-5D6E-409C-BE32-E72D297353CC}">
                <c16:uniqueId val="{00000016-60BB-4310-BA45-D5173150B8CF}"/>
              </c:ext>
            </c:extLst>
          </c:dPt>
          <c:dPt>
            <c:idx val="22"/>
            <c:invertIfNegative val="0"/>
            <c:bubble3D val="0"/>
            <c:extLst>
              <c:ext xmlns:c16="http://schemas.microsoft.com/office/drawing/2014/chart" uri="{C3380CC4-5D6E-409C-BE32-E72D297353CC}">
                <c16:uniqueId val="{00000017-60BB-4310-BA45-D5173150B8CF}"/>
              </c:ext>
            </c:extLst>
          </c:dPt>
          <c:dPt>
            <c:idx val="26"/>
            <c:invertIfNegative val="0"/>
            <c:bubble3D val="0"/>
            <c:extLst>
              <c:ext xmlns:c16="http://schemas.microsoft.com/office/drawing/2014/chart" uri="{C3380CC4-5D6E-409C-BE32-E72D297353CC}">
                <c16:uniqueId val="{00000018-60BB-4310-BA45-D5173150B8CF}"/>
              </c:ext>
            </c:extLst>
          </c:dPt>
          <c:dPt>
            <c:idx val="27"/>
            <c:invertIfNegative val="0"/>
            <c:bubble3D val="0"/>
            <c:extLst>
              <c:ext xmlns:c16="http://schemas.microsoft.com/office/drawing/2014/chart" uri="{C3380CC4-5D6E-409C-BE32-E72D297353CC}">
                <c16:uniqueId val="{00000019-60BB-4310-BA45-D5173150B8CF}"/>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'إجمالي الساعات لكل موقع '!$A$4:$B$32</c:f>
              <c:multiLvlStrCache>
                <c:ptCount val="29"/>
                <c:lvl>
                  <c:pt idx="0">
                    <c:v>Nov-22</c:v>
                  </c:pt>
                  <c:pt idx="1">
                    <c:v>Dec-22</c:v>
                  </c:pt>
                  <c:pt idx="2">
                    <c:v>Jan-23</c:v>
                  </c:pt>
                  <c:pt idx="3">
                    <c:v>Feb-23</c:v>
                  </c:pt>
                  <c:pt idx="4">
                    <c:v>Mar-23</c:v>
                  </c:pt>
                  <c:pt idx="5">
                    <c:v>Apr-23</c:v>
                  </c:pt>
                  <c:pt idx="6">
                    <c:v>May-23</c:v>
                  </c:pt>
                  <c:pt idx="7">
                    <c:v>Jun-23</c:v>
                  </c:pt>
                  <c:pt idx="8">
                    <c:v>Nov-22</c:v>
                  </c:pt>
                  <c:pt idx="9">
                    <c:v>Dec-22</c:v>
                  </c:pt>
                  <c:pt idx="10">
                    <c:v>Jan-23</c:v>
                  </c:pt>
                  <c:pt idx="11">
                    <c:v>Feb-23</c:v>
                  </c:pt>
                  <c:pt idx="12">
                    <c:v>Mar-23</c:v>
                  </c:pt>
                  <c:pt idx="13">
                    <c:v>Apr-23</c:v>
                  </c:pt>
                  <c:pt idx="14">
                    <c:v>May-23</c:v>
                  </c:pt>
                  <c:pt idx="15">
                    <c:v>Jun-23</c:v>
                  </c:pt>
                  <c:pt idx="16">
                    <c:v>Dec-22</c:v>
                  </c:pt>
                  <c:pt idx="17">
                    <c:v>Jan-23</c:v>
                  </c:pt>
                  <c:pt idx="18">
                    <c:v>Feb-23</c:v>
                  </c:pt>
                  <c:pt idx="19">
                    <c:v>Mar-23</c:v>
                  </c:pt>
                  <c:pt idx="20">
                    <c:v>Apr-23</c:v>
                  </c:pt>
                  <c:pt idx="21">
                    <c:v>May-23</c:v>
                  </c:pt>
                  <c:pt idx="22">
                    <c:v>Jun-23</c:v>
                  </c:pt>
                  <c:pt idx="23">
                    <c:v>Dec-22</c:v>
                  </c:pt>
                  <c:pt idx="24">
                    <c:v>Jan-23</c:v>
                  </c:pt>
                  <c:pt idx="25">
                    <c:v>Jun-23</c:v>
                  </c:pt>
                  <c:pt idx="26">
                    <c:v>Jan-23</c:v>
                  </c:pt>
                  <c:pt idx="27">
                    <c:v>Mar-23</c:v>
                  </c:pt>
                  <c:pt idx="28">
                    <c:v> </c:v>
                  </c:pt>
                </c:lvl>
                <c:lvl>
                  <c:pt idx="0">
                    <c:v>المخزن الجديد </c:v>
                  </c:pt>
                  <c:pt idx="8">
                    <c:v>المخزن القديم </c:v>
                  </c:pt>
                  <c:pt idx="16">
                    <c:v>المطابع</c:v>
                  </c:pt>
                  <c:pt idx="23">
                    <c:v>دويتش</c:v>
                  </c:pt>
                  <c:pt idx="26">
                    <c:v>مخزن الوزارة </c:v>
                  </c:pt>
                  <c:pt idx="28">
                    <c:v>(فارغ)</c:v>
                  </c:pt>
                </c:lvl>
              </c:multiLvlStrCache>
            </c:multiLvlStrRef>
          </c:cat>
          <c:val>
            <c:numRef>
              <c:f>'إجمالي الساعات لكل موقع '!$C$4:$C$32</c:f>
              <c:numCache>
                <c:formatCode>General</c:formatCode>
                <c:ptCount val="29"/>
                <c:pt idx="0">
                  <c:v>204.3</c:v>
                </c:pt>
                <c:pt idx="1">
                  <c:v>151.30000000000001</c:v>
                </c:pt>
                <c:pt idx="2">
                  <c:v>5</c:v>
                </c:pt>
                <c:pt idx="3">
                  <c:v>99</c:v>
                </c:pt>
                <c:pt idx="4">
                  <c:v>218.35</c:v>
                </c:pt>
                <c:pt idx="5">
                  <c:v>44</c:v>
                </c:pt>
                <c:pt idx="6">
                  <c:v>81</c:v>
                </c:pt>
                <c:pt idx="7">
                  <c:v>62.3</c:v>
                </c:pt>
                <c:pt idx="8">
                  <c:v>0</c:v>
                </c:pt>
                <c:pt idx="9">
                  <c:v>16</c:v>
                </c:pt>
                <c:pt idx="10">
                  <c:v>2.2999999999999998</c:v>
                </c:pt>
                <c:pt idx="11">
                  <c:v>60.3</c:v>
                </c:pt>
                <c:pt idx="12">
                  <c:v>7.3</c:v>
                </c:pt>
                <c:pt idx="13">
                  <c:v>0</c:v>
                </c:pt>
                <c:pt idx="14">
                  <c:v>51.3</c:v>
                </c:pt>
                <c:pt idx="15">
                  <c:v>16.3</c:v>
                </c:pt>
                <c:pt idx="16">
                  <c:v>76.45</c:v>
                </c:pt>
                <c:pt idx="17">
                  <c:v>67</c:v>
                </c:pt>
                <c:pt idx="18">
                  <c:v>51.4</c:v>
                </c:pt>
                <c:pt idx="19">
                  <c:v>70.3</c:v>
                </c:pt>
                <c:pt idx="20">
                  <c:v>9.3000000000000007</c:v>
                </c:pt>
                <c:pt idx="21">
                  <c:v>52</c:v>
                </c:pt>
                <c:pt idx="22">
                  <c:v>10.3</c:v>
                </c:pt>
                <c:pt idx="23">
                  <c:v>7.3</c:v>
                </c:pt>
                <c:pt idx="24">
                  <c:v>1</c:v>
                </c:pt>
                <c:pt idx="25">
                  <c:v>13.3</c:v>
                </c:pt>
                <c:pt idx="26">
                  <c:v>4.3</c:v>
                </c:pt>
                <c:pt idx="27">
                  <c:v>6.3</c:v>
                </c:pt>
                <c:pt idx="28">
                  <c:v>0</c:v>
                </c:pt>
              </c:numCache>
            </c:numRef>
          </c:val>
          <c:extLst>
            <c:ext xmlns:c16="http://schemas.microsoft.com/office/drawing/2014/chart" uri="{C3380CC4-5D6E-409C-BE32-E72D297353CC}">
              <c16:uniqueId val="{00000000-60BB-4310-BA45-D5173150B8CF}"/>
            </c:ext>
          </c:extLst>
        </c:ser>
        <c:dLbls>
          <c:dLblPos val="outEnd"/>
          <c:showLegendKey val="0"/>
          <c:showVal val="1"/>
          <c:showCatName val="0"/>
          <c:showSerName val="0"/>
          <c:showPercent val="0"/>
          <c:showBubbleSize val="0"/>
        </c:dLbls>
        <c:gapWidth val="219"/>
        <c:overlap val="-27"/>
        <c:axId val="209935704"/>
        <c:axId val="209936064"/>
      </c:barChart>
      <c:catAx>
        <c:axId val="209935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9936064"/>
        <c:crosses val="autoZero"/>
        <c:auto val="1"/>
        <c:lblAlgn val="ctr"/>
        <c:lblOffset val="100"/>
        <c:noMultiLvlLbl val="0"/>
      </c:catAx>
      <c:valAx>
        <c:axId val="20993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99357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dk1"/>
                </a:solidFill>
                <a:latin typeface="+mn-lt"/>
                <a:ea typeface="+mn-ea"/>
                <a:cs typeface="+mn-cs"/>
              </a:defRPr>
            </a:pPr>
            <a:endParaRPr lang="en-US"/>
          </a:p>
        </c:txPr>
      </c:dTable>
      <c:spPr>
        <a:noFill/>
        <a:ln>
          <a:noFill/>
        </a:ln>
        <a:effectLst/>
      </c:spPr>
    </c:plotArea>
    <c:plotVisOnly val="1"/>
    <c:dispBlanksAs val="gap"/>
    <c:showDLblsOverMax val="0"/>
  </c:chart>
  <c:spPr>
    <a:gradFill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a:ln w="63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[تصارح العمل المطابع والمخازن1jul 2025.xlsx]Monthly (2)!PivotTable1</c:name>
    <c:fmtId val="2"/>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(2)'!$B$3</c:f>
              <c:strCache>
                <c:ptCount val="1"/>
                <c:pt idx="0">
                  <c:v>الإجمالي</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 (2)'!$A$4:$A$43</c:f>
              <c:strCache>
                <c:ptCount val="39"/>
                <c:pt idx="0">
                  <c:v>الشركة الالمانية </c:v>
                </c:pt>
                <c:pt idx="1">
                  <c:v>الشؤون الادارية </c:v>
                </c:pt>
                <c:pt idx="2">
                  <c:v>القطاع الهندسى </c:v>
                </c:pt>
                <c:pt idx="3">
                  <c:v>الورشة الهندسية </c:v>
                </c:pt>
                <c:pt idx="4">
                  <c:v>بازان </c:v>
                </c:pt>
                <c:pt idx="5">
                  <c:v>مالك المخزن </c:v>
                </c:pt>
                <c:pt idx="6">
                  <c:v>صيغة1</c:v>
                </c:pt>
                <c:pt idx="7">
                  <c:v>صيغة2</c:v>
                </c:pt>
                <c:pt idx="8">
                  <c:v>الشركة الوطنية </c:v>
                </c:pt>
                <c:pt idx="9">
                  <c:v>ستار كول  للتبريد والتكيف </c:v>
                </c:pt>
                <c:pt idx="10">
                  <c:v>لفت ايجبت </c:v>
                </c:pt>
                <c:pt idx="11">
                  <c:v>شركة فودافون </c:v>
                </c:pt>
                <c:pt idx="12">
                  <c:v>شركة الامل للالمونتال</c:v>
                </c:pt>
                <c:pt idx="13">
                  <c:v>شركة نات جاز </c:v>
                </c:pt>
                <c:pt idx="14">
                  <c:v>شركة الهدى </c:v>
                </c:pt>
                <c:pt idx="15">
                  <c:v>شركة فاكتو </c:v>
                </c:pt>
                <c:pt idx="16">
                  <c:v>الشركة الهندسية</c:v>
                </c:pt>
                <c:pt idx="17">
                  <c:v>الشركة المصرية للعمارة الحديثة </c:v>
                </c:pt>
                <c:pt idx="18">
                  <c:v>شركة انت فاير </c:v>
                </c:pt>
                <c:pt idx="19">
                  <c:v>الشركة المصرية </c:v>
                </c:pt>
                <c:pt idx="20">
                  <c:v>الورشة الفنية لتشغيلات المعدنية </c:v>
                </c:pt>
                <c:pt idx="21">
                  <c:v>شركة اوزوريون </c:v>
                </c:pt>
                <c:pt idx="22">
                  <c:v>شركة الدروى </c:v>
                </c:pt>
                <c:pt idx="23">
                  <c:v>شركة اشتيكس </c:v>
                </c:pt>
                <c:pt idx="24">
                  <c:v>الشركة المتحدة </c:v>
                </c:pt>
                <c:pt idx="25">
                  <c:v>الورشة الهندسية للخراطة</c:v>
                </c:pt>
                <c:pt idx="26">
                  <c:v>شركة جيلا  </c:v>
                </c:pt>
                <c:pt idx="27">
                  <c:v>الشركة العالمية لاعمال الهندسية  </c:v>
                </c:pt>
                <c:pt idx="28">
                  <c:v>شركة ابداع </c:v>
                </c:pt>
                <c:pt idx="29">
                  <c:v>الهندسية لضواغط الهواء </c:v>
                </c:pt>
                <c:pt idx="30">
                  <c:v>ماجيك تاتش </c:v>
                </c:pt>
                <c:pt idx="31">
                  <c:v>ادارة المخازن </c:v>
                </c:pt>
                <c:pt idx="32">
                  <c:v>شركة هيدروليك ميكانيك </c:v>
                </c:pt>
                <c:pt idx="33">
                  <c:v>شركة الامل </c:v>
                </c:pt>
                <c:pt idx="34">
                  <c:v>شركة سكوير </c:v>
                </c:pt>
                <c:pt idx="35">
                  <c:v>شركة الفرج</c:v>
                </c:pt>
                <c:pt idx="36">
                  <c:v>KUC  شركة </c:v>
                </c:pt>
                <c:pt idx="37">
                  <c:v>شركة الكريم </c:v>
                </c:pt>
                <c:pt idx="38">
                  <c:v>شركة شلاندر </c:v>
                </c:pt>
              </c:strCache>
            </c:strRef>
          </c:cat>
          <c:val>
            <c:numRef>
              <c:f>'Monthly (2)'!$B$4:$B$43</c:f>
              <c:numCache>
                <c:formatCode>General</c:formatCode>
                <c:ptCount val="39"/>
                <c:pt idx="0">
                  <c:v>75</c:v>
                </c:pt>
                <c:pt idx="1">
                  <c:v>158</c:v>
                </c:pt>
                <c:pt idx="2">
                  <c:v>149.7492</c:v>
                </c:pt>
                <c:pt idx="3">
                  <c:v>78</c:v>
                </c:pt>
                <c:pt idx="4">
                  <c:v>435</c:v>
                </c:pt>
                <c:pt idx="5">
                  <c:v>19.999999999999996</c:v>
                </c:pt>
                <c:pt idx="8">
                  <c:v>33</c:v>
                </c:pt>
                <c:pt idx="9">
                  <c:v>3</c:v>
                </c:pt>
                <c:pt idx="10">
                  <c:v>61</c:v>
                </c:pt>
                <c:pt idx="11">
                  <c:v>25</c:v>
                </c:pt>
                <c:pt idx="12">
                  <c:v>8.4999999999999982</c:v>
                </c:pt>
                <c:pt idx="13">
                  <c:v>0.99999999999999911</c:v>
                </c:pt>
                <c:pt idx="14">
                  <c:v>34</c:v>
                </c:pt>
                <c:pt idx="15">
                  <c:v>3.4999999999999996</c:v>
                </c:pt>
                <c:pt idx="16">
                  <c:v>24.499200000000002</c:v>
                </c:pt>
                <c:pt idx="17">
                  <c:v>382.99839999999995</c:v>
                </c:pt>
                <c:pt idx="18">
                  <c:v>4.0000000000000018</c:v>
                </c:pt>
                <c:pt idx="19">
                  <c:v>27</c:v>
                </c:pt>
                <c:pt idx="20">
                  <c:v>104</c:v>
                </c:pt>
                <c:pt idx="21">
                  <c:v>280.99839999999995</c:v>
                </c:pt>
                <c:pt idx="22">
                  <c:v>42.5</c:v>
                </c:pt>
                <c:pt idx="23">
                  <c:v>6.5</c:v>
                </c:pt>
                <c:pt idx="24">
                  <c:v>0.99999999999999911</c:v>
                </c:pt>
                <c:pt idx="25">
                  <c:v>125.98480000000002</c:v>
                </c:pt>
                <c:pt idx="26">
                  <c:v>4.5</c:v>
                </c:pt>
                <c:pt idx="27">
                  <c:v>10.499999999999998</c:v>
                </c:pt>
                <c:pt idx="28">
                  <c:v>6.9999999999999991</c:v>
                </c:pt>
                <c:pt idx="29">
                  <c:v>0.99999999999999911</c:v>
                </c:pt>
                <c:pt idx="30">
                  <c:v>9.4992000000000019</c:v>
                </c:pt>
                <c:pt idx="31">
                  <c:v>22.999200000000002</c:v>
                </c:pt>
                <c:pt idx="32">
                  <c:v>1.9999999999999996</c:v>
                </c:pt>
                <c:pt idx="33">
                  <c:v>5.0000000000000009</c:v>
                </c:pt>
                <c:pt idx="34">
                  <c:v>11</c:v>
                </c:pt>
                <c:pt idx="35">
                  <c:v>38.5</c:v>
                </c:pt>
                <c:pt idx="36">
                  <c:v>8.5</c:v>
                </c:pt>
                <c:pt idx="37">
                  <c:v>194.49520000000001</c:v>
                </c:pt>
                <c:pt idx="38">
                  <c:v>2</c:v>
                </c:pt>
              </c:numCache>
            </c:numRef>
          </c:val>
          <c:extLst>
            <c:ext xmlns:c16="http://schemas.microsoft.com/office/drawing/2014/chart" uri="{C3380CC4-5D6E-409C-BE32-E72D297353CC}">
              <c16:uniqueId val="{00000001-C8A3-4E1B-85BF-8689856FDA2A}"/>
            </c:ext>
          </c:extLst>
        </c:ser>
        <c:dLbls>
          <c:dLblPos val="outEnd"/>
          <c:showLegendKey val="0"/>
          <c:showVal val="1"/>
          <c:showCatName val="0"/>
          <c:showSerName val="0"/>
          <c:showPercent val="0"/>
          <c:showBubbleSize val="0"/>
        </c:dLbls>
        <c:gapWidth val="315"/>
        <c:overlap val="-40"/>
        <c:axId val="543662512"/>
        <c:axId val="538900400"/>
      </c:barChart>
      <c:catAx>
        <c:axId val="543662512"/>
        <c:scaling>
          <c:orientation val="maxMin"/>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8900400"/>
        <c:crosses val="autoZero"/>
        <c:auto val="1"/>
        <c:lblAlgn val="ctr"/>
        <c:lblOffset val="100"/>
        <c:noMultiLvlLbl val="0"/>
      </c:catAx>
      <c:valAx>
        <c:axId val="538900400"/>
        <c:scaling>
          <c:orientation val="minMax"/>
        </c:scaling>
        <c:delete val="0"/>
        <c:axPos val="r"/>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366251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[تصارح العمل المطابع والمخازن1jul 2025.xlsx]Contractors (2)!PivotTable1</c:name>
    <c:fmtId val="1"/>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'Contractors (2)'!$B$3</c:f>
              <c:strCache>
                <c:ptCount val="1"/>
                <c:pt idx="0">
                  <c:v>الإجمالي</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'Contractors (2)'!$A$4:$A$6</c:f>
              <c:strCache>
                <c:ptCount val="2"/>
                <c:pt idx="0">
                  <c:v>صيغة1</c:v>
                </c:pt>
                <c:pt idx="1">
                  <c:v>صيغة2</c:v>
                </c:pt>
              </c:strCache>
            </c:strRef>
          </c:cat>
          <c:val>
            <c:numRef>
              <c:f>'Contractors (2)'!$B$4:$B$6</c:f>
              <c:numCache>
                <c:formatCode>General</c:formatCode>
                <c:ptCount val="2"/>
              </c:numCache>
            </c:numRef>
          </c:val>
          <c:extLst>
            <c:ext xmlns:c16="http://schemas.microsoft.com/office/drawing/2014/chart" uri="{C3380CC4-5D6E-409C-BE32-E72D297353CC}">
              <c16:uniqueId val="{00000006-001F-4532-A5CF-DA4A7F961E7C}"/>
            </c:ext>
          </c:extLst>
        </c:ser>
        <c:dLbls>
          <c:dLblPos val="outEnd"/>
          <c:showLegendKey val="0"/>
          <c:showVal val="1"/>
          <c:showCatName val="0"/>
          <c:showSerName val="0"/>
          <c:showPercent val="0"/>
          <c:showBubbleSize val="0"/>
        </c:dLbls>
        <c:gapWidth val="315"/>
        <c:overlap val="-40"/>
        <c:axId val="543662512"/>
        <c:axId val="538900400"/>
      </c:barChart>
      <c:catAx>
        <c:axId val="543662512"/>
        <c:scaling>
          <c:orientation val="maxMin"/>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8900400"/>
        <c:crosses val="autoZero"/>
        <c:auto val="1"/>
        <c:lblAlgn val="ctr"/>
        <c:lblOffset val="100"/>
        <c:noMultiLvlLbl val="0"/>
      </c:catAx>
      <c:valAx>
        <c:axId val="538900400"/>
        <c:scaling>
          <c:orientation val="minMax"/>
        </c:scaling>
        <c:delete val="0"/>
        <c:axPos val="r"/>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366251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[تصارح العمل المطابع والمخازن1jul 2025.xlsx]Contractors!PivotTable1</c:name>
    <c:fmtId val="1"/>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Contractors!$B$3:$B$4</c:f>
              <c:strCache>
                <c:ptCount val="1"/>
                <c:pt idx="0">
                  <c:v>الفجالة</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Contractors!$A$5:$A$16</c:f>
              <c:strCache>
                <c:ptCount val="11"/>
                <c:pt idx="0">
                  <c:v>الشركة الالمانية </c:v>
                </c:pt>
                <c:pt idx="1">
                  <c:v>الشؤون الادارية </c:v>
                </c:pt>
                <c:pt idx="2">
                  <c:v>القطاع الهندسى </c:v>
                </c:pt>
                <c:pt idx="3">
                  <c:v>بازان </c:v>
                </c:pt>
                <c:pt idx="4">
                  <c:v>الشركة الوطنية </c:v>
                </c:pt>
                <c:pt idx="5">
                  <c:v>ادارة المتابعة والمراقبة </c:v>
                </c:pt>
                <c:pt idx="6">
                  <c:v>لفت ايجبت </c:v>
                </c:pt>
                <c:pt idx="7">
                  <c:v>شركة فودافون </c:v>
                </c:pt>
                <c:pt idx="8">
                  <c:v>شركة الامل للالمونتال</c:v>
                </c:pt>
                <c:pt idx="9">
                  <c:v>شركة الهدى </c:v>
                </c:pt>
                <c:pt idx="10">
                  <c:v>شركة فاكتو </c:v>
                </c:pt>
              </c:strCache>
            </c:strRef>
          </c:cat>
          <c:val>
            <c:numRef>
              <c:f>Contractors!$B$5:$B$16</c:f>
              <c:numCache>
                <c:formatCode>General</c:formatCode>
                <c:ptCount val="11"/>
                <c:pt idx="0">
                  <c:v>1.0000000000000004</c:v>
                </c:pt>
                <c:pt idx="1">
                  <c:v>16.5</c:v>
                </c:pt>
              </c:numCache>
            </c:numRef>
          </c:val>
          <c:extLst>
            <c:ext xmlns:c16="http://schemas.microsoft.com/office/drawing/2014/chart" uri="{C3380CC4-5D6E-409C-BE32-E72D297353CC}">
              <c16:uniqueId val="{00000001-9C3A-49F5-998E-DFC62F12BEB5}"/>
            </c:ext>
          </c:extLst>
        </c:ser>
        <c:ser>
          <c:idx val="1"/>
          <c:order val="1"/>
          <c:tx>
            <c:strRef>
              <c:f>Contractors!$C$3:$C$4</c:f>
              <c:strCache>
                <c:ptCount val="1"/>
                <c:pt idx="0">
                  <c:v>مخزن الوزارة</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Contractors!$A$5:$A$16</c:f>
              <c:strCache>
                <c:ptCount val="11"/>
                <c:pt idx="0">
                  <c:v>الشركة الالمانية </c:v>
                </c:pt>
                <c:pt idx="1">
                  <c:v>الشؤون الادارية </c:v>
                </c:pt>
                <c:pt idx="2">
                  <c:v>القطاع الهندسى </c:v>
                </c:pt>
                <c:pt idx="3">
                  <c:v>بازان </c:v>
                </c:pt>
                <c:pt idx="4">
                  <c:v>الشركة الوطنية </c:v>
                </c:pt>
                <c:pt idx="5">
                  <c:v>ادارة المتابعة والمراقبة </c:v>
                </c:pt>
                <c:pt idx="6">
                  <c:v>لفت ايجبت </c:v>
                </c:pt>
                <c:pt idx="7">
                  <c:v>شركة فودافون </c:v>
                </c:pt>
                <c:pt idx="8">
                  <c:v>شركة الامل للالمونتال</c:v>
                </c:pt>
                <c:pt idx="9">
                  <c:v>شركة الهدى </c:v>
                </c:pt>
                <c:pt idx="10">
                  <c:v>شركة فاكتو </c:v>
                </c:pt>
              </c:strCache>
            </c:strRef>
          </c:cat>
          <c:val>
            <c:numRef>
              <c:f>Contractors!$C$5:$C$16</c:f>
              <c:numCache>
                <c:formatCode>General</c:formatCode>
                <c:ptCount val="11"/>
                <c:pt idx="0">
                  <c:v>1.5000000000000013</c:v>
                </c:pt>
              </c:numCache>
            </c:numRef>
          </c:val>
          <c:extLst>
            <c:ext xmlns:c16="http://schemas.microsoft.com/office/drawing/2014/chart" uri="{C3380CC4-5D6E-409C-BE32-E72D297353CC}">
              <c16:uniqueId val="{00000003-9C3A-49F5-998E-DFC62F12BEB5}"/>
            </c:ext>
          </c:extLst>
        </c:ser>
        <c:ser>
          <c:idx val="2"/>
          <c:order val="2"/>
          <c:tx>
            <c:strRef>
              <c:f>Contractors!$D$3:$D$4</c:f>
              <c:strCache>
                <c:ptCount val="1"/>
                <c:pt idx="0">
                  <c:v>البرج</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Contractors!$A$5:$A$16</c:f>
              <c:strCache>
                <c:ptCount val="11"/>
                <c:pt idx="0">
                  <c:v>الشركة الالمانية </c:v>
                </c:pt>
                <c:pt idx="1">
                  <c:v>الشؤون الادارية </c:v>
                </c:pt>
                <c:pt idx="2">
                  <c:v>القطاع الهندسى </c:v>
                </c:pt>
                <c:pt idx="3">
                  <c:v>بازان </c:v>
                </c:pt>
                <c:pt idx="4">
                  <c:v>الشركة الوطنية </c:v>
                </c:pt>
                <c:pt idx="5">
                  <c:v>ادارة المتابعة والمراقبة </c:v>
                </c:pt>
                <c:pt idx="6">
                  <c:v>لفت ايجبت </c:v>
                </c:pt>
                <c:pt idx="7">
                  <c:v>شركة فودافون </c:v>
                </c:pt>
                <c:pt idx="8">
                  <c:v>شركة الامل للالمونتال</c:v>
                </c:pt>
                <c:pt idx="9">
                  <c:v>شركة الهدى </c:v>
                </c:pt>
                <c:pt idx="10">
                  <c:v>شركة فاكتو </c:v>
                </c:pt>
              </c:strCache>
            </c:strRef>
          </c:cat>
          <c:val>
            <c:numRef>
              <c:f>Contractors!$D$5:$D$16</c:f>
              <c:numCache>
                <c:formatCode>General</c:formatCode>
                <c:ptCount val="11"/>
                <c:pt idx="7">
                  <c:v>9</c:v>
                </c:pt>
              </c:numCache>
            </c:numRef>
          </c:val>
          <c:extLst>
            <c:ext xmlns:c16="http://schemas.microsoft.com/office/drawing/2014/chart" uri="{C3380CC4-5D6E-409C-BE32-E72D297353CC}">
              <c16:uniqueId val="{00000004-9C3A-49F5-998E-DFC62F12BEB5}"/>
            </c:ext>
          </c:extLst>
        </c:ser>
        <c:ser>
          <c:idx val="3"/>
          <c:order val="3"/>
          <c:tx>
            <c:strRef>
              <c:f>Contractors!$E$3:$E$4</c:f>
              <c:strCache>
                <c:ptCount val="1"/>
                <c:pt idx="0">
                  <c:v>المطابع </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Contractors!$A$5:$A$16</c:f>
              <c:strCache>
                <c:ptCount val="11"/>
                <c:pt idx="0">
                  <c:v>الشركة الالمانية </c:v>
                </c:pt>
                <c:pt idx="1">
                  <c:v>الشؤون الادارية </c:v>
                </c:pt>
                <c:pt idx="2">
                  <c:v>القطاع الهندسى </c:v>
                </c:pt>
                <c:pt idx="3">
                  <c:v>بازان </c:v>
                </c:pt>
                <c:pt idx="4">
                  <c:v>الشركة الوطنية </c:v>
                </c:pt>
                <c:pt idx="5">
                  <c:v>ادارة المتابعة والمراقبة </c:v>
                </c:pt>
                <c:pt idx="6">
                  <c:v>لفت ايجبت </c:v>
                </c:pt>
                <c:pt idx="7">
                  <c:v>شركة فودافون </c:v>
                </c:pt>
                <c:pt idx="8">
                  <c:v>شركة الامل للالمونتال</c:v>
                </c:pt>
                <c:pt idx="9">
                  <c:v>شركة الهدى </c:v>
                </c:pt>
                <c:pt idx="10">
                  <c:v>شركة فاكتو </c:v>
                </c:pt>
              </c:strCache>
            </c:strRef>
          </c:cat>
          <c:val>
            <c:numRef>
              <c:f>Contractors!$E$5:$E$16</c:f>
              <c:numCache>
                <c:formatCode>General</c:formatCode>
                <c:ptCount val="11"/>
                <c:pt idx="0">
                  <c:v>24.5</c:v>
                </c:pt>
                <c:pt idx="1">
                  <c:v>62.999999999999993</c:v>
                </c:pt>
                <c:pt idx="2">
                  <c:v>23.5</c:v>
                </c:pt>
                <c:pt idx="3">
                  <c:v>13</c:v>
                </c:pt>
                <c:pt idx="4">
                  <c:v>15.499999999999998</c:v>
                </c:pt>
                <c:pt idx="6">
                  <c:v>13.500000000000004</c:v>
                </c:pt>
                <c:pt idx="8">
                  <c:v>2.4999999999999991</c:v>
                </c:pt>
                <c:pt idx="9">
                  <c:v>8.0000000000000036</c:v>
                </c:pt>
                <c:pt idx="10">
                  <c:v>3.4999999999999996</c:v>
                </c:pt>
              </c:numCache>
            </c:numRef>
          </c:val>
          <c:extLst>
            <c:ext xmlns:c16="http://schemas.microsoft.com/office/drawing/2014/chart" uri="{C3380CC4-5D6E-409C-BE32-E72D297353CC}">
              <c16:uniqueId val="{00000005-9C3A-49F5-998E-DFC62F12BEB5}"/>
            </c:ext>
          </c:extLst>
        </c:ser>
        <c:ser>
          <c:idx val="4"/>
          <c:order val="4"/>
          <c:tx>
            <c:strRef>
              <c:f>Contractors!$F$3:$F$4</c:f>
              <c:strCache>
                <c:ptCount val="1"/>
                <c:pt idx="0">
                  <c:v>المخزن القديم </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Contractors!$A$5:$A$16</c:f>
              <c:strCache>
                <c:ptCount val="11"/>
                <c:pt idx="0">
                  <c:v>الشركة الالمانية </c:v>
                </c:pt>
                <c:pt idx="1">
                  <c:v>الشؤون الادارية </c:v>
                </c:pt>
                <c:pt idx="2">
                  <c:v>القطاع الهندسى </c:v>
                </c:pt>
                <c:pt idx="3">
                  <c:v>بازان </c:v>
                </c:pt>
                <c:pt idx="4">
                  <c:v>الشركة الوطنية </c:v>
                </c:pt>
                <c:pt idx="5">
                  <c:v>ادارة المتابعة والمراقبة </c:v>
                </c:pt>
                <c:pt idx="6">
                  <c:v>لفت ايجبت </c:v>
                </c:pt>
                <c:pt idx="7">
                  <c:v>شركة فودافون </c:v>
                </c:pt>
                <c:pt idx="8">
                  <c:v>شركة الامل للالمونتال</c:v>
                </c:pt>
                <c:pt idx="9">
                  <c:v>شركة الهدى </c:v>
                </c:pt>
                <c:pt idx="10">
                  <c:v>شركة فاكتو </c:v>
                </c:pt>
              </c:strCache>
            </c:strRef>
          </c:cat>
          <c:val>
            <c:numRef>
              <c:f>Contractors!$F$5:$F$16</c:f>
              <c:numCache>
                <c:formatCode>General</c:formatCode>
                <c:ptCount val="11"/>
                <c:pt idx="0">
                  <c:v>5.0000000000000009</c:v>
                </c:pt>
                <c:pt idx="1">
                  <c:v>15.5</c:v>
                </c:pt>
                <c:pt idx="2">
                  <c:v>17</c:v>
                </c:pt>
                <c:pt idx="6">
                  <c:v>5.9999999999999982</c:v>
                </c:pt>
                <c:pt idx="8">
                  <c:v>6.5</c:v>
                </c:pt>
                <c:pt idx="9">
                  <c:v>57.5</c:v>
                </c:pt>
              </c:numCache>
            </c:numRef>
          </c:val>
          <c:extLst>
            <c:ext xmlns:c16="http://schemas.microsoft.com/office/drawing/2014/chart" uri="{C3380CC4-5D6E-409C-BE32-E72D297353CC}">
              <c16:uniqueId val="{00000000-F113-4521-ACC3-EC9EE0605E57}"/>
            </c:ext>
          </c:extLst>
        </c:ser>
        <c:ser>
          <c:idx val="5"/>
          <c:order val="5"/>
          <c:tx>
            <c:strRef>
              <c:f>Contractors!$G$3:$G$4</c:f>
              <c:strCache>
                <c:ptCount val="1"/>
                <c:pt idx="0">
                  <c:v>المخزن الجديد </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Contractors!$A$5:$A$16</c:f>
              <c:strCache>
                <c:ptCount val="11"/>
                <c:pt idx="0">
                  <c:v>الشركة الالمانية </c:v>
                </c:pt>
                <c:pt idx="1">
                  <c:v>الشؤون الادارية </c:v>
                </c:pt>
                <c:pt idx="2">
                  <c:v>القطاع الهندسى </c:v>
                </c:pt>
                <c:pt idx="3">
                  <c:v>بازان </c:v>
                </c:pt>
                <c:pt idx="4">
                  <c:v>الشركة الوطنية </c:v>
                </c:pt>
                <c:pt idx="5">
                  <c:v>ادارة المتابعة والمراقبة </c:v>
                </c:pt>
                <c:pt idx="6">
                  <c:v>لفت ايجبت </c:v>
                </c:pt>
                <c:pt idx="7">
                  <c:v>شركة فودافون </c:v>
                </c:pt>
                <c:pt idx="8">
                  <c:v>شركة الامل للالمونتال</c:v>
                </c:pt>
                <c:pt idx="9">
                  <c:v>شركة الهدى </c:v>
                </c:pt>
                <c:pt idx="10">
                  <c:v>شركة فاكتو </c:v>
                </c:pt>
              </c:strCache>
            </c:strRef>
          </c:cat>
          <c:val>
            <c:numRef>
              <c:f>Contractors!$G$5:$G$16</c:f>
              <c:numCache>
                <c:formatCode>General</c:formatCode>
                <c:ptCount val="11"/>
                <c:pt idx="0">
                  <c:v>4.0000000000000036</c:v>
                </c:pt>
                <c:pt idx="1">
                  <c:v>21.000000000000007</c:v>
                </c:pt>
                <c:pt idx="2">
                  <c:v>20.5</c:v>
                </c:pt>
                <c:pt idx="3">
                  <c:v>229.5</c:v>
                </c:pt>
                <c:pt idx="5">
                  <c:v>3.9999999999999991</c:v>
                </c:pt>
              </c:numCache>
            </c:numRef>
          </c:val>
          <c:extLst>
            <c:ext xmlns:c16="http://schemas.microsoft.com/office/drawing/2014/chart" uri="{C3380CC4-5D6E-409C-BE32-E72D297353CC}">
              <c16:uniqueId val="{00000000-48CB-42FD-8B9D-81D22F68CEA5}"/>
            </c:ext>
          </c:extLst>
        </c:ser>
        <c:dLbls>
          <c:dLblPos val="outEnd"/>
          <c:showLegendKey val="0"/>
          <c:showVal val="1"/>
          <c:showCatName val="0"/>
          <c:showSerName val="0"/>
          <c:showPercent val="0"/>
          <c:showBubbleSize val="0"/>
        </c:dLbls>
        <c:gapWidth val="315"/>
        <c:overlap val="-40"/>
        <c:axId val="543662512"/>
        <c:axId val="538900400"/>
      </c:barChart>
      <c:catAx>
        <c:axId val="543662512"/>
        <c:scaling>
          <c:orientation val="maxMin"/>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38900400"/>
        <c:crosses val="autoZero"/>
        <c:auto val="1"/>
        <c:lblAlgn val="ctr"/>
        <c:lblOffset val="100"/>
        <c:noMultiLvlLbl val="0"/>
      </c:catAx>
      <c:valAx>
        <c:axId val="538900400"/>
        <c:scaling>
          <c:orientation val="minMax"/>
        </c:scaling>
        <c:delete val="0"/>
        <c:axPos val="r"/>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366251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[تصارح العمل المطابع والمخازن1jul 2025.xlsx]Monthly!PivotTable1</c:name>
    <c:fmtId val="0"/>
  </c:pivotSource>
  <c:chart>
    <c:title>
      <c:tx>
        <c:rich>
          <a:bodyPr rot="0" spcFirstLastPara="1" vertOverflow="ellipsis" vert="horz" wrap="square" anchor="ctr" anchorCtr="1"/>
          <a:lstStyle/>
          <a:p>
            <a:pPr>
              <a:defRPr sz="1400" b="1" i="0" u="none" strike="noStrike" kern="1200" cap="none" baseline="0">
                <a:solidFill>
                  <a:schemeClr val="tx1"/>
                </a:solidFill>
                <a:latin typeface="+mn-lt"/>
                <a:ea typeface="+mn-ea"/>
                <a:cs typeface="+mn-cs"/>
              </a:defRPr>
            </a:pPr>
            <a:r>
              <a:rPr lang="ar-EG">
                <a:solidFill>
                  <a:srgbClr val="FFFF00"/>
                </a:solidFill>
              </a:rPr>
              <a:t>تأمين</a:t>
            </a:r>
            <a:r>
              <a:rPr lang="ar-EG" baseline="0">
                <a:solidFill>
                  <a:srgbClr val="FFFF00"/>
                </a:solidFill>
              </a:rPr>
              <a:t> عمل المقاولات الخارجية</a:t>
            </a:r>
            <a:endParaRPr lang="ar-EG">
              <a:solidFill>
                <a:srgbClr val="FFFF00"/>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tx1"/>
              </a:solidFill>
              <a:latin typeface="+mn-lt"/>
              <a:ea typeface="+mn-ea"/>
              <a:cs typeface="+mn-cs"/>
            </a:defRPr>
          </a:pPr>
          <a:endParaRPr lang="ar-EG"/>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Monthly!$B$3</c:f>
              <c:strCache>
                <c:ptCount val="1"/>
                <c:pt idx="0">
                  <c:v>الإجمالي</c:v>
                </c:pt>
              </c:strCache>
            </c:strRef>
          </c:tx>
          <c:spPr>
            <a:solidFill>
              <a:srgbClr val="00B050"/>
            </a:solidFill>
            <a:ln w="9525" cap="flat" cmpd="sng" algn="ctr">
              <a:solidFill>
                <a:schemeClr val="accent1"/>
              </a:solidFill>
              <a:miter lim="800000"/>
            </a:ln>
            <a:effectLst>
              <a:glow rad="63500">
                <a:schemeClr val="accent1">
                  <a:satMod val="175000"/>
                  <a:alpha val="25000"/>
                </a:schemeClr>
              </a:glo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Monthly!$A$4:$A$9</c:f>
              <c:strCache>
                <c:ptCount val="5"/>
                <c:pt idx="0">
                  <c:v>الفجالة</c:v>
                </c:pt>
                <c:pt idx="1">
                  <c:v>البرج</c:v>
                </c:pt>
                <c:pt idx="2">
                  <c:v>المطابع </c:v>
                </c:pt>
                <c:pt idx="3">
                  <c:v>المخزن القديم </c:v>
                </c:pt>
                <c:pt idx="4">
                  <c:v>المخزن الجديد </c:v>
                </c:pt>
              </c:strCache>
            </c:strRef>
          </c:cat>
          <c:val>
            <c:numRef>
              <c:f>Monthly!$B$4:$B$9</c:f>
              <c:numCache>
                <c:formatCode>General</c:formatCode>
                <c:ptCount val="5"/>
                <c:pt idx="0">
                  <c:v>36.5</c:v>
                </c:pt>
                <c:pt idx="1">
                  <c:v>112.75</c:v>
                </c:pt>
                <c:pt idx="2">
                  <c:v>217.25</c:v>
                </c:pt>
                <c:pt idx="3">
                  <c:v>241.50000000000003</c:v>
                </c:pt>
                <c:pt idx="4">
                  <c:v>66</c:v>
                </c:pt>
              </c:numCache>
            </c:numRef>
          </c:val>
          <c:extLst>
            <c:ext xmlns:c16="http://schemas.microsoft.com/office/drawing/2014/chart" uri="{C3380CC4-5D6E-409C-BE32-E72D297353CC}">
              <c16:uniqueId val="{00000000-64D0-48EC-B1EB-75CDE3F6E732}"/>
            </c:ext>
          </c:extLst>
        </c:ser>
        <c:dLbls>
          <c:dLblPos val="outEnd"/>
          <c:showLegendKey val="0"/>
          <c:showVal val="1"/>
          <c:showCatName val="0"/>
          <c:showSerName val="0"/>
          <c:showPercent val="0"/>
          <c:showBubbleSize val="0"/>
        </c:dLbls>
        <c:gapWidth val="315"/>
        <c:overlap val="-40"/>
        <c:axId val="543662512"/>
        <c:axId val="538900400"/>
      </c:barChart>
      <c:catAx>
        <c:axId val="543662512"/>
        <c:scaling>
          <c:orientation val="maxMin"/>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rgbClr val="00B050"/>
                  </a:solidFill>
                </a:ln>
                <a:solidFill>
                  <a:srgbClr val="FFFF00"/>
                </a:solidFill>
                <a:effectLst>
                  <a:outerShdw blurRad="50800" dist="50800" dir="5400000" algn="ctr" rotWithShape="0">
                    <a:srgbClr val="000000">
                      <a:alpha val="36000"/>
                    </a:srgbClr>
                  </a:outerShdw>
                  <a:reflection endPos="39000" dist="50800" dir="5400000" sy="-100000" algn="bl" rotWithShape="0"/>
                </a:effectLst>
                <a:latin typeface="+mn-lt"/>
                <a:ea typeface="+mn-ea"/>
                <a:cs typeface="+mn-cs"/>
              </a:defRPr>
            </a:pPr>
            <a:endParaRPr lang="en-US"/>
          </a:p>
        </c:txPr>
        <c:crossAx val="538900400"/>
        <c:crosses val="autoZero"/>
        <c:auto val="1"/>
        <c:lblAlgn val="ctr"/>
        <c:lblOffset val="100"/>
        <c:noMultiLvlLbl val="0"/>
      </c:catAx>
      <c:valAx>
        <c:axId val="538900400"/>
        <c:scaling>
          <c:orientation val="minMax"/>
        </c:scaling>
        <c:delete val="0"/>
        <c:axPos val="r"/>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366251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chart>
  <c:spPr>
    <a:blipFill dpi="0" rotWithShape="1">
      <a:blip xmlns:r="http://schemas.openxmlformats.org/officeDocument/2006/relationships" r:embed="rId4">
        <a:extLst>
          <a:ext uri="{28A0092B-C50C-407E-A947-70E740481C1C}">
            <a14:useLocalDpi xmlns:a14="http://schemas.microsoft.com/office/drawing/2010/main" val="0"/>
          </a:ext>
        </a:extLst>
      </a:blip>
      <a:srcRect/>
      <a:stretch>
        <a:fillRect/>
      </a:stretch>
    </a:blip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914400</xdr:colOff>
      <xdr:row>4</xdr:row>
      <xdr:rowOff>0</xdr:rowOff>
    </xdr:from>
    <xdr:to>
      <xdr:col>16</xdr:col>
      <xdr:colOff>548640</xdr:colOff>
      <xdr:row>25</xdr:row>
      <xdr:rowOff>121920</xdr:rowOff>
    </xdr:to>
    <xdr:graphicFrame macro="">
      <xdr:nvGraphicFramePr>
        <xdr:cNvPr id="2" name="Chart 1">
          <a:extLst>
            <a:ext uri="{FF2B5EF4-FFF2-40B4-BE49-F238E27FC236}">
              <a16:creationId xmlns:a16="http://schemas.microsoft.com/office/drawing/2014/main" id="{1D40C9B7-A022-D521-6CD9-17AA418143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333375</xdr:colOff>
      <xdr:row>0</xdr:row>
      <xdr:rowOff>76200</xdr:rowOff>
    </xdr:from>
    <xdr:to>
      <xdr:col>7</xdr:col>
      <xdr:colOff>57150</xdr:colOff>
      <xdr:row>8</xdr:row>
      <xdr:rowOff>0</xdr:rowOff>
    </xdr:to>
    <mc:AlternateContent xmlns:mc="http://schemas.openxmlformats.org/markup-compatibility/2006" xmlns:tsle="http://schemas.microsoft.com/office/drawing/2012/timeslicer">
      <mc:Choice Requires="tsle">
        <xdr:graphicFrame macro="">
          <xdr:nvGraphicFramePr>
            <xdr:cNvPr id="2" name="الشهر 3">
              <a:extLst>
                <a:ext uri="{FF2B5EF4-FFF2-40B4-BE49-F238E27FC236}">
                  <a16:creationId xmlns:a16="http://schemas.microsoft.com/office/drawing/2014/main" id="{703A0455-70C7-4874-95A5-83EAEB617BDA}"/>
                </a:ext>
              </a:extLst>
            </xdr:cNvPr>
            <xdr:cNvGraphicFramePr/>
          </xdr:nvGraphicFramePr>
          <xdr:xfrm>
            <a:off x="0" y="0"/>
            <a:ext cx="0" cy="0"/>
          </xdr:xfrm>
          <a:graphic>
            <a:graphicData uri="http://schemas.microsoft.com/office/drawing/2012/timeslicer">
              <tsle:timeslicer name="الشهر 3"/>
            </a:graphicData>
          </a:graphic>
        </xdr:graphicFrame>
      </mc:Choice>
      <mc:Fallback xmlns="">
        <xdr:sp macro="" textlink="">
          <xdr:nvSpPr>
            <xdr:cNvPr id="0" name=""/>
            <xdr:cNvSpPr>
              <a:spLocks noTextEdit="1"/>
            </xdr:cNvSpPr>
          </xdr:nvSpPr>
          <xdr:spPr>
            <a:xfrm>
              <a:off x="11231356125" y="76200"/>
              <a:ext cx="3333750" cy="1371600"/>
            </a:xfrm>
            <a:prstGeom prst="rect">
              <a:avLst/>
            </a:prstGeom>
            <a:solidFill>
              <a:prstClr val="white"/>
            </a:solidFill>
            <a:ln w="1">
              <a:solidFill>
                <a:prstClr val="green"/>
              </a:solidFill>
            </a:ln>
          </xdr:spPr>
          <xdr:txBody>
            <a:bodyPr vertOverflow="clip" horzOverflow="clip"/>
            <a:lstStyle/>
            <a:p>
              <a:r>
                <a:rPr lang="ar-EG" sz="1100"/>
                <a:t>الخط الزمني: يعمل في Excel 2013 أو إصدار أعلى. عدم النقل أو تغيير الحجم.</a:t>
              </a:r>
            </a:p>
          </xdr:txBody>
        </xdr:sp>
      </mc:Fallback>
    </mc:AlternateContent>
    <xdr:clientData/>
  </xdr:twoCellAnchor>
  <xdr:twoCellAnchor>
    <xdr:from>
      <xdr:col>2</xdr:col>
      <xdr:colOff>85725</xdr:colOff>
      <xdr:row>9</xdr:row>
      <xdr:rowOff>42862</xdr:rowOff>
    </xdr:from>
    <xdr:to>
      <xdr:col>8</xdr:col>
      <xdr:colOff>295275</xdr:colOff>
      <xdr:row>24</xdr:row>
      <xdr:rowOff>71437</xdr:rowOff>
    </xdr:to>
    <xdr:graphicFrame macro="">
      <xdr:nvGraphicFramePr>
        <xdr:cNvPr id="3" name="مخطط 2">
          <a:extLst>
            <a:ext uri="{FF2B5EF4-FFF2-40B4-BE49-F238E27FC236}">
              <a16:creationId xmlns:a16="http://schemas.microsoft.com/office/drawing/2014/main" id="{FBD2EF88-C0D9-4C61-90CF-40BC7DD782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28575</xdr:colOff>
      <xdr:row>0</xdr:row>
      <xdr:rowOff>142875</xdr:rowOff>
    </xdr:from>
    <xdr:to>
      <xdr:col>11</xdr:col>
      <xdr:colOff>485775</xdr:colOff>
      <xdr:row>14</xdr:row>
      <xdr:rowOff>133350</xdr:rowOff>
    </xdr:to>
    <mc:AlternateContent xmlns:mc="http://schemas.openxmlformats.org/markup-compatibility/2006" xmlns:a14="http://schemas.microsoft.com/office/drawing/2010/main">
      <mc:Choice Requires="a14">
        <xdr:graphicFrame macro="">
          <xdr:nvGraphicFramePr>
            <xdr:cNvPr id="4" name="إسم الشركة 1">
              <a:extLst>
                <a:ext uri="{FF2B5EF4-FFF2-40B4-BE49-F238E27FC236}">
                  <a16:creationId xmlns:a16="http://schemas.microsoft.com/office/drawing/2014/main" id="{A09A45AA-ECB8-4891-8268-5133EB0E829F}"/>
                </a:ext>
              </a:extLst>
            </xdr:cNvPr>
            <xdr:cNvGraphicFramePr/>
          </xdr:nvGraphicFramePr>
          <xdr:xfrm>
            <a:off x="0" y="0"/>
            <a:ext cx="0" cy="0"/>
          </xdr:xfrm>
          <a:graphic>
            <a:graphicData uri="http://schemas.microsoft.com/office/drawing/2010/slicer">
              <sle:slicer xmlns:sle="http://schemas.microsoft.com/office/drawing/2010/slicer" name="إسم الشركة 1"/>
            </a:graphicData>
          </a:graphic>
        </xdr:graphicFrame>
      </mc:Choice>
      <mc:Fallback xmlns="">
        <xdr:sp macro="" textlink="">
          <xdr:nvSpPr>
            <xdr:cNvPr id="0" name=""/>
            <xdr:cNvSpPr>
              <a:spLocks noTextEdit="1"/>
            </xdr:cNvSpPr>
          </xdr:nvSpPr>
          <xdr:spPr>
            <a:xfrm>
              <a:off x="11228117625" y="142875"/>
              <a:ext cx="1828800" cy="2524125"/>
            </a:xfrm>
            <a:prstGeom prst="rect">
              <a:avLst/>
            </a:prstGeom>
            <a:solidFill>
              <a:prstClr val="white"/>
            </a:solidFill>
            <a:ln w="1">
              <a:solidFill>
                <a:prstClr val="green"/>
              </a:solidFill>
            </a:ln>
          </xdr:spPr>
          <xdr:txBody>
            <a:bodyPr vertOverflow="clip" horzOverflow="clip"/>
            <a:lstStyle/>
            <a:p>
              <a:r>
                <a:rPr lang="ar-EG"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11</xdr:col>
      <xdr:colOff>638175</xdr:colOff>
      <xdr:row>4</xdr:row>
      <xdr:rowOff>1</xdr:rowOff>
    </xdr:from>
    <xdr:to>
      <xdr:col>14</xdr:col>
      <xdr:colOff>409575</xdr:colOff>
      <xdr:row>14</xdr:row>
      <xdr:rowOff>57151</xdr:rowOff>
    </xdr:to>
    <mc:AlternateContent xmlns:mc="http://schemas.openxmlformats.org/markup-compatibility/2006" xmlns:a14="http://schemas.microsoft.com/office/drawing/2010/main">
      <mc:Choice Requires="a14">
        <xdr:graphicFrame macro="">
          <xdr:nvGraphicFramePr>
            <xdr:cNvPr id="5" name="الموقع 1">
              <a:extLst>
                <a:ext uri="{FF2B5EF4-FFF2-40B4-BE49-F238E27FC236}">
                  <a16:creationId xmlns:a16="http://schemas.microsoft.com/office/drawing/2014/main" id="{3301BCB9-34CC-41B6-88CF-80C4161EC967}"/>
                </a:ext>
              </a:extLst>
            </xdr:cNvPr>
            <xdr:cNvGraphicFramePr/>
          </xdr:nvGraphicFramePr>
          <xdr:xfrm>
            <a:off x="0" y="0"/>
            <a:ext cx="0" cy="0"/>
          </xdr:xfrm>
          <a:graphic>
            <a:graphicData uri="http://schemas.microsoft.com/office/drawing/2010/slicer">
              <sle:slicer xmlns:sle="http://schemas.microsoft.com/office/drawing/2010/slicer" name="الموقع 1"/>
            </a:graphicData>
          </a:graphic>
        </xdr:graphicFrame>
      </mc:Choice>
      <mc:Fallback xmlns="">
        <xdr:sp macro="" textlink="">
          <xdr:nvSpPr>
            <xdr:cNvPr id="0" name=""/>
            <xdr:cNvSpPr>
              <a:spLocks noTextEdit="1"/>
            </xdr:cNvSpPr>
          </xdr:nvSpPr>
          <xdr:spPr>
            <a:xfrm>
              <a:off x="11226136425" y="723901"/>
              <a:ext cx="1828800" cy="1866900"/>
            </a:xfrm>
            <a:prstGeom prst="rect">
              <a:avLst/>
            </a:prstGeom>
            <a:solidFill>
              <a:prstClr val="white"/>
            </a:solidFill>
            <a:ln w="1">
              <a:solidFill>
                <a:prstClr val="green"/>
              </a:solidFill>
            </a:ln>
          </xdr:spPr>
          <xdr:txBody>
            <a:bodyPr vertOverflow="clip" horzOverflow="clip"/>
            <a:lstStyle/>
            <a:p>
              <a:r>
                <a:rPr lang="ar-EG"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142875</xdr:colOff>
      <xdr:row>0</xdr:row>
      <xdr:rowOff>47625</xdr:rowOff>
    </xdr:from>
    <xdr:to>
      <xdr:col>13</xdr:col>
      <xdr:colOff>47625</xdr:colOff>
      <xdr:row>7</xdr:row>
      <xdr:rowOff>152400</xdr:rowOff>
    </xdr:to>
    <mc:AlternateContent xmlns:mc="http://schemas.openxmlformats.org/markup-compatibility/2006" xmlns:tsle="http://schemas.microsoft.com/office/drawing/2012/timeslicer">
      <mc:Choice Requires="tsle">
        <xdr:graphicFrame macro="">
          <xdr:nvGraphicFramePr>
            <xdr:cNvPr id="2" name="الشهر 2">
              <a:extLst>
                <a:ext uri="{FF2B5EF4-FFF2-40B4-BE49-F238E27FC236}">
                  <a16:creationId xmlns:a16="http://schemas.microsoft.com/office/drawing/2014/main" id="{D1D0042C-5D6F-4C38-B757-FDEF40F4EC38}"/>
                </a:ext>
              </a:extLst>
            </xdr:cNvPr>
            <xdr:cNvGraphicFramePr/>
          </xdr:nvGraphicFramePr>
          <xdr:xfrm>
            <a:off x="0" y="0"/>
            <a:ext cx="0" cy="0"/>
          </xdr:xfrm>
          <a:graphic>
            <a:graphicData uri="http://schemas.microsoft.com/office/drawing/2012/timeslicer">
              <tsle:timeslicer name="الشهر 2"/>
            </a:graphicData>
          </a:graphic>
        </xdr:graphicFrame>
      </mc:Choice>
      <mc:Fallback xmlns="">
        <xdr:sp macro="" textlink="">
          <xdr:nvSpPr>
            <xdr:cNvPr id="0" name=""/>
            <xdr:cNvSpPr>
              <a:spLocks noTextEdit="1"/>
            </xdr:cNvSpPr>
          </xdr:nvSpPr>
          <xdr:spPr>
            <a:xfrm>
              <a:off x="11227184175" y="47625"/>
              <a:ext cx="3333750" cy="1371600"/>
            </a:xfrm>
            <a:prstGeom prst="rect">
              <a:avLst/>
            </a:prstGeom>
            <a:solidFill>
              <a:prstClr val="white"/>
            </a:solidFill>
            <a:ln w="1">
              <a:solidFill>
                <a:prstClr val="green"/>
              </a:solidFill>
            </a:ln>
          </xdr:spPr>
          <xdr:txBody>
            <a:bodyPr vertOverflow="clip" horzOverflow="clip"/>
            <a:lstStyle/>
            <a:p>
              <a:r>
                <a:rPr lang="ar-EG" sz="1100"/>
                <a:t>الخط الزمني: يعمل في Excel 2013 أو إصدار أعلى. عدم النقل أو تغيير الحجم.</a:t>
              </a:r>
            </a:p>
          </xdr:txBody>
        </xdr:sp>
      </mc:Fallback>
    </mc:AlternateContent>
    <xdr:clientData/>
  </xdr:twoCellAnchor>
  <xdr:twoCellAnchor>
    <xdr:from>
      <xdr:col>8</xdr:col>
      <xdr:colOff>80963</xdr:colOff>
      <xdr:row>8</xdr:row>
      <xdr:rowOff>52387</xdr:rowOff>
    </xdr:from>
    <xdr:to>
      <xdr:col>14</xdr:col>
      <xdr:colOff>404813</xdr:colOff>
      <xdr:row>23</xdr:row>
      <xdr:rowOff>80962</xdr:rowOff>
    </xdr:to>
    <xdr:graphicFrame macro="">
      <xdr:nvGraphicFramePr>
        <xdr:cNvPr id="3" name="مخطط 2">
          <a:extLst>
            <a:ext uri="{FF2B5EF4-FFF2-40B4-BE49-F238E27FC236}">
              <a16:creationId xmlns:a16="http://schemas.microsoft.com/office/drawing/2014/main" id="{78CED169-13AC-49C3-B377-E9A66E06D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142875</xdr:colOff>
      <xdr:row>0</xdr:row>
      <xdr:rowOff>47625</xdr:rowOff>
    </xdr:from>
    <xdr:to>
      <xdr:col>13</xdr:col>
      <xdr:colOff>190500</xdr:colOff>
      <xdr:row>7</xdr:row>
      <xdr:rowOff>123825</xdr:rowOff>
    </xdr:to>
    <mc:AlternateContent xmlns:mc="http://schemas.openxmlformats.org/markup-compatibility/2006" xmlns:tsle="http://schemas.microsoft.com/office/drawing/2012/timeslicer">
      <mc:Choice Requires="tsle">
        <xdr:graphicFrame macro="">
          <xdr:nvGraphicFramePr>
            <xdr:cNvPr id="2" name="الشهر 1">
              <a:extLst>
                <a:ext uri="{FF2B5EF4-FFF2-40B4-BE49-F238E27FC236}">
                  <a16:creationId xmlns:a16="http://schemas.microsoft.com/office/drawing/2014/main" id="{99B5B2B1-3B7C-40FF-BBED-C02DA6030E23}"/>
                </a:ext>
              </a:extLst>
            </xdr:cNvPr>
            <xdr:cNvGraphicFramePr/>
          </xdr:nvGraphicFramePr>
          <xdr:xfrm>
            <a:off x="0" y="0"/>
            <a:ext cx="0" cy="0"/>
          </xdr:xfrm>
          <a:graphic>
            <a:graphicData uri="http://schemas.microsoft.com/office/drawing/2012/timeslicer">
              <tsle:timeslicer name="الشهر 1"/>
            </a:graphicData>
          </a:graphic>
        </xdr:graphicFrame>
      </mc:Choice>
      <mc:Fallback xmlns="">
        <xdr:sp macro="" textlink="">
          <xdr:nvSpPr>
            <xdr:cNvPr id="0" name=""/>
            <xdr:cNvSpPr>
              <a:spLocks noTextEdit="1"/>
            </xdr:cNvSpPr>
          </xdr:nvSpPr>
          <xdr:spPr>
            <a:xfrm>
              <a:off x="11227184175" y="47625"/>
              <a:ext cx="3333750" cy="1371600"/>
            </a:xfrm>
            <a:prstGeom prst="rect">
              <a:avLst/>
            </a:prstGeom>
            <a:solidFill>
              <a:prstClr val="white"/>
            </a:solidFill>
            <a:ln w="1">
              <a:solidFill>
                <a:prstClr val="green"/>
              </a:solidFill>
            </a:ln>
          </xdr:spPr>
          <xdr:txBody>
            <a:bodyPr vertOverflow="clip" horzOverflow="clip"/>
            <a:lstStyle/>
            <a:p>
              <a:r>
                <a:rPr lang="ar-EG" sz="1100"/>
                <a:t>الخط الزمني: يعمل في Excel 2013 أو إصدار أعلى. عدم النقل أو تغيير الحجم.</a:t>
              </a:r>
            </a:p>
          </xdr:txBody>
        </xdr:sp>
      </mc:Fallback>
    </mc:AlternateContent>
    <xdr:clientData/>
  </xdr:twoCellAnchor>
  <xdr:twoCellAnchor>
    <xdr:from>
      <xdr:col>8</xdr:col>
      <xdr:colOff>80963</xdr:colOff>
      <xdr:row>8</xdr:row>
      <xdr:rowOff>52387</xdr:rowOff>
    </xdr:from>
    <xdr:to>
      <xdr:col>14</xdr:col>
      <xdr:colOff>404813</xdr:colOff>
      <xdr:row>23</xdr:row>
      <xdr:rowOff>80962</xdr:rowOff>
    </xdr:to>
    <xdr:graphicFrame macro="">
      <xdr:nvGraphicFramePr>
        <xdr:cNvPr id="3" name="مخطط 2">
          <a:extLst>
            <a:ext uri="{FF2B5EF4-FFF2-40B4-BE49-F238E27FC236}">
              <a16:creationId xmlns:a16="http://schemas.microsoft.com/office/drawing/2014/main" id="{26FA3DB7-7164-4517-9FCE-17CD3DDFF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333375</xdr:colOff>
      <xdr:row>0</xdr:row>
      <xdr:rowOff>76200</xdr:rowOff>
    </xdr:from>
    <xdr:to>
      <xdr:col>7</xdr:col>
      <xdr:colOff>57150</xdr:colOff>
      <xdr:row>7</xdr:row>
      <xdr:rowOff>123825</xdr:rowOff>
    </xdr:to>
    <mc:AlternateContent xmlns:mc="http://schemas.openxmlformats.org/markup-compatibility/2006" xmlns:tsle="http://schemas.microsoft.com/office/drawing/2012/timeslicer">
      <mc:Choice Requires="tsle">
        <xdr:graphicFrame macro="">
          <xdr:nvGraphicFramePr>
            <xdr:cNvPr id="2" name="الشهر">
              <a:extLst>
                <a:ext uri="{FF2B5EF4-FFF2-40B4-BE49-F238E27FC236}">
                  <a16:creationId xmlns:a16="http://schemas.microsoft.com/office/drawing/2014/main" id="{E0E0A971-C7EA-C6C8-013F-6A222E1EDE14}"/>
                </a:ext>
              </a:extLst>
            </xdr:cNvPr>
            <xdr:cNvGraphicFramePr/>
          </xdr:nvGraphicFramePr>
          <xdr:xfrm>
            <a:off x="0" y="0"/>
            <a:ext cx="0" cy="0"/>
          </xdr:xfrm>
          <a:graphic>
            <a:graphicData uri="http://schemas.microsoft.com/office/drawing/2012/timeslicer">
              <tsle:timeslicer name="الشهر"/>
            </a:graphicData>
          </a:graphic>
        </xdr:graphicFrame>
      </mc:Choice>
      <mc:Fallback xmlns="">
        <xdr:sp macro="" textlink="">
          <xdr:nvSpPr>
            <xdr:cNvPr id="0" name=""/>
            <xdr:cNvSpPr>
              <a:spLocks noTextEdit="1"/>
            </xdr:cNvSpPr>
          </xdr:nvSpPr>
          <xdr:spPr>
            <a:xfrm>
              <a:off x="11231356125" y="76200"/>
              <a:ext cx="3333750" cy="1371600"/>
            </a:xfrm>
            <a:prstGeom prst="rect">
              <a:avLst/>
            </a:prstGeom>
            <a:solidFill>
              <a:prstClr val="white"/>
            </a:solidFill>
            <a:ln w="1">
              <a:solidFill>
                <a:prstClr val="green"/>
              </a:solidFill>
            </a:ln>
          </xdr:spPr>
          <xdr:txBody>
            <a:bodyPr vertOverflow="clip" horzOverflow="clip"/>
            <a:lstStyle/>
            <a:p>
              <a:r>
                <a:rPr lang="ar-EG" sz="1100"/>
                <a:t>الخط الزمني: يعمل في Excel 2013 أو إصدار أعلى. عدم النقل أو تغيير الحجم.</a:t>
              </a:r>
            </a:p>
          </xdr:txBody>
        </xdr:sp>
      </mc:Fallback>
    </mc:AlternateContent>
    <xdr:clientData/>
  </xdr:twoCellAnchor>
  <xdr:twoCellAnchor>
    <xdr:from>
      <xdr:col>2</xdr:col>
      <xdr:colOff>485775</xdr:colOff>
      <xdr:row>8</xdr:row>
      <xdr:rowOff>90487</xdr:rowOff>
    </xdr:from>
    <xdr:to>
      <xdr:col>9</xdr:col>
      <xdr:colOff>9525</xdr:colOff>
      <xdr:row>23</xdr:row>
      <xdr:rowOff>119062</xdr:rowOff>
    </xdr:to>
    <xdr:graphicFrame macro="">
      <xdr:nvGraphicFramePr>
        <xdr:cNvPr id="4" name="مخطط 3">
          <a:extLst>
            <a:ext uri="{FF2B5EF4-FFF2-40B4-BE49-F238E27FC236}">
              <a16:creationId xmlns:a16="http://schemas.microsoft.com/office/drawing/2014/main" id="{CB061460-87F2-6400-5B7F-A3DB81926E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561975</xdr:colOff>
      <xdr:row>1</xdr:row>
      <xdr:rowOff>95250</xdr:rowOff>
    </xdr:from>
    <xdr:to>
      <xdr:col>12</xdr:col>
      <xdr:colOff>333375</xdr:colOff>
      <xdr:row>15</xdr:row>
      <xdr:rowOff>9525</xdr:rowOff>
    </xdr:to>
    <mc:AlternateContent xmlns:mc="http://schemas.openxmlformats.org/markup-compatibility/2006" xmlns:a14="http://schemas.microsoft.com/office/drawing/2010/main">
      <mc:Choice Requires="a14">
        <xdr:graphicFrame macro="">
          <xdr:nvGraphicFramePr>
            <xdr:cNvPr id="3" name="إسم الشركة">
              <a:extLst>
                <a:ext uri="{FF2B5EF4-FFF2-40B4-BE49-F238E27FC236}">
                  <a16:creationId xmlns:a16="http://schemas.microsoft.com/office/drawing/2014/main" id="{14D60A2C-DCAF-3E06-4D76-0409F698D225}"/>
                </a:ext>
              </a:extLst>
            </xdr:cNvPr>
            <xdr:cNvGraphicFramePr/>
          </xdr:nvGraphicFramePr>
          <xdr:xfrm>
            <a:off x="0" y="0"/>
            <a:ext cx="0" cy="0"/>
          </xdr:xfrm>
          <a:graphic>
            <a:graphicData uri="http://schemas.microsoft.com/office/drawing/2010/slicer">
              <sle:slicer xmlns:sle="http://schemas.microsoft.com/office/drawing/2010/slicer" name="إسم الشركة"/>
            </a:graphicData>
          </a:graphic>
        </xdr:graphicFrame>
      </mc:Choice>
      <mc:Fallback xmlns="">
        <xdr:sp macro="" textlink="">
          <xdr:nvSpPr>
            <xdr:cNvPr id="0" name=""/>
            <xdr:cNvSpPr>
              <a:spLocks noTextEdit="1"/>
            </xdr:cNvSpPr>
          </xdr:nvSpPr>
          <xdr:spPr>
            <a:xfrm>
              <a:off x="11227584225" y="276225"/>
              <a:ext cx="1828800" cy="2524125"/>
            </a:xfrm>
            <a:prstGeom prst="rect">
              <a:avLst/>
            </a:prstGeom>
            <a:solidFill>
              <a:prstClr val="white"/>
            </a:solidFill>
            <a:ln w="1">
              <a:solidFill>
                <a:prstClr val="green"/>
              </a:solidFill>
            </a:ln>
          </xdr:spPr>
          <xdr:txBody>
            <a:bodyPr vertOverflow="clip" horzOverflow="clip"/>
            <a:lstStyle/>
            <a:p>
              <a:r>
                <a:rPr lang="ar-EG"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9</xdr:col>
      <xdr:colOff>638175</xdr:colOff>
      <xdr:row>11</xdr:row>
      <xdr:rowOff>114301</xdr:rowOff>
    </xdr:from>
    <xdr:to>
      <xdr:col>12</xdr:col>
      <xdr:colOff>409575</xdr:colOff>
      <xdr:row>21</xdr:row>
      <xdr:rowOff>171451</xdr:rowOff>
    </xdr:to>
    <mc:AlternateContent xmlns:mc="http://schemas.openxmlformats.org/markup-compatibility/2006" xmlns:a14="http://schemas.microsoft.com/office/drawing/2010/main">
      <mc:Choice Requires="a14">
        <xdr:graphicFrame macro="">
          <xdr:nvGraphicFramePr>
            <xdr:cNvPr id="5" name="الموقع">
              <a:extLst>
                <a:ext uri="{FF2B5EF4-FFF2-40B4-BE49-F238E27FC236}">
                  <a16:creationId xmlns:a16="http://schemas.microsoft.com/office/drawing/2014/main" id="{844B4BA4-AC94-78F3-A9C8-73E7805B3839}"/>
                </a:ext>
              </a:extLst>
            </xdr:cNvPr>
            <xdr:cNvGraphicFramePr/>
          </xdr:nvGraphicFramePr>
          <xdr:xfrm>
            <a:off x="0" y="0"/>
            <a:ext cx="0" cy="0"/>
          </xdr:xfrm>
          <a:graphic>
            <a:graphicData uri="http://schemas.microsoft.com/office/drawing/2010/slicer">
              <sle:slicer xmlns:sle="http://schemas.microsoft.com/office/drawing/2010/slicer" name="الموقع"/>
            </a:graphicData>
          </a:graphic>
        </xdr:graphicFrame>
      </mc:Choice>
      <mc:Fallback xmlns="">
        <xdr:sp macro="" textlink="">
          <xdr:nvSpPr>
            <xdr:cNvPr id="0" name=""/>
            <xdr:cNvSpPr>
              <a:spLocks noTextEdit="1"/>
            </xdr:cNvSpPr>
          </xdr:nvSpPr>
          <xdr:spPr>
            <a:xfrm>
              <a:off x="11227508025" y="2105026"/>
              <a:ext cx="1828800" cy="1866900"/>
            </a:xfrm>
            <a:prstGeom prst="rect">
              <a:avLst/>
            </a:prstGeom>
            <a:solidFill>
              <a:prstClr val="white"/>
            </a:solidFill>
            <a:ln w="1">
              <a:solidFill>
                <a:prstClr val="green"/>
              </a:solidFill>
            </a:ln>
          </xdr:spPr>
          <xdr:txBody>
            <a:bodyPr vertOverflow="clip" horzOverflow="clip"/>
            <a:lstStyle/>
            <a:p>
              <a:r>
                <a:rPr lang="ar-EG"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moud Fadlallah" refreshedDate="45901.418382291668" createdVersion="8" refreshedVersion="7" minRefreshableVersion="3" recordCount="1998" xr:uid="{3E522CE9-F539-4D8B-9983-D9B8C00C5BE1}">
  <cacheSource type="worksheet">
    <worksheetSource ref="A1:L1999" sheet="المواقع"/>
  </cacheSource>
  <cacheFields count="12">
    <cacheField name="الشهر" numFmtId="17">
      <sharedItems containsNonDate="0" containsDate="1" containsString="0" containsBlank="1" minDate="2022-11-01T00:00:00" maxDate="2025-08-02T00:00:00" count="33">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6-01T00:00:00"/>
        <d v="2025-07-01T00:00:00"/>
        <d v="2025-08-01T00:00:00"/>
        <m/>
        <d v="2023-09-01T00:00:00" u="1"/>
        <d v="2023-08-01T00:00:00" u="1"/>
        <d v="2023-07-01T00:00:00" u="1"/>
        <d v="2023-06-01T00:00:00" u="1"/>
        <d v="2023-05-01T00:00:00" u="1"/>
        <d v="2023-04-01T00:00:00" u="1"/>
        <d v="2023-03-01T00:00:00" u="1"/>
        <d v="2022-12-01T00:00:00" u="1"/>
        <d v="2023-02-01T00:00:00" u="1"/>
        <d v="2023-12-01T00:00:00" u="1"/>
        <d v="2022-11-01T00:00:00" u="1"/>
        <d v="2023-01-01T00:00:00" u="1"/>
        <d v="2023-11-01T00:00:00" u="1"/>
        <d v="2023-10-01T00:00:00" u="1"/>
      </sharedItems>
    </cacheField>
    <cacheField name="التاريخ" numFmtId="14">
      <sharedItems containsNonDate="0" containsDate="1" containsString="0" containsBlank="1" minDate="2024-01-01T00:00:00" maxDate="2025-09-01T00:00:00"/>
    </cacheField>
    <cacheField name="اليوم" numFmtId="0">
      <sharedItems containsBlank="1"/>
    </cacheField>
    <cacheField name="إسم الشركة" numFmtId="0">
      <sharedItems containsBlank="1" count="124">
        <s v="شركة اوزوريون "/>
        <s v="بازان "/>
        <s v="KUC  شركة "/>
        <s v="الشركة المصرية "/>
        <s v="شركة فودافون "/>
        <s v="الشؤون الادارية "/>
        <s v="القطاع الهندسى "/>
        <s v="الشركة الالمانية "/>
        <s v="شركة الكريم "/>
        <s v="لفت ايجبت "/>
        <s v="شركة الفرج"/>
        <s v="الشركة الوطنية "/>
        <s v="شركة الامل للالمونتال"/>
        <s v="شركة الهدى "/>
        <s v="شركة شلاندر "/>
        <s v="شركة فاكتو "/>
        <s v="الشركة الهندسية"/>
        <s v="الورشة الهندسية "/>
        <s v="مالك المخزن "/>
        <s v="الشركة المصرية للعمارة الحديثة "/>
        <s v="شركة انت فاير "/>
        <s v="الورشة الفنية لتشغيلات المعدنية "/>
        <s v="شركة الدروى "/>
        <s v="شركة اشتيكس "/>
        <s v="الشركة المتحدة "/>
        <s v="الورشة الهندسية للخراطة"/>
        <s v="شركة نات جاز "/>
        <s v="شركة جيلا  "/>
        <s v="الشركة العالمية لاعمال الهندسية  "/>
        <s v="شركة ابداع "/>
        <s v="الهندسية لضواغط الهواء "/>
        <s v="ماجيك تاتش "/>
        <s v="ادارة المخازن "/>
        <s v="شركة هيدروليك ميكانيك "/>
        <s v="شركة الامل "/>
        <s v="ستار كول  للتبريد والتكيف "/>
        <s v="شركة سكوير "/>
        <s v="شركة اتصلات "/>
        <s v="شركة جلوب ويل "/>
        <s v="شركة الايمان "/>
        <s v="ماستر برنت "/>
        <s v="المصرية للاسكان "/>
        <s v="شركة الدلتا "/>
        <s v="شركة راية "/>
        <s v="العشرى للمقاولات "/>
        <s v="شركة نما "/>
        <s v="شركة اكوا تراست "/>
        <s v="شركة منصور للتبريد والتكيف "/>
        <s v="شركةأودك "/>
        <s v="شركة هاى سكيور"/>
        <s v="شركة MFP"/>
        <s v="نظم المعلومات (IT)"/>
        <s v="شركة سيتا "/>
        <s v="شركة لنك مصر "/>
        <s v="شركة فينسيا للستائر "/>
        <s v="شركة ايكو ماستر "/>
        <s v="الشركة الدولية الاعمال الهندسية "/>
        <s v="شركة استار كول "/>
        <s v="3M شركة "/>
        <s v="شركة NCR"/>
        <s v="شركة كايرو تريد "/>
        <s v="شركة وان كونكت"/>
        <s v="شركة بروفيشنال "/>
        <s v="شركة اون فانك "/>
        <s v="مقاول خارجي"/>
        <s v="شركة العشري"/>
        <s v="أوفيس مكس"/>
        <s v="شركة المصرية المتحدة "/>
        <s v="شركة المدينة"/>
        <s v="ادارة المتابعة والمراقبة "/>
        <s v="شركة المتحدة"/>
        <s v="بيت الخبرة"/>
        <s v="شركة aps"/>
        <s v="شركة الكهرباء"/>
        <s v="زيروكس"/>
        <s v="شركة البكرى "/>
        <s v="شركة أطلس "/>
        <s v="شركة الدسوقي"/>
        <s v="شركة كيمكس"/>
        <s v="شركة GM"/>
        <s v="شركة فور تيك "/>
        <s v="شركة الاسكندرية"/>
        <s v="الشئون الادارية"/>
        <s v="شركة الهدي "/>
        <m/>
        <s v="شركة اوزريون " u="1"/>
        <s v="القطاع الهندسى  " u="1"/>
        <s v="العالمية للهندسة " u="1"/>
        <s v="اوزريون " u="1"/>
        <s v="هاى سكيور  سيستم " u="1"/>
        <s v="شركة الايمان" u="1"/>
        <s v="المخازن  " u="1"/>
        <s v="Emc" u="1"/>
        <s v="صيغة2" f="1"/>
        <s v="الشؤون الادارية  " u="1"/>
        <s v="الكريم للتجارة " u="1"/>
        <s v="الورشة الهندسية  " u="1"/>
        <s v="شركة الفيل  " u="1"/>
        <s v="الدروى للتبريد  " u="1"/>
        <s v="اوزوريون" u="1"/>
        <s v="شركة انتى فاير " u="1"/>
        <s v="الامل لأستيلس " u="1"/>
        <s v="شركة اوزيرون " u="1"/>
        <s v=" شركة الفتح " u="1"/>
        <s v="شركة المتحدة للمصاعد " u="1"/>
        <s v="شركة الفرح " u="1"/>
        <s v="شندلار للمصاعد" u="1"/>
        <s v="مقاول خارجى " u="1"/>
        <s v="صيغة1" f="1"/>
        <s v="هاى سكيور " u="1"/>
        <s v="باور تك " u="1"/>
        <s v="الفرح للفراشة  " u="1"/>
        <s v="ترى تك لا نظمة التحكم والمراقبة " u="1"/>
        <s v="قسم الويب " u="1"/>
        <s v="الدراوى للتبريد  " u="1"/>
        <s v="الكريم للتجارة  " u="1"/>
        <s v="وادى النيل " u="1"/>
        <s v="شركة نيو بيلنتج" u="1"/>
        <s v="الوطنية للغاز " u="1"/>
        <s v="فرانس ميتال " u="1"/>
        <s v="شركة المدينة لصيانة الماكينات" u="1"/>
        <s v="داوود تك" u="1"/>
        <s v="الزامل " u="1"/>
        <s v="اللمانية لمكافحة الآفات" u="1"/>
      </sharedItems>
    </cacheField>
    <cacheField name="المشرف التنفيزى " numFmtId="0">
      <sharedItems containsBlank="1"/>
    </cacheField>
    <cacheField name="نوع العمل" numFmtId="0">
      <sharedItems containsBlank="1"/>
    </cacheField>
    <cacheField name="مواقف التصريح" numFmtId="165">
      <sharedItems containsBlank="1"/>
    </cacheField>
    <cacheField name="ساعة الدخول " numFmtId="0">
      <sharedItems containsDate="1" containsString="0" containsBlank="1" containsMixedTypes="1" minDate="1899-12-30T00:00:00" maxDate="1899-12-30T17:30:00"/>
    </cacheField>
    <cacheField name="ساعة الخروج" numFmtId="0">
      <sharedItems containsNonDate="0" containsDate="1" containsString="0" containsBlank="1" minDate="1899-12-30T00:00:00" maxDate="1899-12-30T23:59:00"/>
    </cacheField>
    <cacheField name="إجمالي عدد الساعات" numFmtId="0">
      <sharedItems containsBlank="1" containsMixedTypes="1" containsNumber="1" minValue="-0.4375" maxValue="0.83333333333333337"/>
    </cacheField>
    <cacheField name="الموقع" numFmtId="0">
      <sharedItems containsBlank="1" count="12">
        <s v="المخزن القديم "/>
        <s v="المخزن الجديد "/>
        <s v="البرج"/>
        <s v="المطابع "/>
        <s v="مخزن الوزارة"/>
        <s v="دويتش "/>
        <s v="الفجالة"/>
        <m/>
        <s v="المخزن الجديد" u="1"/>
        <s v="المخزن القديم" u="1"/>
        <s v="المطابع" u="1"/>
        <s v="دويتش" u="1"/>
      </sharedItems>
    </cacheField>
    <cacheField name="إجمالي ساعات العمل" numFmtId="0">
      <sharedItems containsBlank="1" containsMixedTypes="1" containsNumber="1" minValue="0" maxValue="17"/>
    </cacheField>
  </cacheFields>
  <calculatedItems count="2">
    <calculatedItem>
      <pivotArea cacheIndex="1" outline="0" fieldPosition="0">
        <references count="1">
          <reference field="3" count="1">
            <x v="108"/>
          </reference>
        </references>
      </pivotArea>
    </calculatedItem>
    <calculatedItem>
      <pivotArea cacheIndex="1" outline="0" fieldPosition="0">
        <references count="1">
          <reference field="3" count="1">
            <x v="93"/>
          </reference>
        </references>
      </pivotArea>
    </calculatedItem>
  </calculatedItems>
  <extLst>
    <ext xmlns:x14="http://schemas.microsoft.com/office/spreadsheetml/2009/9/main" uri="{725AE2AE-9491-48be-B2B4-4EB974FC3084}">
      <x14:pivotCacheDefinition pivotCacheId="19980884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moud Fadlallah" refreshedDate="45901.418382638891" createdVersion="8" refreshedVersion="7" minRefreshableVersion="3" recordCount="478" xr:uid="{D9DDE6BE-12D2-47C9-923B-5FE331B43015}">
  <cacheSource type="worksheet">
    <worksheetSource ref="A1:L479" sheet="المواقع"/>
  </cacheSource>
  <cacheFields count="12">
    <cacheField name="الشهر" numFmtId="17">
      <sharedItems containsSemiMixedTypes="0" containsNonDate="0" containsDate="1" containsString="0" minDate="2022-11-01T00:00:00" maxDate="2024-05-02T00:00:00" count="19">
        <d v="2024-01-01T00:00:00"/>
        <d v="2024-02-01T00:00:00"/>
        <d v="2024-03-01T00:00:00"/>
        <d v="2024-04-01T00:00:00"/>
        <d v="2024-05-01T00:00:00"/>
        <d v="2023-09-01T00:00:00" u="1"/>
        <d v="2023-08-01T00:00:00" u="1"/>
        <d v="2023-07-01T00:00:00" u="1"/>
        <d v="2023-06-01T00:00:00" u="1"/>
        <d v="2023-05-01T00:00:00" u="1"/>
        <d v="2023-04-01T00:00:00" u="1"/>
        <d v="2023-03-01T00:00:00" u="1"/>
        <d v="2022-12-01T00:00:00" u="1"/>
        <d v="2023-02-01T00:00:00" u="1"/>
        <d v="2023-12-01T00:00:00" u="1"/>
        <d v="2022-11-01T00:00:00" u="1"/>
        <d v="2023-01-01T00:00:00" u="1"/>
        <d v="2023-11-01T00:00:00" u="1"/>
        <d v="2023-10-01T00:00:00" u="1"/>
      </sharedItems>
    </cacheField>
    <cacheField name="التاريخ" numFmtId="14">
      <sharedItems containsSemiMixedTypes="0" containsNonDate="0" containsDate="1" containsString="0" minDate="2024-01-01T00:00:00" maxDate="2024-05-16T00:00:00"/>
    </cacheField>
    <cacheField name="اليوم" numFmtId="0">
      <sharedItems/>
    </cacheField>
    <cacheField name="إسم الشركة" numFmtId="0">
      <sharedItems containsBlank="1" count="81">
        <s v="شركة اوزوريون "/>
        <s v="بازان "/>
        <s v="KUC  شركة "/>
        <s v="الشركة المصرية "/>
        <s v="شركة فودافون "/>
        <s v="الشؤون الادارية "/>
        <s v="القطاع الهندسى "/>
        <s v="الشركة الالمانية "/>
        <s v="شركة الكريم "/>
        <s v="لفت ايجبت "/>
        <s v="شركة الفرج"/>
        <s v="الشركة الوطنية "/>
        <s v="شركة الامل للالمونتال"/>
        <s v="شركة الهدى "/>
        <s v="شركة شلاندر "/>
        <s v="شركة فاكتو "/>
        <s v="الشركة الهندسية"/>
        <s v="الورشة الهندسية "/>
        <s v="مالك المخزن "/>
        <s v="الشركة المصرية للعمارة الحديثة "/>
        <s v="شركة انت فاير "/>
        <s v="الورشة الفنية لتشغيلات المعدنية "/>
        <s v="شركة الدروى "/>
        <s v="شركة اشتيكس "/>
        <s v="الشركة المتحدة "/>
        <s v="الورشة الهندسية للخراطة"/>
        <s v="شركة نات جاز "/>
        <s v="شركة جيلا  "/>
        <s v="الشركة العالمية لاعمال الهندسية  "/>
        <s v="شركة ابداع "/>
        <s v="الهندسية لضواغط الهواء "/>
        <s v="ماجيك تاتش "/>
        <s v="ادارة المخازن "/>
        <s v="شركة هيدروليك ميكانيك "/>
        <s v="شركة الامل "/>
        <s v="ستار كول  للتبريد والتكيف "/>
        <s v="شركة سكوير "/>
        <s v="شركة اوزريون " u="1"/>
        <m u="1"/>
        <s v="القطاع الهندسى  " u="1"/>
        <s v="العالمية للهندسة " u="1"/>
        <s v="شركة جلوب ويل " u="1"/>
        <s v="اوزريون " u="1"/>
        <s v="هاى سكيور  سيستم " u="1"/>
        <s v="شركة الايمان" u="1"/>
        <s v="المخازن  " u="1"/>
        <s v="Emc" u="1"/>
        <s v="صيغة2" f="1"/>
        <s v="الشؤون الادارية  " u="1"/>
        <s v="الكريم للتجارة " u="1"/>
        <s v="الورشة الهندسية  " u="1"/>
        <s v="شركة الفيل  " u="1"/>
        <s v="ادارة المتابعة والمراقبة " u="1"/>
        <s v="الدروى للتبريد  " u="1"/>
        <s v="اوزوريون" u="1"/>
        <s v="شركة انتى فاير " u="1"/>
        <s v="الامل لأستيلس " u="1"/>
        <s v="شركة اوزيرون " u="1"/>
        <s v="الشئون الادارية" u="1"/>
        <s v=" شركة الفتح " u="1"/>
        <s v="شركة المتحدة للمصاعد " u="1"/>
        <s v="شركة الفرح " u="1"/>
        <s v="شندلار للمصاعد" u="1"/>
        <s v="مقاول خارجى " u="1"/>
        <s v="صيغة1" f="1"/>
        <s v="هاى سكيور " u="1"/>
        <s v="باور تك " u="1"/>
        <s v="الفرح للفراشة  " u="1"/>
        <s v="ترى تك لا نظمة التحكم والمراقبة " u="1"/>
        <s v="قسم الويب " u="1"/>
        <s v="الدراوى للتبريد  " u="1"/>
        <s v="الكريم للتجارة  " u="1"/>
        <s v="وادى النيل " u="1"/>
        <s v="شركة نيو بيلنتج" u="1"/>
        <s v="الوطنية للغاز " u="1"/>
        <s v="فرانس ميتال " u="1"/>
        <s v="شركة المدينة لصيانة الماكينات" u="1"/>
        <s v="داوود تك" u="1"/>
        <s v="الزامل " u="1"/>
        <s v="شركة المصرية المتحدة " u="1"/>
        <s v="اللمانية لمكافحة الآفات" u="1"/>
      </sharedItems>
    </cacheField>
    <cacheField name="المشرف التنفيزى " numFmtId="0">
      <sharedItems/>
    </cacheField>
    <cacheField name="نوع العمل" numFmtId="0">
      <sharedItems/>
    </cacheField>
    <cacheField name="مواقف التصريح" numFmtId="165">
      <sharedItems/>
    </cacheField>
    <cacheField name="ساعة الدخول " numFmtId="0">
      <sharedItems containsSemiMixedTypes="0" containsNonDate="0" containsDate="1" containsString="0" minDate="1899-12-30T00:00:00" maxDate="1899-12-30T22:30:00"/>
    </cacheField>
    <cacheField name="ساعة الخروج" numFmtId="0">
      <sharedItems containsSemiMixedTypes="0" containsNonDate="0" containsDate="1" containsString="0" minDate="1899-12-30T00:00:00" maxDate="1899-12-30T23:30:00"/>
    </cacheField>
    <cacheField name="إجمالي عدد الساعات" numFmtId="168">
      <sharedItems containsSemiMixedTypes="0" containsString="0" containsNumber="1" minValue="-0.33333333333333331" maxValue="0.66666666666666674"/>
    </cacheField>
    <cacheField name="الموقع" numFmtId="0">
      <sharedItems containsBlank="1" count="12">
        <s v="المخزن القديم "/>
        <s v="المخزن الجديد "/>
        <s v="البرج"/>
        <s v="المطابع "/>
        <s v="مخزن الوزارة"/>
        <s v="دويتش "/>
        <s v="الفجالة"/>
        <m u="1"/>
        <s v="المخزن الجديد" u="1"/>
        <s v="المخزن القديم" u="1"/>
        <s v="المطابع" u="1"/>
        <s v="دويتش" u="1"/>
      </sharedItems>
    </cacheField>
    <cacheField name="إجمالي ساعات العمل" numFmtId="169">
      <sharedItems containsSemiMixedTypes="0" containsString="0" containsNumber="1" minValue="0" maxValue="12"/>
    </cacheField>
  </cacheFields>
  <calculatedItems count="2">
    <calculatedItem>
      <pivotArea cacheIndex="1" outline="0" fieldPosition="0">
        <references count="1">
          <reference field="3" count="1">
            <x v="64"/>
          </reference>
        </references>
      </pivotArea>
    </calculatedItem>
    <calculatedItem>
      <pivotArea cacheIndex="1" outline="0" fieldPosition="0">
        <references count="1">
          <reference field="3" count="1">
            <x v="47"/>
          </reference>
        </references>
      </pivotArea>
    </calculatedItem>
  </calculatedItems>
  <extLst>
    <ext xmlns:x14="http://schemas.microsoft.com/office/spreadsheetml/2009/9/main" uri="{725AE2AE-9491-48be-B2B4-4EB974FC3084}">
      <x14:pivotCacheDefinition pivotCacheId="63018692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moud Fadlallah" refreshedDate="45901.418383217591" createdVersion="8" refreshedVersion="7" minRefreshableVersion="3" recordCount="29" xr:uid="{231F7344-9FB9-4A18-B403-5D25EC58B960}">
  <cacheSource type="worksheet">
    <worksheetSource name="Table1"/>
  </cacheSource>
  <cacheFields count="3">
    <cacheField name="شهر" numFmtId="0">
      <sharedItems containsDate="1" containsMixedTypes="1" minDate="2022-11-01T00:00:00" maxDate="2023-06-02T00:00:00" count="9">
        <d v="2022-11-01T00:00:00"/>
        <d v="2022-12-01T00:00:00"/>
        <d v="2023-01-01T00:00:00"/>
        <d v="2023-02-01T00:00:00"/>
        <d v="2023-03-01T00:00:00"/>
        <d v="2023-04-01T00:00:00"/>
        <d v="2023-05-01T00:00:00"/>
        <d v="2023-06-01T00:00:00"/>
        <s v=" "/>
      </sharedItems>
    </cacheField>
    <cacheField name="اجمالي الساعات " numFmtId="0">
      <sharedItems containsMixedTypes="1" containsNumber="1" minValue="0" maxValue="218.35"/>
    </cacheField>
    <cacheField name="الموقع " numFmtId="0">
      <sharedItems containsBlank="1" count="6">
        <s v="المخزن الجديد "/>
        <s v="المطابع"/>
        <s v="دويتش"/>
        <s v="المخزن القديم "/>
        <s v="مخزن الوزارة "/>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moud Fadlallah" refreshedDate="45901.418383449076" createdVersion="8" refreshedVersion="7" minRefreshableVersion="3" recordCount="2079" xr:uid="{F788DC67-C3EA-4D2C-B7B3-887545CF2839}">
  <cacheSource type="worksheet">
    <worksheetSource ref="A1:L2983" sheet="المواقع"/>
  </cacheSource>
  <cacheFields count="12">
    <cacheField name="الشهر" numFmtId="0">
      <sharedItems containsNonDate="0" containsDate="1" containsString="0" containsBlank="1" minDate="2022-11-01T00:00:00" maxDate="2025-08-02T00:00:00" count="33">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6-01T00:00:00"/>
        <d v="2025-07-01T00:00:00"/>
        <d v="2025-08-01T00:00:00"/>
        <m/>
        <d v="2023-09-01T00:00:00" u="1"/>
        <d v="2023-08-01T00:00:00" u="1"/>
        <d v="2023-07-01T00:00:00" u="1"/>
        <d v="2023-06-01T00:00:00" u="1"/>
        <d v="2023-05-01T00:00:00" u="1"/>
        <d v="2023-04-01T00:00:00" u="1"/>
        <d v="2023-03-01T00:00:00" u="1"/>
        <d v="2022-12-01T00:00:00" u="1"/>
        <d v="2023-02-01T00:00:00" u="1"/>
        <d v="2023-12-01T00:00:00" u="1"/>
        <d v="2022-11-01T00:00:00" u="1"/>
        <d v="2023-01-01T00:00:00" u="1"/>
        <d v="2023-11-01T00:00:00" u="1"/>
        <d v="2023-10-01T00:00:00" u="1"/>
      </sharedItems>
    </cacheField>
    <cacheField name="التاريخ" numFmtId="14">
      <sharedItems containsNonDate="0" containsDate="1" containsString="0" containsBlank="1" minDate="2024-01-01T00:00:00" maxDate="2025-09-01T00:00:00"/>
    </cacheField>
    <cacheField name="اليوم" numFmtId="0">
      <sharedItems containsBlank="1"/>
    </cacheField>
    <cacheField name="إسم الشركة" numFmtId="0">
      <sharedItems containsBlank="1" count="124">
        <s v="شركة اوزوريون "/>
        <s v="بازان "/>
        <s v="KUC  شركة "/>
        <s v="الشركة المصرية "/>
        <s v="شركة فودافون "/>
        <s v="الشؤون الادارية "/>
        <s v="القطاع الهندسى "/>
        <s v="الشركة الالمانية "/>
        <s v="شركة الكريم "/>
        <s v="لفت ايجبت "/>
        <s v="شركة الفرج"/>
        <s v="الشركة الوطنية "/>
        <s v="شركة الامل للالمونتال"/>
        <s v="شركة الهدى "/>
        <s v="شركة شلاندر "/>
        <s v="شركة فاكتو "/>
        <s v="الشركة الهندسية"/>
        <s v="الورشة الهندسية "/>
        <s v="مالك المخزن "/>
        <s v="الشركة المصرية للعمارة الحديثة "/>
        <s v="شركة انت فاير "/>
        <s v="الورشة الفنية لتشغيلات المعدنية "/>
        <s v="شركة الدروى "/>
        <s v="شركة اشتيكس "/>
        <s v="الشركة المتحدة "/>
        <s v="الورشة الهندسية للخراطة"/>
        <s v="شركة نات جاز "/>
        <s v="شركة جيلا  "/>
        <s v="الشركة العالمية لاعمال الهندسية  "/>
        <s v="شركة ابداع "/>
        <s v="الهندسية لضواغط الهواء "/>
        <s v="ماجيك تاتش "/>
        <s v="ادارة المخازن "/>
        <s v="شركة هيدروليك ميكانيك "/>
        <s v="شركة الامل "/>
        <s v="ستار كول  للتبريد والتكيف "/>
        <s v="شركة سكوير "/>
        <s v="شركة اتصلات "/>
        <s v="شركة جلوب ويل "/>
        <s v="شركة الايمان "/>
        <s v="ماستر برنت "/>
        <s v="المصرية للاسكان "/>
        <s v="شركة الدلتا "/>
        <s v="شركة راية "/>
        <s v="العشرى للمقاولات "/>
        <s v="شركة نما "/>
        <s v="شركة اكوا تراست "/>
        <s v="شركة منصور للتبريد والتكيف "/>
        <s v="شركةأودك "/>
        <s v="شركة هاى سكيور"/>
        <s v="شركة MFP"/>
        <s v="نظم المعلومات (IT)"/>
        <s v="شركة سيتا "/>
        <s v="شركة لنك مصر "/>
        <s v="شركة فينسيا للستائر "/>
        <s v="شركة ايكو ماستر "/>
        <s v="الشركة الدولية الاعمال الهندسية "/>
        <s v="شركة استار كول "/>
        <s v="3M شركة "/>
        <s v="شركة NCR"/>
        <s v="شركة كايرو تريد "/>
        <s v="شركة وان كونكت"/>
        <s v="شركة بروفيشنال "/>
        <s v="شركة اون فانك "/>
        <s v="مقاول خارجي"/>
        <s v="شركة العشري"/>
        <s v="أوفيس مكس"/>
        <s v="شركة المصرية المتحدة "/>
        <s v="شركة المدينة"/>
        <s v="ادارة المتابعة والمراقبة "/>
        <s v="شركة المتحدة"/>
        <s v="بيت الخبرة"/>
        <s v="شركة aps"/>
        <s v="شركة الكهرباء"/>
        <s v="زيروكس"/>
        <s v="شركة البكرى "/>
        <s v="شركة أطلس "/>
        <s v="شركة الدسوقي"/>
        <s v="شركة كيمكس"/>
        <s v="شركة GM"/>
        <s v="شركة فور تيك "/>
        <s v="شركة الاسكندرية"/>
        <s v="الشئون الادارية"/>
        <s v="شركة الهدي "/>
        <m/>
        <s v="شركة اوزريون " u="1"/>
        <s v="القطاع الهندسى  " u="1"/>
        <s v="العالمية للهندسة " u="1"/>
        <s v="اوزريون " u="1"/>
        <s v="هاى سكيور  سيستم " u="1"/>
        <s v="شركة الايمان" u="1"/>
        <s v="المخازن  " u="1"/>
        <s v="Emc" u="1"/>
        <s v="صيغة2" f="1"/>
        <s v="الشؤون الادارية  " u="1"/>
        <s v="الكريم للتجارة " u="1"/>
        <s v="الورشة الهندسية  " u="1"/>
        <s v="شركة الفيل  " u="1"/>
        <s v="الدروى للتبريد  " u="1"/>
        <s v="اوزوريون" u="1"/>
        <s v="شركة انتى فاير " u="1"/>
        <s v="الامل لأستيلس " u="1"/>
        <s v="شركة اوزيرون " u="1"/>
        <s v=" شركة الفتح " u="1"/>
        <s v="شركة المتحدة للمصاعد " u="1"/>
        <s v="شركة الفرح " u="1"/>
        <s v="شندلار للمصاعد" u="1"/>
        <s v="مقاول خارجى " u="1"/>
        <s v="صيغة1" f="1"/>
        <s v="هاى سكيور " u="1"/>
        <s v="باور تك " u="1"/>
        <s v="الفرح للفراشة  " u="1"/>
        <s v="ترى تك لا نظمة التحكم والمراقبة " u="1"/>
        <s v="قسم الويب " u="1"/>
        <s v="الدراوى للتبريد  " u="1"/>
        <s v="الكريم للتجارة  " u="1"/>
        <s v="وادى النيل " u="1"/>
        <s v="شركة نيو بيلنتج" u="1"/>
        <s v="الوطنية للغاز " u="1"/>
        <s v="فرانس ميتال " u="1"/>
        <s v="شركة المدينة لصيانة الماكينات" u="1"/>
        <s v="داوود تك" u="1"/>
        <s v="الزامل " u="1"/>
        <s v="اللمانية لمكافحة الآفات" u="1"/>
      </sharedItems>
    </cacheField>
    <cacheField name="المشرف التنفيزى " numFmtId="0">
      <sharedItems containsBlank="1"/>
    </cacheField>
    <cacheField name="نوع العمل" numFmtId="0">
      <sharedItems containsBlank="1"/>
    </cacheField>
    <cacheField name="مواقف التصريح" numFmtId="165">
      <sharedItems containsBlank="1"/>
    </cacheField>
    <cacheField name="ساعة الدخول " numFmtId="0">
      <sharedItems containsDate="1" containsString="0" containsBlank="1" containsMixedTypes="1" minDate="1899-12-30T00:00:00" maxDate="1899-12-30T17:30:00"/>
    </cacheField>
    <cacheField name="ساعة الخروج" numFmtId="0">
      <sharedItems containsNonDate="0" containsDate="1" containsString="0" containsBlank="1" minDate="1899-12-30T00:00:00" maxDate="1899-12-30T23:59:00"/>
    </cacheField>
    <cacheField name="إجمالي عدد الساعات" numFmtId="0">
      <sharedItems containsBlank="1" containsMixedTypes="1" containsNumber="1" minValue="-0.4375" maxValue="0.83333333333333337"/>
    </cacheField>
    <cacheField name="الموقع" numFmtId="0">
      <sharedItems containsBlank="1" count="12">
        <s v="المخزن القديم "/>
        <s v="المخزن الجديد "/>
        <s v="البرج"/>
        <s v="المطابع "/>
        <s v="مخزن الوزارة"/>
        <s v="دويتش "/>
        <s v="الفجالة"/>
        <m/>
        <s v="المخزن الجديد" u="1"/>
        <s v="المخزن القديم" u="1"/>
        <s v="المطابع" u="1"/>
        <s v="دويتش" u="1"/>
      </sharedItems>
    </cacheField>
    <cacheField name="إجمالي ساعات العمل" numFmtId="0">
      <sharedItems containsBlank="1" containsMixedTypes="1" containsNumber="1" minValue="0" maxValue="17"/>
    </cacheField>
  </cacheFields>
  <calculatedItems count="2">
    <calculatedItem>
      <pivotArea cacheIndex="1" outline="0" fieldPosition="0">
        <references count="1">
          <reference field="3" count="1">
            <x v="108"/>
          </reference>
        </references>
      </pivotArea>
    </calculatedItem>
    <calculatedItem>
      <pivotArea cacheIndex="1" outline="0" fieldPosition="0">
        <references count="1">
          <reference field="3" count="1">
            <x v="93"/>
          </reference>
        </references>
      </pivotArea>
    </calculatedItem>
  </calculatedItems>
  <extLst>
    <ext xmlns:x14="http://schemas.microsoft.com/office/spreadsheetml/2009/9/main" uri="{725AE2AE-9491-48be-B2B4-4EB974FC3084}">
      <x14:pivotCacheDefinition pivotCacheId="212597956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moud Fadlallah" refreshedDate="45901.418384027776" createdVersion="8" refreshedVersion="7" minRefreshableVersion="3" recordCount="2077" xr:uid="{439BBAB1-CCBC-43F7-AFC6-60C275EFBBBF}">
  <cacheSource type="worksheet">
    <worksheetSource name="الجدول3"/>
  </cacheSource>
  <cacheFields count="26">
    <cacheField name="الشهر" numFmtId="17">
      <sharedItems containsNonDate="0" containsDate="1" containsString="0" containsBlank="1" minDate="2024-01-01T00:00:00" maxDate="2025-08-02T00:00:00"/>
    </cacheField>
    <cacheField name="التاريخ" numFmtId="14">
      <sharedItems containsNonDate="0" containsDate="1" containsString="0" containsBlank="1" minDate="2024-01-01T00:00:00" maxDate="2025-09-01T00:00:00"/>
    </cacheField>
    <cacheField name="اليوم" numFmtId="0">
      <sharedItems containsBlank="1"/>
    </cacheField>
    <cacheField name="إسم الشركة" numFmtId="0">
      <sharedItems containsBlank="1"/>
    </cacheField>
    <cacheField name="المشرف التنفيزى " numFmtId="0">
      <sharedItems containsBlank="1"/>
    </cacheField>
    <cacheField name="نوع العمل" numFmtId="0">
      <sharedItems containsBlank="1"/>
    </cacheField>
    <cacheField name="مواقف التصريح" numFmtId="165">
      <sharedItems containsBlank="1"/>
    </cacheField>
    <cacheField name="ساعة الدخول " numFmtId="0">
      <sharedItems containsDate="1" containsString="0" containsBlank="1" containsMixedTypes="1" minDate="1899-12-30T00:00:00" maxDate="1899-12-30T17:30:00"/>
    </cacheField>
    <cacheField name="ساعة الخروج" numFmtId="0">
      <sharedItems containsNonDate="0" containsDate="1" containsString="0" containsBlank="1" minDate="1899-12-30T00:00:00" maxDate="1899-12-30T23:59:00"/>
    </cacheField>
    <cacheField name="إجمالي عدد الساعات" numFmtId="0">
      <sharedItems containsBlank="1" containsMixedTypes="1" containsNumber="1" minValue="-0.4375" maxValue="0.83333333333333337"/>
    </cacheField>
    <cacheField name="الموقع" numFmtId="0">
      <sharedItems containsBlank="1"/>
    </cacheField>
    <cacheField name="إجمالي ساعات العمل" numFmtId="0">
      <sharedItems containsBlank="1" containsMixedTypes="1" containsNumber="1" minValue="0" maxValue="17"/>
    </cacheField>
    <cacheField name="المصدر" numFmtId="0">
      <sharedItems containsNonDate="0" containsString="0" containsBlank="1"/>
    </cacheField>
    <cacheField name="عمود1" numFmtId="0">
      <sharedItems containsNonDate="0" containsString="0" containsBlank="1"/>
    </cacheField>
    <cacheField name="مشرف السلامة" numFmtId="0">
      <sharedItems containsBlank="1" count="25">
        <s v="احمد مرسى مرسى جبر "/>
        <s v="محمد موسى اسماعيل  "/>
        <s v="احمد سعد طلبة "/>
        <s v="محمد محمود عبد العال "/>
        <s v="علاء عنتر  محمد "/>
        <s v="على صلاح على حسين   "/>
        <s v="محمود مصطفى سيد "/>
        <s v="محمد فؤاد خليل ابراهيم "/>
        <s v="احمد محمود بكرى "/>
        <s v="محمود عبد التواب  عبد الحميد"/>
        <s v=" كريم مجدى "/>
        <s v="هانى لطفى الميلجي عبد الحميد"/>
        <s v="ادهم مصطفى عبد العليم "/>
        <s v="عبد العاطى سعيد عبد العاطى "/>
        <s v="محمد السيد عبد التواب "/>
        <m/>
        <s v="محمد محمود عبد العال" u="1"/>
        <s v="على صلاح على حسين  " u="1"/>
        <s v="علاء عنتر محمد عبد الله" u="1"/>
        <s v="على صلاح على حسين " u="1"/>
        <s v="محمد فؤاد خليل ابراهيم" u="1"/>
        <s v="احمد مرسى مرسى جبر" u="1"/>
        <s v="محمد  موسى اسماعيل " u="1"/>
        <s v="احمد سعد طلبة" u="1"/>
        <s v="على صلاح على حسين" u="1"/>
      </sharedItems>
    </cacheField>
    <cacheField name="تقييم العملية" numFmtId="0">
      <sharedItems containsString="0" containsBlank="1" containsNumber="1" containsInteger="1" minValue="2" maxValue="5"/>
    </cacheField>
    <cacheField name="عمود2" numFmtId="0">
      <sharedItems containsBlank="1"/>
    </cacheField>
    <cacheField name="عمود3" numFmtId="0">
      <sharedItems containsString="0" containsBlank="1" containsNumber="1" containsInteger="1" minValue="1" maxValue="5"/>
    </cacheField>
    <cacheField name="عمود4" numFmtId="0">
      <sharedItems containsNonDate="0" containsString="0" containsBlank="1"/>
    </cacheField>
    <cacheField name="عمود5" numFmtId="0">
      <sharedItems containsNonDate="0" containsString="0" containsBlank="1"/>
    </cacheField>
    <cacheField name="عمود6" numFmtId="0">
      <sharedItems containsBlank="1"/>
    </cacheField>
    <cacheField name="عمود7" numFmtId="0">
      <sharedItems containsBlank="1"/>
    </cacheField>
    <cacheField name="عمود8" numFmtId="0">
      <sharedItems containsBlank="1"/>
    </cacheField>
    <cacheField name="عمود9" numFmtId="0">
      <sharedItems containsBlank="1"/>
    </cacheField>
    <cacheField name="عمود10" numFmtId="0">
      <sharedItems containsNonDate="0" containsString="0" containsBlank="1"/>
    </cacheField>
    <cacheField name="Column1"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8">
  <r>
    <x v="0"/>
    <d v="2024-01-01T00:00:00"/>
    <s v="الاثنين "/>
    <x v="0"/>
    <s v="محمد زقل  جاد "/>
    <s v="تركيب سيراميك حمامات "/>
    <s v="تم العمل"/>
    <d v="1899-12-30T10:30:00"/>
    <d v="1899-12-30T17:00:00"/>
    <n v="0.27083333333333337"/>
    <x v="0"/>
    <n v="6.5000000000000009"/>
  </r>
  <r>
    <x v="0"/>
    <d v="2024-01-01T00:00:00"/>
    <s v="الاثنين "/>
    <x v="1"/>
    <s v="محمود سعيد "/>
    <s v="تركيب خط الحريق  "/>
    <s v="تم العمل"/>
    <d v="1899-12-30T10:00:00"/>
    <d v="1899-12-30T16:00:00"/>
    <n v="0.24999999999999994"/>
    <x v="1"/>
    <n v="5.9999999999999982"/>
  </r>
  <r>
    <x v="0"/>
    <d v="2024-01-01T00:00:00"/>
    <s v="الاثنين "/>
    <x v="0"/>
    <s v="مراد صالح"/>
    <s v="اعمال بناء "/>
    <s v="تم العمل"/>
    <d v="1899-12-30T10:00:00"/>
    <d v="1899-12-30T17:00:00"/>
    <n v="0.29166666666666669"/>
    <x v="0"/>
    <n v="7"/>
  </r>
  <r>
    <x v="0"/>
    <d v="2024-01-02T00:00:00"/>
    <s v="الثلاثاء "/>
    <x v="2"/>
    <s v="محمد رجب  "/>
    <s v="تركيبات  "/>
    <s v="تم العمل"/>
    <d v="1899-12-30T09:30:00"/>
    <d v="1899-12-30T18:00:00"/>
    <n v="0.35416666666666669"/>
    <x v="2"/>
    <n v="8.5"/>
  </r>
  <r>
    <x v="0"/>
    <d v="2024-01-02T00:00:00"/>
    <s v="الثلاثاء "/>
    <x v="3"/>
    <s v="محمود ربيع  "/>
    <s v="تركيبات  "/>
    <s v="تم العمل"/>
    <d v="1899-12-30T10:00:00"/>
    <d v="1899-12-30T17:00:00"/>
    <n v="0.29166666666666669"/>
    <x v="2"/>
    <n v="7"/>
  </r>
  <r>
    <x v="0"/>
    <d v="2024-01-02T00:00:00"/>
    <s v="الثلاثاء "/>
    <x v="0"/>
    <s v="مراد صالح"/>
    <s v="نظافة العنبر "/>
    <s v="تم العمل"/>
    <d v="1899-12-30T09:00:00"/>
    <d v="1899-12-30T15:00:00"/>
    <n v="0.25"/>
    <x v="0"/>
    <n v="6"/>
  </r>
  <r>
    <x v="0"/>
    <d v="2024-01-02T00:00:00"/>
    <s v="الثلاثاء "/>
    <x v="1"/>
    <s v="سعداوى "/>
    <s v="تركيب كهرباء وعمل دهان "/>
    <s v="تم العمل"/>
    <d v="1899-12-30T10:00:00"/>
    <d v="1899-12-30T17:00:00"/>
    <n v="0.29166666666666669"/>
    <x v="1"/>
    <n v="7"/>
  </r>
  <r>
    <x v="0"/>
    <d v="2024-01-02T00:00:00"/>
    <s v="الثلاثاء "/>
    <x v="0"/>
    <s v="محمد زقل  جاد "/>
    <s v="تركيب سيراميك حمامات "/>
    <s v="تم العمل"/>
    <d v="1899-12-30T12:30:00"/>
    <d v="1899-12-30T17:00:00"/>
    <n v="0.1875"/>
    <x v="0"/>
    <n v="4.5"/>
  </r>
  <r>
    <x v="0"/>
    <d v="2024-01-03T00:00:00"/>
    <s v="الاربعاء "/>
    <x v="0"/>
    <s v="مراد صالح"/>
    <s v="نظافة العنبر "/>
    <s v="تم العمل"/>
    <d v="1899-12-30T11:00:00"/>
    <d v="1899-12-30T16:00:00"/>
    <n v="0.20833333333333331"/>
    <x v="0"/>
    <n v="5"/>
  </r>
  <r>
    <x v="0"/>
    <d v="2024-01-03T00:00:00"/>
    <s v="الاربعاء "/>
    <x v="4"/>
    <s v="محمد رجب "/>
    <s v="تركيبات  "/>
    <s v="تم العمل"/>
    <d v="1899-12-30T09:00:00"/>
    <d v="1899-12-30T18:00:00"/>
    <n v="0.375"/>
    <x v="2"/>
    <n v="9"/>
  </r>
  <r>
    <x v="0"/>
    <d v="2024-01-03T00:00:00"/>
    <s v="الاربعاء "/>
    <x v="3"/>
    <s v="محمود ربيع  "/>
    <s v="تركيبات  "/>
    <s v="تم العمل"/>
    <d v="1899-12-30T09:00:00"/>
    <d v="1899-12-30T18:00:00"/>
    <n v="0.375"/>
    <x v="2"/>
    <n v="9"/>
  </r>
  <r>
    <x v="0"/>
    <d v="2024-01-03T00:00:00"/>
    <s v="الاربعاء "/>
    <x v="1"/>
    <s v="محمود سعيد "/>
    <s v="تركيب الفاير "/>
    <s v="تم العمل"/>
    <d v="1899-12-30T10:00:00"/>
    <d v="1899-12-30T16:00:00"/>
    <n v="0.24999999999999994"/>
    <x v="1"/>
    <n v="5.9999999999999982"/>
  </r>
  <r>
    <x v="0"/>
    <d v="2024-01-03T00:00:00"/>
    <s v="الاربعاء "/>
    <x v="5"/>
    <s v="محمد خليل النقيب "/>
    <s v="تركيب مروحة سقف فى مبيت الامن "/>
    <s v="تم العمل"/>
    <d v="1899-12-30T09:30:00"/>
    <d v="1899-12-30T12:00:00"/>
    <n v="0.10416666666666669"/>
    <x v="0"/>
    <n v="0.99999999999999911"/>
  </r>
  <r>
    <x v="0"/>
    <d v="2024-01-03T00:00:00"/>
    <s v="الاربعاء "/>
    <x v="0"/>
    <s v="محمد زقل  جاد "/>
    <s v="تركيب سيراميك حمامات "/>
    <s v="تم العمل"/>
    <d v="1899-12-30T10:00:00"/>
    <d v="1899-12-30T17:00:00"/>
    <n v="0.29166666666666669"/>
    <x v="0"/>
    <n v="7"/>
  </r>
  <r>
    <x v="0"/>
    <d v="2024-01-04T00:00:00"/>
    <s v="الخميس "/>
    <x v="6"/>
    <s v="صابر ابراهيم"/>
    <s v="اعمال لحام "/>
    <s v="تم العمل"/>
    <d v="1899-12-30T11:00:00"/>
    <d v="1899-12-30T13:00:00"/>
    <n v="8.3333333333333315E-2"/>
    <x v="3"/>
    <n v="1.9999999999999996"/>
  </r>
  <r>
    <x v="0"/>
    <d v="2024-01-04T00:00:00"/>
    <s v="الخميس "/>
    <x v="7"/>
    <s v="زياد "/>
    <s v="الزيارة الشهرية ومكافحة حشرات "/>
    <s v="تم العمل"/>
    <d v="1899-12-30T11:00:00"/>
    <d v="1899-12-30T16:00:00"/>
    <n v="0.20833333333333331"/>
    <x v="3"/>
    <n v="5"/>
  </r>
  <r>
    <x v="0"/>
    <d v="2024-01-04T00:00:00"/>
    <s v="الخميس "/>
    <x v="8"/>
    <s v="    ممدوح عبد التواب     "/>
    <s v=" الزيارة الشهرية والمرور على لوح انزار غرف الكهرباء "/>
    <s v="تم العمل"/>
    <d v="1899-12-30T10:30:00"/>
    <d v="1899-12-30T14:00:00"/>
    <n v="0.14583333333333337"/>
    <x v="3"/>
    <n v="3.5000000000000009"/>
  </r>
  <r>
    <x v="0"/>
    <d v="2024-01-04T00:00:00"/>
    <s v="الخميس "/>
    <x v="1"/>
    <s v="محمود سعيد "/>
    <s v="سعداوى رياض "/>
    <s v="تم العمل"/>
    <d v="1899-12-30T10:00:00"/>
    <d v="1899-12-30T16:30:00"/>
    <n v="0.27083333333333331"/>
    <x v="1"/>
    <n v="6.5"/>
  </r>
  <r>
    <x v="0"/>
    <d v="2024-01-04T00:00:00"/>
    <s v="الخميس "/>
    <x v="0"/>
    <s v="محمد زقل  جاد "/>
    <s v="تركيب كهرباء المبنى الادارى "/>
    <s v="تم العمل"/>
    <d v="1899-12-30T10:00:00"/>
    <d v="1899-12-30T17:00:00"/>
    <n v="0.29166666666666669"/>
    <x v="0"/>
    <n v="7"/>
  </r>
  <r>
    <x v="0"/>
    <d v="2024-01-04T00:00:00"/>
    <s v="الخميس "/>
    <x v="0"/>
    <s v="محمد زقل  جاد "/>
    <s v="تركيب سيراميك الحمامات "/>
    <s v="تم العمل"/>
    <d v="1899-12-30T10:30:00"/>
    <d v="1899-12-30T17:00:00"/>
    <n v="0.29166666666666669"/>
    <x v="0"/>
    <n v="7"/>
  </r>
  <r>
    <x v="0"/>
    <d v="2024-01-05T00:00:00"/>
    <s v="الجمعة "/>
    <x v="1"/>
    <s v="سعداوى  رياض "/>
    <s v="تجميع وتركيب تريهات الكهرباء "/>
    <s v="تم العمل"/>
    <d v="1899-12-30T10:00:00"/>
    <d v="1899-12-30T17:30:00"/>
    <n v="0.31249999999999994"/>
    <x v="1"/>
    <n v="7.4999999999999982"/>
  </r>
  <r>
    <x v="0"/>
    <d v="2024-01-06T00:00:00"/>
    <s v="السبت "/>
    <x v="0"/>
    <s v="مراد صالح  "/>
    <s v="تركيب سيراميك مكتب د/ احمد "/>
    <s v="تم العمل"/>
    <d v="1899-12-30T11:30:00"/>
    <d v="1899-12-30T17:00:00"/>
    <n v="0.22916666666666669"/>
    <x v="0"/>
    <n v="5.5"/>
  </r>
  <r>
    <x v="0"/>
    <d v="2024-01-06T00:00:00"/>
    <s v="السبت "/>
    <x v="1"/>
    <s v="سعداوى  رياض "/>
    <s v="تجميع وتركيب تريهات الكهرباء "/>
    <s v="تم العمل"/>
    <d v="1899-12-30T10:00:00"/>
    <d v="1899-12-30T16:00:00"/>
    <n v="0.24999999999999994"/>
    <x v="1"/>
    <n v="5.9999999999999982"/>
  </r>
  <r>
    <x v="0"/>
    <d v="2024-01-06T00:00:00"/>
    <s v="السبت "/>
    <x v="1"/>
    <s v="سعداوى  رياض "/>
    <s v="تركيب شبكة الحريق "/>
    <s v="تم العمل"/>
    <d v="1899-12-30T09:30:00"/>
    <d v="1899-12-30T16:00:00"/>
    <n v="0.27083333333333331"/>
    <x v="1"/>
    <n v="6.5"/>
  </r>
  <r>
    <x v="0"/>
    <d v="2024-01-06T00:00:00"/>
    <s v="السبت "/>
    <x v="9"/>
    <s v="سامى شعبان  "/>
    <s v="تركيب عفشة لكلارك 29 "/>
    <s v="تم العمل"/>
    <d v="1899-12-30T10:00:00"/>
    <d v="1899-12-30T14:00:00"/>
    <n v="0.16666666666666669"/>
    <x v="0"/>
    <n v="4"/>
  </r>
  <r>
    <x v="0"/>
    <d v="2024-01-07T00:00:00"/>
    <s v="الاحد "/>
    <x v="7"/>
    <s v="محمد ماهر "/>
    <s v="مكافحة حشرات "/>
    <s v="تم العمل"/>
    <d v="1899-12-30T10:00:00"/>
    <d v="1899-12-30T14:00:00"/>
    <n v="0.16666666666666669"/>
    <x v="3"/>
    <n v="4"/>
  </r>
  <r>
    <x v="0"/>
    <d v="2024-01-07T00:00:00"/>
    <s v="الاحد "/>
    <x v="6"/>
    <s v="صابر ابراهيم"/>
    <s v="اعمال لحام "/>
    <s v="تم العمل"/>
    <d v="1899-12-30T09:30:00"/>
    <d v="1899-12-30T11:00:00"/>
    <n v="6.25E-2"/>
    <x v="3"/>
    <n v="1.5"/>
  </r>
  <r>
    <x v="0"/>
    <d v="2024-01-07T00:00:00"/>
    <s v="الاحد "/>
    <x v="5"/>
    <s v="ياسر روبى  "/>
    <s v=" تركيب سيراميك غرفة شؤون الطلبة  الاكادمية "/>
    <s v="تم العمل"/>
    <d v="1899-12-30T12:00:00"/>
    <d v="1899-12-30T17:00:00"/>
    <n v="0.20833333333333337"/>
    <x v="3"/>
    <n v="0.99999999999999911"/>
  </r>
  <r>
    <x v="0"/>
    <d v="2024-01-07T00:00:00"/>
    <s v="الاحد "/>
    <x v="1"/>
    <s v="احمد على فؤاد "/>
    <s v="تجميع وتركيب تريهات الكهرباء "/>
    <s v="تم العمل"/>
    <d v="1899-12-30T10:00:00"/>
    <d v="1899-12-30T17:30:00"/>
    <n v="0.31249999999999994"/>
    <x v="1"/>
    <n v="7.4999999999999982"/>
  </r>
  <r>
    <x v="0"/>
    <d v="2024-01-07T00:00:00"/>
    <s v="الاحد "/>
    <x v="10"/>
    <s v="فرج محمد "/>
    <s v="فك الفراشة الموجودة فى الشوارع الخارجية "/>
    <s v="تم العمل"/>
    <d v="1899-12-30T10:00:00"/>
    <d v="1899-12-30T17:00:00"/>
    <n v="0.27079999999999999"/>
    <x v="0"/>
    <n v="6.5"/>
  </r>
  <r>
    <x v="0"/>
    <d v="2024-01-07T00:00:00"/>
    <s v="الاحد "/>
    <x v="5"/>
    <s v="مصطفى محمود "/>
    <s v="دهان تندة خزانات المياه والطلمبة الاحتياطى  "/>
    <s v="تم العمل"/>
    <d v="1899-12-30T15:00:00"/>
    <d v="1899-12-30T16:00:00"/>
    <n v="4.166666666666663E-2"/>
    <x v="0"/>
    <n v="0.99999999999999911"/>
  </r>
  <r>
    <x v="0"/>
    <d v="2024-01-08T00:00:00"/>
    <s v="الاثنين "/>
    <x v="1"/>
    <s v="صفوت شفيق "/>
    <s v="تجميع وتركيب تريهات الكهرباء "/>
    <s v="تم العمل"/>
    <d v="1899-12-30T09:30:00"/>
    <d v="1899-12-30T17:00:00"/>
    <n v="0.31250000000000006"/>
    <x v="1"/>
    <n v="7.5000000000000018"/>
  </r>
  <r>
    <x v="0"/>
    <d v="2024-01-08T00:00:00"/>
    <s v="الاثنين "/>
    <x v="10"/>
    <s v="فرج محمد "/>
    <s v="فك الفراشة الموجودة فى الشوارع الخارجية "/>
    <s v="تم العمل"/>
    <d v="1899-12-30T10:30:00"/>
    <d v="1899-12-30T17:00:00"/>
    <n v="0.27079999999999999"/>
    <x v="0"/>
    <n v="6.5"/>
  </r>
  <r>
    <x v="0"/>
    <d v="2024-01-08T00:00:00"/>
    <s v="الاثنين "/>
    <x v="0"/>
    <s v="محمد زقل  جاد "/>
    <s v="تركيب كهرباء المبنى الادارى "/>
    <s v="تم العمل"/>
    <d v="1899-12-30T10:00:00"/>
    <d v="1899-12-30T17:00:00"/>
    <n v="0.29166666666666669"/>
    <x v="0"/>
    <n v="7"/>
  </r>
  <r>
    <x v="0"/>
    <d v="2024-01-08T00:00:00"/>
    <s v="الاثنين "/>
    <x v="6"/>
    <s v="صابر ابراهيم"/>
    <s v="لحام باب الامن  وباب عنبر رقم د"/>
    <s v="تم العمل"/>
    <d v="1899-12-30T12:00:00"/>
    <d v="1899-12-30T17:00:00"/>
    <n v="0.20833333333333337"/>
    <x v="3"/>
    <n v="5.0000000000000009"/>
  </r>
  <r>
    <x v="0"/>
    <d v="2024-01-08T00:00:00"/>
    <s v="الاثنين "/>
    <x v="11"/>
    <s v="محمد رمضان   "/>
    <s v="تركيب عفشة لكلارك 29 "/>
    <s v="تم العمل"/>
    <d v="1899-12-30T10:00:00"/>
    <d v="1899-12-30T14:00:00"/>
    <n v="0.16666666666666669"/>
    <x v="3"/>
    <n v="4"/>
  </r>
  <r>
    <x v="0"/>
    <d v="2024-01-08T00:00:00"/>
    <s v="الاثنين "/>
    <x v="0"/>
    <s v="محمود ربيع  "/>
    <s v="تركيبات  "/>
    <s v="تم العمل"/>
    <d v="1899-12-30T09:30:00"/>
    <d v="1899-12-30T18:00:00"/>
    <n v="0.35416666666666669"/>
    <x v="2"/>
    <n v="8.5"/>
  </r>
  <r>
    <x v="0"/>
    <d v="2024-01-09T00:00:00"/>
    <s v="الثلاثاء "/>
    <x v="11"/>
    <s v="محمد رمضان   "/>
    <s v="صيانة الكلاركات "/>
    <s v="تم العمل"/>
    <d v="1899-12-30T10:00:00"/>
    <d v="1899-12-30T16:00:00"/>
    <n v="0.24999999999999994"/>
    <x v="3"/>
    <n v="5.9999999999999982"/>
  </r>
  <r>
    <x v="0"/>
    <d v="2024-01-09T00:00:00"/>
    <s v="الثلاثاء "/>
    <x v="1"/>
    <s v="صفوت شفيق "/>
    <s v="تجميع وتركيب تريهات الكهرباء "/>
    <s v="تم العمل"/>
    <d v="1899-12-30T09:30:00"/>
    <d v="1899-12-30T12:30:00"/>
    <n v="0.12500000000000006"/>
    <x v="1"/>
    <n v="3.0000000000000013"/>
  </r>
  <r>
    <x v="0"/>
    <d v="2024-01-09T00:00:00"/>
    <s v="الثلاثاء "/>
    <x v="10"/>
    <s v="فرج محمد "/>
    <s v="فك الفراشة الموجودة فى الشوارع الخارجية "/>
    <s v="تم العمل"/>
    <d v="1899-12-30T10:00:00"/>
    <d v="1899-12-30T17:00:00"/>
    <n v="0.27079999999999999"/>
    <x v="0"/>
    <n v="6.5"/>
  </r>
  <r>
    <x v="0"/>
    <d v="2024-01-09T00:00:00"/>
    <s v="الثلاثاء "/>
    <x v="0"/>
    <s v="مراد صالح  "/>
    <s v="استكمال تركيب كهرباء المبنى الادارى "/>
    <s v="تم العمل"/>
    <d v="1899-12-30T11:00:00"/>
    <d v="1899-12-30T17:00:00"/>
    <n v="0.27079999999999999"/>
    <x v="3"/>
    <n v="6.5"/>
  </r>
  <r>
    <x v="0"/>
    <d v="2024-01-09T00:00:00"/>
    <s v="الثلاثاء "/>
    <x v="0"/>
    <s v="مراد صالح  "/>
    <s v="استكمال اعمال السباكة المبنى الادارى "/>
    <s v="تم العمل"/>
    <d v="1899-12-30T11:00:00"/>
    <d v="1899-12-30T17:00:00"/>
    <n v="0.27079999999999999"/>
    <x v="0"/>
    <n v="6.5"/>
  </r>
  <r>
    <x v="0"/>
    <d v="2024-01-09T00:00:00"/>
    <s v="الثلاثاء "/>
    <x v="12"/>
    <s v="رامى "/>
    <s v="تركيب شباك المونتال فى حمام الادارى "/>
    <s v="تم العمل"/>
    <d v="1899-12-30T16:30:00"/>
    <d v="1899-12-30T17:00:00"/>
    <n v="0.27079999999999999"/>
    <x v="0"/>
    <n v="6.5"/>
  </r>
  <r>
    <x v="0"/>
    <d v="2024-01-10T00:00:00"/>
    <s v="الاربعاء "/>
    <x v="0"/>
    <s v="عمرو الجندى "/>
    <s v="انشائات  "/>
    <s v="تم العمل"/>
    <d v="1899-12-30T09:00:00"/>
    <d v="1899-12-30T18:00:00"/>
    <n v="0.375"/>
    <x v="2"/>
    <n v="9"/>
  </r>
  <r>
    <x v="0"/>
    <d v="2024-01-10T00:00:00"/>
    <s v="الاربعاء "/>
    <x v="7"/>
    <s v="محمد ماهر "/>
    <s v="الزيارة الشهرية و مكافحة حشرات "/>
    <s v="تم العمل"/>
    <d v="1899-12-30T11:00:00"/>
    <d v="1899-12-30T12:30:00"/>
    <n v="6.2500000000000056E-2"/>
    <x v="1"/>
    <n v="1.5000000000000013"/>
  </r>
  <r>
    <x v="0"/>
    <d v="2024-01-10T00:00:00"/>
    <s v="الاربعاء "/>
    <x v="0"/>
    <s v="عمرو الجندى "/>
    <s v="انشائات  "/>
    <s v="تم العمل"/>
    <d v="1899-12-30T09:00:00"/>
    <d v="1899-12-30T15:30:00"/>
    <n v="0.27083333333333337"/>
    <x v="2"/>
    <n v="6.5000000000000009"/>
  </r>
  <r>
    <x v="0"/>
    <d v="2024-01-10T00:00:00"/>
    <s v="الاربعاء "/>
    <x v="5"/>
    <s v="مصطفى  احمد "/>
    <s v="تغير السقف المعلق بالاكادمية    "/>
    <s v="تم العمل"/>
    <d v="1899-12-30T10:00:00"/>
    <d v="1899-12-30T17:00:00"/>
    <n v="0.29166666666666669"/>
    <x v="3"/>
    <n v="0.99999999999999911"/>
  </r>
  <r>
    <x v="0"/>
    <d v="2024-01-10T00:00:00"/>
    <s v="الاربعاء "/>
    <x v="0"/>
    <s v="احمد عامر "/>
    <s v="انشائات  "/>
    <s v="تم العمل"/>
    <d v="1899-12-30T09:00:00"/>
    <d v="1899-12-30T18:00:00"/>
    <n v="0.375"/>
    <x v="3"/>
    <n v="9"/>
  </r>
  <r>
    <x v="0"/>
    <d v="2024-01-10T00:00:00"/>
    <s v="الاربعاء "/>
    <x v="7"/>
    <s v="محمد ماهر "/>
    <s v="الزيارة الشهرية ومكافحة حشرات "/>
    <s v="تم العمل"/>
    <d v="1899-12-30T14:00:00"/>
    <d v="1899-12-30T15:00:00"/>
    <n v="4.166666666666663E-2"/>
    <x v="0"/>
    <n v="0.99999999999999911"/>
  </r>
  <r>
    <x v="0"/>
    <d v="2024-01-10T00:00:00"/>
    <s v="الاربعاء "/>
    <x v="5"/>
    <s v="محمد جابر "/>
    <s v="تركيب  شفاط الكهرباء فى غرفة تغيير الملابس   "/>
    <s v="تم العمل"/>
    <d v="1899-12-30T11:00:00"/>
    <d v="1899-12-30T17:00:00"/>
    <n v="0.25000000000000006"/>
    <x v="3"/>
    <n v="0.99999999999999911"/>
  </r>
  <r>
    <x v="0"/>
    <d v="2024-01-10T00:00:00"/>
    <s v="الاربعاء "/>
    <x v="1"/>
    <s v="صفوت شفيق "/>
    <s v="تجميع وتركيب تريهات الكهرباء "/>
    <s v="تم العمل"/>
    <d v="1899-12-30T09:30:00"/>
    <d v="1899-12-30T11:30:00"/>
    <n v="8.333333333333337E-2"/>
    <x v="1"/>
    <n v="2.0000000000000009"/>
  </r>
  <r>
    <x v="0"/>
    <d v="2024-01-10T00:00:00"/>
    <s v="الاربعاء "/>
    <x v="6"/>
    <s v="صابر ابراهيم "/>
    <s v="عمل تقوية لحوامل خط الحريق "/>
    <s v="تم العمل"/>
    <d v="1899-12-30T11:30:00"/>
    <d v="1899-12-30T16:30:00"/>
    <n v="0.20833333333333331"/>
    <x v="1"/>
    <n v="5"/>
  </r>
  <r>
    <x v="0"/>
    <d v="2024-01-10T00:00:00"/>
    <s v="الاربعاء "/>
    <x v="7"/>
    <s v="محمد ماهر "/>
    <s v="الزيارة الشهرية ومكافحة حشرات "/>
    <s v="تم العمل"/>
    <d v="1899-12-30T11:00:00"/>
    <d v="1899-12-30T12:30:00"/>
    <n v="6.2500000000000056E-2"/>
    <x v="4"/>
    <n v="1.5000000000000013"/>
  </r>
  <r>
    <x v="0"/>
    <d v="2024-01-10T00:00:00"/>
    <s v="الاربعاء "/>
    <x v="10"/>
    <s v="فرج محمد "/>
    <s v="فك الفراشة الموجودة فى الشوارع الخارجية "/>
    <s v="تم العمل"/>
    <d v="1899-12-30T10:00:00"/>
    <d v="1899-12-30T17:00:00"/>
    <n v="0.27079999999999999"/>
    <x v="0"/>
    <n v="6.5"/>
  </r>
  <r>
    <x v="0"/>
    <d v="2024-01-11T00:00:00"/>
    <s v="الخميس "/>
    <x v="10"/>
    <s v="فرج محمد "/>
    <s v="فك الفراشة الموجودة فى الشوارع الخارجية "/>
    <s v="تم العمل"/>
    <d v="1899-12-30T09:30:00"/>
    <d v="1899-12-30T17:00:00"/>
    <n v="0.27079999999999999"/>
    <x v="0"/>
    <n v="6.5"/>
  </r>
  <r>
    <x v="0"/>
    <d v="2024-01-11T00:00:00"/>
    <s v="الخميس "/>
    <x v="0"/>
    <s v="محمد زقل  جاد "/>
    <s v="عمل نجارة ابواب الخشب  فى المبنى الادارى "/>
    <s v="تم العمل"/>
    <d v="1899-12-30T11:00:00"/>
    <d v="1899-12-30T17:00:00"/>
    <n v="0.25000000000000006"/>
    <x v="0"/>
    <n v="6.0000000000000018"/>
  </r>
  <r>
    <x v="0"/>
    <d v="2024-01-11T00:00:00"/>
    <s v="الخميس "/>
    <x v="6"/>
    <s v="صابر ابراهيم "/>
    <s v="عمل تقوية لحوامل خط الحريق "/>
    <s v="تم العمل"/>
    <d v="1899-12-30T11:30:00"/>
    <d v="1899-12-30T17:00:00"/>
    <n v="0.22916666666666669"/>
    <x v="1"/>
    <n v="5.5"/>
  </r>
  <r>
    <x v="0"/>
    <d v="2024-01-12T00:00:00"/>
    <s v="الجمعة "/>
    <x v="1"/>
    <s v="سعداوى رياض "/>
    <s v="تجميع وتركيب شبكة الحريق "/>
    <s v="تم العمل"/>
    <d v="1899-12-30T09:30:00"/>
    <d v="1899-12-30T17:30:00"/>
    <n v="0.33333333333333331"/>
    <x v="1"/>
    <n v="8"/>
  </r>
  <r>
    <x v="0"/>
    <d v="2024-01-12T00:00:00"/>
    <s v="الجمعة "/>
    <x v="1"/>
    <s v="سعداوى رياض "/>
    <s v="تركيبات  "/>
    <s v="تم العمل"/>
    <d v="1899-12-30T09:30:00"/>
    <d v="1899-12-30T17:30:00"/>
    <n v="0.33333333333333331"/>
    <x v="1"/>
    <n v="8"/>
  </r>
  <r>
    <x v="0"/>
    <d v="2024-01-13T00:00:00"/>
    <s v="السبت "/>
    <x v="8"/>
    <s v="حامد  ابو المحاميد    "/>
    <s v="الزيارة الشهرية وصيانة خط الحريق "/>
    <s v="تم العمل"/>
    <d v="1899-12-30T08:00:00"/>
    <d v="1899-12-30T09:30:00"/>
    <n v="6.25E-2"/>
    <x v="3"/>
    <n v="1.5"/>
  </r>
  <r>
    <x v="0"/>
    <d v="2024-01-13T00:00:00"/>
    <s v="السبت "/>
    <x v="1"/>
    <s v="سعداوى رياض "/>
    <s v="تجميع وتركيب شبكة الحريق "/>
    <s v="تم العمل"/>
    <d v="1899-12-30T09:30:00"/>
    <d v="1899-12-30T21:00:00"/>
    <n v="0.47916666666666669"/>
    <x v="1"/>
    <n v="11.5"/>
  </r>
  <r>
    <x v="0"/>
    <d v="2024-01-14T00:00:00"/>
    <s v="الاحد "/>
    <x v="1"/>
    <s v="سعداوى رياض "/>
    <s v="تجميع وتركيب شبكة الحريق "/>
    <s v="تم العمل"/>
    <d v="1899-12-30T09:30:00"/>
    <d v="1899-12-30T17:30:00"/>
    <n v="0.33333333333333331"/>
    <x v="1"/>
    <n v="8"/>
  </r>
  <r>
    <x v="0"/>
    <d v="2024-01-14T00:00:00"/>
    <s v="الاحد "/>
    <x v="0"/>
    <s v="مراد صالح  "/>
    <s v="عمل نقاشة فى مكتب  د/ احمد"/>
    <s v="تم العمل"/>
    <d v="1899-12-30T10:00:00"/>
    <d v="1899-12-30T17:00:00"/>
    <n v="0.27079999999999999"/>
    <x v="3"/>
    <n v="6.5"/>
  </r>
  <r>
    <x v="0"/>
    <d v="2024-01-14T00:00:00"/>
    <s v="الاحد "/>
    <x v="8"/>
    <s v="مصطفى عاشور       "/>
    <s v="صيانة الطلمبة جوكى "/>
    <s v="تم العمل"/>
    <d v="1899-12-30T13:00:00"/>
    <d v="1899-12-30T17:00:00"/>
    <n v="0.16666666666666674"/>
    <x v="0"/>
    <n v="4.0000000000000018"/>
  </r>
  <r>
    <x v="0"/>
    <d v="2024-01-15T00:00:00"/>
    <s v="الاثنين "/>
    <x v="6"/>
    <s v="صابر ابراهيم "/>
    <s v="تركيب تندة حديد لخزان المياه "/>
    <s v="تم العمل"/>
    <d v="1899-12-30T11:30:00"/>
    <d v="1899-12-30T17:00:00"/>
    <n v="0.22916666666666669"/>
    <x v="0"/>
    <n v="5.5"/>
  </r>
  <r>
    <x v="0"/>
    <d v="2024-01-15T00:00:00"/>
    <s v="الاثنين "/>
    <x v="0"/>
    <s v="مراد صالح  "/>
    <s v="عمل نقاشة فى مكتب  د/ احمد"/>
    <s v="تم العمل"/>
    <d v="1899-12-30T10:00:00"/>
    <d v="1899-12-30T17:00:00"/>
    <n v="0.27079999999999999"/>
    <x v="0"/>
    <n v="6.5"/>
  </r>
  <r>
    <x v="0"/>
    <d v="2024-01-15T00:00:00"/>
    <s v="الاثنين "/>
    <x v="9"/>
    <s v="سامى شعبان  "/>
    <s v="صيانة كلارك "/>
    <s v="تم العمل"/>
    <d v="1899-12-30T13:00:00"/>
    <d v="1899-12-30T16:00:00"/>
    <n v="0.125"/>
    <x v="3"/>
    <n v="3"/>
  </r>
  <r>
    <x v="0"/>
    <d v="2024-01-16T00:00:00"/>
    <s v="الثلاثاء "/>
    <x v="9"/>
    <s v="سامى شعبان  "/>
    <s v="صيانة كلارك "/>
    <s v="تم العمل"/>
    <d v="1899-12-30T14:00:00"/>
    <d v="1899-12-30T16:00:00"/>
    <n v="8.3333333333333259E-2"/>
    <x v="0"/>
    <n v="1.9999999999999982"/>
  </r>
  <r>
    <x v="0"/>
    <d v="2024-01-16T00:00:00"/>
    <s v="الثلاثاء "/>
    <x v="1"/>
    <s v="سعداوى رياض "/>
    <s v="تجميع وتركيب شبكة الحريق "/>
    <s v="تم العمل"/>
    <d v="1899-12-30T09:30:00"/>
    <d v="1899-12-30T11:30:00"/>
    <n v="8.333333333333337E-2"/>
    <x v="1"/>
    <n v="2.0000000000000009"/>
  </r>
  <r>
    <x v="0"/>
    <d v="2024-01-16T00:00:00"/>
    <s v="الثلاثاء "/>
    <x v="1"/>
    <s v="سعداوى رياض "/>
    <s v="تجميع وتركيب شبكة الحريق "/>
    <s v="تم العمل"/>
    <d v="1899-12-30T09:30:00"/>
    <d v="1899-12-30T15:00:00"/>
    <n v="0.22916666666666669"/>
    <x v="1"/>
    <n v="5.5"/>
  </r>
  <r>
    <x v="0"/>
    <d v="2024-01-16T00:00:00"/>
    <s v="الثلاثاء "/>
    <x v="5"/>
    <s v="محمد خليل النقيب "/>
    <s v="تركيب كشاف على المبنى الادارى من الخارج    "/>
    <s v="تم العمل"/>
    <d v="1899-12-30T14:30:00"/>
    <d v="1899-12-30T17:00:00"/>
    <n v="0.10416666666666674"/>
    <x v="0"/>
    <n v="0.99999999999999911"/>
  </r>
  <r>
    <x v="0"/>
    <d v="2024-01-16T00:00:00"/>
    <s v="الثلاثاء "/>
    <x v="0"/>
    <s v="مراد صالح  "/>
    <s v="استكمال اعمال  نقاشة فى مكتب  د/ احمد"/>
    <s v="تم العمل"/>
    <d v="1899-12-30T10:00:00"/>
    <d v="1899-12-30T17:00:00"/>
    <n v="0.27079999999999999"/>
    <x v="0"/>
    <n v="6.5"/>
  </r>
  <r>
    <x v="0"/>
    <d v="2024-01-16T00:00:00"/>
    <s v="الثلاثاء "/>
    <x v="8"/>
    <s v=" على الشنوبى     "/>
    <s v="الزيارة الشهرية و صيانة للوح الانزار "/>
    <s v="تم العمل"/>
    <d v="1899-12-30T12:30:00"/>
    <d v="1899-12-30T13:30:00"/>
    <n v="4.166666666666663E-2"/>
    <x v="1"/>
    <n v="0.99999999999999911"/>
  </r>
  <r>
    <x v="0"/>
    <d v="2024-01-16T00:00:00"/>
    <s v="الثلاثاء "/>
    <x v="8"/>
    <s v=" على الشنوبى     "/>
    <s v="المرور على لوح انزار غرف الكهرباء "/>
    <s v="تم العمل"/>
    <d v="1899-12-30T12:00:00"/>
    <d v="1899-12-30T13:00:00"/>
    <n v="4.166666666666663E-2"/>
    <x v="0"/>
    <n v="0.99999999999999911"/>
  </r>
  <r>
    <x v="0"/>
    <d v="2024-01-16T00:00:00"/>
    <s v="الثلاثاء "/>
    <x v="0"/>
    <s v="مراد صالح  "/>
    <s v="دهان تندة خزانات المياه والطلمبة الاحتياطى  "/>
    <s v="تم العمل"/>
    <d v="1899-12-30T10:00:00"/>
    <d v="1899-12-30T17:00:00"/>
    <n v="0.27079999999999999"/>
    <x v="0"/>
    <n v="6.5"/>
  </r>
  <r>
    <x v="0"/>
    <d v="2024-01-17T00:00:00"/>
    <s v="الاربعاء "/>
    <x v="1"/>
    <s v="سعداوى رياض "/>
    <s v="تجميع وتركيب شبكة الحريق "/>
    <s v="تم العمل"/>
    <d v="1899-12-30T09:30:00"/>
    <d v="1899-12-30T11:30:00"/>
    <n v="8.333333333333337E-2"/>
    <x v="3"/>
    <n v="2.0000000000000009"/>
  </r>
  <r>
    <x v="0"/>
    <d v="2024-01-17T00:00:00"/>
    <s v="الاربعاء "/>
    <x v="6"/>
    <s v="صابر ابراهيم "/>
    <s v=" استكمال تركيب تندة حديد لخزان المياه "/>
    <s v="تم العمل"/>
    <d v="1899-12-30T11:00:00"/>
    <d v="1899-12-30T17:00:00"/>
    <n v="0.27079999999999999"/>
    <x v="0"/>
    <n v="6.5"/>
  </r>
  <r>
    <x v="0"/>
    <d v="2024-01-17T00:00:00"/>
    <s v="الاربعاء "/>
    <x v="6"/>
    <s v="حسام جناد "/>
    <s v="تركيب لوحة ويب 9"/>
    <s v="تم العمل"/>
    <d v="1899-12-30T15:00:00"/>
    <d v="1899-12-30T16:00:00"/>
    <n v="4.166666666666663E-2"/>
    <x v="3"/>
    <n v="0.99999999999999911"/>
  </r>
  <r>
    <x v="0"/>
    <d v="2024-01-17T00:00:00"/>
    <s v="الاربعاء "/>
    <x v="13"/>
    <s v="اسلام مصطفى  "/>
    <s v="عمل صيانة الكنترول  CTB"/>
    <s v="تم العمل"/>
    <d v="1899-12-30T14:00:00"/>
    <d v="1899-12-30T17:00:00"/>
    <n v="0.125"/>
    <x v="3"/>
    <n v="3"/>
  </r>
  <r>
    <x v="0"/>
    <d v="2024-01-17T00:00:00"/>
    <s v="الاربعاء "/>
    <x v="14"/>
    <s v="محمد عادل  "/>
    <s v="صيانة المصاعد    "/>
    <s v="تم العمل"/>
    <d v="1899-12-30T10:00:00"/>
    <d v="1899-12-30T12:00:00"/>
    <n v="2.0799999999999999E-2"/>
    <x v="1"/>
    <n v="1"/>
  </r>
  <r>
    <x v="0"/>
    <d v="2024-01-18T00:00:00"/>
    <s v="الخميس "/>
    <x v="1"/>
    <s v="سعداوى رياض "/>
    <s v="تجميع وتركيب شبكة الحريق "/>
    <s v="تم العمل"/>
    <d v="1899-12-30T09:30:00"/>
    <d v="1899-12-30T15:00:00"/>
    <n v="0.22916666666666669"/>
    <x v="1"/>
    <n v="5.5"/>
  </r>
  <r>
    <x v="0"/>
    <d v="2024-01-18T00:00:00"/>
    <s v="الخميس "/>
    <x v="8"/>
    <s v="    ممدوح عبد التواب     "/>
    <s v="نظام الانزار "/>
    <s v="تم العمل"/>
    <d v="1899-12-30T12:00:00"/>
    <d v="1899-12-30T14:00:00"/>
    <n v="8.333333333333337E-2"/>
    <x v="3"/>
    <n v="2.0000000000000009"/>
  </r>
  <r>
    <x v="0"/>
    <d v="2024-01-18T00:00:00"/>
    <s v="الخميس "/>
    <x v="8"/>
    <s v="حامد ابو المحاميد   "/>
    <s v="فك الطلمبة الجوكى واصلاحها  وعمل صيانة "/>
    <s v="تم العمل"/>
    <d v="1899-12-30T11:30:00"/>
    <d v="1899-12-30T17:00:00"/>
    <n v="0.22916666666666669"/>
    <x v="0"/>
    <n v="5.5"/>
  </r>
  <r>
    <x v="0"/>
    <d v="2024-01-18T00:00:00"/>
    <s v="الخميس "/>
    <x v="5"/>
    <s v="احمد سعيد  "/>
    <s v="تركيب مواسير صرف الامطار العنابر     "/>
    <s v="تم العمل"/>
    <d v="1899-12-30T13:00:00"/>
    <d v="1899-12-30T17:00:00"/>
    <n v="0.16666666666666674"/>
    <x v="3"/>
    <n v="0.99999999999999911"/>
  </r>
  <r>
    <x v="0"/>
    <d v="2024-01-18T00:00:00"/>
    <s v="الخميس "/>
    <x v="1"/>
    <s v="سعداوى رياض "/>
    <s v="تجميع وتركيب شبكة الحريق "/>
    <s v="تم العمل"/>
    <d v="1899-12-30T09:30:00"/>
    <d v="1899-12-30T15:00:00"/>
    <n v="0.22916666666666669"/>
    <x v="1"/>
    <n v="5.5"/>
  </r>
  <r>
    <x v="0"/>
    <d v="2024-01-20T00:00:00"/>
    <s v="السبت "/>
    <x v="5"/>
    <s v="احمد سعيد  "/>
    <s v="تركيب مواسير صرف الامطارفى  العنابر     "/>
    <s v="تم العمل"/>
    <d v="1899-12-30T10:00:00"/>
    <d v="1899-12-30T17:00:00"/>
    <n v="0.29166666666666669"/>
    <x v="3"/>
    <n v="0.99999999999999911"/>
  </r>
  <r>
    <x v="0"/>
    <d v="2024-01-20T00:00:00"/>
    <s v="السبت "/>
    <x v="1"/>
    <s v="سعداوى رياض "/>
    <s v="تجميع وتركيب شبكة الحريق والكهرباء "/>
    <s v="تم العمل"/>
    <d v="1899-12-30T09:30:00"/>
    <d v="1899-12-30T17:00:00"/>
    <n v="0.31250000000000006"/>
    <x v="1"/>
    <n v="7.5000000000000018"/>
  </r>
  <r>
    <x v="0"/>
    <d v="2024-01-20T00:00:00"/>
    <s v="السبت "/>
    <x v="5"/>
    <s v="ياسر ابراهيم  "/>
    <s v="تركيب رخام المطبخ فى المبنى الادارى      "/>
    <s v="تم العمل"/>
    <d v="1899-12-30T14:30:00"/>
    <d v="1899-12-30T17:00:00"/>
    <n v="0.10416666666666674"/>
    <x v="3"/>
    <n v="0.99999999999999911"/>
  </r>
  <r>
    <x v="0"/>
    <d v="2024-01-20T00:00:00"/>
    <s v="السبت "/>
    <x v="0"/>
    <s v="مراد صالح  "/>
    <s v="استكمال اعمال النجارة فى ابواب الخشب المبنى  "/>
    <s v="تم العمل"/>
    <d v="1899-12-30T14:30:00"/>
    <d v="1899-12-30T17:00:00"/>
    <n v="0.10416666666666674"/>
    <x v="0"/>
    <n v="0.99999999999999911"/>
  </r>
  <r>
    <x v="0"/>
    <d v="2024-01-21T00:00:00"/>
    <s v="الاحد "/>
    <x v="11"/>
    <s v="محمد رمضان   "/>
    <s v="صيانة الكلاركات "/>
    <s v="تم العمل"/>
    <d v="1899-12-30T10:00:00"/>
    <d v="1899-12-30T13:00:00"/>
    <n v="0.12499999999999994"/>
    <x v="3"/>
    <n v="2.9999999999999987"/>
  </r>
  <r>
    <x v="0"/>
    <d v="2024-01-21T00:00:00"/>
    <s v="الاحد "/>
    <x v="1"/>
    <s v="سعداوى رياض "/>
    <s v="تجميع وتركيب شبكة الحريق والكهرباء "/>
    <s v="تم العمل"/>
    <d v="1899-12-30T09:30:00"/>
    <d v="1899-12-30T17:00:00"/>
    <n v="0.31250000000000006"/>
    <x v="1"/>
    <n v="7.5000000000000018"/>
  </r>
  <r>
    <x v="0"/>
    <d v="2024-01-21T00:00:00"/>
    <s v="الاحد "/>
    <x v="7"/>
    <s v="محمد ماهر "/>
    <s v=" الزيارة الشهرية و مكافحة حشرات "/>
    <s v="تم العمل"/>
    <d v="1899-12-30T12:00:00"/>
    <d v="1899-12-30T15:00:00"/>
    <n v="0.125"/>
    <x v="3"/>
    <n v="3"/>
  </r>
  <r>
    <x v="0"/>
    <d v="2024-01-22T00:00:00"/>
    <s v="الاثنين "/>
    <x v="1"/>
    <s v="سعداوى رياض "/>
    <s v="تجميع وتركيب شبكة الحريق والكهرباء "/>
    <s v="تم العمل"/>
    <d v="1899-12-30T09:30:00"/>
    <d v="1899-12-30T17:00:00"/>
    <n v="0.31250000000000006"/>
    <x v="1"/>
    <n v="7.5000000000000018"/>
  </r>
  <r>
    <x v="0"/>
    <d v="2024-01-22T00:00:00"/>
    <s v="الاثنين "/>
    <x v="0"/>
    <s v="عمرو الجندى "/>
    <s v="انشائات  "/>
    <s v="تم العمل"/>
    <d v="1899-12-30T09:30:00"/>
    <d v="1899-12-30T18:00:00"/>
    <n v="0.35416666666666669"/>
    <x v="2"/>
    <n v="8.5"/>
  </r>
  <r>
    <x v="0"/>
    <d v="2024-01-23T00:00:00"/>
    <s v="الثلاثاء "/>
    <x v="1"/>
    <s v="سعداوى رياض "/>
    <s v="تجميع وتركيب شبكة الحريق والكهرباء "/>
    <s v="تم العمل"/>
    <d v="1899-12-30T09:30:00"/>
    <d v="1899-12-30T20:30:00"/>
    <n v="0.45833333333333331"/>
    <x v="1"/>
    <n v="11"/>
  </r>
  <r>
    <x v="0"/>
    <d v="2024-01-23T00:00:00"/>
    <s v="الثلاثاء "/>
    <x v="8"/>
    <s v="حامد عطوان   "/>
    <s v="الزيارة الشهرية و اختبار صناديق الحريق  1.5 بوصة "/>
    <s v="تم العمل"/>
    <d v="1899-12-30T11:30:00"/>
    <d v="1899-12-30T13:30:00"/>
    <n v="8.3333333333333315E-2"/>
    <x v="1"/>
    <n v="1.9999999999999996"/>
  </r>
  <r>
    <x v="0"/>
    <d v="2024-01-23T00:00:00"/>
    <s v="الثلاثاء "/>
    <x v="8"/>
    <s v=" على الشحات "/>
    <s v="تركيب انزار المبنى الادارى  "/>
    <s v="تم العمل"/>
    <d v="1899-12-30T10:00:00"/>
    <d v="1899-12-30T11:30:00"/>
    <n v="6.25E-2"/>
    <x v="0"/>
    <n v="1.5"/>
  </r>
  <r>
    <x v="0"/>
    <d v="2024-01-24T00:00:00"/>
    <s v="الاربعاء "/>
    <x v="9"/>
    <s v="سامى شعبان  "/>
    <s v="صيانة كلارك "/>
    <s v="تم العمل"/>
    <d v="1899-12-30T13:00:00"/>
    <d v="1899-12-30T17:00:00"/>
    <n v="0.16666666666666674"/>
    <x v="3"/>
    <n v="4.0000000000000018"/>
  </r>
  <r>
    <x v="0"/>
    <d v="2024-01-24T00:00:00"/>
    <s v="الاربعاء "/>
    <x v="0"/>
    <s v="مراد صالح  "/>
    <s v="تركيب كوالين  الابواب الخشب  وعمل نجارة "/>
    <s v="تم العمل"/>
    <d v="1899-12-30T14:30:00"/>
    <d v="1899-12-30T17:00:00"/>
    <n v="0.10416666666666674"/>
    <x v="0"/>
    <n v="0.99999999999999911"/>
  </r>
  <r>
    <x v="0"/>
    <d v="2024-01-24T00:00:00"/>
    <s v="الاربعاء "/>
    <x v="1"/>
    <s v="سعداوى رياض "/>
    <s v="تجميع وتركيب شبكة الحريق والكهرباء "/>
    <s v="تم العمل"/>
    <d v="1899-12-30T09:30:00"/>
    <d v="1899-12-30T20:30:00"/>
    <n v="0.45833333333333331"/>
    <x v="3"/>
    <n v="11"/>
  </r>
  <r>
    <x v="0"/>
    <d v="2024-01-25T00:00:00"/>
    <s v="الخميس "/>
    <x v="5"/>
    <s v="ادم محمد   "/>
    <s v="صيانة  ماسورة  صرف الامطارفى عنبر  ويب 2     "/>
    <s v="تم العمل"/>
    <d v="1899-12-30T11:00:00"/>
    <d v="1899-12-30T13:00:00"/>
    <n v="8.3333333333333315E-2"/>
    <x v="3"/>
    <n v="0.99999999999999911"/>
  </r>
  <r>
    <x v="0"/>
    <d v="2024-01-25T00:00:00"/>
    <s v="الخميس "/>
    <x v="8"/>
    <s v="    ممدوح عبد التواب     "/>
    <s v="الزيارة الشهرية وتركيب لوحات انزار غرف الكهرباء  "/>
    <s v="تم العمل"/>
    <d v="1899-12-30T10:00:00"/>
    <d v="1899-12-30T16:00:00"/>
    <n v="0.24999999999999994"/>
    <x v="3"/>
    <n v="5.9999999999999982"/>
  </r>
  <r>
    <x v="0"/>
    <d v="2024-01-25T00:00:00"/>
    <s v="الخميس "/>
    <x v="1"/>
    <s v="سعداوى رياض "/>
    <s v="تجميع وتركيب شبكة الحريق والكهرباء "/>
    <s v="تم العمل"/>
    <d v="1899-12-30T09:30:00"/>
    <d v="1899-12-30T17:30:00"/>
    <n v="0.33333333333333331"/>
    <x v="1"/>
    <n v="8"/>
  </r>
  <r>
    <x v="0"/>
    <d v="2024-01-26T00:00:00"/>
    <s v="الجمعة "/>
    <x v="1"/>
    <s v="سعداوى رياض "/>
    <s v="تجميع وتركيب شبكة الحريق والكهرباء "/>
    <s v="تم العمل"/>
    <d v="1899-12-30T11:00:00"/>
    <d v="1899-12-30T15:00:00"/>
    <n v="0.16666666666666669"/>
    <x v="1"/>
    <n v="4"/>
  </r>
  <r>
    <x v="0"/>
    <d v="2024-01-26T00:00:00"/>
    <s v="الجمعة "/>
    <x v="1"/>
    <s v="احمد على فؤاد "/>
    <s v="تركيبات ولحام  "/>
    <s v="تم العمل"/>
    <d v="1899-12-30T09:30:00"/>
    <d v="1899-12-30T17:30:00"/>
    <n v="0.33333333333333331"/>
    <x v="1"/>
    <n v="8"/>
  </r>
  <r>
    <x v="0"/>
    <d v="2024-01-27T00:00:00"/>
    <s v="السبت "/>
    <x v="1"/>
    <s v="سعداوى رياض "/>
    <s v="تجميع وتركيب شبكة  والكهرباء "/>
    <s v="تم العمل"/>
    <d v="1899-12-30T09:30:00"/>
    <d v="1899-12-30T20:30:00"/>
    <n v="0.45833333333333331"/>
    <x v="1"/>
    <n v="11"/>
  </r>
  <r>
    <x v="0"/>
    <d v="2024-01-27T00:00:00"/>
    <s v="السبت "/>
    <x v="1"/>
    <s v="سعداوى رياض "/>
    <s v="تجميع وتركيب شبكةا لحريق "/>
    <s v="تم العمل"/>
    <d v="1899-12-30T09:30:00"/>
    <d v="1899-12-30T15:00:00"/>
    <n v="0.22916666666666669"/>
    <x v="1"/>
    <n v="5.5"/>
  </r>
  <r>
    <x v="0"/>
    <d v="2024-01-28T00:00:00"/>
    <s v="الاحد "/>
    <x v="9"/>
    <s v="سامى شعبان  "/>
    <s v="صيانة كلارك "/>
    <s v="تم العمل"/>
    <d v="1899-12-30T15:00:00"/>
    <d v="1899-12-30T18:00:00"/>
    <n v="0.125"/>
    <x v="3"/>
    <n v="3"/>
  </r>
  <r>
    <x v="0"/>
    <d v="2024-01-28T00:00:00"/>
    <s v="الاحد "/>
    <x v="1"/>
    <s v="سعداوى رياض "/>
    <s v="تجميع وتركيب شبكة الحريق والكهرباء "/>
    <s v="تم العمل"/>
    <d v="1899-12-30T09:30:00"/>
    <d v="1899-12-30T17:30:00"/>
    <n v="0.33333333333333331"/>
    <x v="1"/>
    <n v="8"/>
  </r>
  <r>
    <x v="0"/>
    <d v="2024-01-28T00:00:00"/>
    <s v="الاحد "/>
    <x v="7"/>
    <s v="محمد ماهر "/>
    <s v=" الزيارة الشهرية و مكافحة حشرات "/>
    <s v="تم العمل"/>
    <d v="1899-12-30T13:00:00"/>
    <d v="1899-12-30T14:00:00"/>
    <n v="4.1666666666666741E-2"/>
    <x v="0"/>
    <n v="1.0000000000000018"/>
  </r>
  <r>
    <x v="0"/>
    <d v="2024-01-28T00:00:00"/>
    <s v="الاحد "/>
    <x v="7"/>
    <s v="محمد ماهر "/>
    <s v=" الزيارة الشهرية و مكافحة حشرات "/>
    <s v="تم العمل"/>
    <d v="1899-12-30T10:00:00"/>
    <d v="1899-12-30T11:30:00"/>
    <n v="6.25E-2"/>
    <x v="1"/>
    <n v="1.5"/>
  </r>
  <r>
    <x v="0"/>
    <d v="2024-01-29T00:00:00"/>
    <s v="الاثنين "/>
    <x v="5"/>
    <s v="مصطفى رشاد    "/>
    <s v="دهان حوائط الكفتريا      "/>
    <s v="تم العمل"/>
    <d v="1899-12-30T13:00:00"/>
    <d v="1899-12-30T15:00:00"/>
    <n v="8.333333333333337E-2"/>
    <x v="3"/>
    <n v="0.99999999999999911"/>
  </r>
  <r>
    <x v="0"/>
    <d v="2024-01-29T00:00:00"/>
    <s v="الاثنين "/>
    <x v="1"/>
    <s v="سعداوى رياض "/>
    <s v="تجميع وتركيب شبكة الحريق والكهرباء "/>
    <s v="تم العمل"/>
    <d v="1899-12-30T09:30:00"/>
    <d v="1899-12-30T17:30:00"/>
    <n v="0.33333333333333331"/>
    <x v="1"/>
    <n v="8"/>
  </r>
  <r>
    <x v="0"/>
    <d v="2024-01-29T00:00:00"/>
    <s v="الاثنين "/>
    <x v="9"/>
    <s v="سامى شعبان  "/>
    <s v="صيانة كلارك "/>
    <s v="تم العمل"/>
    <d v="1899-12-30T13:30:00"/>
    <d v="1899-12-30T17:00:00"/>
    <n v="0.14583333333333337"/>
    <x v="3"/>
    <n v="3.5000000000000009"/>
  </r>
  <r>
    <x v="0"/>
    <d v="2024-01-30T00:00:00"/>
    <s v="الثلاثاء "/>
    <x v="11"/>
    <s v="محمد رمضان   "/>
    <s v="صيانة الكلاركات "/>
    <s v="تم العمل"/>
    <d v="1899-12-30T13:00:00"/>
    <d v="1899-12-30T15:30:00"/>
    <n v="0.10416666666666674"/>
    <x v="3"/>
    <n v="2.5000000000000018"/>
  </r>
  <r>
    <x v="0"/>
    <d v="2024-01-30T00:00:00"/>
    <s v="الثلاثاء "/>
    <x v="6"/>
    <s v="صابر ابراهيم "/>
    <s v="تقطيع بالصاروخ "/>
    <s v="تم العمل"/>
    <d v="1899-12-30T15:00:00"/>
    <d v="1899-12-30T16:30:00"/>
    <n v="0.27079999999999999"/>
    <x v="3"/>
    <n v="6.5"/>
  </r>
  <r>
    <x v="0"/>
    <d v="2024-01-30T00:00:00"/>
    <s v="الثلاثاء "/>
    <x v="1"/>
    <s v="سعداوى رياض "/>
    <s v="تجميع وتركيب شبكة الحريق والكهرباء "/>
    <s v="تم العمل"/>
    <d v="1899-12-30T09:30:00"/>
    <d v="1899-12-30T17:30:00"/>
    <n v="0.33333333333333331"/>
    <x v="1"/>
    <n v="8"/>
  </r>
  <r>
    <x v="0"/>
    <d v="2024-01-30T00:00:00"/>
    <s v="الثلاثاء "/>
    <x v="15"/>
    <s v="ياسر ابراهيم  "/>
    <s v="تصليح باب مخزن الوزارة "/>
    <s v="تم العمل"/>
    <d v="1899-12-30T11:30:00"/>
    <d v="1899-12-30T15:00:00"/>
    <n v="0.14583333333333331"/>
    <x v="3"/>
    <n v="3.4999999999999996"/>
  </r>
  <r>
    <x v="0"/>
    <d v="2024-01-31T00:00:00"/>
    <s v="الاربعاء "/>
    <x v="1"/>
    <s v="سعداوى رياض "/>
    <s v="تجميع وتركيب شبكة الكهرباء "/>
    <s v="تم العمل"/>
    <d v="1899-12-30T09:30:00"/>
    <d v="1899-12-30T17:30:00"/>
    <n v="0.33333333333333331"/>
    <x v="1"/>
    <n v="8"/>
  </r>
  <r>
    <x v="0"/>
    <d v="2024-01-31T00:00:00"/>
    <s v="الاربعاء "/>
    <x v="1"/>
    <s v="سعداوى رياض "/>
    <s v="تجميع وتركيب شبكة الحريق"/>
    <s v="تم العمل"/>
    <d v="1899-12-30T09:30:00"/>
    <d v="1899-12-30T17:30:00"/>
    <n v="0.33333333333333331"/>
    <x v="1"/>
    <n v="8"/>
  </r>
  <r>
    <x v="1"/>
    <d v="2024-02-01T00:00:00"/>
    <s v="الخميس "/>
    <x v="1"/>
    <s v="سعداوى رياض "/>
    <s v="تجميع وتركيب شبكة الحريق والكهرباء "/>
    <s v="تم العمل"/>
    <d v="1899-12-30T09:30:00"/>
    <d v="1899-12-30T16:00:00"/>
    <n v="0.27083333333333331"/>
    <x v="1"/>
    <n v="6.5"/>
  </r>
  <r>
    <x v="1"/>
    <d v="2024-02-03T00:00:00"/>
    <s v="السبت "/>
    <x v="1"/>
    <s v="سعداوى رياض "/>
    <s v="تجميع وتركيب شبكة الحريق والكهرباء "/>
    <s v="تم العمل"/>
    <d v="1899-12-30T09:30:00"/>
    <d v="1899-12-30T17:30:00"/>
    <n v="0.33333333333333331"/>
    <x v="1"/>
    <n v="8"/>
  </r>
  <r>
    <x v="1"/>
    <d v="2024-02-04T00:00:00"/>
    <s v="الاحد "/>
    <x v="6"/>
    <s v="صابر ابراهيم "/>
    <s v="لحام مجرى الباب الرئيسى "/>
    <s v="تم العمل"/>
    <d v="1899-12-30T13:00:00"/>
    <d v="1899-12-30T14:00:00"/>
    <n v="0.27079999999999999"/>
    <x v="3"/>
    <n v="6.5"/>
  </r>
  <r>
    <x v="1"/>
    <d v="2024-02-04T00:00:00"/>
    <s v="الاحد "/>
    <x v="6"/>
    <s v="صابر ابراهيم "/>
    <s v="لحام حوامل الطفايات "/>
    <s v="تم العمل"/>
    <d v="1899-12-30T14:00:00"/>
    <d v="1899-12-30T15:00:00"/>
    <n v="0.27079999999999999"/>
    <x v="3"/>
    <n v="6.5"/>
  </r>
  <r>
    <x v="1"/>
    <d v="2024-02-04T00:00:00"/>
    <s v="الاحد "/>
    <x v="16"/>
    <s v="فارس خليل "/>
    <s v="لحام حوامل الطفايات "/>
    <s v="تم العمل"/>
    <d v="1899-12-30T09:30:00"/>
    <d v="1899-12-30T17:00:00"/>
    <n v="0.27079999999999999"/>
    <x v="3"/>
    <n v="6.5"/>
  </r>
  <r>
    <x v="1"/>
    <d v="2024-02-04T00:00:00"/>
    <s v="الاحد "/>
    <x v="1"/>
    <s v="سعداوى رياض "/>
    <s v="تجميع وتركيب شبكة الحريق والكهرباء "/>
    <s v="تم العمل"/>
    <d v="1899-12-30T09:30:00"/>
    <d v="1899-12-30T17:30:00"/>
    <n v="0.33333333333333331"/>
    <x v="1"/>
    <n v="8"/>
  </r>
  <r>
    <x v="1"/>
    <d v="2024-02-05T00:00:00"/>
    <s v="الاثنين "/>
    <x v="1"/>
    <s v="سعداوى رياض "/>
    <s v="تجميع وتركيب شبكة الحريق والكهرباء "/>
    <s v="تم العمل"/>
    <d v="1899-12-30T09:30:00"/>
    <d v="1899-12-30T17:00:00"/>
    <n v="0.31250000000000006"/>
    <x v="1"/>
    <n v="7.5000000000000018"/>
  </r>
  <r>
    <x v="1"/>
    <d v="2024-02-05T00:00:00"/>
    <s v="الاثنين "/>
    <x v="16"/>
    <s v="فارس خليل "/>
    <s v="تجميع وتركيب سلم الطوارىء"/>
    <s v="تم العمل"/>
    <d v="1899-12-30T11:00:00"/>
    <d v="1899-12-30T17:00:00"/>
    <n v="0.27079999999999999"/>
    <x v="5"/>
    <n v="6.5"/>
  </r>
  <r>
    <x v="1"/>
    <d v="2024-02-05T00:00:00"/>
    <s v="الاثنين "/>
    <x v="16"/>
    <s v="مصطفى عبد الله "/>
    <s v="صيانة كلارك "/>
    <s v="تم العمل"/>
    <d v="1899-12-30T14:00:00"/>
    <d v="1899-12-30T17:00:00"/>
    <n v="0.27079999999999999"/>
    <x v="3"/>
    <n v="6.4992000000000001"/>
  </r>
  <r>
    <x v="1"/>
    <d v="2024-02-05T00:00:00"/>
    <s v="الاثنين "/>
    <x v="9"/>
    <s v="سامى شعبان  "/>
    <s v="صيانة كلارك "/>
    <s v="تم العمل"/>
    <d v="1899-12-30T13:00:00"/>
    <d v="1899-12-30T15:00:00"/>
    <n v="8.333333333333337E-2"/>
    <x v="3"/>
    <n v="2.0000000000000009"/>
  </r>
  <r>
    <x v="1"/>
    <d v="2024-02-06T00:00:00"/>
    <s v="الثلاثاء "/>
    <x v="12"/>
    <s v="رامى محمد  "/>
    <s v="تركيب قواطع الالمونتال"/>
    <s v="تم العمل"/>
    <d v="1899-12-30T14:00:00"/>
    <d v="1899-12-30T16:00:00"/>
    <n v="8.3333333333333259E-2"/>
    <x v="3"/>
    <n v="1.9999999999999982"/>
  </r>
  <r>
    <x v="1"/>
    <d v="2024-02-06T00:00:00"/>
    <s v="الثلاثاء "/>
    <x v="17"/>
    <s v="فارس خليل "/>
    <s v="تجميع وتركيب سلم الطوارىء"/>
    <s v="تم العمل"/>
    <d v="1899-12-30T11:00:00"/>
    <d v="1899-12-30T15:00:00"/>
    <n v="0.27079999999999999"/>
    <x v="5"/>
    <n v="6.5"/>
  </r>
  <r>
    <x v="1"/>
    <d v="2024-02-06T00:00:00"/>
    <s v="الثلاثاء "/>
    <x v="1"/>
    <s v="أحمد مخيمر  "/>
    <s v="تجميع وتركيب شبكة الحريق والكهرباء "/>
    <s v="تم العمل"/>
    <d v="1899-12-30T09:30:00"/>
    <d v="1899-12-30T17:00:00"/>
    <n v="0.31250000000000006"/>
    <x v="3"/>
    <n v="7.5000000000000018"/>
  </r>
  <r>
    <x v="1"/>
    <d v="2024-02-06T00:00:00"/>
    <s v="الثلاثاء "/>
    <x v="9"/>
    <s v="سامى محمود "/>
    <s v="صيانة كلارك "/>
    <s v="تم العمل"/>
    <d v="1899-12-30T11:00:00"/>
    <d v="1899-12-30T17:00:00"/>
    <n v="0.25000000000000006"/>
    <x v="3"/>
    <n v="6.0000000000000018"/>
  </r>
  <r>
    <x v="1"/>
    <d v="2024-02-07T00:00:00"/>
    <s v="الاربعاء "/>
    <x v="7"/>
    <s v="زياد على "/>
    <s v="مكافحة حشرات "/>
    <s v="تم العمل"/>
    <d v="1899-12-30T10:00:00"/>
    <d v="1899-12-30T16:00:00"/>
    <n v="0.24999999999999994"/>
    <x v="3"/>
    <n v="5.9999999999999982"/>
  </r>
  <r>
    <x v="1"/>
    <d v="2024-02-07T00:00:00"/>
    <s v="الاربعاء "/>
    <x v="1"/>
    <s v="أحمد مخيمر  "/>
    <s v="تجميع وتركيب شبكة الحريق والكهرباء "/>
    <s v="تم العمل"/>
    <d v="1899-12-30T09:30:00"/>
    <d v="1899-12-30T17:00:00"/>
    <n v="0.31250000000000006"/>
    <x v="1"/>
    <n v="7.5000000000000018"/>
  </r>
  <r>
    <x v="1"/>
    <d v="2024-02-07T00:00:00"/>
    <s v="الاربعاء "/>
    <x v="18"/>
    <s v="فيكتور     "/>
    <s v="صيانة الديزل وشبكة الحريق "/>
    <s v="تم العمل"/>
    <d v="1899-12-30T14:00:00"/>
    <d v="1899-12-30T16:00:00"/>
    <n v="8.3333333333333259E-2"/>
    <x v="3"/>
    <n v="1.9999999999999982"/>
  </r>
  <r>
    <x v="1"/>
    <d v="2024-02-08T00:00:00"/>
    <s v="الخميس "/>
    <x v="1"/>
    <s v="أحمد مخيمر  "/>
    <s v="تجميع وتركيب شبكة الحريق والانزار "/>
    <s v="تم العمل"/>
    <d v="1899-12-30T09:30:00"/>
    <d v="1899-12-30T17:30:00"/>
    <n v="0.33333333333333331"/>
    <x v="1"/>
    <n v="8"/>
  </r>
  <r>
    <x v="1"/>
    <d v="2024-02-10T00:00:00"/>
    <s v="السبت "/>
    <x v="1"/>
    <s v="أحمد مخيمر  "/>
    <s v="تجميع وتركيب شبكة الحريق والانزار "/>
    <s v="تم العمل"/>
    <d v="1899-12-30T09:30:00"/>
    <d v="1899-12-30T11:00:00"/>
    <n v="6.25E-2"/>
    <x v="1"/>
    <n v="1.5"/>
  </r>
  <r>
    <x v="1"/>
    <d v="2024-02-10T00:00:00"/>
    <s v="السبت "/>
    <x v="1"/>
    <s v="أحمد مخيمر  "/>
    <s v="تجميع وتركيب شبكة الحريق والانزار "/>
    <s v="تم العمل"/>
    <d v="1899-12-30T09:30:00"/>
    <d v="1899-12-30T17:30:00"/>
    <n v="0.33333333333333331"/>
    <x v="1"/>
    <n v="8"/>
  </r>
  <r>
    <x v="1"/>
    <d v="2024-02-11T00:00:00"/>
    <s v="الاحد "/>
    <x v="8"/>
    <s v="عصام شرف      "/>
    <s v="تركيب الطلمبة الجوكى "/>
    <s v="تم العمل"/>
    <d v="1899-12-30T16:30:00"/>
    <d v="1899-12-30T17:30:00"/>
    <n v="4.166666666666663E-2"/>
    <x v="0"/>
    <n v="0.99999999999999911"/>
  </r>
  <r>
    <x v="1"/>
    <d v="2024-02-11T00:00:00"/>
    <s v="الاحد "/>
    <x v="1"/>
    <s v="أحمد مخيمر  "/>
    <s v="تجميع وتركيب شبكة الحريق والكهرباء "/>
    <s v="تم العمل"/>
    <d v="1899-12-30T09:30:00"/>
    <d v="1899-12-30T17:30:00"/>
    <n v="0.33333333333333331"/>
    <x v="1"/>
    <n v="8"/>
  </r>
  <r>
    <x v="1"/>
    <d v="2024-02-11T00:00:00"/>
    <s v="الاحد "/>
    <x v="17"/>
    <s v="محمود طلعت "/>
    <s v="تجميع وتركيب سلم الطوارىء"/>
    <s v="تم العمل"/>
    <d v="1899-12-30T09:30:00"/>
    <d v="1899-12-30T17:30:00"/>
    <n v="0.27079999999999999"/>
    <x v="1"/>
    <n v="6.5"/>
  </r>
  <r>
    <x v="1"/>
    <d v="2024-02-11T00:00:00"/>
    <s v="الاحد "/>
    <x v="9"/>
    <s v="سامى شعبان  "/>
    <s v="صيانة كلارك "/>
    <s v="تم العمل"/>
    <d v="1899-12-30T22:30:00"/>
    <d v="1899-12-30T17:00:00"/>
    <n v="0.22916666666666663"/>
    <x v="3"/>
    <n v="5.4999999999999991"/>
  </r>
  <r>
    <x v="1"/>
    <d v="2024-02-11T00:00:00"/>
    <s v="الاحد "/>
    <x v="19"/>
    <s v="حازم عبد الرحيم "/>
    <s v="صب ارضيات الشوارع "/>
    <s v="تم العمل"/>
    <d v="1899-12-30T09:30:00"/>
    <d v="1899-12-30T17:00:00"/>
    <n v="0.27079999999999999"/>
    <x v="0"/>
    <n v="6.5"/>
  </r>
  <r>
    <x v="1"/>
    <d v="2024-02-11T00:00:00"/>
    <s v="الاحد "/>
    <x v="13"/>
    <s v="انس اسماعيل "/>
    <s v="تركيب ستاير  مكتب مدير المخازن  "/>
    <s v="تم العمل"/>
    <d v="1899-12-30T14:00:00"/>
    <d v="1899-12-30T16:00:00"/>
    <n v="0.27079999999999999"/>
    <x v="0"/>
    <n v="6.5"/>
  </r>
  <r>
    <x v="1"/>
    <d v="2024-02-11T00:00:00"/>
    <s v="الاحد "/>
    <x v="5"/>
    <s v="محمد خليل النقيب "/>
    <s v="صيانة كهرباء المسجد "/>
    <s v="تم العمل"/>
    <d v="1899-12-30T13:30:00"/>
    <d v="1899-12-30T15:30:00"/>
    <n v="8.333333333333337E-2"/>
    <x v="3"/>
    <n v="0.99999999999999911"/>
  </r>
  <r>
    <x v="1"/>
    <d v="2024-02-12T00:00:00"/>
    <s v="الاثنين "/>
    <x v="18"/>
    <s v="فيكتور     "/>
    <s v="تركيب خرطوم الديزل "/>
    <s v="تم العمل"/>
    <d v="1899-12-30T14:00:00"/>
    <d v="1899-12-30T15:00:00"/>
    <n v="4.166666666666663E-2"/>
    <x v="4"/>
    <n v="0.99999999999999911"/>
  </r>
  <r>
    <x v="1"/>
    <d v="2024-02-12T00:00:00"/>
    <s v="الاثنين "/>
    <x v="17"/>
    <s v="محمود طلعت "/>
    <s v="تجميع وتركيب سلم الطوارىء"/>
    <s v="تم العمل"/>
    <d v="1899-12-30T09:30:00"/>
    <d v="1899-12-30T15:00:00"/>
    <n v="0.27079999999999999"/>
    <x v="5"/>
    <n v="6.5"/>
  </r>
  <r>
    <x v="1"/>
    <d v="2024-02-12T00:00:00"/>
    <s v="الاثنين "/>
    <x v="1"/>
    <s v="أحمد مخيمر  "/>
    <s v="تجميع وتركيب شبكة الحريق والكهرباء "/>
    <s v="تم العمل"/>
    <d v="1899-12-30T09:30:00"/>
    <d v="1899-12-30T17:30:00"/>
    <n v="0.33333333333333331"/>
    <x v="1"/>
    <n v="8"/>
  </r>
  <r>
    <x v="1"/>
    <d v="2024-02-12T00:00:00"/>
    <s v="الاثنين "/>
    <x v="19"/>
    <s v="حازم عبد الرحيم "/>
    <s v="صب ارضيات الشوارع "/>
    <s v="تم العمل"/>
    <d v="1899-12-30T09:30:00"/>
    <d v="1899-12-30T17:00:00"/>
    <n v="0.27079999999999999"/>
    <x v="0"/>
    <n v="6.5"/>
  </r>
  <r>
    <x v="1"/>
    <d v="2024-02-12T00:00:00"/>
    <s v="الاثنين "/>
    <x v="9"/>
    <s v="سامى شعبان  "/>
    <s v="صيانة كلارك "/>
    <s v="تم العمل"/>
    <d v="1899-12-30T11:00:00"/>
    <d v="1899-12-30T17:00:00"/>
    <n v="0.25000000000000006"/>
    <x v="3"/>
    <n v="6.0000000000000018"/>
  </r>
  <r>
    <x v="1"/>
    <d v="2024-02-12T00:00:00"/>
    <s v="الاثنين "/>
    <x v="6"/>
    <s v="حسن "/>
    <s v="توصيل الطلمبة الجوكى "/>
    <s v="تم العمل"/>
    <d v="1899-12-30T09:30:00"/>
    <d v="1899-12-30T14:00:00"/>
    <n v="0.27079999999999999"/>
    <x v="0"/>
    <n v="6.5"/>
  </r>
  <r>
    <x v="1"/>
    <d v="2024-02-13T00:00:00"/>
    <s v="الثلاثاء "/>
    <x v="4"/>
    <s v="محمد حسن "/>
    <s v="تركيبات على ارتفعات "/>
    <s v="تم العمل"/>
    <d v="1899-12-30T11:00:00"/>
    <d v="1899-12-30T17:00:00"/>
    <n v="0.25000000000000006"/>
    <x v="2"/>
    <n v="6.0000000000000018"/>
  </r>
  <r>
    <x v="1"/>
    <d v="2024-02-13T00:00:00"/>
    <s v="الثلاثاء "/>
    <x v="19"/>
    <s v="حازم عبد الرحيم "/>
    <s v="صب ارضيات الشوارع "/>
    <s v="تم العمل"/>
    <d v="1899-12-30T09:30:00"/>
    <d v="1899-12-30T17:00:00"/>
    <n v="0.27079999999999999"/>
    <x v="0"/>
    <n v="6.5"/>
  </r>
  <r>
    <x v="1"/>
    <d v="2024-02-13T00:00:00"/>
    <s v="الثلاثاء "/>
    <x v="8"/>
    <s v="عصام شرف      "/>
    <s v="صيانة طلمبة الجوكى "/>
    <s v="تم العمل"/>
    <d v="1899-12-30T11:00:00"/>
    <d v="1899-12-30T13:00:00"/>
    <n v="8.3333333333333315E-2"/>
    <x v="0"/>
    <n v="1.9999999999999996"/>
  </r>
  <r>
    <x v="1"/>
    <d v="2024-02-13T00:00:00"/>
    <s v="الثلاثاء "/>
    <x v="8"/>
    <s v="علاء الشابورى   "/>
    <s v="الزيارة الشهرية صيانة نظام الانزار  "/>
    <s v="تم العمل"/>
    <d v="1899-12-30T11:00:00"/>
    <d v="1899-12-30T12:00:00"/>
    <n v="4.1666666666666685E-2"/>
    <x v="3"/>
    <n v="1.0000000000000004"/>
  </r>
  <r>
    <x v="1"/>
    <d v="2024-02-13T00:00:00"/>
    <s v="الثلاثاء "/>
    <x v="17"/>
    <s v="محمود طلعت "/>
    <s v="تجميع وتركيب سلم الطوارىء"/>
    <s v="تم العمل"/>
    <d v="1899-12-30T09:30:00"/>
    <d v="1899-12-30T15:00:00"/>
    <n v="0.27079999999999999"/>
    <x v="1"/>
    <n v="6.5"/>
  </r>
  <r>
    <x v="1"/>
    <d v="2024-02-13T00:00:00"/>
    <s v="الثلاثاء "/>
    <x v="1"/>
    <s v="أحمد مخيمر  "/>
    <s v="تجميع وتركيب شبكة الحريق والكهرباء "/>
    <s v="تم العمل"/>
    <d v="1899-12-30T09:30:00"/>
    <d v="1899-12-30T17:30:00"/>
    <n v="0.33333333333333331"/>
    <x v="3"/>
    <n v="8"/>
  </r>
  <r>
    <x v="1"/>
    <d v="2024-02-14T00:00:00"/>
    <s v="الاربعاء "/>
    <x v="20"/>
    <s v="مينا محروس "/>
    <s v="لحام وتريكبات "/>
    <s v="تم العمل"/>
    <d v="1899-12-30T17:00:00"/>
    <d v="1899-12-30T13:00:00"/>
    <n v="0.16666666666666674"/>
    <x v="2"/>
    <n v="4.0000000000000018"/>
  </r>
  <r>
    <x v="1"/>
    <d v="2024-02-14T00:00:00"/>
    <s v="الاربعاء "/>
    <x v="6"/>
    <s v="سيد معوض "/>
    <s v="صيانة كلارك "/>
    <s v="تم العمل"/>
    <d v="1899-12-30T16:00:00"/>
    <d v="1899-12-30T17:00:00"/>
    <n v="4.1666666666666741E-2"/>
    <x v="3"/>
    <n v="1.0000000000000018"/>
  </r>
  <r>
    <x v="1"/>
    <d v="2024-02-14T00:00:00"/>
    <s v="الاربعاء "/>
    <x v="6"/>
    <s v="حسن عبد العظيم "/>
    <s v="صيانة كشافات العنابر "/>
    <s v="تم العمل"/>
    <d v="1899-12-30T12:00:00"/>
    <d v="1899-12-30T17:00:00"/>
    <n v="0.20833333333333337"/>
    <x v="3"/>
    <n v="5.0000000000000009"/>
  </r>
  <r>
    <x v="1"/>
    <d v="2024-02-14T00:00:00"/>
    <s v="الاربعاء "/>
    <x v="8"/>
    <s v="عصام شرف      "/>
    <s v="تركيب الطلمبة الجوكى "/>
    <s v="تم العمل"/>
    <d v="1899-12-30T16:30:00"/>
    <d v="1899-12-30T17:30:00"/>
    <n v="4.166666666666663E-2"/>
    <x v="0"/>
    <n v="0.99999999999999911"/>
  </r>
  <r>
    <x v="1"/>
    <d v="2024-02-14T00:00:00"/>
    <s v="الاربعاء "/>
    <x v="1"/>
    <s v="أحمد مخيمر  "/>
    <s v="تجميع وتركيب شبكة الحريق والكهرباء "/>
    <s v="تم العمل"/>
    <d v="1899-12-30T09:30:00"/>
    <d v="1899-12-30T17:30:00"/>
    <n v="0.33333333333333331"/>
    <x v="1"/>
    <n v="8"/>
  </r>
  <r>
    <x v="1"/>
    <d v="2024-02-14T00:00:00"/>
    <s v="الاربعاء "/>
    <x v="7"/>
    <s v="محمد ماهر "/>
    <s v="مكافحة حشرات "/>
    <s v="تم العمل"/>
    <d v="1899-12-30T10:30:00"/>
    <d v="1899-12-30T11:30:00"/>
    <n v="4.1666666666666685E-2"/>
    <x v="1"/>
    <n v="1.0000000000000004"/>
  </r>
  <r>
    <x v="1"/>
    <d v="2024-02-14T00:00:00"/>
    <s v="الاربعاء "/>
    <x v="19"/>
    <s v="حازم عبد الرحيم "/>
    <s v="صب ارضيات الشوارع "/>
    <s v="تم العمل"/>
    <d v="1899-12-30T09:30:00"/>
    <d v="1899-12-30T17:00:00"/>
    <n v="0.27079999999999999"/>
    <x v="0"/>
    <n v="6.5"/>
  </r>
  <r>
    <x v="1"/>
    <d v="2024-02-14T00:00:00"/>
    <s v="الاربعاء "/>
    <x v="7"/>
    <s v="محمد ماهر "/>
    <s v="مكافحة حشرات "/>
    <s v="تم العمل"/>
    <d v="1899-12-30T11:00:00"/>
    <d v="1899-12-30T15:00:00"/>
    <n v="0.16666666666666669"/>
    <x v="0"/>
    <n v="4"/>
  </r>
  <r>
    <x v="1"/>
    <d v="2024-02-14T00:00:00"/>
    <s v="الاربعاء "/>
    <x v="5"/>
    <s v="محمد خليل النقيب "/>
    <s v="توصيل وتركيب  كهرباء "/>
    <s v="تم العمل"/>
    <d v="1899-12-30T13:00:00"/>
    <d v="1899-12-30T17:00:00"/>
    <n v="0.16666666666666674"/>
    <x v="3"/>
    <n v="0.99999999999999911"/>
  </r>
  <r>
    <x v="1"/>
    <d v="2024-02-15T00:00:00"/>
    <s v="الخميس "/>
    <x v="17"/>
    <s v="اشرف عبد العاطى "/>
    <s v="لحام قواعد حديد ماكينة حقن الامونيوم"/>
    <s v="تم العمل"/>
    <d v="1899-12-30T22:00:00"/>
    <d v="1899-12-30T17:00:00"/>
    <n v="0.27079999999999999"/>
    <x v="5"/>
    <n v="6.5"/>
  </r>
  <r>
    <x v="1"/>
    <d v="2024-02-15T00:00:00"/>
    <s v="الخميس "/>
    <x v="19"/>
    <s v="حازم عبد الرحيم "/>
    <s v="صب ارضيات الشوارع "/>
    <s v="تم العمل"/>
    <d v="1899-12-30T09:30:00"/>
    <d v="1899-12-30T17:00:00"/>
    <n v="0.27079999999999999"/>
    <x v="0"/>
    <n v="6.5"/>
  </r>
  <r>
    <x v="1"/>
    <d v="2024-02-15T00:00:00"/>
    <s v="الخميس "/>
    <x v="1"/>
    <s v="أحمد مخيمر  "/>
    <s v="تجميع وتركيب شبكة الحريق والكهرباء "/>
    <s v="تم العمل"/>
    <d v="1899-12-30T09:30:00"/>
    <d v="1899-12-30T17:30:00"/>
    <n v="0.33333333333333331"/>
    <x v="1"/>
    <n v="8"/>
  </r>
  <r>
    <x v="1"/>
    <d v="2024-02-17T00:00:00"/>
    <s v="السبت "/>
    <x v="17"/>
    <s v="افارس خليل  "/>
    <s v="لحام قواعد حديد ماكينة حقن الامونيوم"/>
    <s v="تم العمل"/>
    <d v="1899-12-30T09:30:00"/>
    <d v="1899-12-30T17:00:00"/>
    <n v="0.27079999999999999"/>
    <x v="5"/>
    <n v="6.5"/>
  </r>
  <r>
    <x v="1"/>
    <d v="2024-02-17T00:00:00"/>
    <s v="السبت "/>
    <x v="3"/>
    <s v="علاء احمد "/>
    <s v="تريكبات "/>
    <s v="تم العمل"/>
    <d v="1899-12-30T09:30:00"/>
    <d v="1899-12-30T11:00:00"/>
    <n v="6.25E-2"/>
    <x v="2"/>
    <n v="1.5"/>
  </r>
  <r>
    <x v="1"/>
    <d v="2024-02-17T00:00:00"/>
    <s v="السبت "/>
    <x v="3"/>
    <s v="علاء احمد "/>
    <s v="تريكبات "/>
    <s v="تم العمل"/>
    <d v="1899-12-30T13:00:00"/>
    <d v="1899-12-30T15:00:00"/>
    <n v="8.333333333333337E-2"/>
    <x v="2"/>
    <n v="2.0000000000000009"/>
  </r>
  <r>
    <x v="1"/>
    <d v="2024-02-17T00:00:00"/>
    <s v="السبت "/>
    <x v="21"/>
    <s v="طارق رجب "/>
    <s v=" صيانة سقف عنبر  المعدنى ومجر صرف "/>
    <s v="تم العمل"/>
    <d v="1899-12-30T09:30:00"/>
    <d v="1899-12-30T17:00:00"/>
    <n v="0.27079999999999999"/>
    <x v="5"/>
    <n v="6.5"/>
  </r>
  <r>
    <x v="1"/>
    <d v="2024-02-17T00:00:00"/>
    <s v="السبت "/>
    <x v="19"/>
    <s v="حازم عبد الرحيم "/>
    <s v="صب ارضيات الشوارع "/>
    <s v="تم العمل"/>
    <d v="1899-12-30T09:30:00"/>
    <d v="1899-12-30T17:00:00"/>
    <n v="0.27079999999999999"/>
    <x v="0"/>
    <n v="6.5"/>
  </r>
  <r>
    <x v="1"/>
    <d v="2024-02-18T00:00:00"/>
    <s v="الاحد "/>
    <x v="19"/>
    <s v="حازم عبد الرحيم "/>
    <s v="صب ارضيات الشوارع "/>
    <s v="تم العمل"/>
    <d v="1899-12-30T09:30:00"/>
    <d v="1899-12-30T17:00:00"/>
    <n v="0.27079999999999999"/>
    <x v="0"/>
    <n v="6.5"/>
  </r>
  <r>
    <x v="1"/>
    <d v="2024-02-18T00:00:00"/>
    <s v="الاحد "/>
    <x v="21"/>
    <s v="طارق رجب "/>
    <s v=" صيانة سقف عنبر  المعدنى ومجر صرف "/>
    <s v="تم العمل"/>
    <d v="1899-12-30T22:00:00"/>
    <d v="1899-12-30T14:00:00"/>
    <n v="0.27079999999999999"/>
    <x v="5"/>
    <n v="6.5"/>
  </r>
  <r>
    <x v="1"/>
    <d v="2024-02-18T00:00:00"/>
    <s v="الاحد "/>
    <x v="17"/>
    <s v="افارس خليل  "/>
    <s v="لحام قواعد حديد ماكينة حقن الامونيوم"/>
    <s v="تم العمل"/>
    <d v="1899-12-30T22:00:00"/>
    <d v="1899-12-30T15:00:00"/>
    <n v="0.27079999999999999"/>
    <x v="5"/>
    <n v="6.5"/>
  </r>
  <r>
    <x v="1"/>
    <d v="2024-02-18T00:00:00"/>
    <s v="الاحد "/>
    <x v="0"/>
    <s v="م/ رمضان  "/>
    <s v="تركيب حديد على عمدان الجمالون "/>
    <s v="تم العمل"/>
    <d v="1899-12-30T22:00:00"/>
    <d v="1899-12-30T16:00:00"/>
    <n v="0.27079999999999999"/>
    <x v="5"/>
    <n v="6.5"/>
  </r>
  <r>
    <x v="1"/>
    <d v="2024-02-18T00:00:00"/>
    <s v="الاحد "/>
    <x v="1"/>
    <s v="أحمد مخيمر  "/>
    <s v="تجميع وتركيب شبكة الحريق والكهرباء "/>
    <s v="تم العمل"/>
    <d v="1899-12-30T09:30:00"/>
    <d v="1899-12-30T17:30:00"/>
    <n v="0.33333333333333331"/>
    <x v="1"/>
    <n v="8"/>
  </r>
  <r>
    <x v="1"/>
    <d v="2024-02-18T00:00:00"/>
    <s v="الاحد "/>
    <x v="17"/>
    <s v="محمود طلعت "/>
    <s v="تجميع وتركيب سلم الطوارىء"/>
    <s v="تم العمل"/>
    <d v="1899-12-30T09:30:00"/>
    <d v="1899-12-30T15:00:00"/>
    <n v="0.27079999999999999"/>
    <x v="1"/>
    <n v="6.5"/>
  </r>
  <r>
    <x v="1"/>
    <d v="2024-02-19T00:00:00"/>
    <s v="الاثنين "/>
    <x v="19"/>
    <s v="حازم عبد الرحيم "/>
    <s v="صب ارضيات الشوارع "/>
    <s v="تم العمل"/>
    <d v="1899-12-30T09:30:00"/>
    <d v="1899-12-30T17:00:00"/>
    <n v="0.27079999999999999"/>
    <x v="0"/>
    <n v="6.5"/>
  </r>
  <r>
    <x v="1"/>
    <d v="2024-02-20T00:00:00"/>
    <s v="الثلاثاء "/>
    <x v="21"/>
    <s v="طارق رجب "/>
    <s v=" صيانة سقف عنبر  المعدنى ومجر صرف "/>
    <s v="تم العمل"/>
    <d v="1899-12-30T22:00:00"/>
    <d v="1899-12-30T17:00:00"/>
    <n v="0.27079999999999999"/>
    <x v="5"/>
    <n v="6.5"/>
  </r>
  <r>
    <x v="1"/>
    <d v="2024-02-20T00:00:00"/>
    <s v="الثلاثاء "/>
    <x v="22"/>
    <s v="محمود الدروى "/>
    <s v="صيانة تكيفات "/>
    <s v="تم العمل"/>
    <d v="1899-12-30T14:00:00"/>
    <d v="1899-12-30T15:00:00"/>
    <n v="0.27079999999999999"/>
    <x v="3"/>
    <n v="6.5"/>
  </r>
  <r>
    <x v="1"/>
    <d v="2024-02-20T00:00:00"/>
    <s v="الثلاثاء "/>
    <x v="23"/>
    <s v="محمد عبد الرحمن"/>
    <s v="تغير سير ماكينة كولبس 2"/>
    <s v="تم العمل"/>
    <d v="1899-12-30T12:00:00"/>
    <d v="1899-12-30T15:00:00"/>
    <n v="0.27079999999999999"/>
    <x v="3"/>
    <n v="6.5"/>
  </r>
  <r>
    <x v="1"/>
    <d v="2024-02-20T00:00:00"/>
    <s v="الثلاثاء "/>
    <x v="19"/>
    <s v="حازم عبد الرحيم "/>
    <s v="صب ارضيات الشوارع "/>
    <s v="تم العمل"/>
    <d v="1899-12-30T09:30:00"/>
    <d v="1899-12-30T17:00:00"/>
    <n v="0.27079999999999999"/>
    <x v="0"/>
    <n v="6.5"/>
  </r>
  <r>
    <x v="1"/>
    <d v="2024-02-20T00:00:00"/>
    <s v="الثلاثاء "/>
    <x v="1"/>
    <s v="أحمد مخيمر  "/>
    <s v="تجميع وتركيب شبكة الحريق والكهرباء "/>
    <s v="تم العمل"/>
    <d v="1899-12-30T09:30:00"/>
    <d v="1899-12-30T17:30:00"/>
    <n v="0.33333333333333331"/>
    <x v="1"/>
    <n v="8"/>
  </r>
  <r>
    <x v="1"/>
    <d v="2024-02-20T00:00:00"/>
    <s v="الثلاثاء "/>
    <x v="17"/>
    <s v="ايمن رمضان "/>
    <s v="تجميع ودهان  سلم الطوارىء"/>
    <s v="تم العمل"/>
    <d v="1899-12-30T09:30:00"/>
    <d v="1899-12-30T13:00:00"/>
    <n v="0.27079999999999999"/>
    <x v="1"/>
    <n v="6.5"/>
  </r>
  <r>
    <x v="1"/>
    <d v="2024-02-20T00:00:00"/>
    <s v="الثلاثاء "/>
    <x v="5"/>
    <s v="احمد سعيد  "/>
    <s v="توصيل  ماسورة المياة للطلمبة الجوكى  "/>
    <s v="تم العمل"/>
    <d v="1899-12-30T11:00:00"/>
    <d v="1899-12-30T16:00:00"/>
    <n v="0.20833333333333331"/>
    <x v="0"/>
    <n v="0.99999999999999911"/>
  </r>
  <r>
    <x v="1"/>
    <d v="2024-02-20T00:00:00"/>
    <s v="الثلاثاء "/>
    <x v="24"/>
    <s v="حسين حجاج "/>
    <s v="توصيل  ماسورة المياة للطلمبة الجوكى  "/>
    <s v="تم العمل"/>
    <d v="1899-12-30T12:00:00"/>
    <d v="1899-12-30T16:00:00"/>
    <n v="0.16666666666666663"/>
    <x v="0"/>
    <n v="0.99999999999999911"/>
  </r>
  <r>
    <x v="1"/>
    <d v="2024-02-21T00:00:00"/>
    <s v="الاربعاء "/>
    <x v="7"/>
    <s v="احمد مظهر  "/>
    <s v="مكافحة حشرات "/>
    <s v="تم العمل"/>
    <d v="1899-12-30T11:30:00"/>
    <d v="1899-12-30T15:00:00"/>
    <n v="0.14583333333333331"/>
    <x v="3"/>
    <n v="3.4999999999999996"/>
  </r>
  <r>
    <x v="1"/>
    <d v="2024-02-21T00:00:00"/>
    <s v="الاربعاء "/>
    <x v="25"/>
    <s v="صلاح خميس "/>
    <s v="اعمال لحام ارجون  ويب "/>
    <s v="تم العمل"/>
    <d v="1899-12-30T10:30:00"/>
    <d v="1899-12-30T13:00:00"/>
    <n v="0.10416666666666663"/>
    <x v="3"/>
    <n v="2.4999999999999991"/>
  </r>
  <r>
    <x v="1"/>
    <d v="2024-02-21T00:00:00"/>
    <s v="الاربعاء "/>
    <x v="7"/>
    <s v="زياد عادل "/>
    <s v="مكافحة حشرات "/>
    <s v="تم العمل"/>
    <d v="1899-12-30T10:30:00"/>
    <d v="1899-12-30T11:30:00"/>
    <n v="4.1666666666666685E-2"/>
    <x v="3"/>
    <n v="1.0000000000000004"/>
  </r>
  <r>
    <x v="1"/>
    <d v="2024-02-21T00:00:00"/>
    <s v="الاربعاء "/>
    <x v="19"/>
    <s v="حازم عبد الرحيم "/>
    <s v="رصف  ارضيات الشوارع "/>
    <s v="تم العمل"/>
    <d v="1899-12-30T09:30:00"/>
    <d v="1899-12-30T17:00:00"/>
    <n v="0.27079999999999999"/>
    <x v="0"/>
    <n v="6.5"/>
  </r>
  <r>
    <x v="1"/>
    <d v="2024-02-22T00:00:00"/>
    <s v="الخميس "/>
    <x v="19"/>
    <s v="حازم عبد الرحيم "/>
    <s v="رصف ارضيات الشوارع "/>
    <s v="تم العمل"/>
    <d v="1899-12-30T09:30:00"/>
    <d v="1899-12-30T17:00:00"/>
    <n v="0.27079999999999999"/>
    <x v="0"/>
    <n v="6.5"/>
  </r>
  <r>
    <x v="1"/>
    <d v="2024-02-22T00:00:00"/>
    <s v="الخميس "/>
    <x v="8"/>
    <s v="حامد  عطوان    "/>
    <s v="زيارة شركة كريم  للصيانة  الدورية "/>
    <s v="تم العمل"/>
    <d v="1899-12-30T13:00:00"/>
    <d v="1899-12-30T15:30:00"/>
    <n v="0.10416666666666674"/>
    <x v="1"/>
    <n v="2.5000000000000018"/>
  </r>
  <r>
    <x v="1"/>
    <d v="2024-02-23T00:00:00"/>
    <s v="الجمعة "/>
    <x v="21"/>
    <s v="طارق رجب "/>
    <s v=" صيانة سقف عنبر  المعدنى ومجر صرف "/>
    <s v="تم العمل"/>
    <d v="1899-12-30T10:30:00"/>
    <d v="1899-12-30T16:00:00"/>
    <n v="0.27079999999999999"/>
    <x v="5"/>
    <n v="6.5"/>
  </r>
  <r>
    <x v="1"/>
    <d v="2024-02-24T00:00:00"/>
    <s v="السبت "/>
    <x v="21"/>
    <s v="طارق رجب "/>
    <s v=" صيانة سقف عنبر  المعدنى ومجر صرف "/>
    <s v="تم العمل"/>
    <d v="1899-12-30T22:00:00"/>
    <d v="1899-12-30T16:00:00"/>
    <n v="0.27079999999999999"/>
    <x v="5"/>
    <n v="6.5"/>
  </r>
  <r>
    <x v="1"/>
    <d v="2024-02-24T00:00:00"/>
    <s v="السبت "/>
    <x v="17"/>
    <s v="محمود طلعت "/>
    <s v="عمل صنفرة ودهانات "/>
    <s v="تم العمل"/>
    <d v="1899-12-30T22:00:00"/>
    <d v="1899-12-30T16:00:00"/>
    <n v="0.27079999999999999"/>
    <x v="1"/>
    <n v="6.5"/>
  </r>
  <r>
    <x v="1"/>
    <d v="2024-02-24T00:00:00"/>
    <s v="السبت "/>
    <x v="19"/>
    <s v="حازم عبد الرحيم "/>
    <s v="رصف ارضيات الشوارع "/>
    <s v="تم العمل"/>
    <d v="1899-12-30T22:00:00"/>
    <d v="1899-12-30T17:00:00"/>
    <n v="0.27079999999999999"/>
    <x v="0"/>
    <n v="6.5"/>
  </r>
  <r>
    <x v="1"/>
    <d v="2024-02-25T00:00:00"/>
    <s v="الاحد "/>
    <x v="19"/>
    <s v="حازم عبد الرحيم "/>
    <s v="رصف ارضيات الشوارع "/>
    <s v="تم العمل"/>
    <d v="1899-12-30T09:30:00"/>
    <d v="1899-12-30T17:00:00"/>
    <n v="0.27079999999999999"/>
    <x v="0"/>
    <n v="6.5"/>
  </r>
  <r>
    <x v="1"/>
    <d v="2024-02-25T00:00:00"/>
    <s v="الاحد "/>
    <x v="0"/>
    <s v="مراد صالح  "/>
    <s v="تكسير الحمام الخاص بالعاملين للتجديدة "/>
    <s v="تم العمل"/>
    <d v="1899-12-30T22:00:00"/>
    <d v="1899-12-30T17:00:00"/>
    <n v="0.27079999999999999"/>
    <x v="0"/>
    <n v="6.5"/>
  </r>
  <r>
    <x v="1"/>
    <d v="2024-02-25T00:00:00"/>
    <s v="الاثنين "/>
    <x v="11"/>
    <s v="محمد رمضان   "/>
    <s v="صيانة الكلاركات "/>
    <s v="تم العمل"/>
    <d v="1899-12-30T10:00:00"/>
    <d v="1899-12-30T15:00:00"/>
    <n v="0.20833333333333331"/>
    <x v="3"/>
    <n v="5"/>
  </r>
  <r>
    <x v="1"/>
    <d v="2024-02-25T00:00:00"/>
    <s v="الاثنين "/>
    <x v="26"/>
    <s v="محمد حسنى   "/>
    <s v="صيانة دورية لغرف ومحابس الغاز     "/>
    <s v="تم العمل"/>
    <d v="1899-12-30T12:30:00"/>
    <d v="1899-12-30T13:30:00"/>
    <n v="4.166666666666663E-2"/>
    <x v="3"/>
    <n v="0.99999999999999911"/>
  </r>
  <r>
    <x v="1"/>
    <d v="2024-02-26T00:00:00"/>
    <s v="الاثنين "/>
    <x v="19"/>
    <s v="حازم عبد الرحيم "/>
    <s v="رصف ارضيات الشوارع "/>
    <s v="تم العمل"/>
    <d v="1899-12-30T22:00:00"/>
    <d v="1899-12-30T17:00:00"/>
    <n v="0.27079999999999999"/>
    <x v="0"/>
    <n v="6.5"/>
  </r>
  <r>
    <x v="1"/>
    <d v="2024-02-26T00:00:00"/>
    <s v="الاثنين "/>
    <x v="21"/>
    <s v="طارق رجب "/>
    <s v=" صيانة سقف عنبر  المعدنى ومجر صرف "/>
    <s v="تم العمل"/>
    <d v="1899-12-30T09:00:00"/>
    <d v="1899-12-30T17:00:00"/>
    <n v="0.27079999999999999"/>
    <x v="5"/>
    <n v="6.5"/>
  </r>
  <r>
    <x v="1"/>
    <d v="2024-02-27T00:00:00"/>
    <s v="الثلاثاء "/>
    <x v="21"/>
    <s v="طارق رجب "/>
    <s v=" صيانة سقف عنبر  المعدنى ومجر صرف "/>
    <s v="تم العمل"/>
    <d v="1899-12-30T09:00:00"/>
    <d v="1899-12-30T17:00:00"/>
    <n v="0.27079999999999999"/>
    <x v="5"/>
    <n v="6.5"/>
  </r>
  <r>
    <x v="1"/>
    <d v="2024-02-27T00:00:00"/>
    <s v="الثلاثاء "/>
    <x v="27"/>
    <s v="احمد صلاح  "/>
    <s v="صيانة الدور العاشر "/>
    <s v="تم العمل"/>
    <d v="1899-12-30T15:00:00"/>
    <d v="1899-12-30T18:00:00"/>
    <n v="0.125"/>
    <x v="2"/>
    <n v="3"/>
  </r>
  <r>
    <x v="1"/>
    <d v="2024-02-27T00:00:00"/>
    <s v="الثلاثاء "/>
    <x v="19"/>
    <s v="حازم عبد الرحيم "/>
    <s v="رصف ارضيات الشوارع "/>
    <s v="تم العمل"/>
    <d v="1899-12-30T09:30:00"/>
    <d v="1899-12-30T17:00:00"/>
    <n v="0.27079999999999999"/>
    <x v="5"/>
    <n v="6.5"/>
  </r>
  <r>
    <x v="1"/>
    <d v="2024-02-27T00:00:00"/>
    <s v="الثلاثاء "/>
    <x v="0"/>
    <s v="مراد صالح  "/>
    <s v="استكمال اعمال تجديد حمام العاملين بالمخازن "/>
    <s v="تم العمل"/>
    <d v="1899-12-30T22:00:00"/>
    <d v="1899-12-30T17:00:00"/>
    <n v="0.27079999999999999"/>
    <x v="0"/>
    <n v="6.5"/>
  </r>
  <r>
    <x v="1"/>
    <d v="2024-02-27T00:00:00"/>
    <s v="الثلاثاء "/>
    <x v="1"/>
    <s v="أحمد مخيمر  "/>
    <s v="تجميع وتركيب شبكة الحريق والكهرباء "/>
    <s v="تم العمل"/>
    <d v="1899-12-30T09:30:00"/>
    <d v="1899-12-30T16:00:00"/>
    <n v="0.27083333333333331"/>
    <x v="1"/>
    <n v="6.5"/>
  </r>
  <r>
    <x v="1"/>
    <d v="2024-02-27T00:00:00"/>
    <s v="الثلاثاء "/>
    <x v="27"/>
    <s v="شريف حسن "/>
    <s v="صيانة وتركيبات الدور العاشر "/>
    <s v="تم العمل"/>
    <d v="1899-12-30T12:30:00"/>
    <d v="1899-12-30T14:00:00"/>
    <n v="6.25E-2"/>
    <x v="2"/>
    <n v="1.5"/>
  </r>
  <r>
    <x v="1"/>
    <d v="2024-02-28T00:00:00"/>
    <s v="الاربعاء "/>
    <x v="19"/>
    <s v="حازم عبد الرحيم "/>
    <s v="رصف ارضيات الشوارع "/>
    <s v="تم العمل"/>
    <d v="1899-12-30T09:30:00"/>
    <d v="1899-12-30T17:00:00"/>
    <n v="0.27079999999999999"/>
    <x v="0"/>
    <n v="6.5"/>
  </r>
  <r>
    <x v="1"/>
    <d v="2024-02-28T00:00:00"/>
    <s v="الاربعاء "/>
    <x v="9"/>
    <s v="سامى شعبان  "/>
    <s v="صيانة الكلاركات الهونداى "/>
    <s v="تم العمل"/>
    <d v="1899-12-30T10:00:00"/>
    <d v="1899-12-30T17:00:00"/>
    <n v="0.29166666666666669"/>
    <x v="0"/>
    <n v="7"/>
  </r>
  <r>
    <x v="1"/>
    <d v="2024-02-28T00:00:00"/>
    <s v="الاربعاء "/>
    <x v="21"/>
    <s v="طارق رجب "/>
    <s v=" صيانة سقف عنبر  المعدنى ومجر صرف "/>
    <s v="تم العمل"/>
    <d v="1899-12-30T09:00:00"/>
    <d v="1899-12-30T16:00:00"/>
    <n v="0.27079999999999999"/>
    <x v="5"/>
    <n v="6.5"/>
  </r>
  <r>
    <x v="1"/>
    <d v="2024-02-28T00:00:00"/>
    <s v="الاربعاء "/>
    <x v="7"/>
    <s v="محمد ماهر "/>
    <s v="مكافحة حشرات "/>
    <s v="تم العمل"/>
    <d v="1899-12-30T12:00:00"/>
    <d v="1899-12-30T17:00:00"/>
    <n v="0.20833333333333337"/>
    <x v="0"/>
    <n v="5.0000000000000009"/>
  </r>
  <r>
    <x v="1"/>
    <d v="2024-02-28T00:00:00"/>
    <s v="الاربعاء "/>
    <x v="5"/>
    <s v="محمود ابو شادى "/>
    <s v="انشاء حمام بديل حمام العمال  يتم تجديدة  "/>
    <s v="تم العمل"/>
    <d v="1899-12-30T11:00:00"/>
    <d v="1899-12-30T17:00:00"/>
    <n v="0.25000000000000006"/>
    <x v="0"/>
    <n v="0.99999999999999911"/>
  </r>
  <r>
    <x v="1"/>
    <d v="2024-02-28T00:00:00"/>
    <s v="الاربعاء "/>
    <x v="0"/>
    <s v="مراد صالح  "/>
    <s v="استكمال اعمال تجديد حمام العاملين بالمخازن "/>
    <s v="تم العمل"/>
    <d v="1899-12-30T10:00:00"/>
    <d v="1899-12-30T17:00:00"/>
    <n v="0.27079999999999999"/>
    <x v="0"/>
    <n v="6.5"/>
  </r>
  <r>
    <x v="1"/>
    <d v="2024-02-28T00:00:00"/>
    <s v="الاربعاء "/>
    <x v="7"/>
    <s v="محمد ماهر "/>
    <s v="مكافحة حشرات "/>
    <s v="تم العمل"/>
    <d v="1899-12-30T10:30:00"/>
    <d v="1899-12-30T11:30:00"/>
    <n v="4.1666666666666685E-2"/>
    <x v="1"/>
    <n v="1.0000000000000004"/>
  </r>
  <r>
    <x v="1"/>
    <d v="2024-02-28T00:00:00"/>
    <s v="الاربعاء "/>
    <x v="19"/>
    <s v="عبد الله السيد عباس "/>
    <s v="اعمال شق وتكسير بالرامب "/>
    <s v="تم العمل"/>
    <d v="1899-12-30T11:00:00"/>
    <d v="1899-12-30T13:30:00"/>
    <n v="0.27079999999999999"/>
    <x v="1"/>
    <n v="6.5"/>
  </r>
  <r>
    <x v="1"/>
    <d v="2024-02-29T00:00:00"/>
    <s v="الاربعاء "/>
    <x v="1"/>
    <s v="أحمد مخيمر  "/>
    <s v="تجميع وتركيب شبكة الحريق والكهرباء "/>
    <s v="تم العمل"/>
    <d v="1899-12-30T10:00:00"/>
    <d v="1899-12-30T16:00:00"/>
    <n v="0.24999999999999994"/>
    <x v="1"/>
    <n v="5.9999999999999982"/>
  </r>
  <r>
    <x v="1"/>
    <d v="2024-02-28T00:00:00"/>
    <s v="الخميس "/>
    <x v="21"/>
    <s v="طارق رجب "/>
    <s v=" صيانة سقف عنبر  المعدنى ومجر صرف "/>
    <s v="تم العمل"/>
    <d v="1899-12-30T09:00:00"/>
    <d v="1899-12-30T16:00:00"/>
    <n v="0.27079999999999999"/>
    <x v="5"/>
    <n v="6.5"/>
  </r>
  <r>
    <x v="1"/>
    <d v="2024-02-29T00:00:00"/>
    <s v="الخميس "/>
    <x v="19"/>
    <s v="عبد الله السيد عباس "/>
    <s v="اعمال شق وتكسير بالرامب "/>
    <s v="تم العمل"/>
    <d v="1899-12-30T10:00:00"/>
    <d v="1899-12-30T15:30:00"/>
    <n v="0.27079999999999999"/>
    <x v="1"/>
    <n v="6.5"/>
  </r>
  <r>
    <x v="1"/>
    <d v="2024-02-29T00:00:00"/>
    <s v="الخميس "/>
    <x v="19"/>
    <s v="حازم عبد الرحيم "/>
    <s v="رصف ارضيات الشوارع "/>
    <s v="تم العمل"/>
    <d v="1899-12-30T09:30:00"/>
    <d v="1899-12-30T16:00:00"/>
    <n v="0.27079999999999999"/>
    <x v="0"/>
    <n v="6.5"/>
  </r>
  <r>
    <x v="2"/>
    <d v="2024-03-01T00:00:00"/>
    <s v="الجمعة "/>
    <x v="21"/>
    <s v="اكرم  رجب "/>
    <s v=" صيانة سقف عنبر  المعدنى ومجر صرف "/>
    <s v="تم العمل"/>
    <d v="1899-12-30T09:30:00"/>
    <d v="1899-12-30T17:00:00"/>
    <n v="0.27079999999999999"/>
    <x v="5"/>
    <n v="6.5"/>
  </r>
  <r>
    <x v="2"/>
    <d v="2024-03-02T00:00:00"/>
    <s v="السبت "/>
    <x v="9"/>
    <s v="سامى شعبان  "/>
    <s v="صيانة الكلاركات الهونداى "/>
    <s v="تم العمل"/>
    <d v="1899-12-30T15:00:00"/>
    <d v="1899-12-30T17:00:00"/>
    <n v="8.333333333333337E-2"/>
    <x v="3"/>
    <n v="2.0000000000000009"/>
  </r>
  <r>
    <x v="2"/>
    <d v="2024-03-02T00:00:00"/>
    <s v="السبت "/>
    <x v="21"/>
    <s v="طارق رجب "/>
    <s v=" صيانة سقف عنبر  المعدنى ومجر صرف "/>
    <s v="تم العمل"/>
    <d v="1899-12-30T09:30:00"/>
    <d v="1899-12-30T17:00:00"/>
    <n v="0.27079999999999999"/>
    <x v="5"/>
    <n v="6.5"/>
  </r>
  <r>
    <x v="2"/>
    <d v="2024-03-02T00:00:00"/>
    <s v="السبت "/>
    <x v="19"/>
    <s v="حازم عبد الرحيم "/>
    <s v="رصف ارضيات الشوارع "/>
    <s v="تم العمل"/>
    <d v="1899-12-30T09:30:00"/>
    <d v="1899-12-30T17:00:00"/>
    <n v="0.27079999999999999"/>
    <x v="0"/>
    <n v="6.5"/>
  </r>
  <r>
    <x v="2"/>
    <d v="2024-03-02T00:00:00"/>
    <s v="السبت "/>
    <x v="0"/>
    <s v="مراد صالح  "/>
    <s v="استكمال اعمال تجديد حمام العاملين بالمخازن "/>
    <s v="تم العمل"/>
    <d v="1899-12-30T10:00:00"/>
    <d v="1899-12-30T17:00:00"/>
    <n v="0.27079999999999999"/>
    <x v="0"/>
    <n v="6.5"/>
  </r>
  <r>
    <x v="2"/>
    <d v="2024-03-02T00:00:00"/>
    <s v="السبت "/>
    <x v="19"/>
    <s v="عبد الله السيد عباس "/>
    <s v="اعمال شق وتكسير بالرامب "/>
    <s v="تم العمل"/>
    <d v="1899-12-30T10:00:00"/>
    <d v="1899-12-30T17:00:00"/>
    <n v="0.27079999999999999"/>
    <x v="1"/>
    <n v="6.5"/>
  </r>
  <r>
    <x v="2"/>
    <d v="2024-03-03T00:00:00"/>
    <s v="الاحد "/>
    <x v="0"/>
    <s v="عبد الحميد "/>
    <s v="عمل قوائم خرسانة للجمالون  "/>
    <s v="تم العمل"/>
    <d v="1899-12-30T09:00:00"/>
    <d v="1899-12-30T17:00:00"/>
    <n v="0.27079999999999999"/>
    <x v="5"/>
    <n v="6.5"/>
  </r>
  <r>
    <x v="2"/>
    <d v="2024-03-03T00:00:00"/>
    <s v="الاحد "/>
    <x v="8"/>
    <s v="ممدوح عبد التواب "/>
    <s v="تغيير  واستبدال حساسات التجليد "/>
    <s v="تم العمل"/>
    <d v="1899-12-30T09:30:00"/>
    <d v="1899-12-30T17:00:00"/>
    <n v="0.31250000000000006"/>
    <x v="3"/>
    <n v="7.5000000000000018"/>
  </r>
  <r>
    <x v="2"/>
    <d v="2024-03-03T00:00:00"/>
    <s v="الاحد "/>
    <x v="17"/>
    <s v="فارس خليل  "/>
    <s v="لحامات فى الجمالون "/>
    <s v="تم العمل"/>
    <d v="1899-12-30T09:00:00"/>
    <d v="1899-12-30T16:00:00"/>
    <n v="0.27079999999999999"/>
    <x v="5"/>
    <n v="6.5"/>
  </r>
  <r>
    <x v="2"/>
    <d v="2024-03-03T00:00:00"/>
    <s v="الاحد "/>
    <x v="21"/>
    <s v="طارق رجب "/>
    <s v="احلا ل وتجديد سقف جمالون دويتش  "/>
    <s v="تم العمل"/>
    <d v="1899-12-30T09:00:00"/>
    <d v="1899-12-30T16:00:00"/>
    <n v="0.27079999999999999"/>
    <x v="5"/>
    <n v="6.5"/>
  </r>
  <r>
    <x v="2"/>
    <d v="2024-03-03T00:00:00"/>
    <s v="الاحد "/>
    <x v="0"/>
    <s v="مراد صالح  "/>
    <s v="استكمال اعمال تجديد حمام العاملين بالمخازن "/>
    <s v="تم العمل"/>
    <d v="1899-12-30T11:30:00"/>
    <d v="1899-12-30T17:00:00"/>
    <n v="0.27079999999999999"/>
    <x v="0"/>
    <n v="6.5"/>
  </r>
  <r>
    <x v="2"/>
    <d v="2024-03-03T00:00:00"/>
    <s v="الاحد "/>
    <x v="1"/>
    <s v="أحمد مخيمر  "/>
    <s v="تجميع وتركيب شبكة الحريق والكهرباء "/>
    <s v="تم العمل"/>
    <d v="1899-12-30T10:30:00"/>
    <d v="1899-12-30T17:30:00"/>
    <n v="0.29166666666666663"/>
    <x v="1"/>
    <n v="6.9999999999999991"/>
  </r>
  <r>
    <x v="2"/>
    <d v="2024-03-03T00:00:00"/>
    <s v="الاحد "/>
    <x v="19"/>
    <s v="حازم عبد الرحيم "/>
    <s v="رصف ارضيات الشوارع "/>
    <s v="تم العمل"/>
    <d v="1899-12-30T09:30:00"/>
    <d v="1899-12-30T17:00:00"/>
    <n v="0.27079999999999999"/>
    <x v="0"/>
    <n v="6.5"/>
  </r>
  <r>
    <x v="2"/>
    <d v="2024-03-04T00:00:00"/>
    <s v="الاثنين "/>
    <x v="0"/>
    <s v="مراد صالح  "/>
    <s v="استكمال اعمال تجديد حمام العاملين بالمخازن "/>
    <s v="تم العمل"/>
    <d v="1899-12-30T11:30:00"/>
    <d v="1899-12-30T17:00:00"/>
    <n v="0.27079999999999999"/>
    <x v="0"/>
    <n v="6.5"/>
  </r>
  <r>
    <x v="2"/>
    <d v="2024-03-04T00:00:00"/>
    <s v="الاثنين "/>
    <x v="17"/>
    <s v="فارس خليل  "/>
    <s v="لحامات فى الجمالون "/>
    <s v="تم العمل"/>
    <d v="1899-12-30T09:00:00"/>
    <d v="1899-12-30T16:00:00"/>
    <n v="0.27079999999999999"/>
    <x v="5"/>
    <n v="6.5"/>
  </r>
  <r>
    <x v="2"/>
    <d v="2024-03-04T00:00:00"/>
    <s v="الاثنين "/>
    <x v="21"/>
    <s v="طارق رجب "/>
    <s v="احلا ل وتجديد سقف جمالون دويتش  "/>
    <s v="تم العمل"/>
    <d v="1899-12-30T09:00:00"/>
    <d v="1899-12-30T16:00:00"/>
    <n v="0.27079999999999999"/>
    <x v="5"/>
    <n v="6.5"/>
  </r>
  <r>
    <x v="2"/>
    <d v="2024-03-04T00:00:00"/>
    <s v="الاثنين "/>
    <x v="5"/>
    <s v="خميس محمد ع الحليم"/>
    <s v="هدم وتكسير سلم العاملين   "/>
    <s v="تم العمل"/>
    <d v="1899-12-30T09:00:00"/>
    <d v="1899-12-30T16:00:00"/>
    <n v="0.29166666666666663"/>
    <x v="3"/>
    <n v="0.99999999999999911"/>
  </r>
  <r>
    <x v="2"/>
    <d v="2024-03-04T00:00:00"/>
    <s v="الاثنين "/>
    <x v="19"/>
    <s v="حازم عبد الرحيم "/>
    <s v="رصف ارضيات الشوارع "/>
    <s v="تم العمل"/>
    <d v="1899-12-30T09:30:00"/>
    <d v="1899-12-30T17:00:00"/>
    <n v="0.27079999999999999"/>
    <x v="0"/>
    <n v="6.5"/>
  </r>
  <r>
    <x v="2"/>
    <d v="2024-03-04T00:00:00"/>
    <s v="الاثنين "/>
    <x v="8"/>
    <s v="ممدوح عبد التواب "/>
    <s v="تغيير  واستبدال حساسات التجليد "/>
    <s v="تم العمل"/>
    <d v="1899-12-30T09:30:00"/>
    <d v="1899-12-30T17:00:00"/>
    <n v="0.31250000000000006"/>
    <x v="3"/>
    <n v="7.5000000000000018"/>
  </r>
  <r>
    <x v="2"/>
    <d v="2024-03-05T00:00:00"/>
    <s v="الثلاثاء "/>
    <x v="19"/>
    <s v="حازم عبد الرحيم "/>
    <s v="رصف ارضيات الشوارع "/>
    <s v="تم العمل"/>
    <d v="1899-12-30T09:30:00"/>
    <d v="1899-12-30T17:00:00"/>
    <n v="0.27079999999999999"/>
    <x v="0"/>
    <n v="6.5"/>
  </r>
  <r>
    <x v="2"/>
    <d v="2024-03-05T00:00:00"/>
    <s v="الثلاثاء "/>
    <x v="8"/>
    <s v="علاء الشابورى   "/>
    <s v="صيانة شبكة الانزار "/>
    <s v="تم العمل"/>
    <d v="1899-12-30T12:30:00"/>
    <d v="1899-12-30T14:00:00"/>
    <n v="6.25E-2"/>
    <x v="3"/>
    <n v="1.5"/>
  </r>
  <r>
    <x v="2"/>
    <d v="2024-03-05T00:00:00"/>
    <s v="الثلاثاء "/>
    <x v="8"/>
    <s v="ممدوح عبد التواب "/>
    <s v="تغيير  واستبدال حساسات التجليد "/>
    <s v="تم العمل"/>
    <d v="1899-12-30T09:30:00"/>
    <d v="1899-12-30T17:00:00"/>
    <n v="0.31250000000000006"/>
    <x v="3"/>
    <n v="7.5000000000000018"/>
  </r>
  <r>
    <x v="2"/>
    <d v="2024-03-05T00:00:00"/>
    <s v="الثلاثاء "/>
    <x v="5"/>
    <s v="عبد الرحمان محمد "/>
    <s v="تركيب رخام سلم العاملين  "/>
    <s v="تم العمل"/>
    <d v="1899-12-30T10:00:00"/>
    <d v="1899-12-30T21:30:00"/>
    <n v="0.47916666666666669"/>
    <x v="3"/>
    <n v="0.99999999999999911"/>
  </r>
  <r>
    <x v="2"/>
    <d v="2024-03-05T00:00:00"/>
    <s v="الثلاثاء "/>
    <x v="1"/>
    <s v="أحمد مخيمر  "/>
    <s v="تجميع وتركيب شبكة الحريق والكهرباء "/>
    <s v="تم العمل"/>
    <d v="1899-12-30T10:30:00"/>
    <d v="1899-12-30T17:30:00"/>
    <n v="0.29166666666666663"/>
    <x v="1"/>
    <n v="6.9999999999999991"/>
  </r>
  <r>
    <x v="2"/>
    <d v="2024-03-05T00:00:00"/>
    <s v="الثلاثاء "/>
    <x v="19"/>
    <s v="عبد الله السيد عباس "/>
    <s v="التعديل بالرامب "/>
    <s v="تم العمل"/>
    <d v="1899-12-30T00:00:00"/>
    <d v="1899-12-30T15:30:00"/>
    <n v="0.27079999999999999"/>
    <x v="1"/>
    <n v="6.5"/>
  </r>
  <r>
    <x v="2"/>
    <d v="2024-03-05T00:00:00"/>
    <s v="الثلاثاء "/>
    <x v="8"/>
    <s v="علاء الشابورى   "/>
    <s v="صيانة شبكة الانزار "/>
    <s v="تم العمل"/>
    <d v="1899-12-30T10:00:00"/>
    <d v="1899-12-30T10:30:00"/>
    <n v="2.0833333333333315E-2"/>
    <x v="3"/>
    <n v="0.49999999999999956"/>
  </r>
  <r>
    <x v="1"/>
    <d v="2024-03-06T00:00:00"/>
    <s v="الاربعاء "/>
    <x v="6"/>
    <s v="حسن  عبد العظيم "/>
    <s v="توصيل كونتا كتور الخاص بالطلمبة الجوكى "/>
    <s v="تم العمل"/>
    <d v="1899-12-30T15:30:00"/>
    <d v="1899-12-30T16:00:00"/>
    <n v="0.27079999999999999"/>
    <x v="1"/>
    <n v="6.5"/>
  </r>
  <r>
    <x v="2"/>
    <d v="2024-03-06T00:00:00"/>
    <s v="الاربعاء "/>
    <x v="19"/>
    <s v="عبد الله السيد عباس "/>
    <s v="التعديل بالرامب "/>
    <s v="تم العمل"/>
    <d v="1899-12-30T10:00:00"/>
    <d v="1899-12-30T15:00:00"/>
    <n v="0.27079999999999999"/>
    <x v="3"/>
    <n v="6.5"/>
  </r>
  <r>
    <x v="2"/>
    <d v="2024-03-06T00:00:00"/>
    <s v="الاربعاء "/>
    <x v="1"/>
    <s v="أحمد مخيمر  "/>
    <s v="تجميع وتركيب شبكة الحريق والكهرباء "/>
    <s v="تم العمل"/>
    <d v="1899-12-30T10:00:00"/>
    <d v="1899-12-30T17:30:00"/>
    <n v="0.31249999999999994"/>
    <x v="1"/>
    <n v="7.4999999999999982"/>
  </r>
  <r>
    <x v="2"/>
    <d v="2024-03-06T00:00:00"/>
    <s v="الاربعاء "/>
    <x v="5"/>
    <s v="محمد خليل "/>
    <s v="توصيل ماتور رفع المياة فى المبنى الادالرى  "/>
    <s v="تم العمل"/>
    <d v="1899-12-30T10:30:00"/>
    <d v="1899-12-30T15:30:00"/>
    <n v="0.20833333333333337"/>
    <x v="3"/>
    <n v="0.99999999999999911"/>
  </r>
  <r>
    <x v="2"/>
    <d v="2024-03-06T00:00:00"/>
    <s v="الاربعاء "/>
    <x v="19"/>
    <s v="حازم عبد الرحيم "/>
    <s v="رصف ارضيات الشوارع "/>
    <s v="تم العمل"/>
    <d v="1899-12-30T09:30:00"/>
    <d v="1899-12-30T17:00:00"/>
    <n v="0.27079999999999999"/>
    <x v="0"/>
    <n v="6.5"/>
  </r>
  <r>
    <x v="2"/>
    <d v="2024-03-06T00:00:00"/>
    <s v="الاربعاء "/>
    <x v="8"/>
    <s v="ممدوح عبد التواب "/>
    <s v="تغيير  واستبدال حساسات التجليد "/>
    <s v="تم العمل"/>
    <d v="1899-12-30T10:00:00"/>
    <d v="1899-12-30T18:00:00"/>
    <n v="0.33333333333333331"/>
    <x v="3"/>
    <n v="8"/>
  </r>
  <r>
    <x v="2"/>
    <d v="2024-03-06T00:00:00"/>
    <s v="الاربعاء "/>
    <x v="0"/>
    <s v="مراد صالح  "/>
    <s v=" تجديد حمام العاملين بالمخازن "/>
    <s v="تم العمل"/>
    <d v="1899-12-30T10:00:00"/>
    <d v="1899-12-30T17:00:00"/>
    <n v="0.27079999999999999"/>
    <x v="0"/>
    <n v="6.5"/>
  </r>
  <r>
    <x v="2"/>
    <d v="2024-03-07T00:00:00"/>
    <s v="الخميس "/>
    <x v="1"/>
    <s v="أحمد مخيمر  "/>
    <s v="تجميع وتركيب شبكة الحريق والكهرباء "/>
    <s v="تم العمل"/>
    <d v="1899-12-30T10:00:00"/>
    <d v="1899-12-30T17:00:00"/>
    <n v="0.29166666666666669"/>
    <x v="3"/>
    <n v="7"/>
  </r>
  <r>
    <x v="2"/>
    <d v="2024-03-07T00:00:00"/>
    <s v="الخميس "/>
    <x v="19"/>
    <s v="حازم عبد الرحيم "/>
    <s v="رصف ارضيات الشوارع "/>
    <s v="تم العمل"/>
    <d v="1899-12-30T09:30:00"/>
    <d v="1899-12-30T17:00:00"/>
    <n v="0.27079999999999999"/>
    <x v="0"/>
    <n v="6.5"/>
  </r>
  <r>
    <x v="2"/>
    <d v="2024-03-07T00:00:00"/>
    <s v="الخميس "/>
    <x v="5"/>
    <s v="احمد عبد النبى  "/>
    <s v="تركيب رخام سلم العاملين  "/>
    <s v="تم العمل"/>
    <d v="1899-12-30T10:00:00"/>
    <d v="1899-12-30T21:30:00"/>
    <n v="0.47916666666666669"/>
    <x v="3"/>
    <n v="0.99999999999999911"/>
  </r>
  <r>
    <x v="2"/>
    <d v="2024-03-07T00:00:00"/>
    <s v="الخميس "/>
    <x v="8"/>
    <s v="ممدوح عبد التواب "/>
    <s v="تغيير  واستبدال حساسات التجليد "/>
    <s v="تم العمل"/>
    <d v="1899-12-30T10:00:00"/>
    <d v="1899-12-30T17:00:00"/>
    <n v="0.29166666666666669"/>
    <x v="3"/>
    <n v="7"/>
  </r>
  <r>
    <x v="2"/>
    <d v="2024-03-07T00:00:00"/>
    <s v="الخميس "/>
    <x v="0"/>
    <s v="محمد حسنى  "/>
    <s v="عمل شدة خشبية  عمدان العنبر الجديد"/>
    <s v="تم العمل"/>
    <d v="1899-12-30T09:00:00"/>
    <d v="1899-12-30T16:00:00"/>
    <n v="0.27079999999999999"/>
    <x v="1"/>
    <n v="6.5"/>
  </r>
  <r>
    <x v="2"/>
    <d v="2024-03-08T00:00:00"/>
    <s v="الجمعة "/>
    <x v="5"/>
    <s v="ياسر روبى  "/>
    <s v="تركيب رخام لحمام استراحة المهندسين "/>
    <s v="تم العمل"/>
    <d v="1899-12-30T01:00:00"/>
    <d v="1899-12-30T17:00:00"/>
    <n v="0.66666666666666674"/>
    <x v="3"/>
    <n v="0.99999999999999911"/>
  </r>
  <r>
    <x v="2"/>
    <d v="2024-03-09T00:00:00"/>
    <s v="السبت "/>
    <x v="1"/>
    <s v="أحمد مخيمر  "/>
    <s v="تجميع وتركيب شبكة الحريق والكهرباء "/>
    <s v="تم العمل"/>
    <d v="1899-12-30T10:00:00"/>
    <d v="1899-12-30T16:00:00"/>
    <n v="0.24999999999999994"/>
    <x v="1"/>
    <n v="5.9999999999999982"/>
  </r>
  <r>
    <x v="2"/>
    <d v="2024-03-09T00:00:00"/>
    <s v="السبت "/>
    <x v="19"/>
    <s v="عبد الله السيد عباس "/>
    <s v="التعديل بالرامب "/>
    <s v="تم العمل"/>
    <d v="1899-12-30T10:00:00"/>
    <d v="1899-12-30T15:30:00"/>
    <n v="0.27079999999999999"/>
    <x v="1"/>
    <n v="6.5"/>
  </r>
  <r>
    <x v="2"/>
    <d v="2024-03-09T00:00:00"/>
    <s v="السبت "/>
    <x v="19"/>
    <s v="حازم عبد الرحيم "/>
    <s v="رصف ارضيات الشوارع "/>
    <s v="تم العمل"/>
    <d v="1899-12-30T09:30:00"/>
    <d v="1899-12-30T17:00:00"/>
    <n v="0.27079999999999999"/>
    <x v="0"/>
    <n v="6.5"/>
  </r>
  <r>
    <x v="2"/>
    <d v="2024-03-09T00:00:00"/>
    <s v="السبت "/>
    <x v="0"/>
    <s v="مراد صالح  "/>
    <s v=" تجديد حمام العاملين بالمخازن "/>
    <s v="تم العمل"/>
    <d v="1899-12-30T10:00:00"/>
    <d v="1899-12-30T16:00:00"/>
    <n v="0.27079999999999999"/>
    <x v="0"/>
    <n v="6.5"/>
  </r>
  <r>
    <x v="2"/>
    <d v="2024-03-09T00:00:00"/>
    <s v="السبت "/>
    <x v="8"/>
    <s v="ممدوح عبد التواب "/>
    <s v="تغيير  واستبدال حساسات التجليد "/>
    <s v="تم العمل"/>
    <d v="1899-12-30T10:00:00"/>
    <d v="1899-12-30T17:00:00"/>
    <n v="0.29166666666666669"/>
    <x v="3"/>
    <n v="7"/>
  </r>
  <r>
    <x v="2"/>
    <d v="2024-03-09T00:00:00"/>
    <s v="السبت "/>
    <x v="21"/>
    <s v="اكرم طارق  "/>
    <s v="احلا ل وتجديد سقف جمالون دويتش  "/>
    <s v="تم العمل"/>
    <d v="1899-12-30T09:00:00"/>
    <d v="1899-12-30T16:00:00"/>
    <n v="0.27079999999999999"/>
    <x v="5"/>
    <n v="6.5"/>
  </r>
  <r>
    <x v="2"/>
    <d v="2024-03-10T00:00:00"/>
    <s v="الاحد "/>
    <x v="21"/>
    <s v="طارق رجب   "/>
    <s v="احلا ل وتجديد سقف جمالون دويتش  "/>
    <s v="تم العمل"/>
    <d v="1899-12-30T10:00:00"/>
    <d v="1899-12-30T16:00:00"/>
    <n v="0.27079999999999999"/>
    <x v="5"/>
    <n v="6.5"/>
  </r>
  <r>
    <x v="2"/>
    <d v="2024-03-10T00:00:00"/>
    <s v="الاحد "/>
    <x v="8"/>
    <s v="ممدوح عبد التواب "/>
    <s v="تغيير  واستبدال حساسات التجليد "/>
    <s v="تم العمل"/>
    <d v="1899-12-30T10:00:00"/>
    <d v="1899-12-30T17:30:00"/>
    <n v="0.31249999999999994"/>
    <x v="3"/>
    <n v="7.4999999999999982"/>
  </r>
  <r>
    <x v="2"/>
    <d v="2024-03-10T00:00:00"/>
    <s v="الاحد "/>
    <x v="1"/>
    <s v="أحمد مخيمر  "/>
    <s v="تجميع وتركيب  والكهرباء "/>
    <s v="تم العمل"/>
    <d v="1899-12-30T10:00:00"/>
    <d v="1899-12-30T16:00:00"/>
    <n v="0.24999999999999994"/>
    <x v="1"/>
    <n v="5.9999999999999982"/>
  </r>
  <r>
    <x v="2"/>
    <d v="2024-03-10T00:00:00"/>
    <s v="الاحد "/>
    <x v="8"/>
    <s v="حامد المحاميد"/>
    <s v="دهان ماسورة فى غرفة الطرمبات "/>
    <s v="تم العمل"/>
    <d v="1899-12-30T14:30:00"/>
    <d v="1899-12-30T15:30:00"/>
    <n v="4.1666666666666741E-2"/>
    <x v="1"/>
    <n v="1.0000000000000018"/>
  </r>
  <r>
    <x v="2"/>
    <d v="2024-03-10T00:00:00"/>
    <s v="الاحد "/>
    <x v="0"/>
    <s v="مراد صالح  "/>
    <s v=" تجديد حمام العاملين بالمخازن "/>
    <s v="تم العمل"/>
    <d v="1899-12-30T10:00:00"/>
    <d v="1899-12-30T17:00:00"/>
    <n v="0.27079999999999999"/>
    <x v="0"/>
    <n v="6.5"/>
  </r>
  <r>
    <x v="2"/>
    <d v="2024-03-10T00:00:00"/>
    <s v="الاحد "/>
    <x v="19"/>
    <s v="عبد الله السيد عباس "/>
    <s v="رصف ارضيات الشوارع "/>
    <s v="تم العمل"/>
    <d v="1899-12-30T10:00:00"/>
    <d v="1899-12-30T19:00:00"/>
    <n v="0.27079999999999999"/>
    <x v="0"/>
    <n v="6.5"/>
  </r>
  <r>
    <x v="2"/>
    <d v="2024-03-12T00:00:00"/>
    <s v="الثلاثاء "/>
    <x v="1"/>
    <s v="أحمد مخيمر  "/>
    <s v="تجميع وتركيب  والكهرباء "/>
    <s v="تم العمل"/>
    <d v="1899-12-30T10:30:00"/>
    <d v="1899-12-30T15:30:00"/>
    <n v="0.20833333333333337"/>
    <x v="3"/>
    <n v="5.0000000000000009"/>
  </r>
  <r>
    <x v="2"/>
    <d v="2024-03-12T00:00:00"/>
    <s v="الثلاثاء "/>
    <x v="19"/>
    <s v="عبد الله السيد عباس "/>
    <s v="رصف ارضيات الشوارع "/>
    <s v="تم العمل"/>
    <d v="1899-12-30T10:00:00"/>
    <d v="1899-12-30T17:00:00"/>
    <n v="0.27079999999999999"/>
    <x v="0"/>
    <n v="6.5"/>
  </r>
  <r>
    <x v="2"/>
    <d v="2024-03-12T00:00:00"/>
    <s v="الثلاثاء "/>
    <x v="0"/>
    <s v="مراد صالح  "/>
    <s v=" تجديد حمام العاملين بالمخازن "/>
    <s v="تم العمل"/>
    <d v="1899-12-30T10:00:00"/>
    <d v="1899-12-30T17:00:00"/>
    <n v="0.27079999999999999"/>
    <x v="0"/>
    <n v="6.5"/>
  </r>
  <r>
    <x v="1"/>
    <d v="2024-03-12T00:00:00"/>
    <s v="الثلاثاء "/>
    <x v="6"/>
    <s v="كمال مرسى "/>
    <s v="ازالة بلاور  الويب القديم "/>
    <s v="تم العمل"/>
    <d v="1899-12-30T11:00:00"/>
    <d v="1899-12-30T00:00:00"/>
    <n v="0.27079999999999999"/>
    <x v="3"/>
    <n v="6.5"/>
  </r>
  <r>
    <x v="2"/>
    <d v="2024-03-12T00:00:00"/>
    <s v="الثلاثاء "/>
    <x v="8"/>
    <s v="ممدوح عبد التواب "/>
    <s v="تغيير  واستبدال حساسات التجليد "/>
    <s v="تم العمل"/>
    <d v="1899-12-30T09:30:00"/>
    <d v="1899-12-30T17:00:00"/>
    <n v="0.31250000000000006"/>
    <x v="3"/>
    <n v="7.5000000000000018"/>
  </r>
  <r>
    <x v="1"/>
    <d v="2024-03-12T00:00:00"/>
    <s v="الثلاثاء "/>
    <x v="6"/>
    <s v="صابر ابراهيم "/>
    <s v="تجهيز لحامات "/>
    <s v="تم العمل"/>
    <d v="1899-12-30T11:00:00"/>
    <d v="1899-12-30T15:00:00"/>
    <n v="0.27079999999999999"/>
    <x v="3"/>
    <n v="6.5"/>
  </r>
  <r>
    <x v="2"/>
    <d v="2024-03-13T00:00:00"/>
    <s v="الاربعاء "/>
    <x v="8"/>
    <s v="حامد المحاميد"/>
    <s v="مرور شهرى على خط  الاطفاء "/>
    <s v="تم العمل"/>
    <d v="1899-12-30T10:00:00"/>
    <d v="1899-12-30T12:00:00"/>
    <n v="8.3333333333333315E-2"/>
    <x v="3"/>
    <n v="1.9999999999999996"/>
  </r>
  <r>
    <x v="1"/>
    <d v="2024-03-13T00:00:00"/>
    <s v="الاربعاء "/>
    <x v="6"/>
    <s v="صابر ابراهيم "/>
    <s v="تقطيع ولحام "/>
    <s v="تم العمل"/>
    <d v="1899-12-30T10:00:00"/>
    <d v="1899-12-30T15:00:00"/>
    <n v="0.27079999999999999"/>
    <x v="3"/>
    <n v="6.5"/>
  </r>
  <r>
    <x v="2"/>
    <d v="2024-03-13T00:00:00"/>
    <s v="الاربعاء "/>
    <x v="21"/>
    <s v="طارق رجب   "/>
    <s v="احلا ل وتجديد سقف جمالون دويتش  "/>
    <s v="تم العمل"/>
    <d v="1899-12-30T10:00:00"/>
    <d v="1899-12-30T16:00:00"/>
    <n v="0.27079999999999999"/>
    <x v="5"/>
    <n v="6.5"/>
  </r>
  <r>
    <x v="2"/>
    <d v="2024-03-13T00:00:00"/>
    <s v="الاربعاء "/>
    <x v="8"/>
    <s v="ممدوح عبد التواب "/>
    <s v="تغيير  واستبدال حساسات التجليد "/>
    <s v="تم العمل"/>
    <d v="1899-12-30T10:00:00"/>
    <d v="1899-12-30T16:00:00"/>
    <n v="0.24999999999999994"/>
    <x v="3"/>
    <n v="5.9999999999999982"/>
  </r>
  <r>
    <x v="2"/>
    <d v="2024-03-13T00:00:00"/>
    <s v="الاربعاء "/>
    <x v="1"/>
    <s v="أحمد مخيمر  "/>
    <s v="تجميع وتركيب  والكهرباء "/>
    <s v="تم العمل"/>
    <d v="1899-12-30T10:00:00"/>
    <d v="1899-12-30T15:30:00"/>
    <n v="0.22916666666666669"/>
    <x v="1"/>
    <n v="5.5"/>
  </r>
  <r>
    <x v="2"/>
    <d v="2024-03-13T00:00:00"/>
    <s v="الاربعاء "/>
    <x v="19"/>
    <s v="عبد الله السيد عباس "/>
    <s v="التعديل بالرامب "/>
    <s v="تم العمل"/>
    <d v="1899-12-30T00:30:00"/>
    <d v="1899-12-30T14:30:00"/>
    <n v="0.27079999999999999"/>
    <x v="1"/>
    <n v="6.5"/>
  </r>
  <r>
    <x v="1"/>
    <d v="2024-03-13T00:00:00"/>
    <s v="الاربعاء "/>
    <x v="7"/>
    <s v="محمد ماهر "/>
    <s v="مكافحة حشرات "/>
    <s v="تم العمل"/>
    <d v="1899-12-30T10:30:00"/>
    <d v="1899-12-30T11:30:00"/>
    <n v="4.1666666666666685E-2"/>
    <x v="1"/>
    <n v="1.0000000000000004"/>
  </r>
  <r>
    <x v="2"/>
    <d v="2024-03-13T00:00:00"/>
    <s v="الاربعاء "/>
    <x v="19"/>
    <s v="عبد الله السيد عباس "/>
    <s v="رصف ارضيات الشوارع "/>
    <s v="تم العمل"/>
    <d v="1899-12-30T10:00:00"/>
    <d v="1899-12-30T15:30:00"/>
    <n v="0.27079999999999999"/>
    <x v="0"/>
    <n v="6.5"/>
  </r>
  <r>
    <x v="2"/>
    <d v="2024-03-13T00:00:00"/>
    <s v="الاربعاء "/>
    <x v="0"/>
    <s v="مراد صالح  "/>
    <s v="تركيب السيراميك فى الحمام  العاملين "/>
    <s v="تم العمل"/>
    <d v="1899-12-30T10:00:00"/>
    <d v="1899-12-30T15:30:00"/>
    <n v="0.27079999999999999"/>
    <x v="0"/>
    <n v="6.5"/>
  </r>
  <r>
    <x v="2"/>
    <d v="2024-03-14T00:00:00"/>
    <s v="الخميس "/>
    <x v="8"/>
    <s v="ممدوح عبد التواب "/>
    <s v="تغيير  واستبدال حساسات التجليد "/>
    <s v="تم العمل"/>
    <d v="1899-12-30T10:00:00"/>
    <d v="1899-12-30T16:00:00"/>
    <n v="0.24999999999999994"/>
    <x v="3"/>
    <n v="5.9999999999999982"/>
  </r>
  <r>
    <x v="2"/>
    <d v="2024-03-14T00:00:00"/>
    <s v="الخميس "/>
    <x v="3"/>
    <s v="علاء احمد "/>
    <s v="تريكبات وصيانة  "/>
    <s v="تم العمل"/>
    <d v="1899-12-30T11:00:00"/>
    <d v="1899-12-30T13:00:00"/>
    <n v="8.3333333333333315E-2"/>
    <x v="2"/>
    <n v="1.9999999999999996"/>
  </r>
  <r>
    <x v="2"/>
    <d v="2024-03-14T00:00:00"/>
    <s v="الخميس "/>
    <x v="19"/>
    <s v="حازم عبد الرحيم  "/>
    <s v="رصف ارضيات الشوارع "/>
    <s v="تم العمل"/>
    <d v="1899-12-30T09:30:00"/>
    <d v="1899-12-30T14:00:00"/>
    <n v="0.27079999999999999"/>
    <x v="0"/>
    <n v="6.5"/>
  </r>
  <r>
    <x v="2"/>
    <d v="2024-03-14T00:00:00"/>
    <s v="الخميس "/>
    <x v="1"/>
    <s v="أحمد مخيمر  "/>
    <s v="تجميع وتركيب  والكهرباء "/>
    <s v="تم العمل"/>
    <d v="1899-12-30T10:00:00"/>
    <d v="1899-12-30T15:30:00"/>
    <n v="0.22916666666666669"/>
    <x v="0"/>
    <n v="5.5"/>
  </r>
  <r>
    <x v="2"/>
    <d v="2024-03-16T00:00:00"/>
    <s v="السبت "/>
    <x v="19"/>
    <s v="حازم عبد الرحيم  "/>
    <s v="رصف ارضيات الشوارع "/>
    <s v="تم العمل"/>
    <d v="1899-12-30T10:00:00"/>
    <d v="1899-12-30T15:00:00"/>
    <n v="0.27079999999999999"/>
    <x v="0"/>
    <n v="6.5"/>
  </r>
  <r>
    <x v="2"/>
    <d v="2024-03-16T00:00:00"/>
    <s v="السبت "/>
    <x v="1"/>
    <s v="أحمد مخيمر  "/>
    <s v="تجميع وتركيب  والكهرباء "/>
    <s v="تم العمل"/>
    <d v="1899-12-30T10:00:00"/>
    <d v="1899-12-30T15:00:00"/>
    <n v="0.20833333333333331"/>
    <x v="1"/>
    <n v="5"/>
  </r>
  <r>
    <x v="2"/>
    <d v="2024-03-17T00:00:00"/>
    <s v="الاحد "/>
    <x v="19"/>
    <s v="حازم عبد الرحيم  "/>
    <s v="رصف ارضيات الشوارع "/>
    <s v="تم العمل"/>
    <d v="1899-12-30T09:30:00"/>
    <d v="1899-12-30T16:00:00"/>
    <n v="0.27079999999999999"/>
    <x v="0"/>
    <n v="6.5"/>
  </r>
  <r>
    <x v="2"/>
    <d v="2024-03-17T00:00:00"/>
    <s v="الاحد "/>
    <x v="8"/>
    <s v="ممدوح عبد التواب "/>
    <s v="تغيير  واستبدال حساسات التجليد "/>
    <s v="تم العمل"/>
    <d v="1899-12-30T09:30:00"/>
    <d v="1899-12-30T16:00:00"/>
    <n v="0.27083333333333331"/>
    <x v="3"/>
    <n v="6.5"/>
  </r>
  <r>
    <x v="2"/>
    <d v="2024-03-18T00:00:00"/>
    <s v="الاثنين "/>
    <x v="6"/>
    <s v="محمد النقيب "/>
    <s v="تركيب وصيانة كشافات العنابر "/>
    <s v="تم العمل"/>
    <d v="1899-12-30T14:00:00"/>
    <d v="1899-12-30T16:00:00"/>
    <n v="0.27079999999999999"/>
    <x v="3"/>
    <n v="6.5"/>
  </r>
  <r>
    <x v="2"/>
    <d v="2024-03-18T00:00:00"/>
    <s v="الاثنين "/>
    <x v="6"/>
    <s v="صابر ابراهيم "/>
    <s v="لحام زاويه حديدفى تنكات الاحبار "/>
    <s v="تم العمل"/>
    <d v="1899-12-30T13:00:00"/>
    <d v="1899-12-30T13:30:00"/>
    <n v="0.27079999999999999"/>
    <x v="3"/>
    <n v="6.5"/>
  </r>
  <r>
    <x v="2"/>
    <d v="2024-03-18T00:00:00"/>
    <s v="الاثنين "/>
    <x v="14"/>
    <s v="محمد عادل  "/>
    <s v="صيانة المصاعد    "/>
    <s v="تم العمل"/>
    <d v="1899-12-30T00:30:00"/>
    <d v="1899-12-30T13:30:00"/>
    <n v="2.0799999999999999E-2"/>
    <x v="1"/>
    <n v="1"/>
  </r>
  <r>
    <x v="2"/>
    <d v="2024-03-18T00:00:00"/>
    <s v="الاثنين "/>
    <x v="19"/>
    <s v="عبد الله السيد عباس "/>
    <s v="رصف ارضيات الشوارع "/>
    <s v="تم العمل"/>
    <d v="1899-12-30T08:30:00"/>
    <d v="1899-12-30T15:30:00"/>
    <n v="0.27079999999999999"/>
    <x v="0"/>
    <n v="6.5"/>
  </r>
  <r>
    <x v="2"/>
    <d v="2024-03-18T00:00:00"/>
    <s v="الثلاثاء "/>
    <x v="8"/>
    <s v="ممدوح عبد التواب "/>
    <s v="تغيير  واستبدال حساسات التجليد "/>
    <s v="تم العمل"/>
    <d v="1899-12-30T09:30:00"/>
    <d v="1899-12-30T16:00:00"/>
    <n v="0.27083333333333331"/>
    <x v="3"/>
    <n v="6.5"/>
  </r>
  <r>
    <x v="2"/>
    <d v="2024-03-19T00:00:00"/>
    <s v="الثلاثاء "/>
    <x v="19"/>
    <s v="عبد الله السيد عباس "/>
    <s v="رصف ارضيات الشوارع "/>
    <s v="تم العمل"/>
    <d v="1899-12-30T08:30:00"/>
    <d v="1899-12-30T15:00:00"/>
    <n v="0.27079999999999999"/>
    <x v="0"/>
    <n v="6.5"/>
  </r>
  <r>
    <x v="2"/>
    <d v="2024-03-19T00:00:00"/>
    <s v="الثلاثاء "/>
    <x v="0"/>
    <s v="مراد صالح  "/>
    <s v="تجديد الحمام  "/>
    <s v="تم العمل"/>
    <d v="1899-12-30T10:00:00"/>
    <d v="1899-12-30T15:00:00"/>
    <n v="0.27079999999999999"/>
    <x v="0"/>
    <n v="6.5"/>
  </r>
  <r>
    <x v="2"/>
    <d v="2024-03-20T00:00:00"/>
    <s v="الاربعاء "/>
    <x v="8"/>
    <s v="ممدوح عبد التواب "/>
    <s v="تغيير  واستبدال حساسات التجليد "/>
    <s v="تم العمل"/>
    <d v="1899-12-30T09:30:00"/>
    <d v="1899-12-30T16:00:00"/>
    <n v="0.27083333333333331"/>
    <x v="3"/>
    <n v="6.5"/>
  </r>
  <r>
    <x v="2"/>
    <d v="2024-03-20T00:00:00"/>
    <s v="الاربعاء "/>
    <x v="4"/>
    <s v="شامخ سيد "/>
    <s v="صيانة شبكة فودافون "/>
    <s v="تم العمل"/>
    <d v="1899-12-30T10:00:00"/>
    <d v="1899-12-30T15:00:00"/>
    <n v="0.20833333333333331"/>
    <x v="2"/>
    <n v="5"/>
  </r>
  <r>
    <x v="2"/>
    <d v="2024-03-20T00:00:00"/>
    <s v="الاربعاء "/>
    <x v="19"/>
    <s v="عبد الله السيد عباس "/>
    <s v="رصف ارضيات الشوارع "/>
    <s v="تم العمل"/>
    <d v="1899-12-30T08:00:00"/>
    <d v="1899-12-30T15:00:00"/>
    <n v="0.27079999999999999"/>
    <x v="0"/>
    <n v="6.5"/>
  </r>
  <r>
    <x v="2"/>
    <d v="2024-03-20T00:00:00"/>
    <s v="الاربعاء "/>
    <x v="0"/>
    <s v="مراد صالح  "/>
    <s v="تجديد الحمام  "/>
    <s v="تم العمل"/>
    <d v="1899-12-30T10:00:00"/>
    <d v="1899-12-30T15:00:00"/>
    <n v="0.27079999999999999"/>
    <x v="0"/>
    <n v="6.5"/>
  </r>
  <r>
    <x v="2"/>
    <d v="2024-03-23T00:00:00"/>
    <s v="السبت "/>
    <x v="19"/>
    <s v="حازم عبد الرحيم  "/>
    <s v="رصف ارضيات الشوارع "/>
    <s v="تم العمل"/>
    <d v="1899-12-30T08:00:00"/>
    <d v="1899-12-30T14:30:00"/>
    <n v="0.27079999999999999"/>
    <x v="0"/>
    <n v="6.5"/>
  </r>
  <r>
    <x v="2"/>
    <d v="2024-03-23T00:00:00"/>
    <s v="السبت "/>
    <x v="0"/>
    <s v="مراد صالح  "/>
    <s v="تجديد الحمام  "/>
    <s v="تم العمل"/>
    <d v="1899-12-30T08:00:00"/>
    <d v="1899-12-30T16:00:00"/>
    <n v="0.27079999999999999"/>
    <x v="0"/>
    <n v="6.5"/>
  </r>
  <r>
    <x v="2"/>
    <d v="2024-03-24T00:00:00"/>
    <s v="الاحد "/>
    <x v="8"/>
    <s v="ممدوح عبد التواب "/>
    <s v="تغيير  واستبدال حساسات التجليد "/>
    <s v="تم العمل"/>
    <d v="1899-12-30T09:30:00"/>
    <d v="1899-12-30T16:00:00"/>
    <n v="0.27083333333333331"/>
    <x v="3"/>
    <n v="6.5"/>
  </r>
  <r>
    <x v="2"/>
    <d v="2024-03-24T00:00:00"/>
    <s v="الاحد "/>
    <x v="8"/>
    <s v="حامد عطوان "/>
    <s v="زيارة شركة الصيانة  "/>
    <s v="تم العمل"/>
    <d v="1899-12-30T10:30:00"/>
    <d v="1899-12-30T11:30:00"/>
    <n v="4.1666666666666685E-2"/>
    <x v="3"/>
    <n v="1.0000000000000004"/>
  </r>
  <r>
    <x v="2"/>
    <d v="2024-03-24T00:00:00"/>
    <s v="الاحد "/>
    <x v="0"/>
    <s v="مراد صالح  "/>
    <s v="تجديد الحمام  "/>
    <s v="تم العمل"/>
    <d v="1899-12-30T09:00:00"/>
    <d v="1899-12-30T14:00:00"/>
    <n v="0.27079999999999999"/>
    <x v="0"/>
    <n v="6.5"/>
  </r>
  <r>
    <x v="2"/>
    <d v="2024-03-24T00:00:00"/>
    <s v="الاحد "/>
    <x v="5"/>
    <s v="محمد خليل   "/>
    <s v="توصيل  كهرباء انارة وسخان "/>
    <s v="تم العمل"/>
    <d v="1899-12-30T10:30:00"/>
    <d v="1899-12-30T13:00:00"/>
    <n v="0.10416666666666663"/>
    <x v="3"/>
    <n v="0.99999999999999911"/>
  </r>
  <r>
    <x v="2"/>
    <d v="2024-03-24T00:00:00"/>
    <s v="الاحد "/>
    <x v="19"/>
    <s v="حازم عبد الرحيم  "/>
    <s v="رصف ارضيات الشوارع "/>
    <s v="تم العمل"/>
    <d v="1899-12-30T08:00:00"/>
    <d v="1899-12-30T14:30:00"/>
    <n v="0.27079999999999999"/>
    <x v="0"/>
    <n v="6.5"/>
  </r>
  <r>
    <x v="2"/>
    <d v="2024-03-25T00:00:00"/>
    <s v="الاثنين "/>
    <x v="9"/>
    <s v="سامى شعبان  "/>
    <s v="صيانة الكلاركات "/>
    <s v="تم العمل"/>
    <d v="1899-12-30T10:00:00"/>
    <d v="1899-12-30T11:00:00"/>
    <n v="4.166666666666663E-2"/>
    <x v="3"/>
    <n v="0.99999999999999911"/>
  </r>
  <r>
    <x v="2"/>
    <d v="2024-03-25T00:00:00"/>
    <s v="الاثنين "/>
    <x v="4"/>
    <s v="احمد نوفل "/>
    <s v="صيانة شبكة فودافون "/>
    <s v="تم العمل"/>
    <d v="1899-12-30T10:00:00"/>
    <d v="1899-12-30T15:00:00"/>
    <n v="0.20833333333333331"/>
    <x v="2"/>
    <n v="5"/>
  </r>
  <r>
    <x v="2"/>
    <d v="2024-03-25T00:00:00"/>
    <s v="الاثنين "/>
    <x v="19"/>
    <s v="حازم عبد الرحيم  "/>
    <s v="رصف ارضيات الشوارع "/>
    <s v="تم العمل"/>
    <d v="1899-12-30T08:00:00"/>
    <d v="1899-12-30T15:00:00"/>
    <n v="0.27079999999999999"/>
    <x v="0"/>
    <n v="6.5"/>
  </r>
  <r>
    <x v="2"/>
    <d v="2024-03-25T00:00:00"/>
    <s v="الاثنين "/>
    <x v="8"/>
    <s v="ممدوح عبد التواب "/>
    <s v="تغيير  واستبدال حساسات التجليد "/>
    <s v="تم العمل"/>
    <d v="1899-12-30T09:30:00"/>
    <d v="1899-12-30T16:00:00"/>
    <n v="0.27083333333333331"/>
    <x v="3"/>
    <n v="6.5"/>
  </r>
  <r>
    <x v="2"/>
    <d v="2024-03-25T00:00:00"/>
    <s v="الاثنين "/>
    <x v="5"/>
    <s v="ياسر روبى  "/>
    <s v="تركيب حوض حمام "/>
    <s v="تم العمل"/>
    <d v="1899-12-30T08:00:00"/>
    <d v="1899-12-30T00:00:00"/>
    <n v="-0.33333333333333331"/>
    <x v="3"/>
    <n v="0.99999999999999911"/>
  </r>
  <r>
    <x v="2"/>
    <d v="2024-03-26T00:00:00"/>
    <s v="الثلاثاء "/>
    <x v="8"/>
    <s v="ممدوح عبد التواب "/>
    <s v="تغيير  واستبدال حساسات التجليد "/>
    <s v="تم العمل"/>
    <d v="1899-12-30T09:00:00"/>
    <d v="1899-12-30T14:00:00"/>
    <n v="0.20833333333333337"/>
    <x v="3"/>
    <n v="5.0000000000000009"/>
  </r>
  <r>
    <x v="2"/>
    <d v="2024-03-26T00:00:00"/>
    <s v="الثلاثاء "/>
    <x v="19"/>
    <s v="حازم عبد الرحيم  "/>
    <s v="اعمال ردم خرسانة "/>
    <s v="تم العمل"/>
    <d v="1899-12-30T14:00:00"/>
    <d v="1899-12-30T15:00:00"/>
    <n v="0.27079999999999999"/>
    <x v="0"/>
    <n v="6.5"/>
  </r>
  <r>
    <x v="2"/>
    <d v="2024-03-26T00:00:00"/>
    <s v="الثلاثاء "/>
    <x v="6"/>
    <s v="صابر ابراهيم "/>
    <s v="تركيب بلور "/>
    <s v="تم العمل"/>
    <d v="1899-12-30T10:00:00"/>
    <d v="1899-12-30T00:00:00"/>
    <n v="0.27079999999999999"/>
    <x v="3"/>
    <n v="6.5"/>
  </r>
  <r>
    <x v="2"/>
    <d v="2024-03-27T00:00:00"/>
    <s v="الاربعاء "/>
    <x v="19"/>
    <s v="حازم عبد الرحيم  "/>
    <s v="اعمال ردم خرسانة "/>
    <s v="تم العمل"/>
    <d v="1899-12-30T10:00:00"/>
    <d v="1899-12-30T15:00:00"/>
    <n v="0.27079999999999999"/>
    <x v="0"/>
    <n v="6.5"/>
  </r>
  <r>
    <x v="2"/>
    <d v="2024-03-27T00:00:00"/>
    <s v="الاربعاء "/>
    <x v="3"/>
    <s v="علاء احمد "/>
    <s v="تركيب كابل نت   "/>
    <s v="تم العمل"/>
    <d v="1899-12-30T09:00:00"/>
    <d v="1899-12-30T12:00:00"/>
    <n v="0.125"/>
    <x v="2"/>
    <n v="3"/>
  </r>
  <r>
    <x v="2"/>
    <d v="2024-03-27T00:00:00"/>
    <s v="الاربعاء "/>
    <x v="8"/>
    <s v="ممدوح عبد التواب "/>
    <s v="تغيير  واستبدال حساسات التجليد "/>
    <s v="تم العمل"/>
    <d v="1899-12-30T09:00:00"/>
    <d v="1899-12-30T14:00:00"/>
    <n v="0.20833333333333337"/>
    <x v="3"/>
    <n v="5.0000000000000009"/>
  </r>
  <r>
    <x v="2"/>
    <d v="2024-03-27T00:00:00"/>
    <s v="الاربعاء "/>
    <x v="7"/>
    <s v="محمد ماهر "/>
    <s v="مكافحة حشرات "/>
    <s v="تم العمل"/>
    <d v="1899-12-30T12:00:00"/>
    <d v="1899-12-30T13:00:00"/>
    <n v="4.166666666666663E-2"/>
    <x v="1"/>
    <n v="0.99999999999999911"/>
  </r>
  <r>
    <x v="2"/>
    <d v="2024-03-27T00:00:00"/>
    <s v="الاربعاء "/>
    <x v="19"/>
    <s v="حازم عبد الرحيم  "/>
    <s v="رصف ارضيات الشوارع "/>
    <s v="تم العمل"/>
    <d v="1899-12-30T08:00:00"/>
    <d v="1899-12-30T15:00:00"/>
    <n v="0.27079999999999999"/>
    <x v="0"/>
    <n v="6.4992000000000001"/>
  </r>
  <r>
    <x v="2"/>
    <d v="2024-03-28T00:00:00"/>
    <s v="الخميس "/>
    <x v="5"/>
    <s v="محمد خليل   "/>
    <s v="تركيب كابل تكيف "/>
    <s v="تم العمل"/>
    <d v="1899-12-30T10:30:00"/>
    <d v="1899-12-30T14:00:00"/>
    <n v="0.14583333333333337"/>
    <x v="2"/>
    <n v="3.5000000000000009"/>
  </r>
  <r>
    <x v="2"/>
    <d v="2024-03-28T00:00:00"/>
    <s v="الخميس "/>
    <x v="6"/>
    <s v="احمد سلامة "/>
    <s v="عمل لحام  تنكات الاحبار "/>
    <s v="تم العمل"/>
    <d v="1899-12-30T11:00:00"/>
    <d v="1899-12-30T00:00:00"/>
    <n v="0.27079999999999999"/>
    <x v="3"/>
    <n v="6.4992000000000001"/>
  </r>
  <r>
    <x v="2"/>
    <d v="2024-03-28T00:00:00"/>
    <s v="الخميس "/>
    <x v="19"/>
    <s v="حازم عبد الرحيم  "/>
    <s v="رصف ارضيات الشوارع "/>
    <s v="تم العمل"/>
    <d v="1899-12-30T08:00:00"/>
    <d v="1899-12-30T15:00:00"/>
    <n v="0.27079999999999999"/>
    <x v="0"/>
    <n v="6.4992000000000001"/>
  </r>
  <r>
    <x v="2"/>
    <d v="2024-03-28T00:00:00"/>
    <s v="الخميس "/>
    <x v="0"/>
    <s v="مراد صالح  "/>
    <s v="اعمال نقاشة   "/>
    <s v="تم العمل"/>
    <d v="1899-12-30T10:00:00"/>
    <d v="1899-12-30T13:00:00"/>
    <n v="0.27079999999999999"/>
    <x v="0"/>
    <n v="6.4992000000000001"/>
  </r>
  <r>
    <x v="2"/>
    <d v="2024-03-30T00:00:00"/>
    <s v="السبت "/>
    <x v="18"/>
    <s v="فيكتور     "/>
    <s v="صيانة طلمبات الحريق "/>
    <s v="تم العمل"/>
    <d v="1899-12-30T11:30:00"/>
    <d v="1899-12-30T15:30:00"/>
    <n v="0.16666666666666669"/>
    <x v="4"/>
    <n v="4"/>
  </r>
  <r>
    <x v="2"/>
    <d v="2024-03-30T00:00:00"/>
    <s v="السبت "/>
    <x v="18"/>
    <s v="فيكتور     "/>
    <s v="تركيب كاميرات "/>
    <s v="تم العمل"/>
    <d v="1899-12-30T10:00:00"/>
    <d v="1899-12-30T16:00:00"/>
    <n v="0.24999999999999994"/>
    <x v="4"/>
    <n v="5.9999999999999982"/>
  </r>
  <r>
    <x v="2"/>
    <d v="2024-03-30T00:00:00"/>
    <s v="السبت "/>
    <x v="18"/>
    <s v="فيكتور     "/>
    <s v="لحام صيانة باب المخزن "/>
    <s v="تم العمل"/>
    <d v="1899-12-30T10:30:00"/>
    <d v="1899-12-30T15:30:00"/>
    <n v="0.20833333333333337"/>
    <x v="3"/>
    <n v="5.0000000000000009"/>
  </r>
  <r>
    <x v="2"/>
    <d v="2024-03-31T00:00:00"/>
    <s v="الاحد "/>
    <x v="5"/>
    <s v="مجدى كرم  "/>
    <s v="تغير السقف المعلق "/>
    <s v="تم العمل"/>
    <d v="1899-12-30T10:00:00"/>
    <d v="1899-12-30T13:00:00"/>
    <n v="0.12499999999999994"/>
    <x v="6"/>
    <n v="2.9999999999999987"/>
  </r>
  <r>
    <x v="2"/>
    <d v="2024-03-31T00:00:00"/>
    <s v="الاحد "/>
    <x v="19"/>
    <s v="حازم عبد الرحيم  "/>
    <s v="فك خشب"/>
    <s v="تم العمل"/>
    <d v="1899-12-30T11:00:00"/>
    <d v="1899-12-30T13:00:00"/>
    <n v="8.3333333333333315E-2"/>
    <x v="0"/>
    <n v="1.9999999999999996"/>
  </r>
  <r>
    <x v="2"/>
    <d v="2024-03-31T00:00:00"/>
    <s v="الاحد "/>
    <x v="6"/>
    <s v="صابر ابراهيم "/>
    <s v="تعديل ولحام شاسيه"/>
    <s v="تم العمل"/>
    <d v="1899-12-30T12:00:00"/>
    <d v="1899-12-30T15:00:00"/>
    <n v="0.125"/>
    <x v="3"/>
    <n v="3"/>
  </r>
  <r>
    <x v="2"/>
    <d v="2024-03-31T00:00:00"/>
    <s v="الاحد "/>
    <x v="19"/>
    <s v="حازم عبد الرحيم  "/>
    <s v="رصف ارضيات الشوارع "/>
    <s v="تم العمل"/>
    <d v="1899-12-30T08:00:00"/>
    <d v="1899-12-30T14:00:00"/>
    <n v="0.25000000000000006"/>
    <x v="0"/>
    <n v="6.0000000000000018"/>
  </r>
  <r>
    <x v="3"/>
    <d v="2024-04-01T00:00:00"/>
    <s v="الاثنين "/>
    <x v="8"/>
    <s v="عادل شحات"/>
    <s v="الزيارة الشهرية المرور علي لوحات الانزار"/>
    <s v="تم العمل"/>
    <d v="1899-12-30T11:00:00"/>
    <d v="1899-12-30T00:00:00"/>
    <n v="0.27079999999999999"/>
    <x v="1"/>
    <n v="6.4992000000000001"/>
  </r>
  <r>
    <x v="3"/>
    <d v="2024-04-02T00:00:00"/>
    <s v="الاثنين "/>
    <x v="5"/>
    <s v="وائل انور  "/>
    <s v="فك وتغيير وتركيب  السقف المعلق "/>
    <s v="تم العمل"/>
    <d v="1899-12-30T15:00:00"/>
    <d v="1899-12-30T21:00:00"/>
    <n v="0.25"/>
    <x v="3"/>
    <n v="6"/>
  </r>
  <r>
    <x v="3"/>
    <d v="2024-04-01T00:00:00"/>
    <s v="الاثنين "/>
    <x v="19"/>
    <s v="حازم عبد الرحيم  "/>
    <s v="تسوية الارضيه"/>
    <s v="تم العمل"/>
    <d v="1899-12-30T14:00:00"/>
    <d v="1899-12-30T15:00:00"/>
    <n v="4.166666666666663E-2"/>
    <x v="0"/>
    <n v="0.99999999999999911"/>
  </r>
  <r>
    <x v="3"/>
    <d v="2024-04-01T00:00:00"/>
    <s v="الاثنين "/>
    <x v="6"/>
    <s v="احمد بدوي"/>
    <s v="تركيب كاميرات "/>
    <s v="تم العمل"/>
    <d v="1899-12-30T15:45:00"/>
    <d v="1899-12-30T12:00:00"/>
    <n v="0.15625"/>
    <x v="3"/>
    <n v="3.75"/>
  </r>
  <r>
    <x v="3"/>
    <d v="2024-04-01T00:00:00"/>
    <s v="الاثنين "/>
    <x v="8"/>
    <s v="على الشابوري"/>
    <s v="تركيب حساسات"/>
    <s v="تم العمل"/>
    <d v="1899-12-30T10:30:00"/>
    <d v="1899-12-30T13:30:00"/>
    <n v="0.125"/>
    <x v="3"/>
    <n v="0"/>
  </r>
  <r>
    <x v="3"/>
    <d v="2024-04-02T00:00:00"/>
    <s v="الثلاثاء "/>
    <x v="22"/>
    <s v="محمود الدروى "/>
    <s v="صيانة تكييفات"/>
    <s v="تم العمل"/>
    <d v="1899-12-30T10:30:00"/>
    <d v="1899-12-30T13:30:00"/>
    <n v="0.125"/>
    <x v="3"/>
    <n v="3"/>
  </r>
  <r>
    <x v="3"/>
    <d v="2024-04-02T00:00:00"/>
    <s v="الثلاثاء "/>
    <x v="19"/>
    <s v="حازم عبد الرحيم  "/>
    <s v="رصف ارضيات الشوارع "/>
    <s v="تم العمل"/>
    <d v="1899-12-30T09:30:00"/>
    <d v="1899-12-30T15:30:00"/>
    <n v="0.25000000000000006"/>
    <x v="0"/>
    <n v="6.0000000000000018"/>
  </r>
  <r>
    <x v="3"/>
    <d v="2024-04-02T00:00:00"/>
    <s v="الثلاثاء "/>
    <x v="5"/>
    <s v="مجدى كرم  "/>
    <s v="تركيب  السقف المعلق "/>
    <s v="تم العمل"/>
    <d v="1899-12-30T15:00:00"/>
    <d v="1899-12-30T21:00:00"/>
    <n v="0.25"/>
    <x v="6"/>
    <n v="6"/>
  </r>
  <r>
    <x v="3"/>
    <d v="2024-04-03T00:00:00"/>
    <s v="الاربعاء "/>
    <x v="5"/>
    <s v="ادم"/>
    <s v="رصف مدخل بوابة 2"/>
    <s v="تم العمل"/>
    <d v="1899-12-30T11:00:00"/>
    <d v="1899-12-30T12:30:00"/>
    <n v="6.2500000000000056E-2"/>
    <x v="3"/>
    <n v="1.5000000000000013"/>
  </r>
  <r>
    <x v="3"/>
    <d v="2024-04-03T00:00:00"/>
    <s v="الاربعاء "/>
    <x v="7"/>
    <s v="احمد مظهر  "/>
    <s v="الزيارة الدورية للمكافحة الحشرات "/>
    <s v="تم العمل"/>
    <d v="1899-12-30T12:30:00"/>
    <d v="1899-12-30T15:00:00"/>
    <n v="0.10416666666666663"/>
    <x v="3"/>
    <n v="2.4999999999999991"/>
  </r>
  <r>
    <x v="3"/>
    <d v="2024-04-03T00:00:00"/>
    <s v="الاربعاء "/>
    <x v="19"/>
    <s v="حازم عبد الرحيم  "/>
    <s v="استكمال العمل فى رصف ارضيات الشوارع "/>
    <s v="تم العمل"/>
    <d v="1899-12-30T08:00:00"/>
    <d v="1899-12-30T15:00:00"/>
    <n v="0.29166666666666669"/>
    <x v="0"/>
    <n v="7"/>
  </r>
  <r>
    <x v="3"/>
    <d v="2024-04-03T00:00:00"/>
    <s v="الاربعاء "/>
    <x v="28"/>
    <s v="صابر احمد السيد "/>
    <s v="تركيب تشيلر حديد ولحام "/>
    <s v="تم العمل"/>
    <d v="1899-12-30T09:00:00"/>
    <d v="1899-12-30T16:00:00"/>
    <n v="0.29166666666666663"/>
    <x v="3"/>
    <n v="6.9999999999999991"/>
  </r>
  <r>
    <x v="3"/>
    <d v="2024-04-04T00:00:00"/>
    <s v="الخميس "/>
    <x v="28"/>
    <s v="صابر احمد السيد "/>
    <s v="تركيب تشيلر حديد ولحام "/>
    <s v="تم العمل"/>
    <d v="1899-12-30T09:30:00"/>
    <d v="1899-12-30T13:00:00"/>
    <n v="0.14583333333333331"/>
    <x v="3"/>
    <n v="3.4999999999999996"/>
  </r>
  <r>
    <x v="3"/>
    <d v="2024-04-04T00:00:00"/>
    <s v="الخميس "/>
    <x v="19"/>
    <s v="حازم عبد الرحيم  "/>
    <s v="استكمال العمل فى رصف ارضيات الشوارع "/>
    <s v="تم العمل"/>
    <d v="1899-12-30T08:00:00"/>
    <d v="1899-12-30T15:00:00"/>
    <n v="0.29166666666666669"/>
    <x v="0"/>
    <n v="7"/>
  </r>
  <r>
    <x v="3"/>
    <d v="2024-04-06T00:00:00"/>
    <s v="السبت "/>
    <x v="8"/>
    <s v="ممدوح عبد التواب "/>
    <s v="تركيب حساسات"/>
    <s v="تم العمل"/>
    <d v="1899-12-30T10:00:00"/>
    <d v="1899-12-30T17:00:00"/>
    <n v="0.29166666666666669"/>
    <x v="3"/>
    <n v="0"/>
  </r>
  <r>
    <x v="3"/>
    <d v="2024-04-06T00:00:00"/>
    <s v="السبت "/>
    <x v="19"/>
    <s v="عبد الله السعيد "/>
    <s v="استكمال العمل فى رصف ارضيات الشوارع "/>
    <s v="تم العمل"/>
    <d v="1899-12-30T09:00:00"/>
    <d v="1899-12-30T14:00:00"/>
    <n v="0.20833333333333337"/>
    <x v="0"/>
    <n v="5.0000000000000009"/>
  </r>
  <r>
    <x v="3"/>
    <d v="2024-04-06T00:00:00"/>
    <s v="السبت "/>
    <x v="5"/>
    <s v="احمد حسن   "/>
    <s v="دهان المبنى الادارى "/>
    <s v="تم العمل"/>
    <d v="1899-12-30T00:00:00"/>
    <d v="1899-12-30T07:00:00"/>
    <n v="0.29166666666666669"/>
    <x v="6"/>
    <n v="7"/>
  </r>
  <r>
    <x v="3"/>
    <d v="2024-04-07T00:00:00"/>
    <s v="الاحد "/>
    <x v="5"/>
    <s v="احمد حسن   "/>
    <s v="دهان المبنى الادارى "/>
    <s v="تم العمل"/>
    <d v="1899-12-30T09:00:00"/>
    <d v="1899-12-30T21:00:00"/>
    <n v="0.5"/>
    <x v="6"/>
    <n v="12"/>
  </r>
  <r>
    <x v="3"/>
    <d v="2024-04-07T00:00:00"/>
    <s v="الاحد "/>
    <x v="6"/>
    <s v="حسن عبد العظيم    "/>
    <s v="تركيب وصيانة كشافات العنابر "/>
    <s v="تم العمل"/>
    <d v="1899-12-30T13:00:00"/>
    <d v="1899-12-30T16:00:00"/>
    <n v="0.125"/>
    <x v="3"/>
    <n v="3"/>
  </r>
  <r>
    <x v="3"/>
    <d v="2024-04-14T00:00:00"/>
    <s v="الاحد "/>
    <x v="6"/>
    <s v="صابر ابراهيم "/>
    <s v="لحام وتجليخ "/>
    <s v="تم العمل"/>
    <d v="1899-12-30T10:30:00"/>
    <d v="1899-12-30T11:30:00"/>
    <n v="4.1666666666666685E-2"/>
    <x v="3"/>
    <n v="1.0000000000000004"/>
  </r>
  <r>
    <x v="3"/>
    <d v="2024-04-15T00:00:00"/>
    <s v="الاثنين "/>
    <x v="9"/>
    <s v="سامى شعبان  "/>
    <s v="صيانة الكلاركات "/>
    <s v="تم العمل"/>
    <d v="1899-12-30T12:00:00"/>
    <d v="1899-12-30T14:00:00"/>
    <n v="8.333333333333337E-2"/>
    <x v="3"/>
    <n v="2.0000000000000009"/>
  </r>
  <r>
    <x v="3"/>
    <d v="2024-04-16T00:00:00"/>
    <s v="الثلاثاء "/>
    <x v="9"/>
    <s v="سامى شعبان  "/>
    <s v="صيانة الكلاركات "/>
    <s v="تم العمل"/>
    <d v="1899-12-30T12:00:00"/>
    <d v="1899-12-30T15:00:00"/>
    <n v="0.125"/>
    <x v="3"/>
    <n v="3"/>
  </r>
  <r>
    <x v="3"/>
    <d v="2024-04-16T00:00:00"/>
    <s v="الثلاثاء "/>
    <x v="5"/>
    <s v="محمود ابو شادى "/>
    <s v="صبانة حمام الامن بالمبنى الادارى "/>
    <s v="تم العمل"/>
    <d v="1899-12-30T12:00:00"/>
    <d v="1899-12-30T15:00:00"/>
    <n v="0.125"/>
    <x v="0"/>
    <n v="3"/>
  </r>
  <r>
    <x v="3"/>
    <d v="2024-04-16T00:00:00"/>
    <s v="الثلاثاء "/>
    <x v="25"/>
    <s v="فارس خليل "/>
    <s v="اعمال لحام ودهان اعمدة جمالون دويتش  "/>
    <s v="تم العمل"/>
    <d v="1899-12-30T10:00:00"/>
    <d v="1899-12-30T17:00:00"/>
    <n v="0.27079999999999999"/>
    <x v="5"/>
    <n v="6.4992000000000001"/>
  </r>
  <r>
    <x v="3"/>
    <d v="2024-04-16T00:00:00"/>
    <s v="الثلاثاء "/>
    <x v="6"/>
    <s v="صابر ابراهيم "/>
    <s v="ولحام وتجليح بمجرى الدنسر "/>
    <s v="تم العمل"/>
    <d v="1899-12-30T13:00:00"/>
    <d v="1899-12-30T16:00:00"/>
    <n v="0.125"/>
    <x v="3"/>
    <n v="3"/>
  </r>
  <r>
    <x v="3"/>
    <d v="2024-04-17T00:00:00"/>
    <s v="الاربعاء "/>
    <x v="9"/>
    <s v="سامى شعبان  "/>
    <s v="صيانة الكلاركات "/>
    <s v="تم العمل"/>
    <d v="1899-12-30T11:00:00"/>
    <d v="1899-12-30T15:00:00"/>
    <n v="0.16666666666666669"/>
    <x v="3"/>
    <n v="4"/>
  </r>
  <r>
    <x v="3"/>
    <d v="2024-04-17T00:00:00"/>
    <s v="الاربعاء "/>
    <x v="25"/>
    <s v="فارس خليل "/>
    <s v="اعمال لحام ودهان اعمدة جمالون دويتش  "/>
    <s v="تم العمل"/>
    <d v="1899-12-30T10:00:00"/>
    <d v="1899-12-30T17:00:00"/>
    <n v="0.27079999999999999"/>
    <x v="5"/>
    <n v="6.4992000000000001"/>
  </r>
  <r>
    <x v="3"/>
    <d v="2024-04-17T00:00:00"/>
    <s v="الاربعاء "/>
    <x v="5"/>
    <s v="محمد عادل  "/>
    <s v="صيانة كراسى "/>
    <s v="تم العمل"/>
    <d v="1899-12-30T13:00:00"/>
    <d v="1899-12-30T14:00:00"/>
    <n v="4.1666666666666741E-2"/>
    <x v="3"/>
    <n v="1.0000000000000018"/>
  </r>
  <r>
    <x v="3"/>
    <d v="2024-04-17T00:00:00"/>
    <s v="الاربعاء "/>
    <x v="6"/>
    <s v="صابر ابراهيم "/>
    <s v="ولحام وتجليح بمجرى الدنسر "/>
    <s v="تم العمل"/>
    <d v="1899-12-30T13:00:00"/>
    <d v="1899-12-30T16:00:00"/>
    <n v="0.125"/>
    <x v="3"/>
    <n v="3"/>
  </r>
  <r>
    <x v="3"/>
    <d v="2024-04-17T00:00:00"/>
    <s v="الاربعاء "/>
    <x v="7"/>
    <s v="محمد ماهر   "/>
    <s v="الزيارة الدورية للمكافحة الحشرات "/>
    <s v="تم العمل"/>
    <d v="1899-12-30T13:00:00"/>
    <d v="1899-12-30T14:00:00"/>
    <n v="4.1666666666666741E-2"/>
    <x v="4"/>
    <n v="1.0000000000000018"/>
  </r>
  <r>
    <x v="3"/>
    <d v="2024-04-17T00:00:00"/>
    <s v="الاربعاء "/>
    <x v="7"/>
    <s v="محمد ماهر   "/>
    <s v="الزيارة الدورية للمكافحة الحشرات "/>
    <s v="تم العمل"/>
    <d v="1899-12-30T12:00:00"/>
    <d v="1899-12-30T13:00:00"/>
    <n v="4.166666666666663E-2"/>
    <x v="1"/>
    <n v="0.99999999999999911"/>
  </r>
  <r>
    <x v="3"/>
    <d v="2024-04-17T00:00:00"/>
    <s v="الاربعاء "/>
    <x v="29"/>
    <s v="محمد سعيد  "/>
    <s v="دهانات المقاعد بالكفتريا "/>
    <s v="تم العمل"/>
    <d v="1899-12-30T12:30:00"/>
    <d v="1899-12-30T17:00:00"/>
    <n v="0.1875"/>
    <x v="3"/>
    <n v="4.5"/>
  </r>
  <r>
    <x v="3"/>
    <d v="2024-04-17T00:00:00"/>
    <s v="الاربعاء "/>
    <x v="5"/>
    <s v="محمد النقيب "/>
    <s v="عمل صيانة الكهرباء بالعنابر "/>
    <s v="تم العمل"/>
    <d v="1899-12-30T16:00:00"/>
    <d v="1899-12-30T21:00:00"/>
    <n v="0.20833333333333337"/>
    <x v="3"/>
    <n v="5.0000000000000009"/>
  </r>
  <r>
    <x v="3"/>
    <d v="2024-04-17T00:00:00"/>
    <s v="الاربعاء "/>
    <x v="7"/>
    <s v="احمد مظهر  "/>
    <s v="الزيارة الدورية للمكافحة الحشرات "/>
    <s v="تم العمل"/>
    <d v="1899-12-30T12:00:00"/>
    <d v="1899-12-30T15:00:00"/>
    <n v="0.125"/>
    <x v="0"/>
    <n v="3"/>
  </r>
  <r>
    <x v="3"/>
    <d v="2024-04-18T00:00:00"/>
    <s v="الخميس "/>
    <x v="25"/>
    <s v="فارس خليل "/>
    <s v="اعمال لحام ودهان اعمدة جمالون دويتش  "/>
    <s v="تم العمل"/>
    <d v="1899-12-30T10:00:00"/>
    <d v="1899-12-30T17:00:00"/>
    <n v="0.27079999999999999"/>
    <x v="5"/>
    <n v="6.4992000000000001"/>
  </r>
  <r>
    <x v="3"/>
    <d v="2024-04-18T00:00:00"/>
    <s v="الخميس "/>
    <x v="5"/>
    <s v="ياسر  روبى "/>
    <s v="تركيب انتر لوك "/>
    <s v="تم العمل"/>
    <d v="1899-12-30T13:00:00"/>
    <d v="1899-12-30T17:00:00"/>
    <n v="0.16666666666666674"/>
    <x v="3"/>
    <n v="4.0000000000000018"/>
  </r>
  <r>
    <x v="3"/>
    <d v="2024-04-18T00:00:00"/>
    <s v="الخميس "/>
    <x v="13"/>
    <s v="اسلام مصطفى  "/>
    <s v="صيانة ماكينة CTP"/>
    <s v="تم العمل"/>
    <d v="1899-12-30T00:00:00"/>
    <d v="1899-12-30T05:00:00"/>
    <n v="0.20833333333333334"/>
    <x v="3"/>
    <n v="5"/>
  </r>
  <r>
    <x v="3"/>
    <d v="2024-04-18T00:00:00"/>
    <s v="الخميس "/>
    <x v="11"/>
    <s v="محمد رمضان   "/>
    <s v="صيانة الكلاركات "/>
    <s v="تم العمل"/>
    <d v="1899-12-30T10:00:00"/>
    <d v="1899-12-30T16:30:00"/>
    <n v="0.27083333333333331"/>
    <x v="3"/>
    <n v="6.5"/>
  </r>
  <r>
    <x v="3"/>
    <d v="2024-04-18T00:00:00"/>
    <s v="الخميس "/>
    <x v="22"/>
    <s v="محمود عويس "/>
    <s v="صيانة تكييف "/>
    <s v="تم العمل"/>
    <d v="1899-12-30T11:30:00"/>
    <d v="1899-12-30T13:30:00"/>
    <n v="8.3333333333333315E-2"/>
    <x v="3"/>
    <n v="1.9999999999999996"/>
  </r>
  <r>
    <x v="3"/>
    <d v="2024-04-18T00:00:00"/>
    <s v="الخميس "/>
    <x v="5"/>
    <s v="رامى محمد  "/>
    <s v="تركيب فايبر على الشبابيك "/>
    <s v="تم العمل"/>
    <d v="1899-12-30T17:00:00"/>
    <d v="1899-12-30T18:00:00"/>
    <n v="4.166666666666663E-2"/>
    <x v="3"/>
    <n v="0.99999999999999911"/>
  </r>
  <r>
    <x v="3"/>
    <d v="2024-04-18T00:00:00"/>
    <s v="الخميس "/>
    <x v="6"/>
    <s v="محمد مدنى "/>
    <s v="لحام استندات "/>
    <s v="تم العمل"/>
    <d v="1899-12-30T11:00:00"/>
    <d v="1899-12-30T15:00:00"/>
    <n v="0.16666666666666669"/>
    <x v="3"/>
    <n v="4"/>
  </r>
  <r>
    <x v="3"/>
    <d v="2024-04-18T00:00:00"/>
    <s v="الخميس "/>
    <x v="5"/>
    <s v="محمد النقيب "/>
    <s v="عمل صيانة الكهرباء بالعنابر "/>
    <s v="تم العمل"/>
    <d v="1899-12-30T10:00:00"/>
    <d v="1899-12-30T14:00:00"/>
    <n v="0.16666666666666669"/>
    <x v="3"/>
    <n v="4"/>
  </r>
  <r>
    <x v="3"/>
    <d v="2024-04-20T00:00:00"/>
    <s v="السبت "/>
    <x v="25"/>
    <s v="فارس خليل "/>
    <s v="تركيب سلم الطوارىء "/>
    <s v="تم العمل"/>
    <d v="1899-12-30T11:00:00"/>
    <d v="1899-12-30T15:00:00"/>
    <n v="0.27079999999999999"/>
    <x v="1"/>
    <n v="6.4992000000000001"/>
  </r>
  <r>
    <x v="3"/>
    <d v="2024-04-20T00:00:00"/>
    <s v="السبت "/>
    <x v="19"/>
    <s v="حازم عبد الرحيم  "/>
    <s v="عمل معجون بكمر ورصيف السور  "/>
    <s v="تم العمل"/>
    <d v="1899-12-30T11:30:00"/>
    <d v="1899-12-30T16:30:00"/>
    <n v="0.20833333333333331"/>
    <x v="0"/>
    <n v="5"/>
  </r>
  <r>
    <x v="3"/>
    <d v="2024-04-21T00:00:00"/>
    <s v="الاحد "/>
    <x v="16"/>
    <s v="امير رضا  "/>
    <s v="صيانة الكلاركات "/>
    <s v="تم العمل"/>
    <d v="1899-12-30T13:30:00"/>
    <d v="1899-12-30T14:30:00"/>
    <n v="4.166666666666663E-2"/>
    <x v="3"/>
    <n v="0.99999999999999911"/>
  </r>
  <r>
    <x v="3"/>
    <d v="2024-04-21T00:00:00"/>
    <s v="الاحد "/>
    <x v="11"/>
    <s v="محمد رمضان   "/>
    <s v="صيانة الكلاركات "/>
    <s v="تم العمل"/>
    <d v="1899-12-30T15:00:00"/>
    <d v="1899-12-30T18:00:00"/>
    <n v="0.125"/>
    <x v="3"/>
    <n v="3"/>
  </r>
  <r>
    <x v="3"/>
    <d v="2024-04-21T00:00:00"/>
    <s v="الاحد "/>
    <x v="22"/>
    <s v="محمود عويس "/>
    <s v="صيانة تكييف "/>
    <s v="تم العمل"/>
    <d v="1899-12-30T13:00:00"/>
    <d v="1899-12-30T16:00:00"/>
    <n v="0.125"/>
    <x v="3"/>
    <n v="3"/>
  </r>
  <r>
    <x v="3"/>
    <d v="2024-04-21T00:00:00"/>
    <s v="الاحد "/>
    <x v="25"/>
    <s v="فارس خليل "/>
    <s v="تركيب سلم الطوارىء "/>
    <s v="تم العمل"/>
    <d v="1899-12-30T10:00:00"/>
    <d v="1899-12-30T16:00:00"/>
    <n v="0.27079999999999999"/>
    <x v="1"/>
    <n v="6.4992000000000001"/>
  </r>
  <r>
    <x v="3"/>
    <d v="2024-04-21T00:00:00"/>
    <s v="الاحد "/>
    <x v="19"/>
    <s v="حازم عبد الرحيم  "/>
    <s v="فرش طبقة ناعمة على الاسفلت   "/>
    <s v="تم العمل"/>
    <d v="1899-12-30T10:00:00"/>
    <d v="1899-12-30T19:00:00"/>
    <n v="0.37499999999999994"/>
    <x v="1"/>
    <n v="8.9999999999999982"/>
  </r>
  <r>
    <x v="3"/>
    <d v="2024-04-21T00:00:00"/>
    <s v="الاحد "/>
    <x v="16"/>
    <s v="امير رضا  "/>
    <s v="صيانة الكلاركات "/>
    <s v="تم العمل"/>
    <d v="1899-12-30T15:00:00"/>
    <d v="1899-12-30T16:00:00"/>
    <n v="4.166666666666663E-2"/>
    <x v="3"/>
    <n v="0.99999999999999911"/>
  </r>
  <r>
    <x v="3"/>
    <d v="2024-04-21T00:00:00"/>
    <s v="الاحد "/>
    <x v="5"/>
    <s v="محمد النقيب "/>
    <s v="عمل حماية للكبسات التكيف "/>
    <s v="تم العمل"/>
    <d v="1899-12-30T14:00:00"/>
    <d v="1899-12-30T15:00:00"/>
    <n v="4.166666666666663E-2"/>
    <x v="3"/>
    <n v="0.99999999999999911"/>
  </r>
  <r>
    <x v="3"/>
    <d v="2024-04-22T00:00:00"/>
    <s v="الاثنين "/>
    <x v="19"/>
    <s v="حازم عبد الرحيم  "/>
    <s v="دهانات رصيف السور  "/>
    <s v="تم العمل"/>
    <d v="1899-12-30T10:00:00"/>
    <d v="1899-12-30T16:30:00"/>
    <n v="0.27083333333333331"/>
    <x v="1"/>
    <n v="6.5"/>
  </r>
  <r>
    <x v="3"/>
    <d v="2024-04-22T00:00:00"/>
    <s v="الاثنين "/>
    <x v="30"/>
    <s v="معروف محمد "/>
    <s v="صيانة الكمبروسر "/>
    <s v="تم العمل"/>
    <d v="1899-12-30T16:30:00"/>
    <d v="1899-12-30T17:30:00"/>
    <n v="4.166666666666663E-2"/>
    <x v="3"/>
    <n v="0.99999999999999911"/>
  </r>
  <r>
    <x v="3"/>
    <d v="2024-04-22T00:00:00"/>
    <s v="الاثنين "/>
    <x v="22"/>
    <s v="محمود الدروى  "/>
    <s v="صيانة تكييف "/>
    <s v="تم العمل"/>
    <d v="1899-12-30T10:30:00"/>
    <d v="1899-12-30T15:00:00"/>
    <n v="0.1875"/>
    <x v="3"/>
    <n v="4.5"/>
  </r>
  <r>
    <x v="3"/>
    <d v="2024-04-22T00:00:00"/>
    <s v="الاثنين "/>
    <x v="13"/>
    <s v="اسلام مصطفى  "/>
    <s v="صيانةماكينات CTB"/>
    <s v="تم العمل"/>
    <d v="1899-12-30T11:00:00"/>
    <d v="1899-12-30T16:00:00"/>
    <n v="0.20833333333333331"/>
    <x v="3"/>
    <n v="5"/>
  </r>
  <r>
    <x v="3"/>
    <d v="2024-04-22T00:00:00"/>
    <s v="الاثنين "/>
    <x v="6"/>
    <s v="شريف عيد "/>
    <s v="صيانة كشافات الكهرباء "/>
    <s v="تم العمل"/>
    <d v="1899-12-30T10:00:00"/>
    <d v="1899-12-30T16:00:00"/>
    <n v="0.24999999999999994"/>
    <x v="3"/>
    <n v="5.9999999999999982"/>
  </r>
  <r>
    <x v="3"/>
    <d v="2024-04-23T00:00:00"/>
    <s v="الثلاثاء "/>
    <x v="8"/>
    <s v="على  الشابورى "/>
    <s v="تركيب حساسات "/>
    <s v="تم العمل"/>
    <d v="1899-12-30T11:30:00"/>
    <d v="1899-12-30T12:30:00"/>
    <n v="0.27079999999999999"/>
    <x v="3"/>
    <n v="6.4992000000000001"/>
  </r>
  <r>
    <x v="3"/>
    <d v="2024-04-23T00:00:00"/>
    <s v="الثلاثاء "/>
    <x v="31"/>
    <s v="اكرم عياد "/>
    <s v="تركيب يافطة على بوابة المبنى الادارى "/>
    <s v="تم العمل"/>
    <d v="1899-12-30T00:00:00"/>
    <d v="1899-12-30T14:00:00"/>
    <n v="0.27079999999999999"/>
    <x v="3"/>
    <n v="6.4992000000000001"/>
  </r>
  <r>
    <x v="3"/>
    <d v="2024-04-22T00:00:00"/>
    <s v="الثلاثاء "/>
    <x v="19"/>
    <s v="محمد حمزة "/>
    <s v="تثبيت الرامب "/>
    <s v="تم العمل"/>
    <d v="1899-12-30T11:00:00"/>
    <d v="1899-12-30T14:00:00"/>
    <n v="0.12500000000000006"/>
    <x v="1"/>
    <n v="3.0000000000000013"/>
  </r>
  <r>
    <x v="3"/>
    <d v="2024-04-23T00:00:00"/>
    <s v="الثلاثاء "/>
    <x v="25"/>
    <s v="فارس خليل "/>
    <s v="تركيب سلم الطوارىء "/>
    <s v="تم العمل"/>
    <d v="1899-12-30T10:00:00"/>
    <d v="1899-12-30T16:00:00"/>
    <n v="0.27079999999999999"/>
    <x v="1"/>
    <n v="6.4992000000000001"/>
  </r>
  <r>
    <x v="3"/>
    <d v="2024-04-23T00:00:00"/>
    <s v="الثلاثاء "/>
    <x v="11"/>
    <s v="محمد رمضان   "/>
    <s v="صيانة الكلاركات "/>
    <s v="تم العمل"/>
    <d v="1899-12-30T10:00:00"/>
    <d v="1899-12-30T13:00:00"/>
    <n v="0.12499999999999994"/>
    <x v="3"/>
    <n v="2.9999999999999987"/>
  </r>
  <r>
    <x v="3"/>
    <d v="2024-04-23T00:00:00"/>
    <s v="الثلاثاء "/>
    <x v="19"/>
    <s v="حازم عبد الرحيم  "/>
    <s v="دهانات رصيف السور  "/>
    <s v="تم العمل"/>
    <d v="1899-12-30T10:00:00"/>
    <d v="1899-12-30T17:00:00"/>
    <n v="0.29166666666666669"/>
    <x v="0"/>
    <n v="7"/>
  </r>
  <r>
    <x v="3"/>
    <d v="2024-04-24T00:00:00"/>
    <s v="الاربعاء "/>
    <x v="13"/>
    <s v="اسلام مصطفى  "/>
    <s v="صيانةماكينات CTB"/>
    <s v="تم العمل"/>
    <d v="1899-12-30T12:00:00"/>
    <d v="1899-12-30T17:00:00"/>
    <n v="0.20833333333333337"/>
    <x v="3"/>
    <n v="5.0000000000000009"/>
  </r>
  <r>
    <x v="3"/>
    <d v="2024-04-24T00:00:00"/>
    <s v="الاربعاء "/>
    <x v="6"/>
    <s v="حسن عبد العظيم  "/>
    <s v="تغيير كابل الخاص  ايروشر الهواء "/>
    <s v="تم العمل"/>
    <d v="1899-12-30T16:30:00"/>
    <d v="1899-12-30T17:00:00"/>
    <n v="2.083333333333337E-2"/>
    <x v="3"/>
    <n v="0.50000000000000089"/>
  </r>
  <r>
    <x v="3"/>
    <d v="2024-04-24T00:00:00"/>
    <s v="الاربعاء "/>
    <x v="7"/>
    <s v="عمرو مسعد "/>
    <s v="اصطياد قطط بالمطابع "/>
    <s v="تم العمل"/>
    <d v="1899-12-30T19:00:00"/>
    <d v="1899-12-30T22:30:00"/>
    <n v="0.14583333333333337"/>
    <x v="3"/>
    <n v="3.5000000000000009"/>
  </r>
  <r>
    <x v="3"/>
    <d v="2024-04-24T00:00:00"/>
    <s v="الاربعاء "/>
    <x v="7"/>
    <s v="زياد عادل "/>
    <s v="الزيارة الدورية للمكافحة الحشرات "/>
    <s v="تم العمل"/>
    <d v="1899-12-30T11:00:00"/>
    <d v="1899-12-30T17:00:00"/>
    <n v="0.25000000000000006"/>
    <x v="3"/>
    <n v="6.0000000000000018"/>
  </r>
  <r>
    <x v="3"/>
    <d v="2024-04-24T00:00:00"/>
    <s v="الاربعاء "/>
    <x v="25"/>
    <s v="فارس خليل "/>
    <s v="تركيب سلم الطوارىء "/>
    <s v="تم العمل"/>
    <d v="1899-12-30T10:00:00"/>
    <d v="1899-12-30T15:00:00"/>
    <n v="0.27079999999999999"/>
    <x v="1"/>
    <n v="6.4992000000000001"/>
  </r>
  <r>
    <x v="3"/>
    <d v="2024-04-24T00:00:00"/>
    <s v="الاربعاء "/>
    <x v="19"/>
    <s v="حازم عبد الرحيم  "/>
    <s v="تشطيب دهانات رصيف السور  "/>
    <s v="تم العمل"/>
    <d v="1899-12-30T10:00:00"/>
    <d v="1899-12-30T17:00:00"/>
    <n v="0.29166666666666669"/>
    <x v="0"/>
    <n v="7"/>
  </r>
  <r>
    <x v="3"/>
    <d v="2024-04-24T00:00:00"/>
    <s v="الاربعاء "/>
    <x v="5"/>
    <s v="محمد النقيب "/>
    <s v="صيانة الكهرباء بالعنابر "/>
    <s v="تم العمل"/>
    <d v="1899-12-30T16:30:00"/>
    <d v="1899-12-30T20:30:00"/>
    <n v="0.16666666666666663"/>
    <x v="3"/>
    <n v="3.9999999999999991"/>
  </r>
  <r>
    <x v="3"/>
    <d v="2024-04-25T00:00:00"/>
    <s v="الخميس "/>
    <x v="7"/>
    <s v="زياد عادل "/>
    <s v="الزيارة الدورية للمكافحة الحشرات "/>
    <s v="تم العمل"/>
    <d v="1899-12-30T12:00:00"/>
    <d v="1899-12-30T16:00:00"/>
    <n v="0.16666666666666663"/>
    <x v="3"/>
    <n v="3.9999999999999991"/>
  </r>
  <r>
    <x v="3"/>
    <d v="2024-04-25T00:00:00"/>
    <s v="الخميس "/>
    <x v="5"/>
    <s v="محمد كمالى  "/>
    <s v="عمل تشحيم اجهزة التكيف "/>
    <s v="تم العمل"/>
    <d v="1899-12-30T14:30:00"/>
    <d v="1899-12-30T16:00:00"/>
    <n v="6.25E-2"/>
    <x v="3"/>
    <n v="1.5"/>
  </r>
  <r>
    <x v="3"/>
    <d v="2024-04-25T00:00:00"/>
    <s v="الخميس "/>
    <x v="5"/>
    <s v="محمد النقيب "/>
    <s v="صيانة التكيف بغرفة السلفر  "/>
    <s v="تم العمل"/>
    <d v="1899-12-30T10:00:00"/>
    <d v="1899-12-30T11:00:00"/>
    <n v="4.166666666666663E-2"/>
    <x v="3"/>
    <n v="0.99999999999999911"/>
  </r>
  <r>
    <x v="3"/>
    <d v="2024-04-27T00:00:00"/>
    <s v="السبت "/>
    <x v="25"/>
    <s v="فارس خليل "/>
    <s v="تركيب سلم الطوارىء "/>
    <s v="تم العمل"/>
    <d v="1899-12-30T09:30:00"/>
    <d v="1899-12-30T15:00:00"/>
    <n v="0.27079999999999999"/>
    <x v="1"/>
    <n v="6.4992000000000001"/>
  </r>
  <r>
    <x v="3"/>
    <d v="2024-04-27T00:00:00"/>
    <s v="السبت "/>
    <x v="7"/>
    <s v="زياد عادل "/>
    <s v="الزيارة الدورية للمكافحة الحشرات "/>
    <s v="تم العمل"/>
    <d v="1899-12-30T09:30:00"/>
    <d v="1899-12-30T17:00:00"/>
    <n v="0.31250000000000006"/>
    <x v="3"/>
    <n v="7.5000000000000018"/>
  </r>
  <r>
    <x v="3"/>
    <d v="2024-04-28T00:00:00"/>
    <s v="الاحد "/>
    <x v="32"/>
    <s v="ياسر ابراهيم  "/>
    <s v="دهانات الاستندات  بالمخازن"/>
    <s v="تم العمل"/>
    <d v="1899-12-30T12:00:00"/>
    <d v="1899-12-30T17:00:00"/>
    <n v="0.20833333333333337"/>
    <x v="0"/>
    <n v="5.0000000000000009"/>
  </r>
  <r>
    <x v="3"/>
    <d v="2024-04-28T00:00:00"/>
    <s v="الاحد "/>
    <x v="19"/>
    <s v="حازم عبد الرحيم  "/>
    <s v="تشطيب دهانات رصيف السور  "/>
    <s v="تم العمل"/>
    <d v="1899-12-30T10:00:00"/>
    <d v="1899-12-30T16:00:00"/>
    <n v="0.24999999999999994"/>
    <x v="0"/>
    <n v="5.9999999999999982"/>
  </r>
  <r>
    <x v="3"/>
    <d v="2024-04-29T00:00:00"/>
    <s v="الاثنين "/>
    <x v="8"/>
    <s v="ممدوح عبد التواب "/>
    <s v="الزيارة الشهريةعمل صيانة  الحساسات "/>
    <s v="تم العمل"/>
    <d v="1899-12-30T10:00:00"/>
    <d v="1899-12-30T23:30:00"/>
    <n v="0.27079999999999999"/>
    <x v="3"/>
    <n v="6.4992000000000001"/>
  </r>
  <r>
    <x v="3"/>
    <d v="2024-04-29T00:00:00"/>
    <s v="الاثنين "/>
    <x v="32"/>
    <s v="ياسر ابراهيم  "/>
    <s v="دهانات الاستندات  بالمخازن"/>
    <s v="تم العمل"/>
    <d v="1899-12-30T10:00:00"/>
    <d v="1899-12-30T17:00:00"/>
    <n v="0.29166666666666669"/>
    <x v="1"/>
    <n v="7"/>
  </r>
  <r>
    <x v="3"/>
    <d v="2024-04-29T00:00:00"/>
    <s v="الاثنين "/>
    <x v="7"/>
    <s v="محمد ماهر "/>
    <s v="الزيارة الدورية للمكافحة الحشرات "/>
    <s v="تم العمل"/>
    <d v="1899-12-30T10:00:00"/>
    <d v="1899-12-30T11:00:00"/>
    <n v="4.166666666666663E-2"/>
    <x v="1"/>
    <n v="0.99999999999999911"/>
  </r>
  <r>
    <x v="3"/>
    <d v="2024-04-29T00:00:00"/>
    <s v="الاثنين "/>
    <x v="7"/>
    <s v="محمد ماهر "/>
    <s v="الزيارة الدورية للمكافحة الحشرات "/>
    <s v="تم العمل"/>
    <d v="1899-12-30T12:00:00"/>
    <d v="1899-12-30T13:00:00"/>
    <n v="4.166666666666663E-2"/>
    <x v="4"/>
    <n v="0.99999999999999911"/>
  </r>
  <r>
    <x v="3"/>
    <d v="2024-04-30T00:00:00"/>
    <s v="الثلاثاء "/>
    <x v="5"/>
    <s v="محمد النقيب "/>
    <s v="تركيب دكت  اسلاك "/>
    <s v="تم العمل"/>
    <d v="1899-12-30T15:00:00"/>
    <d v="1899-12-30T17:00:00"/>
    <n v="8.333333333333337E-2"/>
    <x v="3"/>
    <n v="2.0000000000000009"/>
  </r>
  <r>
    <x v="3"/>
    <d v="2024-04-30T00:00:00"/>
    <s v="الثلاثاء "/>
    <x v="9"/>
    <s v="سامى شعبان  "/>
    <s v="صيانة الكلاركات "/>
    <s v="تم العمل"/>
    <d v="1899-12-30T11:00:00"/>
    <d v="1899-12-30T14:00:00"/>
    <n v="0.12500000000000006"/>
    <x v="3"/>
    <n v="3.0000000000000013"/>
  </r>
  <r>
    <x v="3"/>
    <d v="2024-04-30T00:00:00"/>
    <s v="الثلاثاء "/>
    <x v="32"/>
    <s v="ياسر ابراهيم  "/>
    <s v="دهانات الاستندات  بالمخازن"/>
    <s v="تم العمل"/>
    <d v="1899-12-30T13:30:00"/>
    <d v="1899-12-30T15:00:00"/>
    <n v="6.25E-2"/>
    <x v="0"/>
    <n v="1.5"/>
  </r>
  <r>
    <x v="3"/>
    <d v="2024-04-30T00:00:00"/>
    <s v="الثلاثاء "/>
    <x v="13"/>
    <s v="اسلام مصطفى  "/>
    <s v="صيانةماكينات CTB"/>
    <s v="تم العمل"/>
    <d v="1899-12-30T13:00:00"/>
    <d v="1899-12-30T17:30:00"/>
    <n v="0.1875"/>
    <x v="3"/>
    <n v="4.5"/>
  </r>
  <r>
    <x v="3"/>
    <d v="2024-04-30T00:00:00"/>
    <s v="الثلاثاء "/>
    <x v="6"/>
    <s v="صابر ابلراهيم "/>
    <s v="تثبيت الرامب "/>
    <s v="تم العمل"/>
    <d v="1899-12-30T11:30:00"/>
    <d v="1899-12-30T13:00:00"/>
    <n v="6.2499999999999944E-2"/>
    <x v="1"/>
    <n v="1.4999999999999987"/>
  </r>
  <r>
    <x v="3"/>
    <d v="2024-04-30T00:00:00"/>
    <s v="الثلاثاء "/>
    <x v="25"/>
    <s v="فارس خليل "/>
    <s v="تركيب سلم الطوارىء "/>
    <s v="تم العمل"/>
    <d v="1899-12-30T09:30:00"/>
    <d v="1899-12-30T15:30:00"/>
    <n v="0.27079999999999999"/>
    <x v="1"/>
    <n v="6.4992000000000001"/>
  </r>
  <r>
    <x v="3"/>
    <d v="2024-04-30T00:00:00"/>
    <s v="الثلاثاء "/>
    <x v="33"/>
    <s v="محمد  حمزة "/>
    <s v="تثبيت الرامب "/>
    <s v="تم العمل"/>
    <d v="1899-12-30T10:00:00"/>
    <d v="1899-12-30T12:00:00"/>
    <n v="8.3333333333333315E-2"/>
    <x v="1"/>
    <n v="1.9999999999999996"/>
  </r>
  <r>
    <x v="3"/>
    <d v="2024-04-30T00:00:00"/>
    <s v="الثلاثاء "/>
    <x v="22"/>
    <s v="محمودعويس   "/>
    <s v="صيانة تكييف "/>
    <s v="تم العمل"/>
    <d v="1899-12-30T10:30:00"/>
    <d v="1899-12-30T17:30:00"/>
    <n v="0.29166666666666663"/>
    <x v="3"/>
    <n v="6.9999999999999991"/>
  </r>
  <r>
    <x v="4"/>
    <d v="2024-05-01T00:00:00"/>
    <s v="الاربعاء "/>
    <x v="22"/>
    <s v="محمودالدروى    "/>
    <s v="صيانة تكييف "/>
    <s v="تم العمل"/>
    <d v="1899-12-30T11:00:00"/>
    <d v="1899-12-30T16:00:00"/>
    <n v="0.20833333333333331"/>
    <x v="3"/>
    <n v="5"/>
  </r>
  <r>
    <x v="4"/>
    <d v="2024-05-01T00:00:00"/>
    <s v="الاربعاء "/>
    <x v="31"/>
    <s v="مصطفى شاكر    "/>
    <s v="تركيب لوحة استلس "/>
    <s v="تم العمل"/>
    <d v="1899-12-30T11:00:00"/>
    <d v="1899-12-30T14:00:00"/>
    <n v="0.12500000000000006"/>
    <x v="3"/>
    <n v="3.0000000000000013"/>
  </r>
  <r>
    <x v="4"/>
    <d v="2024-05-01T00:00:00"/>
    <s v="الاربعاء "/>
    <x v="5"/>
    <s v="محمد النقيب "/>
    <s v="تركيب لمبات بيان فى الحمامات "/>
    <s v="تم العمل"/>
    <d v="1899-12-30T11:00:00"/>
    <d v="1899-12-30T15:00:00"/>
    <n v="0.16666666666666669"/>
    <x v="3"/>
    <n v="4"/>
  </r>
  <r>
    <x v="4"/>
    <d v="2024-05-01T00:00:00"/>
    <s v="الاربعاء "/>
    <x v="32"/>
    <s v="ياسر ابراهيم  "/>
    <s v="تثبيت  الاستندات  "/>
    <s v="تم العمل"/>
    <d v="1899-12-30T14:00:00"/>
    <d v="1899-12-30T17:00:00"/>
    <n v="0.125"/>
    <x v="0"/>
    <n v="3"/>
  </r>
  <r>
    <x v="4"/>
    <d v="2024-05-02T00:00:00"/>
    <s v="الخميس "/>
    <x v="16"/>
    <s v="امير رضا  "/>
    <s v="صيانة الكلاركات "/>
    <s v="تم العمل"/>
    <d v="1899-12-30T15:00:00"/>
    <d v="1899-12-30T16:00:00"/>
    <n v="4.166666666666663E-2"/>
    <x v="3"/>
    <n v="0.99999999999999911"/>
  </r>
  <r>
    <x v="4"/>
    <d v="2024-05-02T00:00:00"/>
    <s v="الخميس "/>
    <x v="18"/>
    <s v="فيكتور     "/>
    <s v="أختبار طلمبات الحريق "/>
    <s v="تم العمل"/>
    <d v="1899-12-30T12:00:00"/>
    <d v="1899-12-30T13:00:00"/>
    <n v="4.166666666666663E-2"/>
    <x v="4"/>
    <n v="0.99999999999999911"/>
  </r>
  <r>
    <x v="4"/>
    <d v="2024-05-02T00:00:00"/>
    <s v="الخميس "/>
    <x v="5"/>
    <s v="محمد النقيب "/>
    <s v="تركيب لمبات بيان فى الحمامات "/>
    <s v="تم العمل"/>
    <d v="1899-12-30T14:30:00"/>
    <d v="1899-12-30T16:00:00"/>
    <n v="6.25E-2"/>
    <x v="3"/>
    <n v="1.5"/>
  </r>
  <r>
    <x v="4"/>
    <d v="2024-05-02T00:00:00"/>
    <s v="الخميس "/>
    <x v="18"/>
    <s v="فيكتور     "/>
    <s v="المرور على الديزل والطلمبات "/>
    <s v="تم العمل"/>
    <d v="1899-12-30T11:00:00"/>
    <d v="1899-12-30T12:00:00"/>
    <n v="4.1666666666666685E-2"/>
    <x v="4"/>
    <n v="1.0000000000000004"/>
  </r>
  <r>
    <x v="4"/>
    <d v="2024-05-02T00:00:00"/>
    <s v="الخميس "/>
    <x v="34"/>
    <s v="وائل جودة   "/>
    <s v="احلال وتجديد السقف "/>
    <s v="تم العمل"/>
    <d v="1899-12-30T09:00:00"/>
    <d v="1899-12-30T14:00:00"/>
    <n v="0.20833333333333337"/>
    <x v="5"/>
    <n v="5.0000000000000009"/>
  </r>
  <r>
    <x v="4"/>
    <d v="2024-05-03T00:00:00"/>
    <s v="الجمعة "/>
    <x v="5"/>
    <s v="احمد حسن  "/>
    <s v="صيانة الابواب الامونتيال "/>
    <s v="تم العمل"/>
    <d v="1899-12-30T12:00:00"/>
    <d v="1899-12-30T23:30:00"/>
    <n v="0.47916666666666663"/>
    <x v="6"/>
    <n v="11.5"/>
  </r>
  <r>
    <x v="4"/>
    <d v="2024-05-04T00:00:00"/>
    <s v="السبت "/>
    <x v="25"/>
    <s v="فارس خليل "/>
    <s v="تركيب سلم الطوارىء "/>
    <s v="تم العمل"/>
    <d v="1899-12-30T10:00:00"/>
    <d v="1899-12-30T15:00:00"/>
    <n v="0.27079999999999999"/>
    <x v="1"/>
    <n v="6.4992000000000001"/>
  </r>
  <r>
    <x v="4"/>
    <d v="2024-05-05T00:00:00"/>
    <s v="الاحد "/>
    <x v="13"/>
    <s v="اسلام مصطفى  "/>
    <s v="صيانةماكينات CTB"/>
    <s v="تم العمل"/>
    <d v="1899-12-30T12:00:00"/>
    <d v="1899-12-30T17:00:00"/>
    <n v="0.20833333333333337"/>
    <x v="3"/>
    <n v="5.0000000000000009"/>
  </r>
  <r>
    <x v="4"/>
    <d v="2024-05-05T00:00:00"/>
    <s v="الاحد "/>
    <x v="35"/>
    <s v="السعيد متولى  "/>
    <s v="تركيب كمبروسون التبريد "/>
    <s v="تم العمل"/>
    <d v="1899-12-30T14:30:00"/>
    <d v="1899-12-30T17:30:00"/>
    <n v="0.125"/>
    <x v="3"/>
    <n v="3"/>
  </r>
  <r>
    <x v="4"/>
    <d v="2024-05-05T00:00:00"/>
    <s v="الاحد "/>
    <x v="0"/>
    <s v="فارس خليل "/>
    <s v="تركيب سلم الطوارىء "/>
    <s v="تم العمل"/>
    <d v="1899-12-30T09:30:00"/>
    <d v="1899-12-30T15:00:00"/>
    <n v="0.27079999999999999"/>
    <x v="1"/>
    <n v="6.4992000000000001"/>
  </r>
  <r>
    <x v="4"/>
    <d v="2024-05-07T00:00:00"/>
    <s v="الثلاثاء "/>
    <x v="22"/>
    <s v="محمودالدروى    "/>
    <s v="صيانة تكييف باعنبر الطباعة "/>
    <s v="تم العمل"/>
    <d v="1899-12-30T11:00:00"/>
    <d v="1899-12-30T14:00:00"/>
    <n v="0.12500000000000006"/>
    <x v="3"/>
    <n v="3.0000000000000013"/>
  </r>
  <r>
    <x v="4"/>
    <d v="2024-05-07T00:00:00"/>
    <s v="الثلاثاء "/>
    <x v="25"/>
    <s v="فارس خليل "/>
    <s v="تجميع كمر ودهان "/>
    <s v="تم العمل"/>
    <d v="1899-12-30T09:00:00"/>
    <d v="1899-12-30T15:00:00"/>
    <n v="0.27079999999999999"/>
    <x v="5"/>
    <n v="6.4992000000000001"/>
  </r>
  <r>
    <x v="4"/>
    <d v="2024-05-07T00:00:00"/>
    <s v="الثلاثاء "/>
    <x v="8"/>
    <s v="ابو المجد السورى "/>
    <s v="الزيارة الشهرية عمل صيانة  لخط الحريق "/>
    <s v="تم العمل"/>
    <d v="1899-12-30T10:00:00"/>
    <d v="1899-12-30T15:00:00"/>
    <n v="0.27079999999999999"/>
    <x v="1"/>
    <n v="6.4992000000000001"/>
  </r>
  <r>
    <x v="4"/>
    <d v="2024-05-07T00:00:00"/>
    <s v="الثلاثاء "/>
    <x v="5"/>
    <s v="محمد النقيب "/>
    <s v="صيانة الكهرباء بالشوارع "/>
    <s v="تم العمل"/>
    <d v="1899-12-30T11:00:00"/>
    <d v="1899-12-30T17:00:00"/>
    <n v="0.25000000000000006"/>
    <x v="3"/>
    <n v="6.0000000000000018"/>
  </r>
  <r>
    <x v="4"/>
    <d v="2024-05-07T00:00:00"/>
    <s v="الثلاثاء "/>
    <x v="29"/>
    <s v="محمد عبالعزيز "/>
    <s v="لحام طربيزات مطبخ الكفتريا "/>
    <s v="تم العمل"/>
    <d v="1899-12-30T16:30:00"/>
    <d v="1899-12-30T19:00:00"/>
    <n v="0.10416666666666663"/>
    <x v="3"/>
    <n v="2.4999999999999991"/>
  </r>
  <r>
    <x v="4"/>
    <d v="2024-05-08T00:00:00"/>
    <s v="الاربعاء "/>
    <x v="5"/>
    <s v="محمد النقيب "/>
    <s v="صيانة كشافات المخزن "/>
    <s v="تم العمل"/>
    <d v="1899-12-30T12:00:00"/>
    <d v="1899-12-30T17:00:00"/>
    <n v="0.20833333333333337"/>
    <x v="3"/>
    <n v="5.0000000000000009"/>
  </r>
  <r>
    <x v="4"/>
    <d v="2024-05-08T00:00:00"/>
    <s v="الاربعاء "/>
    <x v="25"/>
    <s v="فارس خليل "/>
    <s v="تركيب سلم الطوارىء "/>
    <s v="تم العمل"/>
    <d v="1899-12-30T10:00:00"/>
    <d v="1899-12-30T14:00:00"/>
    <n v="0.27079999999999999"/>
    <x v="1"/>
    <n v="6.4992000000000001"/>
  </r>
  <r>
    <x v="4"/>
    <d v="2024-05-08T00:00:00"/>
    <s v="الاربعاء "/>
    <x v="22"/>
    <s v="محمودالدروى    "/>
    <s v="صيانة تكييف باعنبر الطباعة "/>
    <s v="تم العمل"/>
    <d v="1899-12-30T11:30:00"/>
    <d v="1899-12-30T14:00:00"/>
    <n v="0.10416666666666669"/>
    <x v="3"/>
    <n v="2.5000000000000004"/>
  </r>
  <r>
    <x v="4"/>
    <d v="2024-05-08T00:00:00"/>
    <s v="الاربعاء "/>
    <x v="25"/>
    <s v="فارس خليل "/>
    <s v="صنفرة ودهان "/>
    <s v="تم العمل"/>
    <d v="1899-12-30T09:00:00"/>
    <d v="1899-12-30T17:00:00"/>
    <n v="0.27079999999999999"/>
    <x v="1"/>
    <n v="6.4992000000000001"/>
  </r>
  <r>
    <x v="4"/>
    <d v="2024-05-08T00:00:00"/>
    <s v="الاربعاء "/>
    <x v="5"/>
    <s v="مصطفى صلاح "/>
    <s v="صيانة واصلاح الكراسى الادارية "/>
    <s v="تم العمل"/>
    <d v="1899-12-30T10:30:00"/>
    <d v="1899-12-30T17:30:00"/>
    <n v="8.3299999999999999E-2"/>
    <x v="3"/>
    <n v="2"/>
  </r>
  <r>
    <x v="4"/>
    <d v="2024-05-09T00:00:00"/>
    <s v="الخميس "/>
    <x v="22"/>
    <s v="محمودالدروى    "/>
    <s v="صيانة تكييف "/>
    <s v="تم العمل"/>
    <d v="1899-12-30T11:30:00"/>
    <d v="1899-12-30T12:00:00"/>
    <n v="2.0833333333333315E-2"/>
    <x v="3"/>
    <n v="0.49999999999999956"/>
  </r>
  <r>
    <x v="4"/>
    <d v="2024-05-09T00:00:00"/>
    <s v="الخميس "/>
    <x v="25"/>
    <s v="فارس خليل "/>
    <s v="صنفرة ودهان "/>
    <s v="تم العمل"/>
    <d v="1899-12-30T09:00:00"/>
    <d v="1899-12-30T17:00:00"/>
    <n v="0.27079999999999999"/>
    <x v="1"/>
    <n v="6.4992000000000001"/>
  </r>
  <r>
    <x v="4"/>
    <d v="2024-05-09T00:00:00"/>
    <s v="الخميس "/>
    <x v="25"/>
    <s v="فارس خليل "/>
    <s v="تركيب سلم الطوارىء "/>
    <s v="تم العمل"/>
    <d v="1899-12-30T10:00:00"/>
    <d v="1899-12-30T15:00:00"/>
    <n v="0.27079999999999999"/>
    <x v="1"/>
    <n v="6.4992000000000001"/>
  </r>
  <r>
    <x v="4"/>
    <d v="2024-05-11T00:00:00"/>
    <s v="السبت "/>
    <x v="7"/>
    <s v="محمد ماهر "/>
    <s v="الزيارة الشهرية  ورش مبيت الامن "/>
    <s v="تم العمل"/>
    <d v="1899-12-30T11:30:00"/>
    <d v="1899-12-30T14:00:00"/>
    <n v="0.10416666666666669"/>
    <x v="3"/>
    <n v="2.5000000000000004"/>
  </r>
  <r>
    <x v="4"/>
    <d v="2024-05-11T00:00:00"/>
    <s v="السبت "/>
    <x v="22"/>
    <s v="محمودالدروى    "/>
    <s v="صيانة تكييف "/>
    <s v="تم العمل"/>
    <d v="1899-12-30T12:00:00"/>
    <d v="1899-12-30T17:30:00"/>
    <n v="0.22916666666666663"/>
    <x v="3"/>
    <n v="5.4999999999999991"/>
  </r>
  <r>
    <x v="4"/>
    <d v="2024-05-12T00:00:00"/>
    <s v="الاحد "/>
    <x v="32"/>
    <s v="محمد مدنى "/>
    <s v="تركيب عجل استندات  "/>
    <s v="تم العمل"/>
    <d v="1899-12-30T00:00:00"/>
    <d v="1899-12-30T15:00:00"/>
    <n v="0.27079999999999999"/>
    <x v="1"/>
    <n v="6.4992000000000001"/>
  </r>
  <r>
    <x v="4"/>
    <d v="2024-05-12T00:00:00"/>
    <s v="الاحد "/>
    <x v="25"/>
    <s v="فارس خليل "/>
    <s v="تركيب سلم الطوارىء "/>
    <s v="تم العمل"/>
    <d v="1899-12-30T10:00:00"/>
    <d v="1899-12-30T15:00:00"/>
    <n v="0.27079999999999999"/>
    <x v="1"/>
    <n v="6.4992000000000001"/>
  </r>
  <r>
    <x v="4"/>
    <d v="2024-05-12T00:00:00"/>
    <s v="الاحد "/>
    <x v="5"/>
    <s v="مجدى كرم  "/>
    <s v="دهانات المخزن المدرسى "/>
    <s v="تم العمل"/>
    <d v="1899-12-30T10:00:00"/>
    <d v="1899-12-30T20:00:00"/>
    <n v="0.41666666666666669"/>
    <x v="6"/>
    <n v="10"/>
  </r>
  <r>
    <x v="4"/>
    <d v="2024-05-12T00:00:00"/>
    <s v="الاحد "/>
    <x v="25"/>
    <s v="فارس خليل "/>
    <s v="صنفرة وتجليخ "/>
    <s v="تم العمل"/>
    <d v="1899-12-30T09:00:00"/>
    <d v="1899-12-30T16:00:00"/>
    <n v="0.27079999999999999"/>
    <x v="1"/>
    <n v="6.4992000000000001"/>
  </r>
  <r>
    <x v="4"/>
    <d v="2024-05-13T00:00:00"/>
    <s v="الاثنين "/>
    <x v="5"/>
    <s v="السيد عبد الله  "/>
    <s v="دهانات المخزن المدرسى "/>
    <s v="تم العمل"/>
    <d v="1899-12-30T10:00:00"/>
    <d v="1899-12-30T22:00:00"/>
    <n v="0.49999999999999994"/>
    <x v="3"/>
    <n v="11.999999999999998"/>
  </r>
  <r>
    <x v="4"/>
    <d v="2024-05-13T00:00:00"/>
    <s v="الاثنين "/>
    <x v="8"/>
    <s v="على الشحات "/>
    <s v="الزيارة الشهرية والمرور على لوحة الانزار "/>
    <s v="تم العمل"/>
    <d v="1899-12-30T00:00:00"/>
    <d v="1899-12-30T13:00:00"/>
    <n v="0.27079999999999999"/>
    <x v="1"/>
    <n v="6.4992000000000001"/>
  </r>
  <r>
    <x v="4"/>
    <d v="2024-05-13T00:00:00"/>
    <s v="الاثنين "/>
    <x v="25"/>
    <s v="فارس خليل "/>
    <s v="تركيب سلم الطوارىء "/>
    <s v="تم العمل"/>
    <d v="1899-12-30T10:00:00"/>
    <d v="1899-12-30T15:00:00"/>
    <n v="0.27079999999999999"/>
    <x v="1"/>
    <n v="6.4992000000000001"/>
  </r>
  <r>
    <x v="4"/>
    <d v="2024-05-13T00:00:00"/>
    <s v="الاثنين "/>
    <x v="8"/>
    <s v="على الشحات "/>
    <s v=" الزيارة الشهرية وتغيير بطاريات لوحات الانزار"/>
    <s v="تم العمل"/>
    <d v="1899-12-30T10:00:00"/>
    <d v="1899-12-30T13:00:00"/>
    <n v="0.27079999999999999"/>
    <x v="0"/>
    <n v="6.4992000000000001"/>
  </r>
  <r>
    <x v="4"/>
    <d v="2024-05-13T00:00:00"/>
    <s v="الاثنين "/>
    <x v="3"/>
    <s v="محمد احمد    "/>
    <s v="صيانة خط النت "/>
    <s v="تم العمل"/>
    <d v="1899-12-30T12:30:00"/>
    <d v="1899-12-30T15:00:00"/>
    <n v="0.10416666666666663"/>
    <x v="2"/>
    <n v="2.4999999999999991"/>
  </r>
  <r>
    <x v="4"/>
    <d v="2024-05-13T00:00:00"/>
    <s v="الاثنين "/>
    <x v="6"/>
    <s v="كمال مرسى "/>
    <s v="أعمال صيانة "/>
    <s v="تم العمل"/>
    <d v="1899-12-30T11:30:00"/>
    <d v="1899-12-30T13:30:00"/>
    <n v="8.3333333333333315E-2"/>
    <x v="3"/>
    <n v="1.9999999999999996"/>
  </r>
  <r>
    <x v="4"/>
    <d v="2024-05-14T00:00:00"/>
    <s v="الثلاثاء "/>
    <x v="6"/>
    <s v="صابر ابلراهيم "/>
    <s v="لحام سلم اشراف الويب "/>
    <s v="تم العمل"/>
    <d v="1899-12-30T11:30:00"/>
    <d v="1899-12-30T12:00:00"/>
    <n v="2.0833333333333315E-2"/>
    <x v="3"/>
    <n v="0.49999999999999956"/>
  </r>
  <r>
    <x v="4"/>
    <d v="2024-05-14T00:00:00"/>
    <s v="الثلاثاء "/>
    <x v="5"/>
    <s v="رامى محمد  "/>
    <s v="دهانات المخزن المدرسى "/>
    <s v="تم العمل"/>
    <d v="1899-12-30T10:30:00"/>
    <d v="1899-12-30T15:00:00"/>
    <n v="0.1875"/>
    <x v="0"/>
    <n v="4.5"/>
  </r>
  <r>
    <x v="4"/>
    <d v="2024-05-14T00:00:00"/>
    <s v="الثلاثاء "/>
    <x v="16"/>
    <s v="امير رضا  "/>
    <s v="صيانة الكلاركات "/>
    <s v="تم العمل"/>
    <d v="1899-12-30T13:00:00"/>
    <d v="1899-12-30T15:00:00"/>
    <n v="8.333333333333337E-2"/>
    <x v="3"/>
    <n v="2.0000000000000009"/>
  </r>
  <r>
    <x v="4"/>
    <d v="2024-05-14T00:00:00"/>
    <s v="الثلاثاء "/>
    <x v="25"/>
    <s v="فارس خليل "/>
    <s v="تركيب سلم الطوارىء "/>
    <s v="تم العمل"/>
    <d v="1899-12-30T10:00:00"/>
    <d v="1899-12-30T15:00:00"/>
    <n v="0.27079999999999999"/>
    <x v="1"/>
    <n v="6.4992000000000001"/>
  </r>
  <r>
    <x v="4"/>
    <d v="2024-05-14T00:00:00"/>
    <s v="الثلاثاء "/>
    <x v="5"/>
    <s v="السيد عبد الله  "/>
    <s v="دهانات المخزن المدرسى "/>
    <s v="تم العمل"/>
    <d v="1899-12-30T10:00:00"/>
    <d v="1899-12-30T22:00:00"/>
    <n v="0.49999999999999994"/>
    <x v="3"/>
    <n v="11.999999999999998"/>
  </r>
  <r>
    <x v="4"/>
    <d v="2024-05-14T00:00:00"/>
    <s v="الثلاثاء "/>
    <x v="5"/>
    <s v="تامر احمد   "/>
    <s v="اصلاح وصيانة الكولدير "/>
    <s v="تم العمل"/>
    <d v="1899-12-30T17:00:00"/>
    <d v="1899-12-30T18:00:00"/>
    <n v="4.166666666666663E-2"/>
    <x v="3"/>
    <n v="0.99999999999999911"/>
  </r>
  <r>
    <x v="4"/>
    <d v="2024-05-14T00:00:00"/>
    <s v="الثلاثاء "/>
    <x v="36"/>
    <s v="اسامة فتحى   "/>
    <s v="فك وتركيب صاج سقف  عنبر دويتش "/>
    <s v="تم العمل"/>
    <d v="1899-12-30T10:00:00"/>
    <d v="1899-12-30T20:00:00"/>
    <n v="0.41666666666666669"/>
    <x v="5"/>
    <n v="10"/>
  </r>
  <r>
    <x v="4"/>
    <d v="2024-05-14T00:00:00"/>
    <s v="الثلاثاء "/>
    <x v="10"/>
    <s v="احمد فرج    "/>
    <s v="تركيب فراشة بالشارع  "/>
    <s v="تم العمل"/>
    <d v="1899-12-30T11:00:00"/>
    <d v="1899-12-30T17:00:00"/>
    <n v="0.25000000000000006"/>
    <x v="0"/>
    <n v="6.0000000000000018"/>
  </r>
  <r>
    <x v="4"/>
    <d v="2024-05-15T00:00:00"/>
    <s v="الاربعاء "/>
    <x v="6"/>
    <s v="صابر ابلراهيم "/>
    <s v="لحام بجوار ويب  8"/>
    <s v="تم العمل"/>
    <d v="1899-12-30T12:30:00"/>
    <d v="1899-12-30T15:00:00"/>
    <n v="0.10416666666666663"/>
    <x v="3"/>
    <n v="2.4999999999999991"/>
  </r>
  <r>
    <x v="4"/>
    <d v="2024-05-15T00:00:00"/>
    <s v="الاربعاء "/>
    <x v="36"/>
    <s v="اسامة فتحى   "/>
    <s v="فك وتركيب صاج سقف  عنبر دويتش "/>
    <s v="رفض الأعمال"/>
    <d v="1899-12-30T10:00:00"/>
    <d v="1899-12-30T11:00:00"/>
    <n v="4.166666666666663E-2"/>
    <x v="5"/>
    <n v="0.99999999999999911"/>
  </r>
  <r>
    <x v="4"/>
    <d v="2024-05-15T00:00:00"/>
    <s v="الاربعاء "/>
    <x v="6"/>
    <s v="شريف عيد"/>
    <s v="توصيل كهرباء الرامب "/>
    <s v="تم العمل"/>
    <d v="1899-12-30T10:00:00"/>
    <d v="1899-12-30T15:00:00"/>
    <n v="0.20833333333333331"/>
    <x v="1"/>
    <n v="5"/>
  </r>
  <r>
    <x v="4"/>
    <d v="2024-05-15T00:00:00"/>
    <s v="الاربعاء "/>
    <x v="7"/>
    <s v="محمد مهنى  "/>
    <s v="الزيارة الشهرية ومكافحة القورض والحشرات"/>
    <s v="تم العمل"/>
    <d v="1899-12-30T11:30:00"/>
    <d v="1899-12-30T12:00:00"/>
    <n v="2.0833333333333315E-2"/>
    <x v="1"/>
    <n v="0.49999999999999956"/>
  </r>
  <r>
    <x v="4"/>
    <d v="2024-05-15T00:00:00"/>
    <s v="الاربعاء "/>
    <x v="10"/>
    <s v="احمد فرج    "/>
    <s v="تركيب فراشة بالشارع  "/>
    <s v="تم العمل"/>
    <d v="1899-12-30T11:00:00"/>
    <d v="1899-12-30T14:30:00"/>
    <n v="0.14583333333333331"/>
    <x v="0"/>
    <n v="3.4999999999999996"/>
  </r>
  <r>
    <x v="4"/>
    <d v="2024-05-16T00:00:00"/>
    <s v="الخميس "/>
    <x v="5"/>
    <s v="حسن احمد  "/>
    <s v="دهانات المخزن المدرسى "/>
    <s v="تم العمل"/>
    <d v="1899-12-30T09:00:00"/>
    <d v="1899-12-30T21:00:00"/>
    <n v="0.5"/>
    <x v="6"/>
    <n v="12"/>
  </r>
  <r>
    <x v="4"/>
    <d v="2024-05-17T00:00:00"/>
    <s v="الجمعة "/>
    <x v="5"/>
    <s v="حسن احمد  "/>
    <s v="دهانات المخزن المدرسى "/>
    <s v="تم العمل"/>
    <d v="1899-12-30T09:00:00"/>
    <d v="1899-12-30T19:00:00"/>
    <n v="0.41666666666666663"/>
    <x v="6"/>
    <n v="10"/>
  </r>
  <r>
    <x v="4"/>
    <d v="2024-05-17T00:00:00"/>
    <s v="الجمعة "/>
    <x v="37"/>
    <s v="اسلام مفرح "/>
    <s v="تركيب كابل فايبر  "/>
    <s v="تم العمل"/>
    <d v="1899-12-30T09:00:00"/>
    <d v="1899-12-30T16:00:00"/>
    <n v="0.29166666666666663"/>
    <x v="2"/>
    <n v="6.9999999999999991"/>
  </r>
  <r>
    <x v="4"/>
    <d v="2024-05-17T00:00:00"/>
    <s v="الجمعة "/>
    <x v="2"/>
    <s v="كمال احمد "/>
    <s v="تركيب كابل فايبر  "/>
    <s v="تم العمل"/>
    <d v="1899-12-30T11:00:00"/>
    <d v="1899-12-30T18:30:00"/>
    <n v="0.31250000000000006"/>
    <x v="2"/>
    <n v="7.5000000000000018"/>
  </r>
  <r>
    <x v="4"/>
    <d v="2024-05-18T00:00:00"/>
    <s v="السبت "/>
    <x v="37"/>
    <s v="اسلام مفرح "/>
    <s v="تركيب كابل فايبر  "/>
    <s v="تم العمل"/>
    <d v="1899-12-30T12:00:00"/>
    <d v="1899-12-30T18:30:00"/>
    <n v="0.27083333333333337"/>
    <x v="2"/>
    <n v="6.5000000000000009"/>
  </r>
  <r>
    <x v="4"/>
    <d v="2024-05-18T00:00:00"/>
    <s v="السبت "/>
    <x v="5"/>
    <s v="مصطفى صلاح   "/>
    <s v="صيانة كراسى المكاتب الادالرية "/>
    <s v="تم العمل"/>
    <d v="1899-12-30T15:00:00"/>
    <d v="1899-12-30T22:00:00"/>
    <n v="0.29166666666666663"/>
    <x v="3"/>
    <n v="6.9999999999999991"/>
  </r>
  <r>
    <x v="4"/>
    <d v="2024-05-18T00:00:00"/>
    <s v="السبت "/>
    <x v="0"/>
    <s v="مراد  صالح "/>
    <s v="تركيب سلم الطوارىء "/>
    <s v="تم العمل"/>
    <d v="1899-12-30T09:30:00"/>
    <d v="1899-12-30T15:00:00"/>
    <n v="0.27079999999999999"/>
    <x v="1"/>
    <n v="6.4992000000000001"/>
  </r>
  <r>
    <x v="4"/>
    <d v="2024-05-18T00:00:00"/>
    <s v="السبت "/>
    <x v="22"/>
    <s v="محمودالدروى    "/>
    <s v="صيانة تكييف "/>
    <s v="تم العمل"/>
    <d v="1899-12-30T10:30:00"/>
    <d v="1899-12-30T12:00:00"/>
    <n v="6.25E-2"/>
    <x v="3"/>
    <n v="1.5"/>
  </r>
  <r>
    <x v="4"/>
    <d v="2024-05-18T00:00:00"/>
    <s v="السبت "/>
    <x v="5"/>
    <s v="احمد عبد المنعم"/>
    <s v="تلقيح النخل ونظافتة  "/>
    <s v="تم العمل"/>
    <d v="1899-12-30T10:30:00"/>
    <d v="1899-12-30T12:00:00"/>
    <n v="6.25E-2"/>
    <x v="3"/>
    <n v="1.5"/>
  </r>
  <r>
    <x v="4"/>
    <d v="2024-05-19T00:00:00"/>
    <s v="الاحد "/>
    <x v="22"/>
    <s v="محمودالدروى    "/>
    <s v="صيانة تكييف "/>
    <s v="تم العمل"/>
    <d v="1899-12-30T12:00:00"/>
    <d v="1899-12-30T17:00:00"/>
    <n v="0.20833333333333337"/>
    <x v="3"/>
    <n v="5.0000000000000009"/>
  </r>
  <r>
    <x v="4"/>
    <d v="2024-05-19T00:00:00"/>
    <s v="الاحد "/>
    <x v="6"/>
    <s v="احمد ابو زيد "/>
    <s v="قطع تيلة من ماكينة اسبيد ماستر "/>
    <s v="تم العمل"/>
    <d v="1899-12-30T11:00:00"/>
    <d v="1899-12-30T11:30:00"/>
    <n v="2.083333333333337E-2"/>
    <x v="3"/>
    <n v="0.50000000000000089"/>
  </r>
  <r>
    <x v="4"/>
    <d v="2024-05-19T00:00:00"/>
    <s v="الاحد "/>
    <x v="6"/>
    <s v="محمد مدنى "/>
    <s v="صيانة  الاستندات  "/>
    <s v="تم العمل"/>
    <d v="1899-12-30T00:00:00"/>
    <d v="1899-12-30T16:00:00"/>
    <n v="0.27079999999999999"/>
    <x v="1"/>
    <n v="6.4992000000000001"/>
  </r>
  <r>
    <x v="4"/>
    <d v="2024-05-20T00:00:00"/>
    <s v="الاثنين "/>
    <x v="22"/>
    <s v="محمودالدروى    "/>
    <s v="صيانة تكييف "/>
    <s v="تم العمل"/>
    <d v="1899-12-30T11:30:00"/>
    <d v="1899-12-30T12:30:00"/>
    <n v="4.1666666666666685E-2"/>
    <x v="3"/>
    <n v="1.0000000000000004"/>
  </r>
  <r>
    <x v="4"/>
    <d v="2024-05-21T00:00:00"/>
    <s v="الثلاثاء "/>
    <x v="3"/>
    <s v="علاء عبد الرحمن    "/>
    <s v="صيانة تكييف "/>
    <s v="تم العمل"/>
    <d v="1899-12-30T12:30:00"/>
    <d v="1899-12-30T15:00:00"/>
    <n v="0.10416666666666663"/>
    <x v="3"/>
    <n v="2.4999999999999991"/>
  </r>
  <r>
    <x v="4"/>
    <d v="2024-05-21T00:00:00"/>
    <s v="الثلاثاء "/>
    <x v="0"/>
    <s v="مراد  صالح "/>
    <s v="تجهيز لعمل ارضية خرسانية "/>
    <s v="تم العمل"/>
    <d v="1899-12-30T10:00:00"/>
    <d v="1899-12-30T16:00:00"/>
    <n v="0.27079999999999999"/>
    <x v="0"/>
    <n v="6.4992000000000001"/>
  </r>
  <r>
    <x v="4"/>
    <d v="2024-05-21T00:00:00"/>
    <s v="الثلاثاء "/>
    <x v="10"/>
    <s v="احمد فرج    "/>
    <s v="تركيب فراشة بالشارع  "/>
    <s v="تم العمل"/>
    <d v="1899-12-30T10:00:00"/>
    <d v="1899-12-30T13:30:00"/>
    <n v="0.14583333333333331"/>
    <x v="0"/>
    <n v="3.4999999999999996"/>
  </r>
  <r>
    <x v="4"/>
    <d v="2024-05-21T00:00:00"/>
    <s v="الثلاثاء "/>
    <x v="5"/>
    <s v="احمد سعيد "/>
    <s v="تركيب تندة للتكيف "/>
    <s v="تم العمل"/>
    <d v="1899-12-30T13:00:00"/>
    <d v="1899-12-30T15:00:00"/>
    <n v="8.333333333333337E-2"/>
    <x v="3"/>
    <n v="2.0000000000000009"/>
  </r>
  <r>
    <x v="4"/>
    <d v="2024-05-22T00:00:00"/>
    <s v="الاربعاء "/>
    <x v="7"/>
    <s v="محمد مهنى  "/>
    <s v="الزيارة الشهرية ومكافحة القورض والحشرات"/>
    <s v="تم العمل"/>
    <d v="1899-12-30T11:30:00"/>
    <d v="1899-12-30T12:00:00"/>
    <n v="2.0833333333333315E-2"/>
    <x v="3"/>
    <n v="0.49999999999999956"/>
  </r>
  <r>
    <x v="4"/>
    <d v="2024-05-22T00:00:00"/>
    <s v="الاربعاء "/>
    <x v="8"/>
    <s v="راضى سعيد "/>
    <s v="االزيارة الشهرية صيانة نظام الانزار "/>
    <s v="تم العمل"/>
    <d v="1899-12-30T10:00:00"/>
    <d v="1899-12-30T13:00:00"/>
    <n v="0.27079999999999999"/>
    <x v="0"/>
    <n v="6.4992000000000001"/>
  </r>
  <r>
    <x v="4"/>
    <d v="2024-05-22T00:00:00"/>
    <s v="الاربعاء "/>
    <x v="5"/>
    <s v="احمد عبد الله "/>
    <s v="ترميم فى العنابر بالمخازن "/>
    <s v="تم العمل"/>
    <d v="1899-12-30T10:00:00"/>
    <d v="1899-12-30T17:00:00"/>
    <n v="0.29166666666666669"/>
    <x v="6"/>
    <n v="7"/>
  </r>
  <r>
    <x v="4"/>
    <d v="2024-05-22T00:00:00"/>
    <s v="الاربعاء "/>
    <x v="10"/>
    <s v="احمد فرج    "/>
    <s v="تركيب فراشة بالشارع  "/>
    <s v="تم العمل"/>
    <d v="1899-12-30T12:00:00"/>
    <d v="1899-12-30T17:00:00"/>
    <n v="0.20833333333333337"/>
    <x v="0"/>
    <n v="5.0000000000000009"/>
  </r>
  <r>
    <x v="4"/>
    <d v="2024-05-22T00:00:00"/>
    <s v="الاربعاء "/>
    <x v="22"/>
    <s v="محمودالدروى    "/>
    <s v="صيانة تكييف "/>
    <s v="تم العمل"/>
    <d v="1899-12-30T10:00:00"/>
    <d v="1899-12-30T14:00:00"/>
    <n v="0.16666666666666669"/>
    <x v="3"/>
    <n v="4"/>
  </r>
  <r>
    <x v="4"/>
    <d v="2024-05-22T00:00:00"/>
    <s v="الاربعاء "/>
    <x v="7"/>
    <s v="محمد ماهر "/>
    <s v="الزيارة الشهرية ومكافحة القورض والحشرات"/>
    <s v="تم العمل"/>
    <d v="1899-12-30T10:30:00"/>
    <d v="1899-12-30T13:00:00"/>
    <n v="0.10416666666666663"/>
    <x v="3"/>
    <n v="2.4999999999999991"/>
  </r>
  <r>
    <x v="4"/>
    <d v="2024-05-23T00:00:00"/>
    <s v="الخميس "/>
    <x v="12"/>
    <s v="رامى محمد "/>
    <s v="ترميم فى العنابر بالمخازن "/>
    <s v="تم العمل"/>
    <d v="1899-12-30T14:00:00"/>
    <d v="1899-12-30T16:00:00"/>
    <n v="8.3333333333333259E-2"/>
    <x v="0"/>
    <n v="1.9999999999999982"/>
  </r>
  <r>
    <x v="4"/>
    <d v="2024-05-23T00:00:00"/>
    <s v="الخميس "/>
    <x v="10"/>
    <s v="احمد فرج    "/>
    <s v="تركيب فراشة بالشارع  "/>
    <s v="تم العمل"/>
    <d v="1899-12-30T11:30:00"/>
    <d v="1899-12-30T17:00:00"/>
    <n v="0.22916666666666669"/>
    <x v="0"/>
    <n v="5.5"/>
  </r>
  <r>
    <x v="4"/>
    <d v="2024-05-24T00:00:00"/>
    <s v="الجمعة "/>
    <x v="2"/>
    <s v="كمال احمد "/>
    <s v="توصيل و تركيب كابل فايبر  "/>
    <s v="تم العمل"/>
    <d v="1899-12-30T11:00:00"/>
    <d v="1899-12-30T19:30:00"/>
    <n v="0.35416666666666669"/>
    <x v="2"/>
    <n v="8.5"/>
  </r>
  <r>
    <x v="4"/>
    <d v="2024-05-25T00:00:00"/>
    <s v="السبت "/>
    <x v="8"/>
    <s v="ممدوح عبد التواب "/>
    <s v="صيانة نظام الانزار "/>
    <s v="تم العمل"/>
    <d v="1899-12-30T10:30:00"/>
    <d v="1899-12-30T14:30:00"/>
    <n v="0.27079999999999999"/>
    <x v="3"/>
    <n v="6.4992000000000001"/>
  </r>
  <r>
    <x v="4"/>
    <d v="2024-05-25T00:00:00"/>
    <s v="السبت "/>
    <x v="25"/>
    <s v="فارس خليل "/>
    <s v="تركيب سلم الطوارىء "/>
    <s v="تم العمل"/>
    <d v="1899-12-30T10:00:00"/>
    <d v="1899-12-30T15:00:00"/>
    <n v="0.27079999999999999"/>
    <x v="1"/>
    <n v="6.4992000000000001"/>
  </r>
  <r>
    <x v="4"/>
    <d v="2024-05-25T00:00:00"/>
    <s v="السبت "/>
    <x v="14"/>
    <s v="اسلام على  رمضان "/>
    <s v="تركيب مصاعد المخازن  الجديدة "/>
    <s v="تم العمل"/>
    <d v="1899-12-30T12:00:00"/>
    <d v="1899-12-30T16:00:00"/>
    <n v="0.27079999999999999"/>
    <x v="1"/>
    <n v="6.4992000000000001"/>
  </r>
  <r>
    <x v="4"/>
    <d v="2024-05-26T00:00:00"/>
    <s v="الاحد "/>
    <x v="13"/>
    <s v="ايهاب سيد"/>
    <s v="علاج مكان تسريب الاحبار "/>
    <s v="تم العمل"/>
    <d v="1899-12-30T10:00:00"/>
    <d v="1899-12-30T16:00:00"/>
    <n v="0.27079999999999999"/>
    <x v="0"/>
    <n v="6"/>
  </r>
  <r>
    <x v="4"/>
    <d v="2024-05-26T00:00:00"/>
    <s v="الاحد "/>
    <x v="14"/>
    <s v="اسلام على  رمضان "/>
    <s v="تركيب سقالات لمصاعد المخازن  الجديدة "/>
    <s v="تم العمل"/>
    <d v="1899-12-30T11:00:00"/>
    <d v="1899-12-30T15:00:00"/>
    <n v="0.27079999999999999"/>
    <x v="1"/>
    <n v="6.4992000000000001"/>
  </r>
  <r>
    <x v="4"/>
    <d v="2024-05-27T00:00:00"/>
    <s v="الاثنين "/>
    <x v="13"/>
    <s v="ايهاب سيد"/>
    <s v="علاج مكان تسريب الاحبار "/>
    <s v="تم العمل"/>
    <d v="1899-12-30T10:00:00"/>
    <d v="1899-12-30T16:00:00"/>
    <n v="0.27079999999999999"/>
    <x v="0"/>
    <n v="6"/>
  </r>
  <r>
    <x v="4"/>
    <d v="2024-05-27T00:00:00"/>
    <s v="الاثنين "/>
    <x v="0"/>
    <s v="مراد  صالح "/>
    <s v="عمل ارضية خرسانية لخزنات الطوارىء"/>
    <s v="تم العمل"/>
    <d v="1899-12-30T10:30:00"/>
    <d v="1899-12-30T16:00:00"/>
    <n v="0.27079999999999999"/>
    <x v="0"/>
    <n v="6.4992000000000001"/>
  </r>
  <r>
    <x v="4"/>
    <d v="2024-05-27T00:00:00"/>
    <s v="الاثنين "/>
    <x v="13"/>
    <s v="طه سعيد "/>
    <s v="علاج مكان تسريب الاحبار "/>
    <s v="تم العمل"/>
    <d v="1899-12-30T14:00:00"/>
    <d v="1899-12-30T17:00:00"/>
    <n v="0.27079999999999999"/>
    <x v="0"/>
    <n v="6.4992000000000001"/>
  </r>
  <r>
    <x v="4"/>
    <d v="2024-05-27T00:00:00"/>
    <s v="الاثنين "/>
    <x v="16"/>
    <s v="فارس خليل "/>
    <s v="تركيب كمر لمصاعد المخزن الجديد"/>
    <s v="تم العمل"/>
    <d v="1899-12-30T11:00:00"/>
    <d v="1899-12-30T16:00:00"/>
    <n v="0.27079999999999999"/>
    <x v="1"/>
    <n v="6.5"/>
  </r>
  <r>
    <x v="4"/>
    <d v="2024-05-28T00:00:00"/>
    <s v="الثلاثاء "/>
    <x v="13"/>
    <s v="ايهاب سيد"/>
    <s v="علاج مكان تسريب الاحبار "/>
    <s v="تم العمل"/>
    <d v="1899-12-30T10:00:00"/>
    <d v="1899-12-30T16:00:00"/>
    <n v="0.27079999999999999"/>
    <x v="0"/>
    <n v="6"/>
  </r>
  <r>
    <x v="4"/>
    <d v="2024-05-28T00:00:00"/>
    <s v="الثلاثاء "/>
    <x v="0"/>
    <s v="مراد  صالح "/>
    <s v="عمل ارضية خرسانية لخزنات الطوارىء"/>
    <s v="تم العمل"/>
    <d v="1899-12-30T10:30:00"/>
    <d v="1899-12-30T15:00:00"/>
    <n v="0.27079999999999999"/>
    <x v="0"/>
    <n v="6.4992000000000001"/>
  </r>
  <r>
    <x v="4"/>
    <d v="2024-05-28T00:00:00"/>
    <s v="الثلاثاء "/>
    <x v="16"/>
    <s v="فارس خليل "/>
    <s v="تركيب كمر لمصاعد المخزن الجديد"/>
    <s v="تم العمل"/>
    <d v="1899-12-30T10:00:00"/>
    <d v="1899-12-30T16:00:00"/>
    <n v="0.27079999999999999"/>
    <x v="1"/>
    <n v="6.5"/>
  </r>
  <r>
    <x v="4"/>
    <d v="2024-05-28T00:00:00"/>
    <s v="الثلاثاء "/>
    <x v="13"/>
    <s v="اسلام مصطفى  "/>
    <s v="عمل صيانة الكنترول  CTB"/>
    <s v="تم العمل"/>
    <d v="1899-12-30T14:00:00"/>
    <d v="1899-12-30T17:00:00"/>
    <n v="0.125"/>
    <x v="3"/>
    <n v="3"/>
  </r>
  <r>
    <x v="4"/>
    <d v="2024-05-29T00:00:00"/>
    <s v="الاربعاء "/>
    <x v="13"/>
    <s v="ايهاب سيد"/>
    <s v="علاج مكان تسريب الاحبار "/>
    <s v="تم العمل"/>
    <d v="1899-12-30T10:00:00"/>
    <d v="1899-12-30T16:00:00"/>
    <n v="0.27079999999999999"/>
    <x v="0"/>
    <n v="6"/>
  </r>
  <r>
    <x v="4"/>
    <d v="2024-05-29T00:00:00"/>
    <s v="الاربعاء "/>
    <x v="5"/>
    <s v="علاء احمد     "/>
    <s v="صيانة تكييف "/>
    <s v="تم العمل"/>
    <d v="1899-12-30T11:00:00"/>
    <d v="1899-12-30T15:00:00"/>
    <n v="0.27079999999999999"/>
    <x v="3"/>
    <n v="6.4992000000000001"/>
  </r>
  <r>
    <x v="4"/>
    <d v="2024-05-29T00:00:00"/>
    <s v="الاربعاء "/>
    <x v="22"/>
    <s v="محمودالدروى    "/>
    <s v="صيانة تكييف "/>
    <s v="تم العمل"/>
    <d v="1899-12-30T14:00:00"/>
    <d v="1899-12-30T15:00:00"/>
    <n v="4.166666666666663E-2"/>
    <x v="3"/>
    <n v="0.99999999999999911"/>
  </r>
  <r>
    <x v="4"/>
    <d v="2024-05-29T00:00:00"/>
    <s v="الاربعاء "/>
    <x v="22"/>
    <s v="محمودالدروى    "/>
    <s v="تركيب ماتور لكولدير المياه"/>
    <s v="تم العمل"/>
    <d v="1899-12-30T15:00:00"/>
    <d v="1899-12-30T16:00:00"/>
    <n v="4.166666666666663E-2"/>
    <x v="3"/>
    <n v="0.99999999999999911"/>
  </r>
  <r>
    <x v="4"/>
    <d v="2024-05-30T00:00:00"/>
    <s v="الخميس "/>
    <x v="22"/>
    <s v="محمودالدروى    "/>
    <s v="صيانة تكييف "/>
    <s v="تم العمل"/>
    <d v="1899-12-30T10:30:00"/>
    <d v="1899-12-30T13:00:00"/>
    <n v="0.10416666666666663"/>
    <x v="3"/>
    <n v="2.4999999999999991"/>
  </r>
  <r>
    <x v="4"/>
    <d v="2024-05-30T00:00:00"/>
    <s v="الخميس "/>
    <x v="8"/>
    <s v="عصام شرف      "/>
    <s v="الزيارة الشهرية  شهرى على خط  الاطفاء "/>
    <s v="تم العمل"/>
    <d v="1899-12-30T15:00:00"/>
    <d v="1899-12-30T17:30:00"/>
    <n v="0.10416666666666663"/>
    <x v="3"/>
    <n v="2.5"/>
  </r>
  <r>
    <x v="4"/>
    <d v="2024-05-30T00:00:00"/>
    <s v="الخميس "/>
    <x v="13"/>
    <s v="ايهاب سيد"/>
    <s v="علاج مكان تسريب الاحبار "/>
    <s v="تم العمل"/>
    <d v="1899-12-30T10:00:00"/>
    <d v="1899-12-30T16:00:00"/>
    <n v="0.27079999999999999"/>
    <x v="0"/>
    <n v="6"/>
  </r>
  <r>
    <x v="4"/>
    <d v="2024-05-30T00:00:00"/>
    <s v="الخميس "/>
    <x v="10"/>
    <s v="حمادة شعبان"/>
    <s v="تركيب فراشة بالشارع  "/>
    <s v="تم العمل"/>
    <d v="1899-12-30T12:00:00"/>
    <d v="1899-12-30T16:00:00"/>
    <n v="0.16666666666666663"/>
    <x v="0"/>
    <n v="3.9999999999999991"/>
  </r>
  <r>
    <x v="4"/>
    <d v="2024-05-31T00:00:00"/>
    <s v="الجمعة "/>
    <x v="2"/>
    <s v="محمد رسمى "/>
    <s v="توصيل و تركيب كابل فايبر  "/>
    <s v="تم العمل"/>
    <d v="1899-12-30T11:00:00"/>
    <d v="1899-12-30T20:30:00"/>
    <n v="0.39583333333333331"/>
    <x v="2"/>
    <n v="9.5"/>
  </r>
  <r>
    <x v="4"/>
    <d v="2024-05-31T00:00:00"/>
    <s v="الجمعة "/>
    <x v="7"/>
    <s v="سامح الامير"/>
    <s v="رش وتعقيم سكن الشقق الخارجية  للعاملين "/>
    <s v="تم العمل"/>
    <d v="1899-12-30T10:30:00"/>
    <d v="1899-12-30T11:00:00"/>
    <n v="2.0833333333333315E-2"/>
    <x v="3"/>
    <n v="0.49999999999999956"/>
  </r>
  <r>
    <x v="4"/>
    <d v="2024-05-31T00:00:00"/>
    <s v="الجمعة "/>
    <x v="10"/>
    <s v="حمادة شعبان"/>
    <s v="تركيب فراشة بالشارع  "/>
    <s v="تم العمل"/>
    <d v="1899-12-30T12:00:00"/>
    <d v="1899-12-30T17:00:00"/>
    <n v="0.20833333333333337"/>
    <x v="0"/>
    <n v="5.0000000000000009"/>
  </r>
  <r>
    <x v="4"/>
    <d v="2024-05-31T00:00:00"/>
    <s v="الجمعة "/>
    <x v="13"/>
    <s v="طه سعيد "/>
    <s v="علاج مكان تسريب الاحبار "/>
    <s v="تم العمل"/>
    <d v="1899-12-30T12:00:00"/>
    <d v="1899-12-30T17:00:00"/>
    <n v="0.20833333333333337"/>
    <x v="0"/>
    <n v="5.0000000000000009"/>
  </r>
  <r>
    <x v="4"/>
    <d v="2024-05-31T00:00:00"/>
    <s v="الجمعة "/>
    <x v="7"/>
    <s v="سامح الامير"/>
    <s v="رش وتعقيم سكن الامن  ومبيت السائقين "/>
    <s v="تم العمل"/>
    <d v="1899-12-30T09:00:00"/>
    <d v="1899-12-30T10:00:00"/>
    <n v="4.1666666666666685E-2"/>
    <x v="3"/>
    <n v="1.0000000000000004"/>
  </r>
  <r>
    <x v="5"/>
    <d v="2024-06-01T00:00:00"/>
    <s v="السبت "/>
    <x v="0"/>
    <s v="مراد  صالح "/>
    <s v="عمل ارضية خرسانية لخزنات الطوارىء"/>
    <s v="تم العمل"/>
    <d v="1899-12-30T10:00:00"/>
    <d v="1899-12-30T13:00:00"/>
    <n v="0.27079999999999999"/>
    <x v="0"/>
    <n v="3"/>
  </r>
  <r>
    <x v="5"/>
    <d v="2024-06-01T00:00:00"/>
    <s v="السبت "/>
    <x v="13"/>
    <s v="طه سعيد "/>
    <s v="علاج مكان تسريب الاحبار "/>
    <s v="تم العمل"/>
    <d v="1899-12-30T10:00:00"/>
    <d v="1899-12-30T15:00:00"/>
    <n v="0.27079999999999999"/>
    <x v="0"/>
    <n v="5"/>
  </r>
  <r>
    <x v="5"/>
    <d v="2024-06-02T00:00:00"/>
    <s v="الاحد "/>
    <x v="13"/>
    <s v="ايمن محمد"/>
    <s v="علاج مكان تسريب الاحبار "/>
    <s v="تم العمل"/>
    <d v="1899-12-30T11:00:00"/>
    <d v="1899-12-30T17:00:00"/>
    <n v="0.25000000000000006"/>
    <x v="0"/>
    <n v="6"/>
  </r>
  <r>
    <x v="5"/>
    <d v="2024-06-02T00:00:00"/>
    <s v="الاحد "/>
    <x v="38"/>
    <s v="احمد فايد"/>
    <s v="تغير فلاتر المياه"/>
    <s v="تم العمل"/>
    <d v="1899-12-30T12:00:00"/>
    <d v="1899-12-30T14:00:00"/>
    <n v="8.333333333333337E-2"/>
    <x v="3"/>
    <n v="2.0000000000000009"/>
  </r>
  <r>
    <x v="5"/>
    <d v="2024-06-02T00:00:00"/>
    <s v="الاحد "/>
    <x v="10"/>
    <s v="حمادة شعبان"/>
    <s v="تركيب فراشة بالشارع  "/>
    <s v="تم العمل"/>
    <d v="1899-12-30T11:00:00"/>
    <d v="1899-12-30T17:00:00"/>
    <n v="0.25000000000000006"/>
    <x v="0"/>
    <n v="6"/>
  </r>
  <r>
    <x v="5"/>
    <d v="2024-06-02T00:00:00"/>
    <s v="الاحد "/>
    <x v="11"/>
    <s v="محمد رمضان   "/>
    <s v="صيانة الكلاركات "/>
    <s v="تم العمل"/>
    <d v="1899-12-30T10:00:00"/>
    <d v="1899-12-30T13:30:00"/>
    <n v="0.14583333333333331"/>
    <x v="3"/>
    <n v="3.4999999999999996"/>
  </r>
  <r>
    <x v="5"/>
    <d v="2024-06-03T00:00:00"/>
    <s v="الاثنين "/>
    <x v="26"/>
    <s v="محمد على"/>
    <s v="صيانة دورية لغرف ومحابس الغاز     "/>
    <s v="تم العمل"/>
    <d v="1899-12-30T11:30:00"/>
    <d v="1899-12-30T12:00:00"/>
    <n v="2.0833333333333315E-2"/>
    <x v="3"/>
    <n v="0.49999999999999956"/>
  </r>
  <r>
    <x v="5"/>
    <d v="2024-06-03T00:00:00"/>
    <s v="الاثنين "/>
    <x v="7"/>
    <s v="محمد ماهر "/>
    <s v="الزيارة الشهرية ومكافحة حشرات "/>
    <s v="تم العمل"/>
    <d v="1899-12-30T10:30:00"/>
    <d v="1899-12-30T12:30:00"/>
    <n v="8.333333333333337E-2"/>
    <x v="3"/>
    <n v="2.0000000000000009"/>
  </r>
  <r>
    <x v="5"/>
    <d v="2024-06-03T00:00:00"/>
    <s v="الاثنين "/>
    <x v="5"/>
    <s v="محمد النقيب "/>
    <s v="صيانة الكهرباء بالشوارع "/>
    <s v="تم العمل"/>
    <d v="1899-12-30T10:00:00"/>
    <d v="1899-12-30T12:00:00"/>
    <n v="8.3333333333333315E-2"/>
    <x v="3"/>
    <n v="1.9999999999999996"/>
  </r>
  <r>
    <x v="5"/>
    <d v="2024-06-03T00:00:00"/>
    <s v="الاثنين "/>
    <x v="8"/>
    <s v="حامد ابو المحاميد       "/>
    <s v="الزيارة الشهرية وصيانة خط الحريق "/>
    <s v="تم العمل"/>
    <d v="1899-12-30T12:00:00"/>
    <d v="1899-12-30T16:00:00"/>
    <n v="0.16666666666666663"/>
    <x v="3"/>
    <n v="3.9999999999999991"/>
  </r>
  <r>
    <x v="5"/>
    <d v="2024-06-03T00:00:00"/>
    <s v="الاثنين "/>
    <x v="5"/>
    <s v="محمد جابر "/>
    <s v="تركيب خيمة للاضحية"/>
    <s v="تم العمل"/>
    <d v="1899-12-30T10:00:00"/>
    <d v="1899-12-30T16:00:00"/>
    <n v="0.24999999999999994"/>
    <x v="3"/>
    <n v="6"/>
  </r>
  <r>
    <x v="5"/>
    <d v="2024-06-03T00:00:00"/>
    <s v="الاثنين "/>
    <x v="5"/>
    <s v="احمد عبد الله  "/>
    <s v="دهانات سلم المبنى الادارى  "/>
    <s v="تم العمل"/>
    <d v="1899-12-30T17:00:00"/>
    <d v="1899-12-30T14:00:00"/>
    <n v="0.125"/>
    <x v="6"/>
    <n v="3"/>
  </r>
  <r>
    <x v="5"/>
    <d v="2024-06-04T00:00:00"/>
    <s v="الثلاثاء "/>
    <x v="11"/>
    <s v="محمد رمضان   "/>
    <s v="صيانة الكلاركات "/>
    <s v="تم العمل"/>
    <d v="1899-12-30T10:30:00"/>
    <d v="1899-12-30T17:30:00"/>
    <n v="0.29166666666666663"/>
    <x v="3"/>
    <n v="6.9999999999999991"/>
  </r>
  <r>
    <x v="5"/>
    <d v="2024-06-04T00:00:00"/>
    <s v="الثلاثاء "/>
    <x v="13"/>
    <s v="طه سعيد "/>
    <s v="لحام  تسريب الاحبار "/>
    <s v="تم العمل"/>
    <d v="1899-12-30T11:00:00"/>
    <d v="1899-12-30T17:00:00"/>
    <n v="0.27079999999999999"/>
    <x v="0"/>
    <n v="6"/>
  </r>
  <r>
    <x v="5"/>
    <d v="2024-06-04T00:00:00"/>
    <s v="الثلاثاء "/>
    <x v="14"/>
    <s v="احمد السيد "/>
    <s v="تركيب اسنسيرات البضائع "/>
    <s v="تم العمل"/>
    <d v="1899-12-30T10:30:00"/>
    <d v="1899-12-30T17:00:00"/>
    <n v="0.27079999999999999"/>
    <x v="1"/>
    <n v="6.4992000000000001"/>
  </r>
  <r>
    <x v="5"/>
    <d v="2024-06-05T00:00:00"/>
    <s v="الاربعاء "/>
    <x v="18"/>
    <s v="فيكتور     "/>
    <s v="صيانة الرامب المتحرك"/>
    <s v="تم العمل"/>
    <d v="1899-12-30T12:00:00"/>
    <d v="1899-12-30T17:30:00"/>
    <n v="0.27079999999999999"/>
    <x v="4"/>
    <n v="5.5"/>
  </r>
  <r>
    <x v="5"/>
    <d v="2024-06-05T00:00:00"/>
    <s v="الاربعاء "/>
    <x v="5"/>
    <s v="محمد النقيب "/>
    <s v="صيانة برايز الكهرباء في غرفة الامن"/>
    <s v="تم العمل"/>
    <d v="1899-12-30T10:30:00"/>
    <d v="1899-12-30T11:30:00"/>
    <n v="4.1666666666666685E-2"/>
    <x v="3"/>
    <n v="1.0000000000000004"/>
  </r>
  <r>
    <x v="5"/>
    <d v="2024-06-05T00:00:00"/>
    <s v="الاربعاء "/>
    <x v="14"/>
    <s v="احمد السيد "/>
    <s v="تركيب اسنسيرات البضائع "/>
    <s v="تم العمل"/>
    <d v="1899-12-30T09:30:00"/>
    <d v="1899-12-30T17:30:00"/>
    <n v="0.33333333333333331"/>
    <x v="1"/>
    <n v="8"/>
  </r>
  <r>
    <x v="5"/>
    <d v="2024-06-05T00:00:00"/>
    <s v="الاربعاء "/>
    <x v="13"/>
    <s v="طه سعيد "/>
    <s v="لحام  تسريب الاحبار "/>
    <s v="تم العمل"/>
    <d v="1899-12-30T11:00:00"/>
    <d v="1899-12-30T17:00:00"/>
    <n v="0.27079999999999999"/>
    <x v="0"/>
    <n v="5"/>
  </r>
  <r>
    <x v="5"/>
    <d v="2024-06-05T00:00:00"/>
    <s v="الاربعاء "/>
    <x v="5"/>
    <s v="احمد سعيد  "/>
    <s v="صيانة سباكة للمخزن"/>
    <s v="تم العمل"/>
    <d v="1899-12-30T14:00:00"/>
    <d v="1899-12-30T17:00:00"/>
    <n v="0.27079999999999999"/>
    <x v="1"/>
    <n v="3"/>
  </r>
  <r>
    <x v="5"/>
    <d v="2024-06-05T00:00:00"/>
    <s v="الاربعاء "/>
    <x v="0"/>
    <s v="مراد  صالح "/>
    <s v="عمل ارضية خرسانية لخزنات الطوارىء"/>
    <s v="تم العمل"/>
    <d v="1899-12-30T11:00:00"/>
    <d v="1899-12-30T17:00:00"/>
    <n v="0.27079999999999999"/>
    <x v="0"/>
    <n v="6"/>
  </r>
  <r>
    <x v="5"/>
    <d v="2024-06-05T00:00:00"/>
    <s v="الاربعاء "/>
    <x v="39"/>
    <s v="محمد البدري"/>
    <s v="تركيب ارفينت على شبكة الحريق"/>
    <s v="تم العمل"/>
    <d v="1899-12-30T12:00:00"/>
    <d v="1899-12-30T15:30:00"/>
    <n v="0.14583333333333337"/>
    <x v="1"/>
    <n v="3.5"/>
  </r>
  <r>
    <x v="5"/>
    <d v="2024-06-06T00:00:00"/>
    <s v="الخميس "/>
    <x v="13"/>
    <s v="اسلام مصطفى  "/>
    <s v="عمل صيانة الكنترول  CTB"/>
    <s v="تم العمل"/>
    <d v="1899-12-30T14:00:00"/>
    <d v="1899-12-30T18:00:00"/>
    <n v="0.16666666666666663"/>
    <x v="3"/>
    <n v="3.9999999999999991"/>
  </r>
  <r>
    <x v="5"/>
    <d v="2024-06-06T00:00:00"/>
    <s v="الخميس "/>
    <x v="0"/>
    <s v="مراد  صالح "/>
    <s v="عمل ارضية خرسانية لخزنات الطوارىء"/>
    <s v="تم العمل"/>
    <d v="1899-12-30T10:00:00"/>
    <d v="1899-12-30T13:00:00"/>
    <n v="0.12499999999999994"/>
    <x v="0"/>
    <n v="3"/>
  </r>
  <r>
    <x v="5"/>
    <d v="2024-06-06T00:00:00"/>
    <s v="الخميس "/>
    <x v="14"/>
    <s v="محمد متولى  "/>
    <s v="تركيب اسنسيرات البضائع "/>
    <s v="تم العمل"/>
    <d v="1899-12-30T15:00:00"/>
    <d v="1899-12-30T16:00:00"/>
    <n v="4.166666666666663E-2"/>
    <x v="1"/>
    <n v="0.99999999999999911"/>
  </r>
  <r>
    <x v="5"/>
    <d v="2024-06-06T00:00:00"/>
    <s v="الخميس "/>
    <x v="40"/>
    <s v="محمد فاروق  "/>
    <s v="لصق اعلانات على الاستاندات "/>
    <s v="تم العمل"/>
    <d v="1899-12-30T12:00:00"/>
    <d v="1899-12-30T15:00:00"/>
    <n v="0.125"/>
    <x v="1"/>
    <n v="3"/>
  </r>
  <r>
    <x v="5"/>
    <d v="2024-06-09T00:00:00"/>
    <s v="الاحد "/>
    <x v="26"/>
    <s v="محمدحسنى "/>
    <s v="صيانة دورية لغرف ومحابس الغاز     "/>
    <s v="تم العمل"/>
    <d v="1899-12-30T12:00:00"/>
    <d v="1899-12-30T14:00:00"/>
    <n v="8.333333333333337E-2"/>
    <x v="3"/>
    <n v="2.0000000000000009"/>
  </r>
  <r>
    <x v="5"/>
    <d v="2024-06-09T00:00:00"/>
    <s v="الاحد "/>
    <x v="26"/>
    <s v="مصطفى حمزة "/>
    <s v="عمل صيانة فى غرفة الهواء     "/>
    <s v="تم العمل"/>
    <d v="1899-12-30T09:30:00"/>
    <d v="1899-12-30T16:00:00"/>
    <n v="0.27083333333333331"/>
    <x v="3"/>
    <n v="6.5"/>
  </r>
  <r>
    <x v="5"/>
    <d v="2024-06-09T00:00:00"/>
    <s v="الاحد "/>
    <x v="5"/>
    <s v="علاء احمد   "/>
    <s v="صيانة تكييف "/>
    <s v="تم العمل"/>
    <d v="1899-12-30T14:30:00"/>
    <d v="1899-12-30T17:00:00"/>
    <n v="0.10416666666666674"/>
    <x v="3"/>
    <n v="2.5000000000000018"/>
  </r>
  <r>
    <x v="5"/>
    <d v="2024-06-09T00:00:00"/>
    <s v="الاحد "/>
    <x v="0"/>
    <s v="مراد  صالح "/>
    <s v="تركيب سلم طوارىء "/>
    <s v="تم العمل"/>
    <d v="1899-12-30T12:00:00"/>
    <d v="1899-12-30T16:00:00"/>
    <n v="0.16666666666666663"/>
    <x v="1"/>
    <n v="3"/>
  </r>
  <r>
    <x v="5"/>
    <d v="2024-06-09T00:00:00"/>
    <s v="الاحد "/>
    <x v="14"/>
    <s v="احمد السيد  "/>
    <s v="تركيب اسنسيرات البضائع "/>
    <s v="تم العمل"/>
    <d v="1899-12-30T10:00:00"/>
    <d v="1899-12-30T17:00:00"/>
    <n v="0.29166666666666669"/>
    <x v="1"/>
    <n v="7"/>
  </r>
  <r>
    <x v="5"/>
    <d v="2024-06-09T00:00:00"/>
    <s v="الاحد "/>
    <x v="18"/>
    <s v="فيكتور لوندى      "/>
    <s v=" عمل صيانة الرامب التحميل "/>
    <s v="تم العمل"/>
    <d v="1899-12-30T12:00:00"/>
    <d v="1899-12-30T15:30:00"/>
    <n v="0.27079999999999999"/>
    <x v="4"/>
    <n v="5.5"/>
  </r>
  <r>
    <x v="5"/>
    <d v="2024-06-10T00:00:00"/>
    <s v="الاثنين "/>
    <x v="13"/>
    <s v="طه سعيد "/>
    <s v="تشغيل تنكات الاحبار التى بهاتسريب "/>
    <s v="تم العمل"/>
    <d v="1899-12-30T11:30:00"/>
    <d v="1899-12-30T13:00:00"/>
    <n v="0.27079999999999999"/>
    <x v="0"/>
    <n v="6"/>
  </r>
  <r>
    <x v="5"/>
    <d v="2024-06-10T00:00:00"/>
    <s v="الاثنين "/>
    <x v="26"/>
    <s v="محمدحسنى "/>
    <s v="صيانة فى خطوط الغاز      "/>
    <s v="تم العمل"/>
    <d v="1899-12-30T11:30:00"/>
    <d v="1899-12-30T12:30:00"/>
    <n v="4.1666666666666685E-2"/>
    <x v="3"/>
    <n v="1.0000000000000004"/>
  </r>
  <r>
    <x v="5"/>
    <d v="2024-06-10T00:00:00"/>
    <s v="الاثنين "/>
    <x v="5"/>
    <s v="محمد النقيب "/>
    <s v="صيانةكشافات الشوارع الخارجية "/>
    <s v="تم العمل"/>
    <d v="1899-12-30T11:00:00"/>
    <d v="1899-12-30T20:00:00"/>
    <n v="0.37500000000000006"/>
    <x v="1"/>
    <n v="9.0000000000000018"/>
  </r>
  <r>
    <x v="5"/>
    <d v="2024-06-10T00:00:00"/>
    <s v="الاثنين "/>
    <x v="7"/>
    <s v="محمد ماهر "/>
    <s v="الزيارة الشهرية و مكافحة حشرات "/>
    <s v="تم العمل"/>
    <d v="1899-12-30T12:00:00"/>
    <d v="1899-12-30T11:00:00"/>
    <n v="4.1666666666666685E-2"/>
    <x v="0"/>
    <n v="1.0000000000000004"/>
  </r>
  <r>
    <x v="5"/>
    <d v="2024-06-10T00:00:00"/>
    <s v="الاثنين "/>
    <x v="0"/>
    <s v="فارس خليل "/>
    <s v="تركيب سلم الطوارىء "/>
    <s v="تم العمل"/>
    <d v="1899-12-30T09:30:00"/>
    <d v="1899-12-30T15:00:00"/>
    <n v="0.27079999999999999"/>
    <x v="1"/>
    <n v="6.4992000000000001"/>
  </r>
  <r>
    <x v="5"/>
    <d v="2024-06-10T00:00:00"/>
    <s v="الاثنين "/>
    <x v="8"/>
    <s v="حامد      "/>
    <s v="صيانة خط الحريق "/>
    <s v="تم العمل"/>
    <d v="1899-12-30T09:30:00"/>
    <d v="1899-12-30T17:00:00"/>
    <n v="0.31250000000000006"/>
    <x v="3"/>
    <n v="7.5000000000000018"/>
  </r>
  <r>
    <x v="5"/>
    <d v="2024-06-10T00:00:00"/>
    <s v="الاثنين "/>
    <x v="13"/>
    <s v="طه سعيد "/>
    <s v="لحام  تسريب الاحبار "/>
    <s v="تم العمل"/>
    <d v="1899-12-30T12:00:00"/>
    <d v="1899-12-30T17:00:00"/>
    <n v="0.27079999999999999"/>
    <x v="3"/>
    <n v="5"/>
  </r>
  <r>
    <x v="5"/>
    <d v="2024-06-10T00:00:00"/>
    <s v="الاثنين "/>
    <x v="7"/>
    <s v="محمد ماهر "/>
    <s v="الزيارة الشهرية و مكافحة حشرات "/>
    <s v="تم العمل"/>
    <d v="1899-12-30T13:00:00"/>
    <d v="1899-12-30T14:30:00"/>
    <n v="6.25E-2"/>
    <x v="1"/>
    <n v="1.5"/>
  </r>
  <r>
    <x v="5"/>
    <d v="2024-06-10T00:00:00"/>
    <s v="الاثنين "/>
    <x v="0"/>
    <s v="مراد  صالح "/>
    <s v="استكمال عمل  ارضية خرسانية لخزنات الحريق "/>
    <s v="تم العمل"/>
    <d v="1899-12-30T10:00:00"/>
    <d v="1899-12-30T14:00:00"/>
    <n v="0.16666666666666669"/>
    <x v="0"/>
    <n v="3"/>
  </r>
  <r>
    <x v="5"/>
    <d v="2024-06-10T00:00:00"/>
    <s v="الاثنين "/>
    <x v="7"/>
    <s v="محمد ماهر "/>
    <s v="رش وتعقيم سكن الامن  "/>
    <s v="تم العمل"/>
    <d v="1899-12-30T10:00:00"/>
    <d v="1899-12-30T11:00:00"/>
    <n v="4.166666666666663E-2"/>
    <x v="0"/>
    <n v="0.99999999999999911"/>
  </r>
  <r>
    <x v="5"/>
    <d v="2024-06-11T00:00:00"/>
    <s v="الثلاثاء "/>
    <x v="26"/>
    <s v="محمدحسنى "/>
    <s v="صيانة فى خطوط الغاز      "/>
    <s v="تم العمل"/>
    <d v="1899-12-30T13:30:00"/>
    <d v="1899-12-30T14:00:00"/>
    <n v="2.083333333333337E-2"/>
    <x v="3"/>
    <n v="0.50000000000000089"/>
  </r>
  <r>
    <x v="5"/>
    <d v="2024-06-11T00:00:00"/>
    <s v="الثلاثاء "/>
    <x v="0"/>
    <s v="فارس خليل "/>
    <s v="تركيب سلم الطوارىء "/>
    <s v="تم العمل"/>
    <d v="1899-12-30T10:00:00"/>
    <d v="1899-12-30T15:30:00"/>
    <n v="0.27079999999999999"/>
    <x v="1"/>
    <n v="6.4992000000000001"/>
  </r>
  <r>
    <x v="5"/>
    <d v="2024-06-11T00:00:00"/>
    <s v="الثلاثاء "/>
    <x v="6"/>
    <s v="صابر ابلراهيم "/>
    <s v="تركيب  علبة حديد على لوحة كهرباء  "/>
    <s v="تم العمل"/>
    <d v="1899-12-30T14:00:00"/>
    <d v="1899-12-30T15:00:00"/>
    <n v="4.166666666666663E-2"/>
    <x v="3"/>
    <n v="0.99999999999999911"/>
  </r>
  <r>
    <x v="5"/>
    <d v="2024-06-11T00:00:00"/>
    <s v="الثلاثاء "/>
    <x v="14"/>
    <s v="احمد السيد  "/>
    <s v="تركيب مصاعد البضائع "/>
    <s v="تم العمل"/>
    <d v="1899-12-30T11:00:00"/>
    <d v="1899-12-30T17:30:00"/>
    <n v="0.27083333333333331"/>
    <x v="1"/>
    <n v="6.5"/>
  </r>
  <r>
    <x v="5"/>
    <d v="2024-06-12T00:00:00"/>
    <s v="الاربعاء "/>
    <x v="0"/>
    <s v="مراد  صالح "/>
    <s v="تركيب سلم الطوارىء "/>
    <s v="تم العمل"/>
    <d v="1899-12-30T10:00:00"/>
    <d v="1899-12-30T15:30:00"/>
    <n v="0.27079999999999999"/>
    <x v="1"/>
    <n v="6.4992000000000001"/>
  </r>
  <r>
    <x v="5"/>
    <d v="2024-06-12T00:00:00"/>
    <s v="الاربعاء "/>
    <x v="14"/>
    <s v="احمد السيد  "/>
    <s v="تركيب مصاعد البضائع "/>
    <s v="تم العمل"/>
    <d v="1899-12-30T11:30:00"/>
    <d v="1899-12-30T17:30:00"/>
    <n v="0.24999999999999994"/>
    <x v="1"/>
    <n v="5.9999999999999982"/>
  </r>
  <r>
    <x v="5"/>
    <d v="2024-06-12T00:00:00"/>
    <s v="الاربعاء "/>
    <x v="11"/>
    <s v="محمد رمضان   "/>
    <s v="صيانة الكلاركات "/>
    <s v="تم العمل"/>
    <d v="1899-12-30T10:30:00"/>
    <d v="1899-12-30T14:00:00"/>
    <n v="0.14583333333333337"/>
    <x v="3"/>
    <n v="3.5000000000000009"/>
  </r>
  <r>
    <x v="5"/>
    <d v="2024-06-12T00:00:00"/>
    <s v="الاربعاء "/>
    <x v="5"/>
    <s v="حسن  محمد   "/>
    <s v="فك التندة الخاصة بمخزن التجارة والتوزيع "/>
    <s v="تم العمل"/>
    <d v="1899-12-30T10:00:00"/>
    <d v="1899-12-30T16:00:00"/>
    <n v="0.24999999999999994"/>
    <x v="6"/>
    <n v="5.9999999999999982"/>
  </r>
  <r>
    <x v="5"/>
    <d v="2024-06-12T00:00:00"/>
    <s v="الاربعاء "/>
    <x v="8"/>
    <s v="على  شحات "/>
    <s v="الزيارة الشهرية وصيانة نظام الانزار "/>
    <s v="تم العمل"/>
    <d v="1899-12-30T10:00:00"/>
    <d v="1899-12-30T11:00:00"/>
    <n v="0.27079999999999999"/>
    <x v="3"/>
    <n v="6.4992000000000001"/>
  </r>
  <r>
    <x v="5"/>
    <d v="2024-06-13T00:00:00"/>
    <s v="الخميس "/>
    <x v="25"/>
    <s v="فارس خليل "/>
    <s v="تركيب سلم الطوارىء "/>
    <s v="تم العمل"/>
    <d v="1899-12-30T09:00:00"/>
    <d v="1899-12-30T14:00:00"/>
    <n v="0.27079999999999999"/>
    <x v="1"/>
    <n v="6.4992000000000001"/>
  </r>
  <r>
    <x v="5"/>
    <d v="2024-06-13T00:00:00"/>
    <s v="الخميس "/>
    <x v="29"/>
    <s v="صابر  محمد "/>
    <s v="لحام تربيزات داخل الكفتريا "/>
    <s v="تم العمل"/>
    <d v="1899-12-30T13:00:00"/>
    <d v="1899-12-30T16:30:00"/>
    <n v="0.14583333333333337"/>
    <x v="3"/>
    <n v="3.5000000000000009"/>
  </r>
  <r>
    <x v="5"/>
    <d v="2024-06-13T00:00:00"/>
    <s v="الخميس "/>
    <x v="5"/>
    <s v="حسن  محمد    "/>
    <s v="تعديل  حوامل التندة وتركيب الصاج  "/>
    <s v="تم العمل"/>
    <d v="1899-12-30T12:30:00"/>
    <d v="1899-12-30T14:00:00"/>
    <n v="6.25E-2"/>
    <x v="3"/>
    <n v="1.5"/>
  </r>
  <r>
    <x v="5"/>
    <d v="2024-06-14T00:00:00"/>
    <s v="الجمعة "/>
    <x v="5"/>
    <s v="حسن  محمد    "/>
    <s v="تركيب وعمل تندة فى مخزن التجارة والتوزيع "/>
    <s v="تم العمل"/>
    <d v="1899-12-30T10:30:00"/>
    <d v="1899-12-30T17:00:00"/>
    <n v="0.27083333333333337"/>
    <x v="3"/>
    <n v="6.5000000000000009"/>
  </r>
  <r>
    <x v="5"/>
    <d v="2024-06-19T00:00:00"/>
    <s v="الاربعاء "/>
    <x v="13"/>
    <s v="طه سعيد "/>
    <s v="لحام  تسريب الاحبار "/>
    <s v="تم العمل"/>
    <d v="1899-12-30T14:00:00"/>
    <d v="1899-12-30T17:00:00"/>
    <n v="0.125"/>
    <x v="0"/>
    <n v="5"/>
  </r>
  <r>
    <x v="5"/>
    <d v="2024-06-20T00:00:00"/>
    <s v="الخميس "/>
    <x v="13"/>
    <s v="طه سعيد "/>
    <s v="لحام  تسريب الاحبار "/>
    <s v="تم العمل"/>
    <d v="1899-12-30T00:00:00"/>
    <d v="1899-12-30T16:00:00"/>
    <n v="0.66666666666666663"/>
    <x v="0"/>
    <n v="5"/>
  </r>
  <r>
    <x v="5"/>
    <d v="2024-06-21T00:00:00"/>
    <s v="الجمعة "/>
    <x v="13"/>
    <s v="طه سعيد "/>
    <s v="لحام  تسريب الاحبار "/>
    <s v="تم العمل"/>
    <d v="1899-12-30T16:00:00"/>
    <d v="1899-12-30T17:00:00"/>
    <n v="4.1666666666666741E-2"/>
    <x v="0"/>
    <n v="1.0000000000000018"/>
  </r>
  <r>
    <x v="5"/>
    <d v="2024-06-22T00:00:00"/>
    <s v="السبت "/>
    <x v="25"/>
    <s v="فارس خليل "/>
    <s v="تركيب سلم الطوارىء "/>
    <s v="تم العمل"/>
    <d v="1899-12-30T11:00:00"/>
    <d v="1899-12-30T15:00:00"/>
    <n v="0.16666666666666669"/>
    <x v="1"/>
    <n v="4"/>
  </r>
  <r>
    <x v="5"/>
    <d v="2024-06-22T00:00:00"/>
    <s v="السبت "/>
    <x v="13"/>
    <s v="فتحى طه سعيد "/>
    <s v="لحام  تسريب الاحبار "/>
    <s v="تم العمل"/>
    <d v="1899-12-30T11:00:00"/>
    <d v="1899-12-30T17:30:00"/>
    <n v="0.27083333333333331"/>
    <x v="0"/>
    <n v="6.5"/>
  </r>
  <r>
    <x v="5"/>
    <d v="2024-06-23T00:00:00"/>
    <s v="الاحد "/>
    <x v="26"/>
    <s v="احمد عبد الناصر "/>
    <s v="فك العداد للصيانة ومعايرة   "/>
    <s v="تم العمل"/>
    <d v="1899-12-30T12:30:00"/>
    <d v="1899-12-30T13:00:00"/>
    <n v="2.0833333333333259E-2"/>
    <x v="3"/>
    <n v="0.49999999999999822"/>
  </r>
  <r>
    <x v="5"/>
    <d v="2024-06-23T00:00:00"/>
    <s v="الاحد "/>
    <x v="25"/>
    <s v="فارس خليل "/>
    <s v="اعمال حدادة  "/>
    <s v="تم العمل"/>
    <d v="1899-12-30T10:00:00"/>
    <d v="1899-12-30T16:00:00"/>
    <n v="0.24999999999999994"/>
    <x v="1"/>
    <n v="5.9999999999999982"/>
  </r>
  <r>
    <x v="5"/>
    <d v="2024-06-23T00:00:00"/>
    <s v="الاحد "/>
    <x v="13"/>
    <s v="طه سعيد "/>
    <s v="لحام  تسريب الاحبار "/>
    <s v="تم العمل"/>
    <d v="1899-12-30T11:00:00"/>
    <d v="1899-12-30T13:00:00"/>
    <n v="8.3333333333333315E-2"/>
    <x v="0"/>
    <n v="1.9999999999999996"/>
  </r>
  <r>
    <x v="5"/>
    <d v="2024-06-23T00:00:00"/>
    <s v="الاحد "/>
    <x v="10"/>
    <s v="حمادة شعبان"/>
    <s v="تركيب فراشة بالشارع  "/>
    <s v="تم العمل"/>
    <d v="1899-12-30T11:00:00"/>
    <d v="1899-12-30T17:00:00"/>
    <n v="0.25000000000000006"/>
    <x v="0"/>
    <n v="6"/>
  </r>
  <r>
    <x v="5"/>
    <d v="2024-06-24T00:00:00"/>
    <s v="الاثنين "/>
    <x v="6"/>
    <s v="صابر ابلراهيم "/>
    <s v="لحامات السلم   "/>
    <s v="تم العمل"/>
    <d v="1899-12-30T14:00:00"/>
    <d v="1899-12-30T15:00:00"/>
    <n v="4.166666666666663E-2"/>
    <x v="1"/>
    <n v="0.99999999999999911"/>
  </r>
  <r>
    <x v="5"/>
    <d v="2024-06-24T00:00:00"/>
    <s v="الاثنين "/>
    <x v="5"/>
    <s v="احمد سعيد  "/>
    <s v="تركيب خزانات الحريق "/>
    <s v="تم العمل"/>
    <d v="1899-12-30T11:00:00"/>
    <d v="1899-12-30T17:00:00"/>
    <n v="0.25000000000000006"/>
    <x v="0"/>
    <n v="3"/>
  </r>
  <r>
    <x v="5"/>
    <d v="2024-06-24T00:00:00"/>
    <s v="الاثنين "/>
    <x v="7"/>
    <s v="سامح الامير"/>
    <s v="رش وتعقيم سكن الامن  "/>
    <s v="تم العمل"/>
    <d v="1899-12-30T17:30:00"/>
    <d v="1899-12-30T18:30:00"/>
    <n v="4.1666666666666741E-2"/>
    <x v="0"/>
    <n v="1.0000000000000018"/>
  </r>
  <r>
    <x v="5"/>
    <d v="2024-06-24T00:00:00"/>
    <s v="الاثنين "/>
    <x v="25"/>
    <s v="فارس خليل "/>
    <s v="اعمال حدادة  "/>
    <s v="تم العمل"/>
    <d v="1899-12-30T10:00:00"/>
    <d v="1899-12-30T16:00:00"/>
    <n v="0.24999999999999994"/>
    <x v="1"/>
    <n v="5.9999999999999982"/>
  </r>
  <r>
    <x v="5"/>
    <d v="2024-06-24T00:00:00"/>
    <s v="الاثنين "/>
    <x v="14"/>
    <s v="احمد السيد  "/>
    <s v="تركيب مصاعد البضائع "/>
    <s v="تم العمل"/>
    <d v="1899-12-30T10:00:00"/>
    <d v="1899-12-30T16:00:00"/>
    <n v="0.24999999999999994"/>
    <x v="1"/>
    <n v="5.9999999999999982"/>
  </r>
  <r>
    <x v="5"/>
    <d v="2024-06-24T00:00:00"/>
    <s v="الاثنين "/>
    <x v="4"/>
    <s v="محمد سمير "/>
    <s v="صيانة دورية   "/>
    <s v="تم العمل"/>
    <d v="1899-12-30T15:00:00"/>
    <d v="1899-12-30T17:30:00"/>
    <n v="0.10416666666666663"/>
    <x v="2"/>
    <n v="2.4999999999999991"/>
  </r>
  <r>
    <x v="5"/>
    <d v="2024-06-24T00:00:00"/>
    <s v="الاثنين "/>
    <x v="10"/>
    <s v="حمادة شعبان"/>
    <s v="تركيب فراشة بالشارع  "/>
    <s v="تم العمل"/>
    <d v="1899-12-30T00:30:00"/>
    <d v="1899-12-30T20:00:00"/>
    <n v="0.8125"/>
    <x v="0"/>
    <n v="6"/>
  </r>
  <r>
    <x v="5"/>
    <d v="2024-06-24T00:00:00"/>
    <s v="الاثنين "/>
    <x v="8"/>
    <s v="حامد ابو المحاميد  "/>
    <s v="المرور الدورى على المعدات  "/>
    <s v="تم العمل"/>
    <d v="1899-12-30T11:00:00"/>
    <d v="1899-12-30T15:00:00"/>
    <n v="0.16666666666666669"/>
    <x v="0"/>
    <n v="4"/>
  </r>
  <r>
    <x v="5"/>
    <d v="2024-06-24T00:00:00"/>
    <s v="الاثنين "/>
    <x v="5"/>
    <s v="مجدى كرم   "/>
    <s v="اصلاح وصيانة عربيات النقل "/>
    <s v="تم العمل"/>
    <d v="1899-12-30T12:30:00"/>
    <d v="1899-12-30T15:00:00"/>
    <n v="0.10416666666666663"/>
    <x v="6"/>
    <n v="2.4999999999999991"/>
  </r>
  <r>
    <x v="5"/>
    <d v="2024-06-25T00:00:00"/>
    <s v="الثلاثاء "/>
    <x v="5"/>
    <s v="محمد النقيب "/>
    <s v="صيانةالكهرباء بالمعرض  "/>
    <s v="تم العمل"/>
    <d v="1899-12-30T10:00:00"/>
    <d v="1899-12-30T14:00:00"/>
    <n v="0.16666666666666669"/>
    <x v="3"/>
    <n v="4"/>
  </r>
  <r>
    <x v="5"/>
    <d v="2024-06-25T00:00:00"/>
    <s v="الثلاثاء "/>
    <x v="5"/>
    <s v="علاء احمد "/>
    <s v="صيانةالتكيف بالمعرض  "/>
    <s v="تم العمل"/>
    <d v="1899-12-30T11:00:00"/>
    <d v="1899-12-30T13:00:00"/>
    <n v="8.3333333333333315E-2"/>
    <x v="3"/>
    <n v="1.9999999999999996"/>
  </r>
  <r>
    <x v="5"/>
    <d v="2024-06-25T00:00:00"/>
    <s v="الثلاثاء "/>
    <x v="10"/>
    <s v="حمادة شعبان"/>
    <s v="تركيب فراشة بالشارع  "/>
    <s v="تم العمل"/>
    <d v="1899-12-30T11:30:00"/>
    <d v="1899-12-30T17:00:00"/>
    <n v="0.22916666666666669"/>
    <x v="0"/>
    <m/>
  </r>
  <r>
    <x v="5"/>
    <d v="2024-06-25T00:00:00"/>
    <s v="الثلاثاء "/>
    <x v="5"/>
    <s v="احمد سعيد  "/>
    <s v="تركيب خزانات الحريق "/>
    <s v="تم العمل"/>
    <d v="1899-12-30T11:00:00"/>
    <d v="1899-12-30T17:00:00"/>
    <n v="0.25000000000000006"/>
    <x v="0"/>
    <n v="3"/>
  </r>
  <r>
    <x v="5"/>
    <d v="2024-06-25T00:00:00"/>
    <s v="الثلاثاء "/>
    <x v="14"/>
    <s v="احمد السيد  "/>
    <s v="تركيب مصاعد البضائع "/>
    <s v="تم العمل"/>
    <d v="1899-12-30T10:00:00"/>
    <d v="1899-12-30T17:00:00"/>
    <n v="0.29166666666666669"/>
    <x v="1"/>
    <n v="7"/>
  </r>
  <r>
    <x v="5"/>
    <d v="2024-06-25T00:00:00"/>
    <s v="الثلاثاء "/>
    <x v="5"/>
    <s v="مجدى كرم   "/>
    <s v="عمل صيانة للتكيفات بالمكتبة "/>
    <s v="تم العمل"/>
    <d v="1899-12-30T15:30:00"/>
    <d v="1899-12-30T17:00:00"/>
    <n v="6.25E-2"/>
    <x v="6"/>
    <n v="1.5"/>
  </r>
  <r>
    <x v="5"/>
    <d v="2024-06-25T00:00:00"/>
    <s v="الثلاثاء "/>
    <x v="5"/>
    <s v="مجدى كرم   "/>
    <s v="دهانات بالمخزن المدرسى  "/>
    <s v="تم العمل"/>
    <d v="1899-12-30T10:00:00"/>
    <d v="1899-12-30T17:30:00"/>
    <n v="0.31249999999999994"/>
    <x v="6"/>
    <n v="7.4999999999999982"/>
  </r>
  <r>
    <x v="5"/>
    <d v="2024-06-26T00:00:00"/>
    <s v="الاربعاء "/>
    <x v="14"/>
    <s v="محمد عادل  "/>
    <s v="صيانة الاسانسير"/>
    <s v="تم العمل"/>
    <d v="1899-12-30T11:00:00"/>
    <d v="1899-12-30T12:00:00"/>
    <n v="4.1666666666666685E-2"/>
    <x v="1"/>
    <n v="1.0000000000000004"/>
  </r>
  <r>
    <x v="5"/>
    <d v="2024-06-26T00:00:00"/>
    <s v="الاربعاء "/>
    <x v="10"/>
    <s v="حمادة شعبان"/>
    <s v="تركيب فراشة بالشارع  "/>
    <s v="تم العمل"/>
    <d v="1899-12-30T11:30:00"/>
    <d v="1899-12-30T18:30:00"/>
    <n v="0.29166666666666669"/>
    <x v="0"/>
    <n v="6"/>
  </r>
  <r>
    <x v="5"/>
    <d v="2024-06-26T00:00:00"/>
    <s v="الاربعاء "/>
    <x v="5"/>
    <s v="مجدى كرم   "/>
    <s v="دهانات بالمخزن المدرسى  "/>
    <s v="تم العمل"/>
    <d v="1899-12-30T12:30:00"/>
    <d v="1899-12-30T15:00:00"/>
    <n v="0.10416666666666663"/>
    <x v="6"/>
    <n v="2.4999999999999991"/>
  </r>
  <r>
    <x v="5"/>
    <d v="2024-06-27T00:00:00"/>
    <s v="الخميس "/>
    <x v="26"/>
    <s v="احمد عبد الناصر "/>
    <s v="تركيب عداد الغاز "/>
    <s v="تم العمل"/>
    <d v="1899-12-30T12:30:00"/>
    <d v="1899-12-30T13:00:00"/>
    <n v="2.0833333333333259E-2"/>
    <x v="3"/>
    <n v="0.49999999999999822"/>
  </r>
  <r>
    <x v="5"/>
    <d v="2024-06-27T00:00:00"/>
    <s v="الخميس "/>
    <x v="5"/>
    <s v="احمد سعيد  "/>
    <s v="تركيب خزانات الحريق "/>
    <s v="تم العمل"/>
    <d v="1899-12-30T10:00:00"/>
    <d v="1899-12-30T17:00:00"/>
    <n v="0.29166666666666669"/>
    <x v="0"/>
    <n v="3"/>
  </r>
  <r>
    <x v="5"/>
    <d v="2024-06-27T00:00:00"/>
    <s v="الخميس "/>
    <x v="9"/>
    <s v="سامى شعبان  "/>
    <s v="صيانة الكلاركات "/>
    <s v="تم العمل"/>
    <d v="1899-12-30T10:00:00"/>
    <d v="1899-12-30T16:00:00"/>
    <n v="0.24999999999999994"/>
    <x v="0"/>
    <n v="5.9999999999999982"/>
  </r>
  <r>
    <x v="5"/>
    <d v="2024-06-27T00:00:00"/>
    <s v="الخميس "/>
    <x v="0"/>
    <s v="فارس خليل "/>
    <s v="تركيب سلم الطوارىء "/>
    <s v="تم العمل"/>
    <d v="1899-12-30T10:30:00"/>
    <d v="1899-12-30T12:00:00"/>
    <n v="6.25E-2"/>
    <x v="0"/>
    <n v="1.5"/>
  </r>
  <r>
    <x v="5"/>
    <d v="2024-06-27T00:00:00"/>
    <s v="الخميس "/>
    <x v="10"/>
    <s v="حمادة شعبان"/>
    <s v="تركيب فراشة بالشارع  "/>
    <s v="تم العمل"/>
    <d v="1899-12-30T13:00:00"/>
    <d v="1899-12-30T20:30:00"/>
    <n v="0.3125"/>
    <x v="0"/>
    <n v="6"/>
  </r>
  <r>
    <x v="5"/>
    <d v="2024-06-27T00:00:00"/>
    <s v="الخميس "/>
    <x v="5"/>
    <s v="مجدى كرم   "/>
    <s v="دهانات بالمخزن المدرسى  "/>
    <s v="تم العمل"/>
    <d v="1899-12-30T10:00:00"/>
    <d v="1899-12-30T19:00:00"/>
    <n v="0.37499999999999994"/>
    <x v="6"/>
    <n v="8.9999999999999982"/>
  </r>
  <r>
    <x v="5"/>
    <d v="2024-06-28T00:00:00"/>
    <s v="الجمعة "/>
    <x v="5"/>
    <s v="مجدى كرم   "/>
    <s v="دهانات بالمخزن المدرسى  "/>
    <s v="تم العمل"/>
    <d v="1899-12-30T10:00:00"/>
    <d v="1899-12-30T17:00:00"/>
    <n v="0.29166666666666669"/>
    <x v="6"/>
    <n v="7"/>
  </r>
  <r>
    <x v="5"/>
    <d v="2024-06-29T00:00:00"/>
    <s v="السبت "/>
    <x v="2"/>
    <s v="محمد رفعت  "/>
    <s v="تركيبات "/>
    <s v="تم العمل"/>
    <d v="1899-12-30T10:30:00"/>
    <d v="1899-12-30T18:00:00"/>
    <n v="0.3125"/>
    <x v="2"/>
    <n v="7.5"/>
  </r>
  <r>
    <x v="5"/>
    <d v="2024-06-29T00:00:00"/>
    <s v="السبت "/>
    <x v="41"/>
    <s v="علاء احمد "/>
    <s v="صيانة التكيف "/>
    <s v="تم العمل"/>
    <d v="1899-12-30T21:00:00"/>
    <d v="1899-12-30T23:00:00"/>
    <n v="8.333333333333337E-2"/>
    <x v="2"/>
    <n v="2.0000000000000009"/>
  </r>
  <r>
    <x v="5"/>
    <d v="2024-06-29T00:00:00"/>
    <s v="السبت "/>
    <x v="5"/>
    <s v="مجدى كرم   "/>
    <s v="دهانات بالمخزن المدرسى  "/>
    <s v="تم العمل"/>
    <d v="1899-12-30T10:00:00"/>
    <d v="1899-12-30T17:00:00"/>
    <n v="0.29166666666666669"/>
    <x v="6"/>
    <n v="7"/>
  </r>
  <r>
    <x v="5"/>
    <d v="2024-06-30T00:00:00"/>
    <s v="الاحد "/>
    <x v="6"/>
    <s v="حسن عبد العظيم "/>
    <s v="توصيل فرع نور للفراشة "/>
    <s v="تم العمل"/>
    <d v="1899-12-30T11:00:00"/>
    <d v="1899-12-30T12:00:00"/>
    <n v="4.1666666666666685E-2"/>
    <x v="0"/>
    <n v="1.0000000000000004"/>
  </r>
  <r>
    <x v="5"/>
    <d v="2024-06-30T00:00:00"/>
    <s v="الاحد "/>
    <x v="6"/>
    <s v="صابر ابراهيم "/>
    <s v="تركيب باب حديد"/>
    <s v="تم العمل"/>
    <d v="1899-12-30T12:30:00"/>
    <d v="1899-12-30T15:00:00"/>
    <n v="0.10416666666666663"/>
    <x v="0"/>
    <n v="2.4999999999999991"/>
  </r>
  <r>
    <x v="6"/>
    <d v="2024-07-01T00:00:00"/>
    <s v="الاثنين "/>
    <x v="5"/>
    <s v="محمد النقيب "/>
    <s v="صيانة كشافات الشوارع "/>
    <s v="تم العمل"/>
    <d v="1899-12-30T14:30:00"/>
    <d v="1899-12-30T16:00:00"/>
    <n v="6.25E-2"/>
    <x v="0"/>
    <n v="3"/>
  </r>
  <r>
    <x v="6"/>
    <d v="2024-07-01T00:00:00"/>
    <s v="الاثنين "/>
    <x v="22"/>
    <s v="محمودالدروى    "/>
    <s v="صيانة كولدير المياه "/>
    <s v="تم العمل"/>
    <d v="1899-12-30T14:30:00"/>
    <d v="1899-12-30T15:00:00"/>
    <n v="2.083333333333337E-2"/>
    <x v="0"/>
    <n v="0.50000000000000089"/>
  </r>
  <r>
    <x v="6"/>
    <d v="2024-07-01T00:00:00"/>
    <s v="الاثنين "/>
    <x v="25"/>
    <s v="فارس خليل "/>
    <s v="تركيب سلم الطوارىء "/>
    <s v="تم العمل"/>
    <d v="1899-12-30T10:00:00"/>
    <d v="1899-12-30T14:00:00"/>
    <n v="0.16666666666666669"/>
    <x v="1"/>
    <n v="4"/>
  </r>
  <r>
    <x v="6"/>
    <d v="2024-07-01T00:00:00"/>
    <s v="الاثنين "/>
    <x v="7"/>
    <s v="محمد ماهر "/>
    <s v="مكافحة الافات "/>
    <s v="تم العمل"/>
    <d v="1899-12-30T10:00:00"/>
    <d v="1899-12-30T14:00:00"/>
    <n v="0.16666666666666669"/>
    <x v="3"/>
    <n v="4"/>
  </r>
  <r>
    <x v="6"/>
    <d v="2024-07-01T00:00:00"/>
    <s v="الاثنين "/>
    <x v="5"/>
    <s v="مجدى كرم   "/>
    <s v="دهانات بالمخزن المدرسى  "/>
    <s v="تم العمل"/>
    <d v="1899-12-30T10:00:00"/>
    <d v="1899-12-30T18:00:00"/>
    <n v="0.33333333333333331"/>
    <x v="6"/>
    <n v="7"/>
  </r>
  <r>
    <x v="6"/>
    <d v="2024-07-01T00:00:00"/>
    <s v="الاثنين "/>
    <x v="36"/>
    <s v="احمد سعيد  "/>
    <s v="تركيب بوابة صغيرةبمكتب الامن "/>
    <s v="تم العمل"/>
    <d v="1899-12-30T14:00:00"/>
    <d v="1899-12-30T16:30:00"/>
    <n v="0.10416666666666663"/>
    <x v="1"/>
    <n v="2.4999999999999991"/>
  </r>
  <r>
    <x v="6"/>
    <d v="2024-07-01T00:00:00"/>
    <s v="الاثنين "/>
    <x v="5"/>
    <s v="احمد سعيد  "/>
    <s v="تركيب خزانات الحريق "/>
    <s v="تم العمل"/>
    <d v="1899-12-30T15:00:00"/>
    <d v="1899-12-30T17:00:00"/>
    <n v="8.333333333333337E-2"/>
    <x v="0"/>
    <n v="3"/>
  </r>
  <r>
    <x v="6"/>
    <d v="2024-07-01T00:00:00"/>
    <s v="الاثنين "/>
    <x v="6"/>
    <s v="صابر ابراهيم "/>
    <s v="لحام "/>
    <s v="تم العمل"/>
    <d v="1899-12-30T15:00:00"/>
    <d v="1899-12-30T15:30:00"/>
    <n v="2.083333333333337E-2"/>
    <x v="3"/>
    <n v="0.50000000000000089"/>
  </r>
  <r>
    <x v="6"/>
    <d v="2024-07-02T00:00:00"/>
    <s v="الثلاثاء "/>
    <x v="25"/>
    <s v="فارس خليل "/>
    <s v="دهانات سلم الطوارىء "/>
    <s v="تم العمل"/>
    <d v="1899-12-30T10:00:00"/>
    <d v="1899-12-30T17:00:00"/>
    <n v="0.29166666666666669"/>
    <x v="1"/>
    <n v="7"/>
  </r>
  <r>
    <x v="6"/>
    <d v="2024-07-02T00:00:00"/>
    <s v="الثلاثاء "/>
    <x v="5"/>
    <s v="مجدى كرم   "/>
    <s v="دهانات بالمخزن المدرسى  "/>
    <s v="تم العمل"/>
    <d v="1899-12-30T10:00:00"/>
    <d v="1899-12-30T17:00:00"/>
    <n v="0.29166666666666669"/>
    <x v="6"/>
    <n v="7"/>
  </r>
  <r>
    <x v="6"/>
    <d v="2024-07-02T00:00:00"/>
    <s v="الثلاثاء "/>
    <x v="14"/>
    <s v="احمد السيد "/>
    <s v="تركيب الاسانسير"/>
    <s v="تم العمل"/>
    <d v="1899-12-30T10:00:00"/>
    <d v="1899-12-30T17:30:00"/>
    <n v="0.31249999999999994"/>
    <x v="1"/>
    <n v="7.4999999999999982"/>
  </r>
  <r>
    <x v="6"/>
    <d v="2024-07-02T00:00:00"/>
    <s v="الثلاثاء "/>
    <x v="7"/>
    <s v="محمود شعبان "/>
    <s v="مرور دورى على المصائدو مكافحة حشرات "/>
    <s v="تم العمل"/>
    <d v="1899-12-30T11:00:00"/>
    <d v="1899-12-30T14:30:00"/>
    <n v="0.14583333333333331"/>
    <x v="3"/>
    <n v="3.4999999999999996"/>
  </r>
  <r>
    <x v="6"/>
    <d v="2024-07-02T00:00:00"/>
    <s v="الثلاثاء "/>
    <x v="13"/>
    <s v="طه سعيد "/>
    <s v="لحام  تسريب الاحبار "/>
    <s v="تم العمل"/>
    <d v="1899-12-30T11:00:00"/>
    <d v="1899-12-30T17:00:00"/>
    <n v="0.25000000000000006"/>
    <x v="3"/>
    <n v="6.0000000000000018"/>
  </r>
  <r>
    <x v="6"/>
    <d v="2024-07-02T00:00:00"/>
    <s v="الثلاثاء "/>
    <x v="13"/>
    <s v="احمد سمير "/>
    <s v="صيانة ctB"/>
    <s v="تم العمل"/>
    <d v="1899-12-30T12:00:00"/>
    <d v="1899-12-30T16:00:00"/>
    <n v="0.16666666666666663"/>
    <x v="3"/>
    <n v="3.9999999999999991"/>
  </r>
  <r>
    <x v="6"/>
    <d v="2024-07-02T00:00:00"/>
    <s v="الثلاثاء "/>
    <x v="3"/>
    <s v="علاء احمد "/>
    <s v="صيانةالتكيف فى غرفة السلفر "/>
    <s v="تم العمل"/>
    <d v="1899-12-30T14:00:00"/>
    <d v="1899-12-30T15:00:00"/>
    <n v="4.166666666666663E-2"/>
    <x v="2"/>
    <n v="0.99999999999999911"/>
  </r>
  <r>
    <x v="6"/>
    <d v="2024-07-02T00:00:00"/>
    <s v="الثلاثاء "/>
    <x v="5"/>
    <s v="محمد النقيب "/>
    <s v="توصيل كهرباء للفراشة "/>
    <s v="تم العمل"/>
    <d v="1899-12-30T13:00:00"/>
    <d v="1899-12-30T16:30:00"/>
    <n v="0.14583333333333337"/>
    <x v="0"/>
    <n v="3"/>
  </r>
  <r>
    <x v="6"/>
    <d v="2024-07-02T00:00:00"/>
    <s v="الثلاثاء "/>
    <x v="5"/>
    <s v="احمد سعيد  "/>
    <s v="تركيب خزانات الحريق "/>
    <s v="تم العمل"/>
    <d v="1899-12-30T10:00:00"/>
    <d v="1899-12-30T17:00:00"/>
    <n v="0.29166666666666669"/>
    <x v="0"/>
    <n v="3"/>
  </r>
  <r>
    <x v="6"/>
    <d v="2024-07-03T00:00:00"/>
    <s v="الاربعاء "/>
    <x v="5"/>
    <s v="علاء احمد   "/>
    <s v="عمل صيانة للتكيفات "/>
    <s v="تم العمل"/>
    <d v="1899-12-30T09:00:00"/>
    <d v="1899-12-30T10:00:00"/>
    <n v="4.1666666666666685E-2"/>
    <x v="3"/>
    <n v="1.0000000000000004"/>
  </r>
  <r>
    <x v="6"/>
    <d v="2024-07-03T00:00:00"/>
    <s v="الاربعاء "/>
    <x v="6"/>
    <s v="احمد سلامة "/>
    <s v="لحام "/>
    <s v="تم العمل"/>
    <d v="1899-12-30T16:30:00"/>
    <d v="1899-12-30T17:00:00"/>
    <n v="2.083333333333337E-2"/>
    <x v="3"/>
    <n v="0.50000000000000089"/>
  </r>
  <r>
    <x v="6"/>
    <d v="2024-07-03T00:00:00"/>
    <s v="الاربعاء "/>
    <x v="9"/>
    <s v="سامى شعبان  "/>
    <s v="صيانة الكلاركات "/>
    <s v="تم العمل"/>
    <d v="1899-12-30T10:00:00"/>
    <d v="1899-12-30T13:00:00"/>
    <n v="0.12499999999999994"/>
    <x v="0"/>
    <n v="2.9999999999999987"/>
  </r>
  <r>
    <x v="6"/>
    <d v="2024-07-03T00:00:00"/>
    <s v="الاربعاء "/>
    <x v="9"/>
    <s v="سامى شعبان  "/>
    <s v="صيانة الكلاركات "/>
    <s v="تم العمل"/>
    <d v="1899-12-30T14:00:00"/>
    <d v="1899-12-30T16:00:00"/>
    <n v="8.3333333333333259E-2"/>
    <x v="1"/>
    <n v="1.9999999999999982"/>
  </r>
  <r>
    <x v="6"/>
    <d v="2024-07-03T00:00:00"/>
    <s v="الاربعاء "/>
    <x v="5"/>
    <s v="احمد سعيد  "/>
    <s v="تركيب خزانات الحريق "/>
    <s v="تم العمل"/>
    <d v="1899-12-30T00:30:00"/>
    <d v="1899-12-30T17:00:00"/>
    <n v="0.6875"/>
    <x v="0"/>
    <n v="3"/>
  </r>
  <r>
    <x v="6"/>
    <d v="2024-07-03T00:00:00"/>
    <s v="الاربعاء "/>
    <x v="5"/>
    <s v="مجدى كرم   "/>
    <s v="دهانات بالمخزن المدرسى  "/>
    <s v="تم العمل"/>
    <d v="1899-12-30T10:00:00"/>
    <d v="1899-12-30T13:00:00"/>
    <n v="0.12499999999999994"/>
    <x v="6"/>
    <n v="3.9999999999999991"/>
  </r>
  <r>
    <x v="6"/>
    <d v="2024-07-04T00:00:00"/>
    <s v="الخميس "/>
    <x v="22"/>
    <s v="محمود الدروى "/>
    <s v="عمل صيانة تكييف"/>
    <s v="تم العمل"/>
    <d v="1899-12-30T10:00:00"/>
    <d v="1899-12-30T11:00:00"/>
    <n v="4.166666666666663E-2"/>
    <x v="3"/>
    <n v="0.99999999999999911"/>
  </r>
  <r>
    <x v="6"/>
    <d v="2024-07-04T00:00:00"/>
    <s v="الخميس "/>
    <x v="18"/>
    <s v="فيكتور لوندى      "/>
    <s v="تركيب اجهزة انزار "/>
    <s v="تم العمل"/>
    <d v="1899-12-30T13:30:00"/>
    <d v="1899-12-30T17:00:00"/>
    <n v="0.14583333333333337"/>
    <x v="4"/>
    <n v="5.5"/>
  </r>
  <r>
    <x v="6"/>
    <d v="2024-07-04T00:00:00"/>
    <s v="الخميس "/>
    <x v="5"/>
    <s v="احمد سعيد  "/>
    <s v="تركيب خزانات الحريق "/>
    <s v="تم العمل"/>
    <d v="1899-12-30T10:00:00"/>
    <d v="1899-12-30T16:00:00"/>
    <n v="0.24999999999999994"/>
    <x v="0"/>
    <n v="3"/>
  </r>
  <r>
    <x v="6"/>
    <d v="2024-07-04T00:00:00"/>
    <s v="الخميس "/>
    <x v="5"/>
    <s v="مجدى كرم   "/>
    <s v="دهانات بالمخزن المدرسى  "/>
    <s v="تم العمل"/>
    <d v="1899-12-30T10:00:00"/>
    <d v="1899-12-30T18:00:00"/>
    <n v="0.33333333333333331"/>
    <x v="6"/>
    <n v="1.0000000000000004"/>
  </r>
  <r>
    <x v="6"/>
    <d v="2024-07-06T00:00:00"/>
    <s v="السبت "/>
    <x v="14"/>
    <s v="احمد السيد "/>
    <s v="صيانة الاسانسير"/>
    <s v="تم العمل"/>
    <d v="1899-12-30T10:00:00"/>
    <d v="1899-12-30T17:30:00"/>
    <n v="0.31249999999999994"/>
    <x v="1"/>
    <n v="7.4999999999999982"/>
  </r>
  <r>
    <x v="6"/>
    <d v="2024-07-06T00:00:00"/>
    <s v="السبت "/>
    <x v="25"/>
    <s v="فارس خليل "/>
    <s v="تشطيب سلم الطوارىء "/>
    <s v="تم العمل"/>
    <d v="1899-12-30T13:00:00"/>
    <d v="1899-12-30T16:00:00"/>
    <n v="0.125"/>
    <x v="1"/>
    <n v="3"/>
  </r>
  <r>
    <x v="6"/>
    <d v="2024-07-06T00:00:00"/>
    <s v="السبت "/>
    <x v="3"/>
    <s v="علاء احمد "/>
    <s v="صيانةالتكيف المركزى فى الدور الاول "/>
    <s v="تم العمل"/>
    <d v="1899-12-30T09:00:00"/>
    <d v="1899-12-30T11:00:00"/>
    <n v="8.3333333333333315E-2"/>
    <x v="2"/>
    <n v="1.9999999999999996"/>
  </r>
  <r>
    <x v="6"/>
    <d v="2024-07-06T00:00:00"/>
    <s v="السبت "/>
    <x v="2"/>
    <s v="مصطفى السيد "/>
    <s v="تركيبات "/>
    <s v="تم العمل"/>
    <d v="1899-12-30T11:30:00"/>
    <d v="1899-12-30T20:30:00"/>
    <n v="0.37499999999999994"/>
    <x v="2"/>
    <n v="8.9999999999999982"/>
  </r>
  <r>
    <x v="6"/>
    <d v="2024-07-07T00:00:00"/>
    <s v="الاحد "/>
    <x v="25"/>
    <s v="ايمن رمضان "/>
    <s v="تشطيب سلم الطوارىء "/>
    <s v="تم العمل"/>
    <d v="1899-12-30T09:00:00"/>
    <d v="1899-12-30T16:00:00"/>
    <n v="0.29166666666666663"/>
    <x v="1"/>
    <n v="6.9999999999999991"/>
  </r>
  <r>
    <x v="6"/>
    <d v="2024-07-07T00:00:00"/>
    <s v="الاحد "/>
    <x v="7"/>
    <s v="محمد ماهر "/>
    <s v="مكافحة الحشرات "/>
    <s v="تم العمل"/>
    <d v="1899-12-30T10:00:00"/>
    <d v="1899-12-30T14:00:00"/>
    <n v="0.16666666666666669"/>
    <x v="1"/>
    <n v="4"/>
  </r>
  <r>
    <x v="6"/>
    <d v="2024-07-07T00:00:00"/>
    <s v="الاحد "/>
    <x v="36"/>
    <s v="محمد مصطفى "/>
    <s v="تشطيب باب الامن "/>
    <s v="تم العمل"/>
    <d v="1899-12-30T16:00:00"/>
    <d v="1899-12-30T17:30:00"/>
    <n v="6.25E-2"/>
    <x v="1"/>
    <n v="1.5"/>
  </r>
  <r>
    <x v="6"/>
    <d v="2024-07-07T00:00:00"/>
    <s v="الاحد "/>
    <x v="5"/>
    <s v="مجدى كرم   "/>
    <s v="دهانات بالمخزن المدرسى  "/>
    <s v="تم العمل"/>
    <d v="1899-12-30T10:30:00"/>
    <d v="1899-12-30T18:00:00"/>
    <n v="0.3125"/>
    <x v="6"/>
    <n v="5.9999999999999982"/>
  </r>
  <r>
    <x v="6"/>
    <d v="2024-07-08T00:00:00"/>
    <s v="الاثنين "/>
    <x v="5"/>
    <s v="مجدى كرم   "/>
    <s v="دهانات بالمخزن المدرسى  "/>
    <s v="تم العمل"/>
    <d v="1899-12-30T10:00:00"/>
    <d v="1899-12-30T17:30:00"/>
    <n v="0.31249999999999994"/>
    <x v="6"/>
    <n v="8"/>
  </r>
  <r>
    <x v="6"/>
    <d v="2024-07-08T00:00:00"/>
    <s v="الاثنين "/>
    <x v="18"/>
    <s v="فيكتور لوندى      "/>
    <s v="تركيب شبكة الانزار "/>
    <s v="تم العمل"/>
    <d v="1899-12-30T10:30:00"/>
    <d v="1899-12-30T17:00:00"/>
    <n v="0.27083333333333337"/>
    <x v="4"/>
    <n v="5.5"/>
  </r>
  <r>
    <x v="6"/>
    <d v="2024-07-08T00:00:00"/>
    <s v="الاثنين "/>
    <x v="25"/>
    <s v="ايمن رمضان "/>
    <s v="تشطيب سلم الطوارىء "/>
    <s v="تم العمل"/>
    <d v="1899-12-30T13:00:00"/>
    <d v="1899-12-30T17:00:00"/>
    <n v="0.16666666666666674"/>
    <x v="1"/>
    <n v="4.0000000000000018"/>
  </r>
  <r>
    <x v="6"/>
    <d v="2024-07-08T00:00:00"/>
    <s v="الاثنين "/>
    <x v="14"/>
    <s v="عبد الرحمن حسين "/>
    <s v="تركيب الاسانسير "/>
    <s v="تم العمل"/>
    <d v="1899-12-30T10:00:00"/>
    <d v="1899-12-30T17:00:00"/>
    <n v="0.29166666666666669"/>
    <x v="1"/>
    <n v="7"/>
  </r>
  <r>
    <x v="6"/>
    <d v="2024-07-08T00:00:00"/>
    <s v="الاثنين "/>
    <x v="0"/>
    <s v="مراد صالح  "/>
    <s v="ترميم خزان خط الحريق  "/>
    <s v="تم العمل"/>
    <d v="1899-12-30T09:30:00"/>
    <d v="1899-12-30T16:00:00"/>
    <n v="0.27083333333333331"/>
    <x v="0"/>
    <n v="6.5"/>
  </r>
  <r>
    <x v="6"/>
    <d v="2024-07-08T00:00:00"/>
    <s v="الاثنين "/>
    <x v="24"/>
    <s v="محمود سالم "/>
    <s v="فك طلمبات الحريق "/>
    <s v="تم العمل"/>
    <d v="1899-12-30T12:00:00"/>
    <d v="1899-12-30T15:00:00"/>
    <n v="0.125"/>
    <x v="0"/>
    <n v="3"/>
  </r>
  <r>
    <x v="6"/>
    <d v="2024-07-09T00:00:00"/>
    <s v="الثلاثاء "/>
    <x v="13"/>
    <s v="احمد سمير "/>
    <s v="صيانة ctB"/>
    <s v="تم العمل"/>
    <d v="1899-12-30T13:00:00"/>
    <d v="1899-12-30T17:00:00"/>
    <n v="0.16666666666666674"/>
    <x v="3"/>
    <n v="4.0000000000000018"/>
  </r>
  <r>
    <x v="6"/>
    <d v="2024-07-09T00:00:00"/>
    <s v="الثلاثاء "/>
    <x v="18"/>
    <s v="فيكتور لوندى      "/>
    <s v="تركيب شبكة الانزار "/>
    <s v="تم العمل"/>
    <d v="1899-12-30T10:00:00"/>
    <d v="1899-12-30T14:00:00"/>
    <n v="0.16666666666666669"/>
    <x v="4"/>
    <n v="5.5"/>
  </r>
  <r>
    <x v="6"/>
    <d v="2024-07-09T00:00:00"/>
    <s v="الثلاثاء "/>
    <x v="14"/>
    <s v="عبد الرحمن حسين "/>
    <s v="تركيب الاسانسير "/>
    <s v="تم العمل"/>
    <d v="1899-12-30T09:30:00"/>
    <d v="1899-12-30T18:00:00"/>
    <n v="0.35416666666666669"/>
    <x v="1"/>
    <n v="8.5"/>
  </r>
  <r>
    <x v="6"/>
    <d v="2024-07-09T00:00:00"/>
    <s v="الثلاثاء "/>
    <x v="25"/>
    <s v="ايمن رمضان "/>
    <s v="تشطيب سلم الطوارىء "/>
    <s v="تم العمل"/>
    <d v="1899-12-30T09:30:00"/>
    <d v="1899-12-30T14:00:00"/>
    <n v="0.18750000000000006"/>
    <x v="1"/>
    <n v="4.5000000000000018"/>
  </r>
  <r>
    <x v="6"/>
    <d v="2024-07-09T00:00:00"/>
    <s v="الثلاثاء "/>
    <x v="36"/>
    <s v="احمد سعيد "/>
    <s v="تركيب  باب الامن "/>
    <s v="تم العمل"/>
    <d v="1899-12-30T14:00:00"/>
    <d v="1899-12-30T16:00:00"/>
    <n v="8.3333333333333259E-2"/>
    <x v="1"/>
    <n v="1.9999999999999982"/>
  </r>
  <r>
    <x v="6"/>
    <d v="2024-07-09T00:00:00"/>
    <s v="الثلاثاء "/>
    <x v="0"/>
    <s v="مراد صالح  "/>
    <s v="ترميم خزان خط الحريق  "/>
    <s v="تم العمل"/>
    <d v="1899-12-30T09:30:00"/>
    <d v="1899-12-30T16:00:00"/>
    <n v="0.27083333333333331"/>
    <x v="0"/>
    <n v="6.5"/>
  </r>
  <r>
    <x v="6"/>
    <d v="2024-07-10T00:00:00"/>
    <s v="الاربعاء "/>
    <x v="5"/>
    <s v="احمد سعيد  "/>
    <s v="تغيير محبس "/>
    <s v="تم العمل"/>
    <d v="1899-12-30T11:30:00"/>
    <d v="1899-12-30T13:00:00"/>
    <n v="6.2499999999999944E-2"/>
    <x v="3"/>
    <n v="3"/>
  </r>
  <r>
    <x v="6"/>
    <d v="2024-07-10T00:00:00"/>
    <s v="الاربعاء "/>
    <x v="8"/>
    <s v="حامد ابو المحاميد  "/>
    <s v="المرور الدورى على المعدات  "/>
    <s v="تم العمل"/>
    <d v="1899-12-30T10:30:00"/>
    <d v="1899-12-30T15:00:00"/>
    <n v="0.1875"/>
    <x v="3"/>
    <n v="4.5"/>
  </r>
  <r>
    <x v="6"/>
    <d v="2024-07-10T00:00:00"/>
    <s v="الاربعاء "/>
    <x v="1"/>
    <s v="احمد على "/>
    <s v="استكمال تركيب شبكة الفاير "/>
    <s v="تم العمل"/>
    <d v="1899-12-30T11:00:00"/>
    <d v="1899-12-30T17:00:00"/>
    <n v="0.25000000000000006"/>
    <x v="1"/>
    <n v="6.0000000000000018"/>
  </r>
  <r>
    <x v="6"/>
    <d v="2024-07-10T00:00:00"/>
    <s v="الاربعاء "/>
    <x v="6"/>
    <s v="هانى محمد  "/>
    <s v="تصليح المقص "/>
    <s v="تم العمل"/>
    <d v="1899-12-30T17:00:00"/>
    <d v="1899-12-30T18:00:00"/>
    <n v="4.166666666666663E-2"/>
    <x v="3"/>
    <n v="0.99999999999999911"/>
  </r>
  <r>
    <x v="6"/>
    <d v="2024-07-10T00:00:00"/>
    <s v="الاربعاء "/>
    <x v="0"/>
    <s v="مراد صالح  "/>
    <s v="ترميم خزان خط الحريق  "/>
    <s v="تم العمل"/>
    <d v="1899-12-30T09:30:00"/>
    <d v="1899-12-30T16:00:00"/>
    <n v="0.27083333333333331"/>
    <x v="0"/>
    <n v="6.5"/>
  </r>
  <r>
    <x v="6"/>
    <d v="2024-07-10T00:00:00"/>
    <s v="الاربعاء "/>
    <x v="14"/>
    <s v="احمد السيد  "/>
    <s v="تركيب الاسانسير "/>
    <s v="تم العمل"/>
    <d v="1899-12-30T10:00:00"/>
    <d v="1899-12-30T17:00:00"/>
    <n v="0.29166666666666669"/>
    <x v="1"/>
    <n v="7"/>
  </r>
  <r>
    <x v="6"/>
    <d v="2024-07-10T00:00:00"/>
    <s v="الاربعاء "/>
    <x v="5"/>
    <s v="مجدى كرم   "/>
    <s v="دهانات بالمخزن المدرسى  "/>
    <s v="تم العمل"/>
    <d v="1899-12-30T10:00:00"/>
    <d v="1899-12-30T17:00:00"/>
    <n v="0.29166666666666669"/>
    <x v="6"/>
    <n v="4.5000000000000018"/>
  </r>
  <r>
    <x v="6"/>
    <d v="2024-07-11T00:00:00"/>
    <s v="الخميس "/>
    <x v="5"/>
    <s v="مجدى كرم   "/>
    <s v="دهانات بالمخزن المدرسى  "/>
    <s v="تم العمل"/>
    <d v="1899-12-30T11:00:00"/>
    <d v="1899-12-30T19:00:00"/>
    <n v="0.33333333333333331"/>
    <x v="6"/>
    <n v="4.5000000000000018"/>
  </r>
  <r>
    <x v="6"/>
    <d v="2024-07-11T00:00:00"/>
    <s v="الخميس "/>
    <x v="14"/>
    <s v="احمد السيد  "/>
    <s v="تركيب الاسانسير "/>
    <s v="تم العمل"/>
    <d v="1899-12-30T09:30:00"/>
    <d v="1899-12-30T17:00:00"/>
    <n v="0.31250000000000006"/>
    <x v="1"/>
    <n v="7.5000000000000018"/>
  </r>
  <r>
    <x v="6"/>
    <d v="2024-07-11T00:00:00"/>
    <s v="الخميس "/>
    <x v="0"/>
    <s v="مراد صالح  "/>
    <s v="ترميم خزان خط الحريق  "/>
    <s v="تم العمل"/>
    <d v="1899-12-30T09:30:00"/>
    <d v="1899-12-30T16:00:00"/>
    <n v="0.27083333333333331"/>
    <x v="0"/>
    <n v="6.5"/>
  </r>
  <r>
    <x v="6"/>
    <d v="2024-07-13T00:00:00"/>
    <s v="السبت "/>
    <x v="6"/>
    <s v="صابر ابراهيم "/>
    <s v="تثبيت حاجز  المقص اليدوى "/>
    <s v="تم العمل"/>
    <d v="1899-12-30T11:30:00"/>
    <d v="1899-12-30T12:00:00"/>
    <n v="2.0833333333333315E-2"/>
    <x v="3"/>
    <n v="0.49999999999999956"/>
  </r>
  <r>
    <x v="6"/>
    <d v="2024-07-13T00:00:00"/>
    <s v="السبت "/>
    <x v="5"/>
    <s v="مجدى كرم   "/>
    <s v="دهانات بالمخزن المدرسى  "/>
    <s v="تم العمل"/>
    <d v="1899-12-30T10:00:00"/>
    <d v="1899-12-30T19:00:00"/>
    <n v="0.37499999999999994"/>
    <x v="6"/>
    <n v="4.5"/>
  </r>
  <r>
    <x v="6"/>
    <d v="2024-07-13T00:00:00"/>
    <s v="السبت "/>
    <x v="0"/>
    <s v="مراد صالح  "/>
    <s v="تكسير خرسانة "/>
    <s v="تم العمل"/>
    <d v="1899-12-30T21:00:00"/>
    <d v="1899-12-30T16:00:00"/>
    <n v="0.20833333333333337"/>
    <x v="0"/>
    <n v="5.0000000000000009"/>
  </r>
  <r>
    <x v="6"/>
    <d v="2024-07-13T00:00:00"/>
    <s v="السبت "/>
    <x v="9"/>
    <s v="سامى شعبان  "/>
    <s v="صيانة الكلاركات "/>
    <s v="تم العمل"/>
    <d v="1899-12-30T10:00:00"/>
    <d v="1899-12-30T13:00:00"/>
    <n v="0.12499999999999994"/>
    <x v="1"/>
    <n v="2.9999999999999987"/>
  </r>
  <r>
    <x v="6"/>
    <d v="2024-07-14T00:00:00"/>
    <s v="الاحد "/>
    <x v="8"/>
    <s v="على  شحات "/>
    <s v="صيانة نظام الانزار "/>
    <s v="تم العمل"/>
    <d v="1899-12-30T11:00:00"/>
    <d v="1899-12-30T11:30:00"/>
    <n v="2.083333333333337E-2"/>
    <x v="3"/>
    <n v="0.50000000000000089"/>
  </r>
  <r>
    <x v="6"/>
    <d v="2024-07-14T00:00:00"/>
    <s v="الاحد "/>
    <x v="42"/>
    <s v="مصطفى شعبان "/>
    <s v="صيانة ماكينات التربيط "/>
    <s v="تم العمل"/>
    <d v="1899-12-30T10:30:00"/>
    <d v="1899-12-30T04:00:00"/>
    <n v="0.27083333333333337"/>
    <x v="3"/>
    <n v="6.5000000000000009"/>
  </r>
  <r>
    <x v="6"/>
    <d v="2024-07-14T00:00:00"/>
    <s v="الاحد "/>
    <x v="5"/>
    <s v="احمد سعيد  "/>
    <s v="تسليك انسداد بلاعة صرف "/>
    <s v="تم العمل"/>
    <d v="1899-12-30T01:30:00"/>
    <d v="1899-12-30T14:30:00"/>
    <n v="0.54166666666666663"/>
    <x v="3"/>
    <n v="3"/>
  </r>
  <r>
    <x v="6"/>
    <d v="2024-07-14T00:00:00"/>
    <s v="الاحد "/>
    <x v="5"/>
    <s v="رامى محمد "/>
    <s v="تركيب وتثبيت باب المونتال  فى فسم CD "/>
    <s v="تم العمل"/>
    <d v="1899-12-30T14:00:00"/>
    <d v="1899-12-30T17:00:00"/>
    <n v="0.125"/>
    <x v="3"/>
    <n v="3"/>
  </r>
  <r>
    <x v="6"/>
    <d v="2024-07-14T00:00:00"/>
    <s v="الاحد "/>
    <x v="18"/>
    <s v="فيكتور لوندى      "/>
    <s v="عمل لحام فى الرامب وتغيير زيت الديزل "/>
    <s v="تم العمل"/>
    <d v="1899-12-30T10:00:00"/>
    <d v="1899-12-30T01:30:00"/>
    <n v="-0.35416666666666669"/>
    <x v="4"/>
    <n v="5.5"/>
  </r>
  <r>
    <x v="6"/>
    <d v="2024-07-14T00:00:00"/>
    <s v="الاحد "/>
    <x v="5"/>
    <s v="مجدى كرم   "/>
    <s v="دهانات بالمخزن المدرسى  "/>
    <s v="تم العمل"/>
    <d v="1899-12-30T10:00:00"/>
    <d v="1899-12-30T21:00:00"/>
    <n v="0.45833333333333331"/>
    <x v="6"/>
    <n v="6.5"/>
  </r>
  <r>
    <x v="6"/>
    <d v="2024-07-14T00:00:00"/>
    <s v="الاحد "/>
    <x v="5"/>
    <s v="احمد سعيد  "/>
    <s v="عمل صيانة لخزنات الحريق  "/>
    <s v="تم العمل"/>
    <d v="1899-12-30T11:00:00"/>
    <d v="1899-12-30T01:30:00"/>
    <n v="-0.39583333333333331"/>
    <x v="0"/>
    <n v="3"/>
  </r>
  <r>
    <x v="6"/>
    <d v="2024-07-14T00:00:00"/>
    <s v="الاحد "/>
    <x v="0"/>
    <s v="مراد صالح  "/>
    <s v="تكسير خرسانة "/>
    <s v="تم العمل"/>
    <d v="1899-12-30T21:00:00"/>
    <d v="1899-12-30T16:00:00"/>
    <n v="0.20833333333333337"/>
    <x v="0"/>
    <n v="5.0000000000000009"/>
  </r>
  <r>
    <x v="6"/>
    <d v="2024-07-14T00:00:00"/>
    <s v="الاحد "/>
    <x v="6"/>
    <s v="حسن عبد العظيم "/>
    <s v="صيانة كشافات المخزن "/>
    <s v="تم العمل"/>
    <d v="1899-12-30T23:30:00"/>
    <d v="1899-12-30T12:30:00"/>
    <n v="0.45833333333333326"/>
    <x v="0"/>
    <n v="10.999999999999998"/>
  </r>
  <r>
    <x v="6"/>
    <d v="2024-07-14T00:00:00"/>
    <s v="الاحد "/>
    <x v="2"/>
    <s v="محمد رفعت  "/>
    <s v="تركيبات "/>
    <s v="تم العمل"/>
    <d v="1899-12-30T17:00:00"/>
    <d v="1899-12-30T22:00:00"/>
    <n v="0.20833333333333326"/>
    <x v="2"/>
    <n v="4.9999999999999982"/>
  </r>
  <r>
    <x v="6"/>
    <d v="2024-07-14T00:00:00"/>
    <s v="الاحد "/>
    <x v="1"/>
    <s v="احمد محمد "/>
    <s v="تركيب رشاشات الفاير "/>
    <s v="تم العمل"/>
    <d v="1899-12-30T10:00:00"/>
    <d v="1899-12-30T17:00:00"/>
    <n v="0.29166666666666669"/>
    <x v="1"/>
    <n v="7"/>
  </r>
  <r>
    <x v="6"/>
    <d v="2024-07-14T00:00:00"/>
    <s v="الاحد "/>
    <x v="14"/>
    <s v="محمود  السيد  "/>
    <s v="استكمال تركيب الاسانسير "/>
    <s v="تم العمل"/>
    <d v="1899-12-30T10:00:00"/>
    <d v="1899-12-30T17:00:00"/>
    <n v="0.29166666666666669"/>
    <x v="1"/>
    <n v="7"/>
  </r>
  <r>
    <x v="6"/>
    <d v="2024-07-14T00:00:00"/>
    <s v="الاحد "/>
    <x v="8"/>
    <s v="على  شحات "/>
    <s v="صيانة نظام الانزار "/>
    <s v="تم العمل"/>
    <d v="1899-12-30T11:00:00"/>
    <d v="1899-12-30T12:00:00"/>
    <n v="4.1666666666666685E-2"/>
    <x v="3"/>
    <n v="1.0000000000000004"/>
  </r>
  <r>
    <x v="6"/>
    <d v="2024-07-15T00:00:00"/>
    <s v="الاثنين "/>
    <x v="22"/>
    <s v="محمود عويس  "/>
    <s v="صيانة القارورة  "/>
    <s v="تم العمل"/>
    <d v="1899-12-30T10:30:00"/>
    <d v="1899-12-30T14:00:00"/>
    <n v="0.14583333333333337"/>
    <x v="3"/>
    <n v="3"/>
  </r>
  <r>
    <x v="6"/>
    <d v="2024-07-15T00:00:00"/>
    <s v="الاثنين "/>
    <x v="0"/>
    <s v="مراد صالح  "/>
    <s v="تكسير خرسانة "/>
    <s v="تم العمل"/>
    <d v="1899-12-30T21:00:00"/>
    <d v="1899-12-30T16:00:00"/>
    <n v="0.20833333333333337"/>
    <x v="0"/>
    <n v="5.0000000000000009"/>
  </r>
  <r>
    <x v="6"/>
    <d v="2024-07-15T00:00:00"/>
    <s v="الاثنين "/>
    <x v="10"/>
    <s v="فرج محمد "/>
    <s v="تركيب فراشة بالشارع  "/>
    <s v="تم العمل"/>
    <d v="1899-12-30T17:00:00"/>
    <d v="1899-12-30T20:30:00"/>
    <n v="0.14583333333333326"/>
    <x v="0"/>
    <n v="6"/>
  </r>
  <r>
    <x v="6"/>
    <d v="2024-07-15T00:00:00"/>
    <s v="الاثنين "/>
    <x v="14"/>
    <s v="احمد السيد "/>
    <s v="استكمال تركيب الاسانسير "/>
    <s v="تم العمل"/>
    <d v="1899-12-30T10:00:00"/>
    <d v="1899-12-30T17:00:00"/>
    <n v="0.29166666666666669"/>
    <x v="1"/>
    <n v="7"/>
  </r>
  <r>
    <x v="6"/>
    <d v="2024-07-16T00:00:00"/>
    <s v="الثلاثاء "/>
    <x v="14"/>
    <s v="محمود السيد "/>
    <s v="استكمال تركيب الاسانسير "/>
    <s v="تم العمل"/>
    <d v="1899-12-30T10:00:00"/>
    <d v="1899-12-30T17:00:00"/>
    <n v="0.29166666666666669"/>
    <x v="1"/>
    <n v="7"/>
  </r>
  <r>
    <x v="6"/>
    <d v="2024-07-16T00:00:00"/>
    <s v="الثلاثاء "/>
    <x v="10"/>
    <s v="احمد فرج    "/>
    <s v="تركيب فراشة بالشارع  "/>
    <s v="تم العمل"/>
    <d v="1899-12-30T17:00:00"/>
    <d v="1899-12-30T17:30:00"/>
    <n v="2.0833333333333259E-2"/>
    <x v="0"/>
    <n v="6"/>
  </r>
  <r>
    <x v="6"/>
    <d v="2024-07-16T00:00:00"/>
    <s v="الثلاثاء "/>
    <x v="0"/>
    <s v="مراد صالح  "/>
    <s v="تكسير خرسانة "/>
    <s v="تم العمل"/>
    <d v="1899-12-30T21:00:00"/>
    <d v="1899-12-30T16:30:00"/>
    <n v="0.1875"/>
    <x v="0"/>
    <n v="4.5"/>
  </r>
  <r>
    <x v="6"/>
    <d v="2024-07-16T00:00:00"/>
    <s v="الثلاثاء "/>
    <x v="22"/>
    <s v="محمود عويس  "/>
    <s v="صيانةوحدات التكييف "/>
    <s v="تم العمل"/>
    <d v="1899-12-30T11:00:00"/>
    <d v="1899-12-30T00:30:00"/>
    <n v="-0.4375"/>
    <x v="3"/>
    <n v="3"/>
  </r>
  <r>
    <x v="6"/>
    <d v="2024-07-17T00:00:00"/>
    <s v="الاربعاء "/>
    <x v="22"/>
    <s v="محمود عويس  "/>
    <s v="صيانة تكييف لوحة كهرباء كولبس 5"/>
    <s v="تم العمل"/>
    <d v="1899-12-30T10:30:00"/>
    <d v="1899-12-30T00:00:00"/>
    <n v="-0.4375"/>
    <x v="3"/>
    <n v="3"/>
  </r>
  <r>
    <x v="6"/>
    <d v="2024-07-17T00:00:00"/>
    <s v="الاربعاء "/>
    <x v="7"/>
    <s v="محمود احمد "/>
    <s v="المرور الاسبوعى للمكافحة "/>
    <s v="تم العمل"/>
    <d v="1899-12-30T10:30:00"/>
    <d v="1899-12-30T13:00:00"/>
    <n v="0.10416666666666663"/>
    <x v="1"/>
    <n v="2.4999999999999991"/>
  </r>
  <r>
    <x v="6"/>
    <d v="2024-07-17T00:00:00"/>
    <s v="الاربعاء "/>
    <x v="23"/>
    <s v="السيد اسماعيل  "/>
    <s v="عمل صيانةلخط السيتما "/>
    <s v="تم العمل"/>
    <d v="1899-12-30T14:00:00"/>
    <d v="1899-12-30T17:00:00"/>
    <n v="0.125"/>
    <x v="3"/>
    <n v="3"/>
  </r>
  <r>
    <x v="6"/>
    <d v="2024-07-17T00:00:00"/>
    <s v="الاربعاء "/>
    <x v="14"/>
    <s v="احمد السيد "/>
    <s v="استكمال تركيب الاسانسير "/>
    <s v="تم العمل"/>
    <d v="1899-12-30T11:00:00"/>
    <d v="1899-12-30T15:00:00"/>
    <n v="0.16666666666666669"/>
    <x v="1"/>
    <n v="4"/>
  </r>
  <r>
    <x v="6"/>
    <d v="2024-07-17T00:00:00"/>
    <s v="الاربعاء "/>
    <x v="7"/>
    <s v="محمود احمد "/>
    <s v="عمل مكافحة "/>
    <s v="تم العمل"/>
    <d v="1899-12-30T14:00:00"/>
    <d v="1899-12-30T15:30:00"/>
    <n v="6.25E-2"/>
    <x v="4"/>
    <n v="1.5"/>
  </r>
  <r>
    <x v="6"/>
    <d v="2024-07-17T00:00:00"/>
    <s v="الاربعاء "/>
    <x v="5"/>
    <s v="علاء احمد "/>
    <s v="صيانة تكييف "/>
    <s v="تم العمل"/>
    <d v="1899-12-30T21:30:00"/>
    <d v="1899-12-30T16:00:00"/>
    <n v="0.22916666666666674"/>
    <x v="3"/>
    <n v="3"/>
  </r>
  <r>
    <x v="6"/>
    <d v="2024-07-17T00:00:00"/>
    <s v="الاربعاء "/>
    <x v="0"/>
    <s v="مراد صالح  "/>
    <s v="ترميم خزان الحريق "/>
    <s v="تم العمل"/>
    <d v="1899-12-30T21:30:00"/>
    <d v="1899-12-30T16:00:00"/>
    <n v="0.22916666666666674"/>
    <x v="0"/>
    <n v="5.5000000000000018"/>
  </r>
  <r>
    <x v="6"/>
    <d v="2024-07-18T00:00:00"/>
    <s v="الخميس "/>
    <x v="29"/>
    <s v="محمد سعيد   "/>
    <s v="تركيب ابواب التربيزات "/>
    <s v="تم العمل"/>
    <d v="1899-12-30T01:00:00"/>
    <d v="1899-12-30T06:00:00"/>
    <n v="0.20833333333333334"/>
    <x v="3"/>
    <n v="5"/>
  </r>
  <r>
    <x v="6"/>
    <d v="2024-07-18T00:00:00"/>
    <s v="الخميس "/>
    <x v="0"/>
    <s v="مراد صالح  "/>
    <s v="ترميم خزان الحريق "/>
    <s v="تم العمل"/>
    <d v="1899-12-30T21:30:00"/>
    <d v="1899-12-30T15:00:00"/>
    <n v="0.27083333333333337"/>
    <x v="0"/>
    <n v="6.5000000000000009"/>
  </r>
  <r>
    <x v="6"/>
    <d v="2024-07-18T00:00:00"/>
    <s v="الخميس "/>
    <x v="14"/>
    <s v="احمد السيد "/>
    <s v="استكمال تركيب الاسانسير "/>
    <s v="تم العمل"/>
    <d v="1899-12-30T10:00:00"/>
    <d v="1899-12-30T17:00:00"/>
    <n v="0.29166666666666669"/>
    <x v="1"/>
    <n v="7"/>
  </r>
  <r>
    <x v="6"/>
    <d v="2024-07-19T00:00:00"/>
    <s v="الجمعة "/>
    <x v="0"/>
    <s v="مصطفى صلاح "/>
    <s v="ترميم ارضية الكفتريا "/>
    <s v="تم العمل"/>
    <d v="1899-12-30T11:00:00"/>
    <d v="1899-12-30T18:00:00"/>
    <n v="0.29166666666666669"/>
    <x v="3"/>
    <n v="7"/>
  </r>
  <r>
    <x v="6"/>
    <d v="2024-07-20T00:00:00"/>
    <s v="السبت "/>
    <x v="43"/>
    <s v="عهدى ابراهيم "/>
    <s v="تركيبات وصيانة "/>
    <s v="تم العمل"/>
    <d v="1899-12-30T10:00:00"/>
    <d v="1899-12-30T15:30:00"/>
    <n v="0.22916666666666669"/>
    <x v="2"/>
    <n v="5.5"/>
  </r>
  <r>
    <x v="6"/>
    <d v="2024-07-20T00:00:00"/>
    <s v="السبت "/>
    <x v="2"/>
    <s v="محمد رفعت  "/>
    <s v="تركيبات وصيانة "/>
    <s v="تم العمل"/>
    <d v="1899-12-30T00:00:00"/>
    <d v="1899-12-30T09:00:00"/>
    <n v="0.375"/>
    <x v="2"/>
    <n v="9"/>
  </r>
  <r>
    <x v="6"/>
    <d v="2024-07-20T00:00:00"/>
    <s v="السبت "/>
    <x v="0"/>
    <s v="مصطفى صلاح "/>
    <s v="ترميم ارضية الكفتريا "/>
    <s v="تم العمل"/>
    <d v="1899-12-30T10:30:00"/>
    <d v="1899-12-30T17:00:00"/>
    <n v="0.27083333333333337"/>
    <x v="3"/>
    <n v="6.5000000000000009"/>
  </r>
  <r>
    <x v="6"/>
    <d v="2024-07-20T00:00:00"/>
    <s v="السبت "/>
    <x v="29"/>
    <s v="محمد سعيد   "/>
    <s v="تركيب ابواب التربيزات "/>
    <s v="تم العمل"/>
    <d v="1899-12-30T14:30:00"/>
    <d v="1899-12-30T18:30:00"/>
    <n v="0.16666666666666674"/>
    <x v="3"/>
    <n v="4.0000000000000018"/>
  </r>
  <r>
    <x v="6"/>
    <d v="2024-07-20T00:00:00"/>
    <s v="السبت "/>
    <x v="35"/>
    <s v="سعيد متولى    "/>
    <s v="عمل لحام فى كباس وصيانة فى ماكينة سبيد 4 "/>
    <s v="تم العمل"/>
    <d v="1899-12-30T16:00:00"/>
    <d v="1899-12-30T18:00:00"/>
    <n v="8.333333333333337E-2"/>
    <x v="3"/>
    <n v="2.0000000000000009"/>
  </r>
  <r>
    <x v="6"/>
    <d v="2024-07-20T00:00:00"/>
    <s v="السبت "/>
    <x v="14"/>
    <s v="احمد السيد "/>
    <s v="استكمال تركيب الاسانسير "/>
    <s v="تم العمل"/>
    <d v="1899-12-30T21:30:00"/>
    <d v="1899-12-30T17:00:00"/>
    <n v="0.1875"/>
    <x v="1"/>
    <n v="4.5"/>
  </r>
  <r>
    <x v="6"/>
    <d v="2024-07-21T00:00:00"/>
    <s v="الاحد "/>
    <x v="22"/>
    <s v="محمود عويس  "/>
    <s v="صيانة كولدير  المياه الخاص بالعمال "/>
    <s v="تم العمل"/>
    <d v="1899-12-30T20:00:00"/>
    <d v="1899-12-30T21:00:00"/>
    <n v="4.166666666666663E-2"/>
    <x v="0"/>
    <n v="3"/>
  </r>
  <r>
    <x v="6"/>
    <d v="2024-07-21T00:00:00"/>
    <s v="الاحد "/>
    <x v="7"/>
    <s v="محمود احمد  "/>
    <s v="الزيارة الشهرية ومكافحة الحشرات "/>
    <s v="تم العمل"/>
    <d v="1899-12-30T10:00:00"/>
    <d v="1899-12-30T01:30:00"/>
    <n v="0.35416666666666669"/>
    <x v="4"/>
    <n v="3"/>
  </r>
  <r>
    <x v="6"/>
    <d v="2024-07-21T00:00:00"/>
    <s v="الاحد "/>
    <x v="18"/>
    <s v="فيكتور لوندى      "/>
    <s v="ضبط ضغط شبكة الحريق  "/>
    <s v="تم العمل"/>
    <d v="1899-12-30T00:00:00"/>
    <d v="1899-12-30T01:00:00"/>
    <n v="4.1666666666666664E-2"/>
    <x v="4"/>
    <n v="5.5"/>
  </r>
  <r>
    <x v="6"/>
    <d v="2024-07-21T00:00:00"/>
    <s v="الاحد "/>
    <x v="7"/>
    <s v="محمود شعبان "/>
    <s v="الزيارة الشهرية ومكافحة الحشرات "/>
    <s v="تم العمل"/>
    <d v="1899-12-30T14:00:00"/>
    <d v="1899-12-30T15:00:00"/>
    <n v="4.166666666666663E-2"/>
    <x v="0"/>
    <n v="3"/>
  </r>
  <r>
    <x v="6"/>
    <d v="2024-07-21T00:00:00"/>
    <s v="الاحد "/>
    <x v="7"/>
    <s v="زياد عادل "/>
    <s v="الزيارة الشهرية ومكافحة الحشرات "/>
    <s v="تم العمل"/>
    <d v="1899-12-30T11:00:00"/>
    <d v="1899-12-30T14:00:00"/>
    <n v="0.12500000000000006"/>
    <x v="1"/>
    <n v="3"/>
  </r>
  <r>
    <x v="6"/>
    <d v="2024-07-21T00:00:00"/>
    <s v="الاحد "/>
    <x v="17"/>
    <s v="مراد صالح  "/>
    <s v="استكمال اعمال سلم الطوارىء"/>
    <s v="تم العمل"/>
    <d v="1899-12-30T11:00:00"/>
    <d v="1899-12-30T14:00:00"/>
    <n v="0.12500000000000006"/>
    <x v="1"/>
    <n v="3"/>
  </r>
  <r>
    <x v="6"/>
    <d v="2024-07-21T00:00:00"/>
    <s v="الاحد "/>
    <x v="14"/>
    <s v="محمود السيد "/>
    <s v="استكمال تركيب الاسانسير "/>
    <s v="تم العمل"/>
    <d v="1899-12-30T10:00:00"/>
    <d v="1899-12-30T17:00:00"/>
    <n v="0.29166666666666669"/>
    <x v="1"/>
    <n v="7"/>
  </r>
  <r>
    <x v="6"/>
    <d v="2024-07-22T00:00:00"/>
    <s v="الاثنين "/>
    <x v="22"/>
    <s v="محمود الدروى  "/>
    <s v="المرور الدورى على تكيف ويب 11"/>
    <s v="تم العمل"/>
    <d v="1899-12-30T10:00:00"/>
    <d v="1899-12-30T11:00:00"/>
    <n v="4.166666666666663E-2"/>
    <x v="3"/>
    <n v="3"/>
  </r>
  <r>
    <x v="6"/>
    <d v="2024-07-22T00:00:00"/>
    <s v="الاثنين "/>
    <x v="14"/>
    <s v="محمود السيد "/>
    <s v="استكمال تركيب الاسانسير "/>
    <s v="تم العمل"/>
    <d v="1899-12-30T10:00:00"/>
    <d v="1899-12-30T17:00:00"/>
    <n v="0.29166666666666669"/>
    <x v="1"/>
    <n v="7"/>
  </r>
  <r>
    <x v="6"/>
    <d v="2024-07-22T00:00:00"/>
    <s v="الاثنين "/>
    <x v="6"/>
    <s v="صابر ابراهيم "/>
    <s v="تركيب عجلات السلالم  المتحركة "/>
    <s v="تم العمل"/>
    <d v="1899-12-30T00:00:00"/>
    <d v="1899-12-30T16:00:00"/>
    <n v="0.66666666666666663"/>
    <x v="1"/>
    <n v="3"/>
  </r>
  <r>
    <x v="6"/>
    <d v="2024-07-22T00:00:00"/>
    <s v="الاثنين "/>
    <x v="17"/>
    <s v="مراد صالح  "/>
    <s v="عمل مكان لباب سلم الطوارىء"/>
    <s v="تم العمل"/>
    <d v="1899-12-30T10:00:00"/>
    <d v="1899-12-30T16:00:00"/>
    <n v="0.24999999999999994"/>
    <x v="1"/>
    <n v="5.5"/>
  </r>
  <r>
    <x v="6"/>
    <d v="2024-07-23T00:00:00"/>
    <s v="الثلاثاء "/>
    <x v="22"/>
    <s v="محمود الدروى  "/>
    <s v="صيانة تكييف غرفة السرفر "/>
    <s v="تم العمل"/>
    <d v="1899-12-30T11:00:00"/>
    <d v="1899-12-30T01:00:00"/>
    <n v="0.41666666666666663"/>
    <x v="3"/>
    <n v="3"/>
  </r>
  <r>
    <x v="6"/>
    <d v="2024-07-23T00:00:00"/>
    <s v="الثلاثاء "/>
    <x v="29"/>
    <s v="محمد عبد الستار   "/>
    <s v="تركيب مقابض وعمل صيانة "/>
    <s v="تم العمل"/>
    <d v="1899-12-30T11:00:00"/>
    <d v="1899-12-30T01:30:00"/>
    <n v="0.39583333333333331"/>
    <x v="3"/>
    <n v="9.5"/>
  </r>
  <r>
    <x v="6"/>
    <d v="2024-07-23T00:00:00"/>
    <s v="الثلاثاء "/>
    <x v="5"/>
    <s v="احمد سعيد    "/>
    <s v="صيانة تكييف وحدة السريفر  "/>
    <s v="تم العمل"/>
    <d v="1899-12-30T10:00:00"/>
    <d v="1899-12-30T02:00:00"/>
    <n v="0.33333333333333337"/>
    <x v="6"/>
    <n v="8"/>
  </r>
  <r>
    <x v="6"/>
    <d v="2024-07-23T00:00:00"/>
    <s v="الثلاثاء "/>
    <x v="41"/>
    <s v="علاء احمد     "/>
    <s v="صيانة التكييف المركزى "/>
    <s v="تم العمل"/>
    <d v="1899-12-30T09:00:00"/>
    <d v="1899-12-30T12:00:00"/>
    <n v="0.125"/>
    <x v="2"/>
    <n v="3"/>
  </r>
  <r>
    <x v="6"/>
    <d v="2024-07-23T00:00:00"/>
    <s v="الثلاثاء "/>
    <x v="6"/>
    <s v="صابر ابراهيم "/>
    <s v="مد كابلات كهرباء "/>
    <s v="تم العمل"/>
    <d v="1899-12-30T10:00:00"/>
    <d v="1899-12-30T17:00:00"/>
    <n v="0.29166666666666669"/>
    <x v="1"/>
    <n v="3"/>
  </r>
  <r>
    <x v="6"/>
    <d v="2024-07-23T00:00:00"/>
    <s v="الثلاثاء "/>
    <x v="14"/>
    <s v="احمد  السيد "/>
    <s v="استكمال تركيب الاسانسير "/>
    <s v="تم العمل"/>
    <d v="1899-12-30T10:00:00"/>
    <d v="1899-12-30T17:00:00"/>
    <n v="0.29166666666666669"/>
    <x v="1"/>
    <n v="7"/>
  </r>
  <r>
    <x v="6"/>
    <d v="2024-07-23T00:00:00"/>
    <s v="الثلاثاء "/>
    <x v="17"/>
    <s v="مراد صالح  "/>
    <s v="اعمال البناء "/>
    <s v="تم العمل"/>
    <d v="1899-12-30T10:00:00"/>
    <d v="1899-12-30T16:00:00"/>
    <n v="0.24999999999999994"/>
    <x v="1"/>
    <n v="5.5"/>
  </r>
  <r>
    <x v="6"/>
    <d v="2024-07-24T00:00:00"/>
    <s v="الاربعاء "/>
    <x v="44"/>
    <s v="عبد الله مبارك     "/>
    <s v="تركيبات  "/>
    <s v="تم العمل"/>
    <d v="1899-12-30T12:30:00"/>
    <d v="1899-12-30T16:00:00"/>
    <n v="0.14583333333333326"/>
    <x v="2"/>
    <n v="3.4999999999999982"/>
  </r>
  <r>
    <x v="6"/>
    <d v="2024-07-24T00:00:00"/>
    <s v="الاربعاء "/>
    <x v="0"/>
    <s v="مراد صالح  "/>
    <s v="تكسير خزان الاطفاء "/>
    <s v="تم العمل"/>
    <d v="1899-12-30T10:00:00"/>
    <d v="1899-12-30T16:00:00"/>
    <n v="0.24999999999999994"/>
    <x v="0"/>
    <n v="5.9999999999999982"/>
  </r>
  <r>
    <x v="6"/>
    <d v="2024-07-24T00:00:00"/>
    <s v="الاربعاء "/>
    <x v="5"/>
    <s v="احمد حسن "/>
    <s v="صيانة العربية الهاند بالن "/>
    <s v="تم العمل"/>
    <d v="1899-12-30T10:30:00"/>
    <d v="1899-12-30T11:30:00"/>
    <n v="4.1666666666666685E-2"/>
    <x v="6"/>
    <n v="1.0000000000000004"/>
  </r>
  <r>
    <x v="6"/>
    <d v="2024-07-24T00:00:00"/>
    <s v="الاربعاء "/>
    <x v="14"/>
    <s v="عبد الرحمن حسين "/>
    <s v="استكمال تركيب الاسانسير "/>
    <s v="تم العمل"/>
    <d v="1899-12-30T10:00:00"/>
    <d v="1899-12-30T17:00:00"/>
    <n v="0.29166666666666669"/>
    <x v="1"/>
    <n v="7"/>
  </r>
  <r>
    <x v="6"/>
    <d v="2024-07-25T00:00:00"/>
    <s v="الخميس "/>
    <x v="0"/>
    <s v="مراد صالح  "/>
    <s v="احلال وتجديدخزان الاطفاء "/>
    <s v="تم العمل"/>
    <d v="1899-12-30T10:00:00"/>
    <d v="1899-12-30T16:00:00"/>
    <n v="0.24999999999999994"/>
    <x v="0"/>
    <n v="5.9999999999999982"/>
  </r>
  <r>
    <x v="6"/>
    <d v="2024-07-25T00:00:00"/>
    <s v="الخميس "/>
    <x v="0"/>
    <s v="عمرو فاروق      "/>
    <s v="انشاءات  "/>
    <s v="تم العمل"/>
    <d v="1899-12-30T11:00:00"/>
    <d v="1899-12-30T16:30:00"/>
    <n v="0.22916666666666669"/>
    <x v="2"/>
    <n v="5.5"/>
  </r>
  <r>
    <x v="6"/>
    <d v="2024-07-25T00:00:00"/>
    <s v="الخميس "/>
    <x v="14"/>
    <s v="انس احمد  "/>
    <s v="توصيل كهرباء المصعد "/>
    <s v="تم العمل"/>
    <d v="1899-12-30T21:30:00"/>
    <d v="1899-12-30T17:00:00"/>
    <n v="0.1875"/>
    <x v="1"/>
    <n v="4.5"/>
  </r>
  <r>
    <x v="6"/>
    <d v="2024-07-25T00:00:00"/>
    <s v="الخميس "/>
    <x v="5"/>
    <s v="علاء احمد "/>
    <s v="صيانة عامة  تكييف "/>
    <s v="تم العمل"/>
    <d v="1899-12-30T10:00:00"/>
    <d v="1899-12-30T16:30:00"/>
    <n v="0.27083333333333331"/>
    <x v="3"/>
    <n v="3"/>
  </r>
  <r>
    <x v="6"/>
    <d v="2024-07-25T00:00:00"/>
    <s v="الخميس "/>
    <x v="14"/>
    <s v="عبد الرحمن حسين "/>
    <s v="استكمال تركيب الاسانسير "/>
    <s v="تم العمل"/>
    <d v="1899-12-30T21:30:00"/>
    <d v="1899-12-30T17:00:00"/>
    <n v="0.1875"/>
    <x v="1"/>
    <n v="4.5"/>
  </r>
  <r>
    <x v="6"/>
    <d v="2024-07-27T00:00:00"/>
    <s v="السبت "/>
    <x v="5"/>
    <s v="علاء احمد "/>
    <s v="تركيب تكييف فى غرفة المراقب المالى "/>
    <s v="تم العمل"/>
    <d v="1899-12-30T13:00:00"/>
    <d v="1899-12-30T15:00:00"/>
    <n v="8.333333333333337E-2"/>
    <x v="6"/>
    <n v="2.0000000000000009"/>
  </r>
  <r>
    <x v="6"/>
    <d v="2024-07-27T00:00:00"/>
    <s v="السبت "/>
    <x v="10"/>
    <s v="حماده شعبان   "/>
    <s v="فك فراشة الشوارع "/>
    <s v="تم العمل"/>
    <d v="1899-12-30T01:30:00"/>
    <d v="1899-12-30T17:00:00"/>
    <n v="0.64583333333333337"/>
    <x v="0"/>
    <n v="3"/>
  </r>
  <r>
    <x v="6"/>
    <d v="2024-07-27T00:00:00"/>
    <s v="السبت "/>
    <x v="22"/>
    <s v="محمود عويس  "/>
    <s v="صيانةكولدير المياه "/>
    <s v="تم العمل"/>
    <d v="1899-12-30T16:00:00"/>
    <d v="1899-12-30T20:30:00"/>
    <n v="0.1875"/>
    <x v="0"/>
    <n v="3"/>
  </r>
  <r>
    <x v="6"/>
    <d v="2024-07-27T00:00:00"/>
    <s v="السبت "/>
    <x v="22"/>
    <s v="محمود عويس  "/>
    <s v="صيانة تكييف كولبس 5 وصيانة عامة"/>
    <s v="تم العمل"/>
    <d v="1899-12-30T01:00:00"/>
    <d v="1899-12-30T16:00:00"/>
    <n v="0.625"/>
    <x v="3"/>
    <n v="3"/>
  </r>
  <r>
    <x v="6"/>
    <d v="2024-07-27T00:00:00"/>
    <s v="السبت "/>
    <x v="14"/>
    <s v="عبد الرحمن حسين "/>
    <s v="استكمال تركيب الاسانسير "/>
    <s v="تم العمل"/>
    <d v="1899-12-30T10:00:00"/>
    <d v="1899-12-30T17:00:00"/>
    <n v="0.29166666666666669"/>
    <x v="1"/>
    <n v="7"/>
  </r>
  <r>
    <x v="6"/>
    <d v="2024-07-27T00:00:00"/>
    <s v="السبت "/>
    <x v="0"/>
    <s v="مرادصالح "/>
    <s v="فك خشب عامود باب الطوارىء "/>
    <s v="تم العمل"/>
    <d v="1899-12-30T10:00:00"/>
    <d v="1899-12-30T12:00:00"/>
    <n v="8.3333333333333315E-2"/>
    <x v="1"/>
    <n v="1.9999999999999996"/>
  </r>
  <r>
    <x v="6"/>
    <d v="2024-07-28T00:00:00"/>
    <s v="الاحد "/>
    <x v="8"/>
    <s v="حامد ابو المحاميد "/>
    <s v="الزيارة  الشهرية المرور على خط الحريق  "/>
    <s v="تم العمل"/>
    <d v="1899-12-30T10:30:00"/>
    <d v="1899-12-30T03:00:00"/>
    <n v="0.3125"/>
    <x v="3"/>
    <n v="7.5"/>
  </r>
  <r>
    <x v="6"/>
    <d v="2024-07-28T00:00:00"/>
    <s v="الاحد "/>
    <x v="5"/>
    <s v="مصطفى محمد "/>
    <s v="قص الاشجار "/>
    <s v="تم العمل"/>
    <d v="1899-12-30T10:30:00"/>
    <d v="1899-12-30T14:30:00"/>
    <n v="0.16666666666666663"/>
    <x v="3"/>
    <n v="3"/>
  </r>
  <r>
    <x v="6"/>
    <d v="2024-07-28T00:00:00"/>
    <s v="الاحد "/>
    <x v="22"/>
    <s v="محمود عويس  "/>
    <s v="تركيب  تكييف كولبس 5"/>
    <s v="تم العمل"/>
    <d v="1899-12-30T02:30:00"/>
    <d v="1899-12-30T03:00:00"/>
    <n v="2.0833333333333329E-2"/>
    <x v="3"/>
    <n v="3"/>
  </r>
  <r>
    <x v="6"/>
    <d v="2024-07-28T00:00:00"/>
    <s v="الاحد "/>
    <x v="14"/>
    <s v="احمد السيد "/>
    <s v="استكمال تركيب الاسانسير "/>
    <s v="تم العمل"/>
    <d v="1899-12-30T10:00:00"/>
    <d v="1899-12-30T17:00:00"/>
    <n v="0.29166666666666669"/>
    <x v="1"/>
    <n v="7"/>
  </r>
  <r>
    <x v="6"/>
    <d v="2024-07-28T00:00:00"/>
    <s v="الاحد "/>
    <x v="17"/>
    <s v="مراد صالح  "/>
    <s v="تركيب باب الطوارىء"/>
    <s v="تم العمل"/>
    <d v="1899-12-30T10:00:00"/>
    <d v="1899-12-30T14:00:00"/>
    <n v="0.16666666666666669"/>
    <x v="1"/>
    <n v="5.5"/>
  </r>
  <r>
    <x v="6"/>
    <d v="2024-07-29T00:00:00"/>
    <s v="الاثنين "/>
    <x v="36"/>
    <s v="مراد صالح  "/>
    <s v="تركيب رخام لباب الامن الجديد "/>
    <s v="تم العمل"/>
    <d v="1899-12-30T00:00:00"/>
    <d v="1899-12-30T16:00:00"/>
    <n v="0.66666666666666663"/>
    <x v="1"/>
    <n v="5.5"/>
  </r>
  <r>
    <x v="6"/>
    <d v="2024-07-29T00:00:00"/>
    <s v="الاثنين "/>
    <x v="0"/>
    <s v="مراد صالح  "/>
    <s v="احلال وتجديدخزان الاطفاء "/>
    <s v="تم العمل"/>
    <d v="1899-12-30T10:00:00"/>
    <d v="1899-12-30T15:00:00"/>
    <n v="0.20833333333333331"/>
    <x v="0"/>
    <n v="5"/>
  </r>
  <r>
    <x v="6"/>
    <d v="2024-07-29T00:00:00"/>
    <s v="الاثنين "/>
    <x v="22"/>
    <s v="محمود عويس  "/>
    <s v="صيانة تكيفات "/>
    <s v="تم العمل"/>
    <d v="1899-12-30T11:00:00"/>
    <d v="1899-12-30T16:00:00"/>
    <n v="0.20833333333333331"/>
    <x v="3"/>
    <n v="3"/>
  </r>
  <r>
    <x v="6"/>
    <d v="2024-07-29T00:00:00"/>
    <s v="الاثنين "/>
    <x v="8"/>
    <s v="حامد ابو المحاميد   "/>
    <s v=" الزيارة الشهرية وصيانة فى غرفة الطلمبات "/>
    <s v="تم العمل"/>
    <d v="1899-12-30T00:00:00"/>
    <d v="1899-12-30T20:00:00"/>
    <n v="0.83333333333333337"/>
    <x v="0"/>
    <n v="3"/>
  </r>
  <r>
    <x v="6"/>
    <d v="2024-07-29T00:00:00"/>
    <s v="الاثنين "/>
    <x v="5"/>
    <s v="احمد حسن "/>
    <s v="تركيب اللوحة الضوئية "/>
    <s v="تم العمل"/>
    <d v="1899-12-30T13:00:00"/>
    <d v="1899-12-30T14:30:00"/>
    <n v="6.25E-2"/>
    <x v="6"/>
    <n v="1.5"/>
  </r>
  <r>
    <x v="6"/>
    <d v="2024-07-29T00:00:00"/>
    <s v="الاثنين "/>
    <x v="0"/>
    <s v="مراد صالح  "/>
    <s v="اعمال محارة وبناء "/>
    <s v="تم العمل"/>
    <d v="1899-12-30T11:00:00"/>
    <d v="1899-12-30T15:00:00"/>
    <n v="0.16666666666666669"/>
    <x v="0"/>
    <n v="4"/>
  </r>
  <r>
    <x v="6"/>
    <d v="2024-07-29T00:00:00"/>
    <s v="الاثنين "/>
    <x v="6"/>
    <s v="صابر ابراهيم "/>
    <s v="تركيب باب فى مخزن CD"/>
    <s v="تم العمل"/>
    <d v="1899-12-30T11:00:00"/>
    <d v="1899-12-30T15:00:00"/>
    <n v="0.16666666666666669"/>
    <x v="3"/>
    <n v="3"/>
  </r>
  <r>
    <x v="6"/>
    <d v="2024-07-30T00:00:00"/>
    <s v="الثلاثاء "/>
    <x v="45"/>
    <s v="مصطفى حمزة "/>
    <s v="صيانة كبروسر الهواء "/>
    <s v="تم العمل"/>
    <d v="1899-12-30T00:30:00"/>
    <d v="1899-12-30T17:00:00"/>
    <n v="0.6875"/>
    <x v="3"/>
    <n v="3"/>
  </r>
  <r>
    <x v="6"/>
    <d v="2024-07-30T00:00:00"/>
    <s v="الثلاثاء "/>
    <x v="8"/>
    <s v="حامد ابو المحاميد "/>
    <s v="الزيارة الشهرية والمرور علىخط الحريق "/>
    <s v="تم العمل"/>
    <d v="1899-12-30T15:00:00"/>
    <d v="1899-12-30T16:00:00"/>
    <n v="4.166666666666663E-2"/>
    <x v="1"/>
    <n v="0.99999999999999911"/>
  </r>
  <r>
    <x v="6"/>
    <d v="2024-07-30T00:00:00"/>
    <s v="الثلاثاء "/>
    <x v="0"/>
    <s v="مراد صالح  "/>
    <s v="احلال وتجديدخزان الحريق "/>
    <s v="تم العمل"/>
    <d v="1899-12-30T10:00:00"/>
    <d v="1899-12-30T15:00:00"/>
    <n v="0.20833333333333331"/>
    <x v="0"/>
    <n v="5"/>
  </r>
  <r>
    <x v="6"/>
    <d v="2024-07-30T00:00:00"/>
    <s v="الثلاثاء "/>
    <x v="10"/>
    <s v="الحاج فرج  "/>
    <s v="فك فراشة الشوارع "/>
    <s v="تم العمل"/>
    <d v="1899-12-30T10:00:00"/>
    <d v="1899-12-30T15:00:00"/>
    <n v="0.20833333333333331"/>
    <x v="0"/>
    <n v="3"/>
  </r>
  <r>
    <x v="6"/>
    <d v="2024-07-30T00:00:00"/>
    <s v="الثلاثاء "/>
    <x v="0"/>
    <s v="مراد صالح  "/>
    <s v="تحميل كسر باللودر "/>
    <s v="تم العمل"/>
    <d v="1899-12-30T11:00:00"/>
    <d v="1899-12-30T14:00:00"/>
    <n v="0.12500000000000006"/>
    <x v="0"/>
    <n v="3.0000000000000013"/>
  </r>
  <r>
    <x v="6"/>
    <d v="2024-07-30T00:00:00"/>
    <s v="الثلاثاء "/>
    <x v="8"/>
    <s v="حامد ابو المحاميد "/>
    <s v="الزيارة الشهرية والمرور على خط الحريق "/>
    <s v="تم العمل"/>
    <d v="1899-12-30T10:00:00"/>
    <d v="1899-12-30T15:00:00"/>
    <n v="0.20833333333333331"/>
    <x v="0"/>
    <n v="5"/>
  </r>
  <r>
    <x v="6"/>
    <d v="2024-07-30T00:00:00"/>
    <s v="الثلاثاء "/>
    <x v="5"/>
    <s v="احمد سعيد "/>
    <s v="عمل صيانة للكلدير "/>
    <s v="تم العمل"/>
    <d v="1899-12-30T14:00:00"/>
    <d v="1899-12-30T15:00:00"/>
    <n v="4.166666666666663E-2"/>
    <x v="0"/>
    <n v="3"/>
  </r>
  <r>
    <x v="6"/>
    <d v="2024-07-30T00:00:00"/>
    <s v="الثلاثاء "/>
    <x v="22"/>
    <s v="محمود عويس  "/>
    <s v="صيانة تكيفات "/>
    <s v="تم العمل"/>
    <d v="1899-12-30T21:30:00"/>
    <d v="1899-12-30T10:30:00"/>
    <n v="0.45833333333333337"/>
    <x v="3"/>
    <n v="3"/>
  </r>
  <r>
    <x v="6"/>
    <d v="2024-07-31T00:00:00"/>
    <s v="الاربعاء "/>
    <x v="34"/>
    <s v="رامى محمد "/>
    <s v="تركيب باب "/>
    <s v="تم العمل"/>
    <d v="1899-12-30T14:00:00"/>
    <d v="1899-12-30T15:00:00"/>
    <n v="4.166666666666663E-2"/>
    <x v="3"/>
    <n v="3"/>
  </r>
  <r>
    <x v="6"/>
    <d v="2024-07-31T00:00:00"/>
    <s v="الاربعاء "/>
    <x v="0"/>
    <s v="مراد صالح  "/>
    <s v="احلال وتجديدخزان الحريق "/>
    <s v="تم العمل"/>
    <d v="1899-12-30T21:30:00"/>
    <d v="1899-12-30T15:00:00"/>
    <n v="0.27083333333333337"/>
    <x v="0"/>
    <n v="6.5000000000000009"/>
  </r>
  <r>
    <x v="7"/>
    <d v="2024-08-01T00:00:00"/>
    <s v="الخميس "/>
    <x v="5"/>
    <s v="احمد حسن "/>
    <s v="فك تكييف قديم من المكتبة "/>
    <s v="تم العمل"/>
    <d v="1899-12-30T15:30:00"/>
    <d v="1899-12-30T16:00:00"/>
    <n v="2.0833333333333259E-2"/>
    <x v="6"/>
    <n v="0.49999999999999822"/>
  </r>
  <r>
    <x v="7"/>
    <d v="2024-08-01T00:00:00"/>
    <s v="الخميس "/>
    <x v="22"/>
    <s v="محمود عويس  "/>
    <s v="صيانة تكييف "/>
    <s v="تم العمل"/>
    <d v="1899-12-30T15:00:00"/>
    <d v="1899-12-30T16:00:00"/>
    <n v="4.166666666666663E-2"/>
    <x v="3"/>
    <n v="0.99999999999999911"/>
  </r>
  <r>
    <x v="7"/>
    <d v="2024-08-02T00:00:00"/>
    <s v="الجمعة "/>
    <x v="5"/>
    <s v="محمد شكرى "/>
    <s v="صيانة تكييف وحدة السريفر  "/>
    <s v="تم العمل"/>
    <d v="1899-12-30T18:00:00"/>
    <d v="1899-12-30T19:30:00"/>
    <n v="6.25E-2"/>
    <x v="6"/>
    <n v="1.5"/>
  </r>
  <r>
    <x v="7"/>
    <d v="2024-08-03T00:00:00"/>
    <s v="السبت "/>
    <x v="0"/>
    <s v="احمد زنفل "/>
    <s v="رفع وازالة التكسير "/>
    <s v="تم العمل"/>
    <d v="1899-12-30T11:00:00"/>
    <d v="1899-12-30T15:00:00"/>
    <n v="0.16666666666666669"/>
    <x v="0"/>
    <n v="4"/>
  </r>
  <r>
    <x v="7"/>
    <d v="2024-08-03T00:00:00"/>
    <s v="السبت "/>
    <x v="10"/>
    <s v="احمد فرج   "/>
    <s v="فك وازالة الفراشة "/>
    <s v="تم العمل"/>
    <d v="1899-12-30T10:30:00"/>
    <d v="1899-12-30T17:30:00"/>
    <n v="0.29166666666666663"/>
    <x v="0"/>
    <n v="3"/>
  </r>
  <r>
    <x v="7"/>
    <d v="2024-08-03T00:00:00"/>
    <s v="السبت "/>
    <x v="5"/>
    <s v="محمد شكرى "/>
    <s v="صيانة تكييف وحدة السريفر  "/>
    <s v="تم العمل"/>
    <d v="1899-12-30T00:00:00"/>
    <d v="1899-12-30T07:00:00"/>
    <n v="0.29166666666666669"/>
    <x v="6"/>
    <n v="7"/>
  </r>
  <r>
    <x v="7"/>
    <d v="2024-08-03T00:00:00"/>
    <s v="السبت "/>
    <x v="5"/>
    <s v="مجدى كرم  "/>
    <s v="تغطية ملاحظات بالكهرباء "/>
    <s v="تم العمل"/>
    <d v="1899-12-30T21:00:00"/>
    <d v="1899-12-30T12:00:00"/>
    <n v="0.375"/>
    <x v="6"/>
    <n v="9"/>
  </r>
  <r>
    <x v="7"/>
    <d v="2024-08-04T00:00:00"/>
    <s v="الاحد "/>
    <x v="38"/>
    <s v="اسلام مليجى "/>
    <s v="تغيير فلاتر المياه "/>
    <s v="تم العمل"/>
    <d v="1899-12-30T00:00:00"/>
    <d v="1899-12-30T12:30:00"/>
    <n v="0.52083333333333337"/>
    <x v="3"/>
    <n v="3"/>
  </r>
  <r>
    <x v="7"/>
    <d v="2024-08-04T00:00:00"/>
    <s v="الاحد "/>
    <x v="9"/>
    <s v="محمد شعبان "/>
    <s v="صيانة الكلاركات "/>
    <s v="تم العمل"/>
    <d v="1899-12-30T11:00:00"/>
    <d v="1899-12-30T00:00:00"/>
    <n v="0.45833333333333331"/>
    <x v="1"/>
    <n v="3"/>
  </r>
  <r>
    <x v="7"/>
    <d v="2024-08-04T00:00:00"/>
    <s v="الاحد "/>
    <x v="7"/>
    <s v="محمود احمد "/>
    <s v="الزيارة الشهرية  مكافحة القوارض "/>
    <s v="تم العمل"/>
    <d v="1899-12-30T14:00:00"/>
    <d v="1899-12-30T16:00:00"/>
    <n v="8.3333333333333259E-2"/>
    <x v="1"/>
    <n v="3"/>
  </r>
  <r>
    <x v="7"/>
    <d v="2024-08-04T00:00:00"/>
    <s v="الاحد "/>
    <x v="0"/>
    <s v="مراد صالح  "/>
    <s v="استكمال اعمال سلم الطوارىء  "/>
    <s v="تم العمل"/>
    <d v="1899-12-30T10:00:00"/>
    <d v="1899-12-30T17:00:00"/>
    <n v="0.29166666666666669"/>
    <x v="1"/>
    <n v="3"/>
  </r>
  <r>
    <x v="7"/>
    <d v="2024-08-04T00:00:00"/>
    <s v="الاحد "/>
    <x v="14"/>
    <s v="احمد السيد "/>
    <s v="استكمال تركيب الاسانسير "/>
    <s v="تم العمل"/>
    <d v="1899-12-30T10:00:00"/>
    <d v="1899-12-30T17:00:00"/>
    <n v="0.29166666666666669"/>
    <x v="1"/>
    <n v="7"/>
  </r>
  <r>
    <x v="7"/>
    <d v="2024-08-04T00:00:00"/>
    <s v="الاحد "/>
    <x v="1"/>
    <s v="احمد مخيمر "/>
    <s v="تركيب الرشاشات "/>
    <s v="تم العمل"/>
    <d v="1899-12-30T10:00:00"/>
    <d v="1899-12-30T17:00:00"/>
    <n v="0.29166666666666669"/>
    <x v="1"/>
    <n v="7"/>
  </r>
  <r>
    <x v="7"/>
    <d v="2024-08-04T00:00:00"/>
    <s v="الاحد "/>
    <x v="7"/>
    <s v="محمود احمد "/>
    <s v="الزيارة الشهرية  مكافحة القوارض "/>
    <s v="تم العمل"/>
    <d v="1899-12-30T12:30:00"/>
    <d v="1899-12-30T14:00:00"/>
    <n v="6.25E-2"/>
    <x v="4"/>
    <n v="3"/>
  </r>
  <r>
    <x v="7"/>
    <d v="2024-08-04T00:00:00"/>
    <s v="الاحد "/>
    <x v="18"/>
    <s v="فيكتور لاوندى "/>
    <s v="عمل لحام فى الرامب "/>
    <s v="تم العمل"/>
    <d v="1899-12-30T00:00:00"/>
    <d v="1899-12-30T17:00:00"/>
    <n v="0.70833333333333337"/>
    <x v="4"/>
    <n v="3"/>
  </r>
  <r>
    <x v="7"/>
    <d v="2024-08-04T00:00:00"/>
    <s v="الاحد "/>
    <x v="10"/>
    <s v="احمد فرج   "/>
    <s v="فك وازالة الفراشة "/>
    <s v="تم العمل"/>
    <d v="1899-12-30T00:00:00"/>
    <d v="1899-12-30T15:00:00"/>
    <n v="0.625"/>
    <x v="0"/>
    <n v="3"/>
  </r>
  <r>
    <x v="7"/>
    <d v="2024-08-04T00:00:00"/>
    <s v="الاحد "/>
    <x v="7"/>
    <s v="محمود احمد "/>
    <s v="الزيارة الشهرية  مكافحة القوارض "/>
    <s v="تم العمل"/>
    <d v="1899-12-30T11:00:00"/>
    <d v="1899-12-30T13:00:00"/>
    <n v="8.3333333333333315E-2"/>
    <x v="0"/>
    <n v="3"/>
  </r>
  <r>
    <x v="7"/>
    <d v="2024-08-04T00:00:00"/>
    <s v="الاحد "/>
    <x v="22"/>
    <s v="محمود عويس  "/>
    <s v="صيانة تكييف "/>
    <s v="تم العمل"/>
    <d v="1899-12-30T19:00:00"/>
    <d v="1899-12-30T21:00:00"/>
    <n v="8.333333333333337E-2"/>
    <x v="3"/>
    <n v="2.0000000000000009"/>
  </r>
  <r>
    <x v="6"/>
    <d v="2024-08-05T00:00:00"/>
    <s v="الاثنين "/>
    <x v="14"/>
    <s v="عبد الرحمن حسين "/>
    <s v="تركيب المصاعد "/>
    <s v="تم العمل"/>
    <d v="1899-12-30T10:00:00"/>
    <d v="1899-12-30T17:00:00"/>
    <n v="0.29166666666666669"/>
    <x v="1"/>
    <n v="7"/>
  </r>
  <r>
    <x v="7"/>
    <d v="2024-08-05T00:00:00"/>
    <s v="الاثنين "/>
    <x v="5"/>
    <s v="محمد جابر "/>
    <s v="تكسير خرسانة "/>
    <s v="تم العمل"/>
    <d v="1899-12-30T14:00:00"/>
    <d v="1899-12-30T19:00:00"/>
    <n v="0.20833333333333326"/>
    <x v="3"/>
    <n v="4.9999999999999982"/>
  </r>
  <r>
    <x v="7"/>
    <d v="2024-08-05T00:00:00"/>
    <s v="الاثنين "/>
    <x v="0"/>
    <s v="مراد صالح  "/>
    <s v=" اعمال دهان فى سلم الطوارىء  "/>
    <s v="تم العمل"/>
    <d v="1899-12-30T00:00:00"/>
    <d v="1899-12-30T14:00:00"/>
    <n v="0.58333333333333337"/>
    <x v="1"/>
    <n v="3"/>
  </r>
  <r>
    <x v="7"/>
    <d v="2024-08-05T00:00:00"/>
    <s v="الاثنين "/>
    <x v="1"/>
    <s v="احمد مخيمر "/>
    <s v="تركيب خط الحريق   "/>
    <s v="تم العمل"/>
    <d v="1899-12-30T10:00:00"/>
    <d v="1899-12-30T16:00:00"/>
    <n v="0.24999999999999994"/>
    <x v="1"/>
    <n v="5.9999999999999982"/>
  </r>
  <r>
    <x v="7"/>
    <d v="2024-08-05T00:00:00"/>
    <s v="الاثنين "/>
    <x v="6"/>
    <s v="محمود عويس  "/>
    <s v="فك وحدة التكيف "/>
    <s v="تم العمل"/>
    <d v="1899-12-30T10:00:00"/>
    <d v="1899-12-30T10:30:00"/>
    <n v="2.0833333333333315E-2"/>
    <x v="3"/>
    <n v="0.49999999999999956"/>
  </r>
  <r>
    <x v="7"/>
    <d v="2024-08-05T00:00:00"/>
    <s v="الاثنين "/>
    <x v="6"/>
    <s v="صابر ايراهيم   "/>
    <s v="تركيب حاجز حماية "/>
    <s v="تم العمل"/>
    <d v="1899-12-30T10:00:00"/>
    <d v="1899-12-30T10:30:00"/>
    <n v="2.0833333333333315E-2"/>
    <x v="3"/>
    <n v="0.49999999999999956"/>
  </r>
  <r>
    <x v="7"/>
    <d v="2024-08-05T00:00:00"/>
    <s v="الاثنين "/>
    <x v="13"/>
    <s v="على السعيد  "/>
    <s v="عمل صيانة كراسى المكاتب الادارية "/>
    <s v="تم العمل"/>
    <d v="1899-12-30T14:30:00"/>
    <d v="1899-12-30T15:30:00"/>
    <n v="4.1666666666666741E-2"/>
    <x v="3"/>
    <n v="1.0000000000000018"/>
  </r>
  <r>
    <x v="7"/>
    <d v="2024-08-05T00:00:00"/>
    <s v="الاثنين "/>
    <x v="46"/>
    <s v="اسلام محمد "/>
    <s v="صيانة فلتر المياة "/>
    <s v="تم العمل"/>
    <d v="1899-12-30T12:00:00"/>
    <d v="1899-12-30T13:00:00"/>
    <n v="4.166666666666663E-2"/>
    <x v="3"/>
    <n v="0.99999999999999911"/>
  </r>
  <r>
    <x v="7"/>
    <d v="2024-08-06T00:00:00"/>
    <s v="الثلاثاء "/>
    <x v="5"/>
    <s v="علاء احمد "/>
    <s v="عمل صيانة لتكيفات "/>
    <s v="تم العمل"/>
    <d v="1899-12-30T10:00:00"/>
    <d v="1899-12-30T13:00:00"/>
    <n v="0.12499999999999994"/>
    <x v="3"/>
    <n v="2.9999999999999987"/>
  </r>
  <r>
    <x v="7"/>
    <d v="2024-08-06T00:00:00"/>
    <s v="الثلاثاء "/>
    <x v="6"/>
    <s v="محمود عويس  "/>
    <s v="تركيب وحدة فان التكيف  "/>
    <s v="تم العمل"/>
    <d v="1899-12-30T15:00:00"/>
    <d v="1899-12-30T16:00:00"/>
    <n v="4.166666666666663E-2"/>
    <x v="3"/>
    <n v="0.99999999999999911"/>
  </r>
  <r>
    <x v="7"/>
    <d v="2024-08-06T00:00:00"/>
    <s v="الثلاثاء "/>
    <x v="18"/>
    <s v="فيكتور لاوندى "/>
    <s v="عمل ترميم و لحام فى الرامب "/>
    <s v="تم العمل"/>
    <d v="1899-12-30T13:00:00"/>
    <d v="1899-12-30T17:00:00"/>
    <n v="0.16666666666666674"/>
    <x v="4"/>
    <n v="3"/>
  </r>
  <r>
    <x v="7"/>
    <d v="2024-08-06T00:00:00"/>
    <s v="الثلاثاء "/>
    <x v="5"/>
    <s v="محمد "/>
    <s v="تصليح وصيانة مواتير المياه "/>
    <s v="تم العمل"/>
    <d v="1899-12-30T16:00:00"/>
    <d v="1899-12-30T22:00:00"/>
    <n v="0.25"/>
    <x v="6"/>
    <n v="6"/>
  </r>
  <r>
    <x v="7"/>
    <d v="2024-08-06T00:00:00"/>
    <s v="الثلاثاء "/>
    <x v="6"/>
    <s v="احمد سلامة "/>
    <s v="صيانة بوابة 3 الخلفية  "/>
    <s v="تم العمل"/>
    <d v="1899-12-30T13:00:00"/>
    <d v="1899-12-30T17:00:00"/>
    <n v="0.16666666666666674"/>
    <x v="1"/>
    <n v="4.0000000000000018"/>
  </r>
  <r>
    <x v="7"/>
    <d v="2024-08-06T00:00:00"/>
    <s v="الثلاثاء "/>
    <x v="0"/>
    <s v="مراد صالح  "/>
    <s v="صيانة الشبابيك الالموتال "/>
    <s v="تم العمل"/>
    <d v="1899-12-30T11:00:00"/>
    <d v="1899-12-30T16:00:00"/>
    <n v="0.20833333333333331"/>
    <x v="1"/>
    <n v="3"/>
  </r>
  <r>
    <x v="7"/>
    <d v="2024-08-06T00:00:00"/>
    <s v="الثلاثاء "/>
    <x v="6"/>
    <s v="احمد ماهر "/>
    <s v="عمل صيانة بوحدة الايوشر "/>
    <s v="تم العمل"/>
    <d v="1899-12-30T15:30:00"/>
    <d v="1899-12-30T17:00:00"/>
    <n v="6.25E-2"/>
    <x v="1"/>
    <n v="1.5"/>
  </r>
  <r>
    <x v="7"/>
    <d v="2024-08-07T00:00:00"/>
    <s v="الاربعاء "/>
    <x v="5"/>
    <s v="محمد جابر "/>
    <s v="تكسير خرسانة "/>
    <s v="تم العمل"/>
    <d v="1899-12-30T16:00:00"/>
    <d v="1899-12-30T17:30:00"/>
    <n v="6.25E-2"/>
    <x v="3"/>
    <n v="1.5"/>
  </r>
  <r>
    <x v="7"/>
    <d v="2024-08-07T00:00:00"/>
    <s v="الاربعاء "/>
    <x v="6"/>
    <s v="صابر ايراهيم   "/>
    <s v="اصلاح ابواب عنابر الانتاج  "/>
    <s v="تم العمل"/>
    <d v="1899-12-30T11:00:00"/>
    <d v="1899-12-30T16:00:00"/>
    <n v="0.20833333333333331"/>
    <x v="3"/>
    <n v="5"/>
  </r>
  <r>
    <x v="7"/>
    <d v="2024-08-07T00:00:00"/>
    <s v="الاربعاء "/>
    <x v="14"/>
    <s v="احمد السيد  "/>
    <s v="تركيب المصاعد "/>
    <s v="تم العمل"/>
    <d v="1899-12-30T10:00:00"/>
    <d v="1899-12-30T17:00:00"/>
    <n v="0.29166666666666669"/>
    <x v="1"/>
    <n v="7"/>
  </r>
  <r>
    <x v="7"/>
    <d v="2024-08-07T00:00:00"/>
    <s v="الاربعاء "/>
    <x v="1"/>
    <s v="احمد ياسر"/>
    <s v="استكمال اعمال الفاير  "/>
    <s v="تم العمل"/>
    <d v="1899-12-30T12:00:00"/>
    <d v="1899-12-30T16:00:00"/>
    <n v="0.16666666666666663"/>
    <x v="1"/>
    <n v="3.9999999999999991"/>
  </r>
  <r>
    <x v="7"/>
    <d v="2024-08-07T00:00:00"/>
    <s v="الاربعاء "/>
    <x v="5"/>
    <s v="محمد "/>
    <s v="استكمال اعمال صيانة وتغيير فى شبكة خط المياه"/>
    <s v="تم العمل"/>
    <d v="1899-12-30T00:00:00"/>
    <d v="1899-12-30T12:00:00"/>
    <n v="0.5"/>
    <x v="6"/>
    <n v="12"/>
  </r>
  <r>
    <x v="7"/>
    <d v="2024-08-08T00:00:00"/>
    <s v="الخميس "/>
    <x v="8"/>
    <s v="علاء الشحات "/>
    <s v="الزيارة الشهرية لصيانة خط الانزار "/>
    <s v="تم العمل"/>
    <d v="1899-12-30T12:00:00"/>
    <d v="1899-12-30T13:00:00"/>
    <n v="4.166666666666663E-2"/>
    <x v="3"/>
    <n v="0.99999999999999911"/>
  </r>
  <r>
    <x v="7"/>
    <d v="2024-08-08T00:00:00"/>
    <s v="الخميس "/>
    <x v="8"/>
    <s v="علاء الشحات "/>
    <s v="الزيارة الشهرية لصيانة خط الانزار "/>
    <s v="تم العمل"/>
    <d v="1899-12-30T13:30:00"/>
    <d v="1899-12-30T14:00:00"/>
    <n v="2.083333333333337E-2"/>
    <x v="0"/>
    <n v="0.50000000000000089"/>
  </r>
  <r>
    <x v="7"/>
    <d v="2024-08-08T00:00:00"/>
    <s v="الخميس "/>
    <x v="8"/>
    <s v="علاء الشحات "/>
    <s v="الزيارة الشهرية لصيانة خط الانزار "/>
    <s v="تم العمل"/>
    <d v="1899-12-30T10:00:00"/>
    <d v="1899-12-30T11:00:00"/>
    <n v="4.166666666666663E-2"/>
    <x v="1"/>
    <n v="0.99999999999999911"/>
  </r>
  <r>
    <x v="7"/>
    <d v="2024-08-08T00:00:00"/>
    <s v="الخميس "/>
    <x v="14"/>
    <s v="عبد الرحمن حسين   "/>
    <s v="تركيب المصاعد "/>
    <s v="تم العمل"/>
    <d v="1899-12-30T10:00:00"/>
    <d v="1899-12-30T17:00:00"/>
    <n v="0.29166666666666669"/>
    <x v="1"/>
    <n v="7"/>
  </r>
  <r>
    <x v="7"/>
    <d v="2024-08-08T00:00:00"/>
    <s v="الخميس "/>
    <x v="0"/>
    <s v="وائل انور مصطفى  "/>
    <s v="صيانة شبابيك الالمونتال "/>
    <s v="تم العمل"/>
    <d v="1899-12-30T14:00:00"/>
    <d v="1899-12-30T17:00:00"/>
    <n v="0.125"/>
    <x v="1"/>
    <n v="3"/>
  </r>
  <r>
    <x v="7"/>
    <d v="2024-08-10T00:00:00"/>
    <s v="السبت "/>
    <x v="13"/>
    <s v="محسن عبد الباسط  "/>
    <s v="عمل صيانة تنكات الاحبار "/>
    <s v="تم العمل"/>
    <d v="1899-12-30T16:00:00"/>
    <d v="1899-12-30T17:30:00"/>
    <n v="6.25E-2"/>
    <x v="1"/>
    <n v="1.5"/>
  </r>
  <r>
    <x v="7"/>
    <d v="2024-08-10T00:00:00"/>
    <s v="السبت "/>
    <x v="1"/>
    <s v="احمد ياسر"/>
    <s v="تركيب الكهرباء "/>
    <s v="تم العمل"/>
    <d v="1899-12-30T00:00:00"/>
    <d v="1899-12-30T05:00:00"/>
    <n v="0.20833333333333334"/>
    <x v="1"/>
    <n v="5"/>
  </r>
  <r>
    <x v="7"/>
    <d v="2024-08-10T00:00:00"/>
    <s v="السبت "/>
    <x v="1"/>
    <s v="محب منسى "/>
    <s v="تركيب خط الحريق "/>
    <s v="تم العمل"/>
    <d v="1899-12-30T10:00:00"/>
    <d v="1899-12-30T18:00:00"/>
    <n v="0.33333333333333331"/>
    <x v="1"/>
    <n v="8"/>
  </r>
  <r>
    <x v="7"/>
    <d v="2024-08-11T00:00:00"/>
    <s v="الاحد "/>
    <x v="7"/>
    <s v="زياد عادل "/>
    <s v="الزيارة الشهرية "/>
    <s v="تم العمل"/>
    <d v="1899-12-30T13:00:00"/>
    <d v="1899-12-30T15:00:00"/>
    <n v="8.333333333333337E-2"/>
    <x v="3"/>
    <n v="2.0000000000000009"/>
  </r>
  <r>
    <x v="7"/>
    <d v="2024-08-11T00:00:00"/>
    <s v="الاحد "/>
    <x v="6"/>
    <s v="صابر ابراهيم "/>
    <s v="الزيارة الشهرية "/>
    <s v="تم العمل"/>
    <d v="1899-12-30T16:00:00"/>
    <d v="1899-12-30T17:30:00"/>
    <n v="6.25E-2"/>
    <x v="3"/>
    <n v="1.5"/>
  </r>
  <r>
    <x v="7"/>
    <d v="2024-08-11T00:00:00"/>
    <s v="الاحد "/>
    <x v="18"/>
    <s v="فيكتور لاوند  "/>
    <s v="صيانة البطاريات والتشيك على ضغط الخط"/>
    <s v="تم العمل"/>
    <d v="1899-12-30T10:30:00"/>
    <d v="1899-12-30T15:30:00"/>
    <n v="0.20833333333333337"/>
    <x v="4"/>
    <n v="5.0000000000000009"/>
  </r>
  <r>
    <x v="7"/>
    <d v="2024-08-11T00:00:00"/>
    <s v="الاحد "/>
    <x v="2"/>
    <s v="مصطفى محمد "/>
    <s v="تركيبات "/>
    <s v="تم العمل"/>
    <d v="1899-12-30T12:00:00"/>
    <d v="1899-12-30T15:00:00"/>
    <n v="0.125"/>
    <x v="2"/>
    <n v="3"/>
  </r>
  <r>
    <x v="7"/>
    <d v="2024-08-11T00:00:00"/>
    <s v="الاحد "/>
    <x v="41"/>
    <s v="علاء محمد "/>
    <s v="تركيبات "/>
    <s v="تم العمل"/>
    <d v="1899-12-30T11:00:00"/>
    <d v="1899-12-30T14:00:00"/>
    <n v="0.12500000000000006"/>
    <x v="2"/>
    <n v="3.0000000000000013"/>
  </r>
  <r>
    <x v="7"/>
    <d v="2024-08-11T00:00:00"/>
    <s v="الاحد "/>
    <x v="1"/>
    <s v="احمد ياسر "/>
    <s v="مراجعة لوحات كهرباء "/>
    <s v="تم العمل"/>
    <d v="1899-12-30T11:00:00"/>
    <d v="1899-12-30T17:00:00"/>
    <n v="0.25000000000000006"/>
    <x v="1"/>
    <n v="6.0000000000000018"/>
  </r>
  <r>
    <x v="7"/>
    <d v="2024-08-11T00:00:00"/>
    <s v="الاحد "/>
    <x v="0"/>
    <s v="مراد صالح  "/>
    <s v="صيانة شبابيك الالمونتال "/>
    <s v="تم العمل"/>
    <d v="1899-12-30T10:00:00"/>
    <d v="1899-12-30T17:00:00"/>
    <n v="0.29166666666666669"/>
    <x v="1"/>
    <n v="7"/>
  </r>
  <r>
    <x v="7"/>
    <d v="2024-08-12T00:00:00"/>
    <s v="الاثنين "/>
    <x v="5"/>
    <s v="محمد جابر "/>
    <s v="عمل ترميم فى ارضية جراج السيارات  "/>
    <s v="تم العمل"/>
    <d v="1899-12-30T12:00:00"/>
    <d v="1899-12-30T14:30:00"/>
    <n v="0.10416666666666663"/>
    <x v="3"/>
    <n v="2.4999999999999991"/>
  </r>
  <r>
    <x v="7"/>
    <d v="2024-08-12T00:00:00"/>
    <s v="الاثنين "/>
    <x v="6"/>
    <s v="صابر ابراهيم "/>
    <s v="لحام الباب الخلفى "/>
    <s v="تم العمل"/>
    <d v="1899-12-30T11:00:00"/>
    <d v="1899-12-30T12:00:00"/>
    <n v="4.1666666666666685E-2"/>
    <x v="3"/>
    <n v="1.0000000000000004"/>
  </r>
  <r>
    <x v="7"/>
    <d v="2024-08-12T00:00:00"/>
    <s v="الاثنين "/>
    <x v="47"/>
    <s v="صلاح منصور "/>
    <s v="صيانة تكييف ويب 11"/>
    <s v="تم العمل"/>
    <d v="1899-12-30T14:00:00"/>
    <d v="1899-12-30T16:00:00"/>
    <n v="8.3333333333333259E-2"/>
    <x v="3"/>
    <n v="1.9999999999999982"/>
  </r>
  <r>
    <x v="7"/>
    <d v="2024-08-12T00:00:00"/>
    <s v="الاثنين "/>
    <x v="13"/>
    <s v="ايمن محمد كامل "/>
    <s v="لحام تسريب  الاحبار "/>
    <s v="تم العمل"/>
    <d v="1899-12-30T14:00:00"/>
    <d v="1899-12-30T18:00:00"/>
    <n v="0.16666666666666663"/>
    <x v="0"/>
    <n v="3.9999999999999991"/>
  </r>
  <r>
    <x v="7"/>
    <d v="2024-08-12T00:00:00"/>
    <s v="الاثنين "/>
    <x v="8"/>
    <s v="حامد ابو المحاميد  "/>
    <s v="صيانة الخط المكسور بمخزن رقم 2"/>
    <s v="تم العمل"/>
    <d v="1899-12-30T12:00:00"/>
    <d v="1899-12-30T16:00:00"/>
    <n v="0.16666666666666663"/>
    <x v="0"/>
    <n v="3.9999999999999991"/>
  </r>
  <r>
    <x v="7"/>
    <d v="2024-08-12T00:00:00"/>
    <s v="الاثنين "/>
    <x v="0"/>
    <s v="مراد صالح  "/>
    <s v="صيانة شبابيك الالمونتال "/>
    <s v="تم العمل"/>
    <d v="1899-12-30T10:00:00"/>
    <d v="1899-12-30T17:00:00"/>
    <n v="0.29166666666666669"/>
    <x v="1"/>
    <n v="7"/>
  </r>
  <r>
    <x v="7"/>
    <d v="2024-08-12T00:00:00"/>
    <s v="الاثنين "/>
    <x v="1"/>
    <s v="احمد ياسر "/>
    <s v="مراجعة لوحات كهرباء "/>
    <s v="تم العمل"/>
    <d v="1899-12-30T11:00:00"/>
    <d v="1899-12-30T17:00:00"/>
    <n v="0.25000000000000006"/>
    <x v="1"/>
    <n v="6.0000000000000018"/>
  </r>
  <r>
    <x v="7"/>
    <d v="2024-08-12T00:00:00"/>
    <s v="الاثنين "/>
    <x v="5"/>
    <s v="مصطفى عبد الجواد "/>
    <s v="الكشف على جهاز التكييف من ضمان كارير "/>
    <s v="تم العمل"/>
    <d v="1899-12-30T10:30:00"/>
    <d v="1899-12-30T11:30:00"/>
    <n v="4.1666666666666685E-2"/>
    <x v="6"/>
    <n v="1.0000000000000004"/>
  </r>
  <r>
    <x v="7"/>
    <d v="2024-08-12T00:00:00"/>
    <s v="الاثنين "/>
    <x v="5"/>
    <s v="احمد عبد الله  "/>
    <s v="شحن فريون للتكييف 5 حصان فى غرفة السلفر "/>
    <s v="تم العمل"/>
    <d v="1899-12-30T15:00:00"/>
    <d v="1899-12-30T15:30:00"/>
    <n v="2.083333333333337E-2"/>
    <x v="6"/>
    <n v="0.50000000000000089"/>
  </r>
  <r>
    <x v="7"/>
    <d v="2024-08-12T00:00:00"/>
    <s v="الاثنين "/>
    <x v="5"/>
    <s v="احمد عبد الله  "/>
    <s v="تركيب قاعدة تثبيت للماتور "/>
    <s v="تم العمل"/>
    <d v="1899-12-30T16:00:00"/>
    <d v="1899-12-30T20:00:00"/>
    <n v="0.16666666666666674"/>
    <x v="6"/>
    <n v="4.0000000000000018"/>
  </r>
  <r>
    <x v="7"/>
    <d v="2024-08-12T00:00:00"/>
    <s v="الاثنين "/>
    <x v="5"/>
    <s v="احمد عبد الله  "/>
    <s v="صيانة الكولدير "/>
    <s v="تم العمل"/>
    <d v="1899-12-30T19:00:00"/>
    <d v="1899-12-30T20:00:00"/>
    <n v="4.1666666666666741E-2"/>
    <x v="6"/>
    <n v="1.0000000000000018"/>
  </r>
  <r>
    <x v="7"/>
    <d v="2024-08-13T00:00:00"/>
    <s v="الثلاثاء "/>
    <x v="1"/>
    <s v="احمد ياسر "/>
    <s v="استكمال تقفيل لوحات كهرباء "/>
    <s v="تم العمل"/>
    <d v="1899-12-30T00:00:00"/>
    <d v="1899-12-30T17:00:00"/>
    <n v="0.70833333333333337"/>
    <x v="1"/>
    <n v="17"/>
  </r>
  <r>
    <x v="7"/>
    <d v="2024-08-13T00:00:00"/>
    <s v="الثلاثاء "/>
    <x v="0"/>
    <s v="محمد زنفل  "/>
    <s v="استكمال تركيب  شبابيك الالمونتال "/>
    <s v="تم العمل"/>
    <d v="1899-12-30T10:00:00"/>
    <d v="1899-12-30T17:00:00"/>
    <n v="0.29166666666666669"/>
    <x v="1"/>
    <n v="7"/>
  </r>
  <r>
    <x v="7"/>
    <d v="2024-08-13T00:00:00"/>
    <s v="الثلاثاء "/>
    <x v="5"/>
    <s v="محمود عويس  "/>
    <s v="صيانة تكييف "/>
    <s v="تم العمل"/>
    <d v="1899-12-30T13:00:00"/>
    <d v="1899-12-30T14:00:00"/>
    <n v="4.1666666666666741E-2"/>
    <x v="3"/>
    <n v="1.0000000000000018"/>
  </r>
  <r>
    <x v="7"/>
    <d v="2024-08-13T00:00:00"/>
    <s v="الثلاثاء "/>
    <x v="5"/>
    <s v="علاء احمد   "/>
    <s v="صيانة تكييف "/>
    <s v="تم العمل"/>
    <d v="1899-12-30T11:00:00"/>
    <d v="1899-12-30T12:00:00"/>
    <n v="4.1666666666666685E-2"/>
    <x v="3"/>
    <n v="1.0000000000000004"/>
  </r>
  <r>
    <x v="7"/>
    <d v="2024-08-13T00:00:00"/>
    <s v="الثلاثاء "/>
    <x v="47"/>
    <s v="صلاح منصور "/>
    <s v="صيانة تكييف "/>
    <s v="تم العمل"/>
    <d v="1899-12-30T13:00:00"/>
    <d v="1899-12-30T16:00:00"/>
    <n v="0.125"/>
    <x v="3"/>
    <n v="3"/>
  </r>
  <r>
    <x v="7"/>
    <d v="2024-08-14T00:00:00"/>
    <s v="الاربعاء "/>
    <x v="18"/>
    <s v="فيكتور لاوند  "/>
    <s v="عمل صيانة للطرمبة الكهرباء "/>
    <s v="تم العمل"/>
    <d v="1899-12-30T14:00:00"/>
    <d v="1899-12-30T16:00:00"/>
    <n v="8.3333333333333259E-2"/>
    <x v="4"/>
    <n v="1.9999999999999982"/>
  </r>
  <r>
    <x v="7"/>
    <d v="2024-08-14T00:00:00"/>
    <s v="الاربعاء "/>
    <x v="48"/>
    <s v="حسن محمد حسن "/>
    <s v="عمل صيانةفى ماكينة التكويد "/>
    <s v="تم العمل"/>
    <d v="1899-12-30T10:30:00"/>
    <d v="1899-12-30T17:30:00"/>
    <n v="0.29166666666666663"/>
    <x v="4"/>
    <n v="6.9999999999999991"/>
  </r>
  <r>
    <x v="7"/>
    <d v="2024-08-14T00:00:00"/>
    <s v="الاربعاء "/>
    <x v="49"/>
    <s v="ابراهيم  الخزرجى "/>
    <s v="عمل صيانة فى نظام  FM200"/>
    <s v="تم العمل"/>
    <d v="1899-12-30T10:00:00"/>
    <d v="1899-12-30T12:30:00"/>
    <n v="0.10416666666666669"/>
    <x v="3"/>
    <n v="2.5000000000000004"/>
  </r>
  <r>
    <x v="7"/>
    <d v="2024-08-14T00:00:00"/>
    <s v="الاربعاء "/>
    <x v="5"/>
    <s v="محمود ابوشادى "/>
    <s v="تجديد دهان المسجد  "/>
    <s v="تم العمل"/>
    <d v="1899-12-30T10:00:00"/>
    <d v="1899-12-30T20:00:00"/>
    <n v="0.41666666666666669"/>
    <x v="3"/>
    <n v="10"/>
  </r>
  <r>
    <x v="7"/>
    <d v="2024-08-14T00:00:00"/>
    <s v="الاربعاء "/>
    <x v="8"/>
    <s v="حامد ابو المحاميد  "/>
    <s v="الزيارة الشهرية والمرور على خط الحريق "/>
    <s v="تم العمل"/>
    <d v="1899-12-30T10:00:00"/>
    <d v="1899-12-30T14:00:00"/>
    <n v="0.16666666666666669"/>
    <x v="0"/>
    <n v="4"/>
  </r>
  <r>
    <x v="7"/>
    <d v="2024-08-14T00:00:00"/>
    <s v="الاربعاء "/>
    <x v="13"/>
    <s v="ايمن محمد كامل "/>
    <s v="لحام تسريب  الاحبار "/>
    <s v="تم العمل"/>
    <d v="1899-12-30T13:00:00"/>
    <d v="1899-12-30T20:00:00"/>
    <n v="0.29166666666666674"/>
    <x v="0"/>
    <n v="7.0000000000000018"/>
  </r>
  <r>
    <x v="7"/>
    <d v="2024-08-14T00:00:00"/>
    <s v="الاربعاء "/>
    <x v="0"/>
    <s v="مراد صالح   "/>
    <s v="تكسير خزان الاطفاء  "/>
    <s v="تم العمل"/>
    <d v="1899-12-30T10:00:00"/>
    <d v="1899-12-30T16:00:00"/>
    <n v="0.24999999999999994"/>
    <x v="0"/>
    <n v="5.9999999999999982"/>
  </r>
  <r>
    <x v="7"/>
    <d v="2024-08-14T00:00:00"/>
    <s v="الاربعاء "/>
    <x v="1"/>
    <s v="احمد مبروك "/>
    <s v="تركيب محابس خط الحريق "/>
    <s v="تم العمل"/>
    <d v="1899-12-30T10:00:00"/>
    <d v="1899-12-30T17:00:00"/>
    <n v="0.29166666666666669"/>
    <x v="1"/>
    <n v="7"/>
  </r>
  <r>
    <x v="7"/>
    <d v="2024-08-14T00:00:00"/>
    <s v="الاربعاء "/>
    <x v="14"/>
    <s v="عبد الرحمن حسين   "/>
    <s v="تركيب المصاعد "/>
    <s v="تم العمل"/>
    <d v="1899-12-30T10:00:00"/>
    <d v="1899-12-30T17:00:00"/>
    <n v="0.29166666666666669"/>
    <x v="1"/>
    <n v="7"/>
  </r>
  <r>
    <x v="7"/>
    <d v="2024-08-14T00:00:00"/>
    <s v="الاربعاء "/>
    <x v="0"/>
    <s v="محمد زنفل  "/>
    <s v="استكمال تركيب شبابيك الالمونتال "/>
    <s v="تم العمل"/>
    <d v="1899-12-30T10:00:00"/>
    <d v="1899-12-30T17:00:00"/>
    <n v="0.29166666666666669"/>
    <x v="1"/>
    <n v="7"/>
  </r>
  <r>
    <x v="7"/>
    <d v="2024-08-15T00:00:00"/>
    <s v="الخميس "/>
    <x v="0"/>
    <s v="محمد زنفل  "/>
    <s v="صيانة شبابيك الالمونتال "/>
    <s v="تم العمل"/>
    <d v="1899-12-30T10:00:00"/>
    <d v="1899-12-30T18:00:00"/>
    <n v="0.33333333333333331"/>
    <x v="1"/>
    <n v="8"/>
  </r>
  <r>
    <x v="7"/>
    <d v="2024-08-15T00:00:00"/>
    <s v="الخميس "/>
    <x v="1"/>
    <s v="احمد مبروك "/>
    <s v="لحام وتقطيع  "/>
    <s v="تم العمل"/>
    <d v="1899-12-30T12:00:00"/>
    <d v="1899-12-30T18:00:00"/>
    <n v="0.25"/>
    <x v="1"/>
    <n v="6"/>
  </r>
  <r>
    <x v="7"/>
    <d v="2024-08-15T00:00:00"/>
    <s v="الخميس "/>
    <x v="1"/>
    <s v="ايهاب خليل "/>
    <s v="عمل صيانة فى الانزار "/>
    <s v="تم العمل"/>
    <d v="1899-12-30T12:00:00"/>
    <d v="1899-12-30T18:00:00"/>
    <n v="0.25"/>
    <x v="1"/>
    <n v="6"/>
  </r>
  <r>
    <x v="7"/>
    <d v="2024-08-15T00:00:00"/>
    <s v="الخميس "/>
    <x v="14"/>
    <s v="حسام مرزوق   "/>
    <s v="تركيب المصاعد "/>
    <s v="تم العمل"/>
    <d v="1899-12-30T15:30:00"/>
    <d v="1899-12-30T19:30:00"/>
    <n v="0.16666666666666663"/>
    <x v="1"/>
    <n v="3.9999999999999991"/>
  </r>
  <r>
    <x v="7"/>
    <d v="2024-08-15T00:00:00"/>
    <s v="الخميس "/>
    <x v="18"/>
    <s v="فيكتور لاوند  "/>
    <s v="لحام شكمان كلارك  60550"/>
    <s v="تم العمل"/>
    <d v="1899-12-30T15:00:00"/>
    <d v="1899-12-30T16:00:00"/>
    <n v="4.166666666666663E-2"/>
    <x v="4"/>
    <n v="0.99999999999999911"/>
  </r>
  <r>
    <x v="7"/>
    <d v="2024-08-15T00:00:00"/>
    <s v="الخميس "/>
    <x v="29"/>
    <s v="محمد سعيد  "/>
    <s v="تركيب علبة "/>
    <s v="تم العمل"/>
    <d v="1899-12-30T15:30:00"/>
    <d v="1899-12-30T16:30:00"/>
    <n v="4.166666666666663E-2"/>
    <x v="3"/>
    <n v="0.99999999999999911"/>
  </r>
  <r>
    <x v="7"/>
    <d v="2024-08-16T00:00:00"/>
    <s v="الجمعة "/>
    <x v="6"/>
    <s v="حسام احمد "/>
    <s v="تركيب كشافات لاسانسير  "/>
    <s v="تم العمل"/>
    <d v="1899-12-30T10:00:00"/>
    <d v="1899-12-30T17:30:00"/>
    <n v="0.31249999999999994"/>
    <x v="1"/>
    <n v="7.4999999999999982"/>
  </r>
  <r>
    <x v="7"/>
    <d v="2024-08-17T00:00:00"/>
    <s v="السبت "/>
    <x v="30"/>
    <s v="معروف محمد  "/>
    <s v="صيانة لغرف الهواء "/>
    <s v="تم العمل"/>
    <d v="1899-12-30T11:00:00"/>
    <d v="1899-12-30T16:30:00"/>
    <n v="0.22916666666666669"/>
    <x v="3"/>
    <n v="5.5"/>
  </r>
  <r>
    <x v="7"/>
    <d v="2024-08-17T00:00:00"/>
    <s v="السبت "/>
    <x v="18"/>
    <s v="فيكتور لواندى "/>
    <s v="تركيبات وصيانة "/>
    <s v="تم العمل"/>
    <d v="1899-12-30T11:30:00"/>
    <d v="1899-12-30T14:00:00"/>
    <n v="0.10416666666666669"/>
    <x v="4"/>
    <n v="2.5000000000000004"/>
  </r>
  <r>
    <x v="7"/>
    <d v="2024-08-18T00:00:00"/>
    <s v="الاحد "/>
    <x v="5"/>
    <s v="محمود عويس  "/>
    <s v="تصليح المبرد  "/>
    <s v="تم العمل"/>
    <d v="1899-12-30T11:00:00"/>
    <d v="1899-12-30T12:00:00"/>
    <n v="4.1666666666666685E-2"/>
    <x v="3"/>
    <n v="1.0000000000000004"/>
  </r>
  <r>
    <x v="7"/>
    <d v="2024-08-18T00:00:00"/>
    <s v="الاحد "/>
    <x v="5"/>
    <s v="محمود عويس "/>
    <s v="صيانة تكيفات "/>
    <s v="تم العمل"/>
    <d v="1899-12-30T15:00:00"/>
    <d v="1899-12-30T16:00:00"/>
    <n v="4.166666666666663E-2"/>
    <x v="3"/>
    <n v="0.99999999999999911"/>
  </r>
  <r>
    <x v="7"/>
    <d v="2024-08-18T00:00:00"/>
    <s v="الاحد "/>
    <x v="14"/>
    <s v="محمد عادل  "/>
    <s v="صيانة المصاعد "/>
    <s v="تم العمل"/>
    <d v="1899-12-30T16:00:00"/>
    <d v="1899-12-30T17:00:00"/>
    <n v="4.1666666666666741E-2"/>
    <x v="3"/>
    <n v="1.0000000000000018"/>
  </r>
  <r>
    <x v="7"/>
    <d v="2024-08-18T00:00:00"/>
    <s v="الاحد "/>
    <x v="5"/>
    <s v="ابوبكر احمد "/>
    <s v="صيانة ماكينة التصوير "/>
    <s v="تم العمل"/>
    <d v="1899-12-30T14:00:00"/>
    <d v="1899-12-30T15:00:00"/>
    <n v="4.166666666666663E-2"/>
    <x v="3"/>
    <n v="0.99999999999999911"/>
  </r>
  <r>
    <x v="7"/>
    <d v="2024-08-18T00:00:00"/>
    <s v="الاحد "/>
    <x v="5"/>
    <s v="محمود عويس "/>
    <s v="صيانة تكيفات "/>
    <s v="تم العمل"/>
    <d v="1899-12-30T13:30:00"/>
    <d v="1899-12-30T14:30:00"/>
    <n v="4.166666666666663E-2"/>
    <x v="3"/>
    <n v="0.99999999999999911"/>
  </r>
  <r>
    <x v="7"/>
    <d v="2024-08-18T00:00:00"/>
    <s v="الاحد "/>
    <x v="0"/>
    <s v="مراد صالح   "/>
    <s v="احلال وتجديد خزان الاطفاء "/>
    <s v="تم العمل"/>
    <d v="1899-12-30T09:30:00"/>
    <d v="1899-12-30T16:00:00"/>
    <n v="0.27083333333333331"/>
    <x v="0"/>
    <n v="6.5"/>
  </r>
  <r>
    <x v="7"/>
    <d v="2024-08-18T00:00:00"/>
    <s v="الاحد "/>
    <x v="7"/>
    <s v="زياد عادل "/>
    <s v="الزيارة الشهرية  مكافحة القوارض "/>
    <s v="تم العمل"/>
    <d v="1899-12-30T13:00:00"/>
    <d v="1899-12-30T14:30:00"/>
    <n v="6.25E-2"/>
    <x v="0"/>
    <n v="3"/>
  </r>
  <r>
    <x v="7"/>
    <d v="2024-08-18T00:00:00"/>
    <s v="الاحد "/>
    <x v="0"/>
    <s v="مصطفى حسين   "/>
    <s v="اصلاح  شبابيك الالمونتال "/>
    <s v="تم العمل"/>
    <d v="1899-12-30T11:00:00"/>
    <d v="1899-12-30T17:00:00"/>
    <n v="0.25000000000000006"/>
    <x v="1"/>
    <n v="6.0000000000000018"/>
  </r>
  <r>
    <x v="7"/>
    <d v="2024-08-18T00:00:00"/>
    <s v="الاحد "/>
    <x v="13"/>
    <s v="اسلام مصطفى    "/>
    <s v="صيانة ماكينات CTP"/>
    <s v="تم العمل"/>
    <d v="1899-12-30T14:00:00"/>
    <d v="1899-12-30T16:00:00"/>
    <n v="8.3333333333333259E-2"/>
    <x v="3"/>
    <n v="1.9999999999999982"/>
  </r>
  <r>
    <x v="7"/>
    <d v="2024-08-19T00:00:00"/>
    <s v="الاثنين "/>
    <x v="13"/>
    <s v="ايمن محمد كامل "/>
    <s v="لحام تسريب  الاحبار "/>
    <s v="تم العمل"/>
    <d v="1899-12-30T14:00:00"/>
    <d v="1899-12-30T18:00:00"/>
    <n v="0.16666666666666663"/>
    <x v="0"/>
    <n v="3.9999999999999991"/>
  </r>
  <r>
    <x v="7"/>
    <d v="2024-08-19T00:00:00"/>
    <s v="الاثنين "/>
    <x v="24"/>
    <s v="ابراهيم  "/>
    <s v="عمل فتحات فى حائط غرفة الطلمبات "/>
    <s v="تم العمل"/>
    <d v="1899-12-30T10:00:00"/>
    <d v="1899-12-30T14:00:00"/>
    <n v="0.16666666666666669"/>
    <x v="0"/>
    <n v="4"/>
  </r>
  <r>
    <x v="7"/>
    <d v="2024-08-19T00:00:00"/>
    <s v="الاثنين "/>
    <x v="8"/>
    <s v="حامد ابو المجد "/>
    <s v="الزيارة الشهرية وصيانة شبكة الانزار "/>
    <s v="تم العمل"/>
    <d v="1899-12-30T10:00:00"/>
    <d v="1899-12-30T14:00:00"/>
    <n v="0.16666666666666669"/>
    <x v="0"/>
    <n v="4"/>
  </r>
  <r>
    <x v="7"/>
    <d v="2024-08-19T00:00:00"/>
    <s v="الاثنين "/>
    <x v="13"/>
    <s v="محمد عبد الغفار     "/>
    <s v="صيانة ماكينات CTP"/>
    <s v="تم العمل"/>
    <d v="1899-12-30T11:00:00"/>
    <d v="1899-12-30T14:00:00"/>
    <n v="0.12500000000000006"/>
    <x v="3"/>
    <n v="3.0000000000000013"/>
  </r>
  <r>
    <x v="7"/>
    <d v="2024-08-19T00:00:00"/>
    <s v="الاثنين "/>
    <x v="1"/>
    <s v="احمد ياسر"/>
    <s v="توصيل كهرباء كابلات"/>
    <s v="تم العمل"/>
    <d v="1899-12-30T09:00:00"/>
    <d v="1899-12-30T17:30:00"/>
    <n v="0.35416666666666663"/>
    <x v="1"/>
    <n v="8.5"/>
  </r>
  <r>
    <x v="7"/>
    <d v="2024-08-19T00:00:00"/>
    <s v="الاثنين "/>
    <x v="0"/>
    <s v="مصطفى حسين   "/>
    <s v="اصلاح  شبابيك الالمونتال "/>
    <s v="تم العمل"/>
    <d v="1899-12-30T10:00:00"/>
    <d v="1899-12-30T17:00:00"/>
    <n v="0.29166666666666669"/>
    <x v="1"/>
    <n v="7"/>
  </r>
  <r>
    <x v="7"/>
    <d v="2024-08-19T00:00:00"/>
    <s v="الاثنين "/>
    <x v="14"/>
    <s v="عبد الرحمن حسين    "/>
    <s v="تركيب المصاعد "/>
    <s v="تم العمل"/>
    <d v="1899-12-30T09:00:00"/>
    <d v="1899-12-30T16:00:00"/>
    <n v="0.29166666666666663"/>
    <x v="1"/>
    <n v="6.9999999999999991"/>
  </r>
  <r>
    <x v="7"/>
    <d v="2024-08-20T00:00:00"/>
    <s v="الثلاثاء "/>
    <x v="13"/>
    <s v="اسلام مصطفى    "/>
    <s v="صيانة ماكينات CTP"/>
    <s v="تم العمل"/>
    <d v="1899-12-30T15:30:00"/>
    <d v="1899-12-30T17:30:00"/>
    <n v="8.3333333333333259E-2"/>
    <x v="3"/>
    <n v="1.9999999999999982"/>
  </r>
  <r>
    <x v="7"/>
    <d v="2024-08-20T00:00:00"/>
    <s v="الثلاثاء "/>
    <x v="5"/>
    <s v="احمد حسنى     "/>
    <s v="بناء حائط المصاعد "/>
    <s v="تم العمل"/>
    <d v="1899-12-30T09:00:00"/>
    <d v="1899-12-30T17:00:00"/>
    <n v="0.33333333333333337"/>
    <x v="1"/>
    <n v="8"/>
  </r>
  <r>
    <x v="7"/>
    <d v="2024-08-21T00:00:00"/>
    <s v="الاربعاء "/>
    <x v="45"/>
    <s v="مصطفى حمزة     "/>
    <s v="صيانة كبروسر الهواء "/>
    <s v="تم العمل"/>
    <d v="1899-12-30T12:00:00"/>
    <d v="1899-12-30T15:00:00"/>
    <n v="0.125"/>
    <x v="3"/>
    <n v="3"/>
  </r>
  <r>
    <x v="7"/>
    <d v="2024-08-21T00:00:00"/>
    <s v="الاربعاء "/>
    <x v="29"/>
    <s v="محمد سعيد    "/>
    <s v="تركيب مكونات "/>
    <s v="تم العمل"/>
    <d v="1899-12-30T12:00:00"/>
    <d v="1899-12-30T17:30:00"/>
    <n v="0.22916666666666663"/>
    <x v="3"/>
    <n v="5.4999999999999991"/>
  </r>
  <r>
    <x v="7"/>
    <d v="2024-08-21T00:00:00"/>
    <s v="الاربعاء "/>
    <x v="34"/>
    <s v="رامى محمد    "/>
    <s v="صيانة باب الامونتال "/>
    <s v="تم العمل"/>
    <d v="1899-12-30T14:00:00"/>
    <d v="1899-12-30T16:00:00"/>
    <n v="8.3333333333333259E-2"/>
    <x v="3"/>
    <n v="1.9999999999999982"/>
  </r>
  <r>
    <x v="7"/>
    <d v="2024-08-21T00:00:00"/>
    <s v="الاربعاء "/>
    <x v="5"/>
    <s v="محمود عويس     "/>
    <s v="صيانة كولدير الماء بالطبع شيت "/>
    <s v="تم العمل"/>
    <d v="1899-12-30T14:00:00"/>
    <d v="1899-12-30T16:30:00"/>
    <n v="0.10416666666666663"/>
    <x v="3"/>
    <n v="2.4999999999999991"/>
  </r>
  <r>
    <x v="7"/>
    <d v="2024-08-21T00:00:00"/>
    <s v="الاربعاء "/>
    <x v="1"/>
    <s v="محمد عبد الحميد "/>
    <s v="تركيب محبس  "/>
    <s v="تم العمل"/>
    <d v="1899-12-30T11:00:00"/>
    <d v="1899-12-30T17:00:00"/>
    <n v="0.25000000000000006"/>
    <x v="1"/>
    <n v="6.0000000000000018"/>
  </r>
  <r>
    <x v="7"/>
    <d v="2024-08-21T00:00:00"/>
    <s v="الاربعاء "/>
    <x v="5"/>
    <s v="احمد حسنى     "/>
    <s v="استكمال بناء حائط المصاعد "/>
    <s v="تم العمل"/>
    <d v="1899-12-30T10:00:00"/>
    <d v="1899-12-30T17:00:00"/>
    <n v="0.29166666666666669"/>
    <x v="1"/>
    <n v="7"/>
  </r>
  <r>
    <x v="7"/>
    <d v="2024-08-21T00:00:00"/>
    <s v="الاربعاء "/>
    <x v="1"/>
    <s v="احمد ياسر "/>
    <s v="توصيل كهرباء "/>
    <s v="تم العمل"/>
    <d v="1899-12-30T10:00:00"/>
    <d v="1899-12-30T17:30:00"/>
    <n v="0.31249999999999994"/>
    <x v="1"/>
    <n v="7.4999999999999982"/>
  </r>
  <r>
    <x v="7"/>
    <d v="2024-08-22T00:00:00"/>
    <s v="الخميس "/>
    <x v="1"/>
    <s v="محمد عبد الحميد "/>
    <s v="عمل دهان  "/>
    <s v="تم العمل"/>
    <d v="1899-12-30T10:00:00"/>
    <d v="1899-12-30T14:00:00"/>
    <n v="0.16666666666666669"/>
    <x v="1"/>
    <n v="4"/>
  </r>
  <r>
    <x v="7"/>
    <d v="2024-08-22T00:00:00"/>
    <s v="الخميس "/>
    <x v="1"/>
    <s v="احمد ياسر "/>
    <s v="توصيل كهرباء "/>
    <s v="تم العمل"/>
    <d v="1899-12-30T10:00:00"/>
    <d v="1899-12-30T17:00:00"/>
    <n v="0.29166666666666669"/>
    <x v="1"/>
    <n v="7"/>
  </r>
  <r>
    <x v="7"/>
    <d v="2024-08-22T00:00:00"/>
    <s v="الخميس "/>
    <x v="5"/>
    <s v="احمد حسنى     "/>
    <s v="استكمال بناء حائط المصاعد "/>
    <s v="تم العمل"/>
    <d v="1899-12-30T10:00:00"/>
    <d v="1899-12-30T17:00:00"/>
    <n v="0.29166666666666669"/>
    <x v="1"/>
    <n v="7"/>
  </r>
  <r>
    <x v="7"/>
    <d v="2024-08-22T00:00:00"/>
    <s v="الخميس "/>
    <x v="8"/>
    <s v="حامد ابو المجد "/>
    <s v="الزيارة الشهرية وتركيب  محبس و2 حنفية  "/>
    <s v="تم العمل"/>
    <d v="1899-12-30T12:00:00"/>
    <d v="1899-12-30T15:00:00"/>
    <n v="0.125"/>
    <x v="1"/>
    <n v="3"/>
  </r>
  <r>
    <x v="7"/>
    <d v="2024-08-22T00:00:00"/>
    <s v="الخميس "/>
    <x v="11"/>
    <s v="محمد رمضان   "/>
    <s v="صيانة الكلاركات "/>
    <s v="تم العمل"/>
    <d v="1899-12-30T12:00:00"/>
    <d v="1899-12-30T15:00:00"/>
    <n v="0.125"/>
    <x v="3"/>
    <n v="3"/>
  </r>
  <r>
    <x v="7"/>
    <d v="2024-08-24T00:00:00"/>
    <s v="السبت "/>
    <x v="0"/>
    <s v="مراد  صالح "/>
    <s v="تكسير واحلال الخزان  "/>
    <s v="تم العمل"/>
    <d v="1899-12-30T10:00:00"/>
    <d v="1899-12-30T15:00:00"/>
    <n v="0.20833333333333331"/>
    <x v="0"/>
    <n v="5"/>
  </r>
  <r>
    <x v="7"/>
    <d v="2024-08-24T00:00:00"/>
    <s v="السبت "/>
    <x v="5"/>
    <s v="محمد عويس "/>
    <s v="اعمال صيانة بالكولدير  "/>
    <s v="تم العمل"/>
    <d v="1899-12-30T10:30:00"/>
    <d v="1899-12-30T17:00:00"/>
    <n v="0.27083333333333337"/>
    <x v="3"/>
    <n v="6.5000000000000009"/>
  </r>
  <r>
    <x v="7"/>
    <d v="2024-08-25T00:00:00"/>
    <s v="الاحد "/>
    <x v="5"/>
    <s v="محمد عويس "/>
    <s v="تركيب غطاء على مروحة تكيف كولبس 5 "/>
    <s v="تم العمل"/>
    <d v="1899-12-30T10:00:00"/>
    <d v="1899-12-30T11:00:00"/>
    <n v="4.166666666666663E-2"/>
    <x v="3"/>
    <n v="0.99999999999999911"/>
  </r>
  <r>
    <x v="7"/>
    <d v="2024-08-25T00:00:00"/>
    <s v="الاحد "/>
    <x v="7"/>
    <s v="زياد عادل "/>
    <s v="الزيارة الشهرية ومكافحة القوارض "/>
    <s v="تم العمل"/>
    <d v="1899-12-30T11:00:00"/>
    <d v="1899-12-30T16:00:00"/>
    <n v="0.20833333333333331"/>
    <x v="3"/>
    <n v="5"/>
  </r>
  <r>
    <x v="7"/>
    <d v="2024-08-25T00:00:00"/>
    <s v="الاحد "/>
    <x v="5"/>
    <s v="محمود احمد "/>
    <s v="صيانة كولدير مياه "/>
    <s v="تم العمل"/>
    <d v="1899-12-30T12:00:00"/>
    <d v="1899-12-30T15:00:00"/>
    <n v="0.125"/>
    <x v="3"/>
    <n v="3"/>
  </r>
  <r>
    <x v="7"/>
    <d v="2024-08-25T00:00:00"/>
    <s v="الاحد "/>
    <x v="8"/>
    <s v="علاء الشابورى  "/>
    <s v="الزيارة الشهرية وفك الحساسات القديمة "/>
    <s v="تم العمل"/>
    <d v="1899-12-30T10:30:00"/>
    <d v="1899-12-30T14:30:00"/>
    <n v="0.16666666666666663"/>
    <x v="3"/>
    <n v="3.9999999999999991"/>
  </r>
  <r>
    <x v="7"/>
    <d v="2024-08-25T00:00:00"/>
    <s v="الاحد "/>
    <x v="0"/>
    <s v="محمد زفل   "/>
    <s v="صيانة شبابيك الالمونتال "/>
    <s v="تم العمل"/>
    <d v="1899-12-30T10:00:00"/>
    <d v="1899-12-30T17:00:00"/>
    <n v="0.29166666666666669"/>
    <x v="1"/>
    <n v="7"/>
  </r>
  <r>
    <x v="7"/>
    <d v="2024-08-25T00:00:00"/>
    <s v="الاحد "/>
    <x v="7"/>
    <s v="محمود احمد "/>
    <s v="عمل مكافحة فى مخزن الوزارة "/>
    <s v="تم العمل"/>
    <d v="1899-12-30T12:00:00"/>
    <d v="1899-12-30T13:00:00"/>
    <n v="4.166666666666663E-2"/>
    <x v="4"/>
    <n v="0.99999999999999911"/>
  </r>
  <r>
    <x v="7"/>
    <d v="2024-08-25T00:00:00"/>
    <s v="الاحد "/>
    <x v="1"/>
    <s v="محمد عبد الحميد "/>
    <s v="تركيب عدادات  ضغط "/>
    <s v="تم العمل"/>
    <d v="1899-12-30T11:00:00"/>
    <d v="1899-12-30T17:00:00"/>
    <n v="0.25000000000000006"/>
    <x v="1"/>
    <n v="6.0000000000000018"/>
  </r>
  <r>
    <x v="7"/>
    <d v="2024-08-25T00:00:00"/>
    <s v="الاحد "/>
    <x v="0"/>
    <s v="مراد  صالح "/>
    <s v="احلال وتجديد خزان الاطفاء   "/>
    <s v="تم العمل"/>
    <d v="1899-12-30T10:00:00"/>
    <d v="1899-12-30T15:00:00"/>
    <n v="0.20833333333333331"/>
    <x v="0"/>
    <n v="5"/>
  </r>
  <r>
    <x v="7"/>
    <d v="2024-08-25T00:00:00"/>
    <s v="الاحد "/>
    <x v="1"/>
    <s v="احمد ياسر "/>
    <s v="تركيب لوحات كهرباء "/>
    <s v="تم العمل"/>
    <d v="1899-12-30T10:00:00"/>
    <d v="1899-12-30T17:00:00"/>
    <n v="0.29166666666666669"/>
    <x v="1"/>
    <n v="7"/>
  </r>
  <r>
    <x v="7"/>
    <d v="2024-08-25T00:00:00"/>
    <s v="الاحد "/>
    <x v="6"/>
    <s v="صابر ابراهيم "/>
    <s v="تركيب تندة حديد اعلى المصاعد "/>
    <s v="تم العمل"/>
    <d v="1899-12-30T11:00:00"/>
    <d v="1899-12-30T17:00:00"/>
    <n v="0.25000000000000006"/>
    <x v="1"/>
    <n v="6.0000000000000018"/>
  </r>
  <r>
    <x v="7"/>
    <d v="2024-08-25T00:00:00"/>
    <s v="الاحد "/>
    <x v="6"/>
    <s v="شريف عيد "/>
    <s v="توصيل كهرباء بالمصاعد  "/>
    <s v="تم العمل"/>
    <d v="1899-12-30T10:00:00"/>
    <d v="1899-12-30T17:00:00"/>
    <n v="0.29166666666666669"/>
    <x v="1"/>
    <n v="7"/>
  </r>
  <r>
    <x v="7"/>
    <d v="2024-08-25T00:00:00"/>
    <s v="الاحد "/>
    <x v="47"/>
    <s v="صلاح منصور "/>
    <s v="صيانة تكييف CTP"/>
    <s v="تم العمل"/>
    <d v="1899-12-30T12:00:00"/>
    <d v="1899-12-30T18:00:00"/>
    <n v="0.25"/>
    <x v="3"/>
    <n v="6"/>
  </r>
  <r>
    <x v="7"/>
    <d v="2024-08-26T00:00:00"/>
    <s v="الاثنين "/>
    <x v="5"/>
    <s v="أدم محمد "/>
    <s v="تركيب صرف تكييف "/>
    <s v="تم العمل"/>
    <d v="1899-12-30T11:30:00"/>
    <d v="1899-12-30T12:00:00"/>
    <n v="2.0833333333333315E-2"/>
    <x v="3"/>
    <n v="0.49999999999999956"/>
  </r>
  <r>
    <x v="7"/>
    <d v="2024-08-26T00:00:00"/>
    <s v="الاثنين "/>
    <x v="5"/>
    <s v="محمود  عويس "/>
    <s v="صيانة مبرد مياة الطبع شيت "/>
    <s v="تم العمل"/>
    <d v="1899-12-30T14:00:00"/>
    <d v="1899-12-30T15:00:00"/>
    <n v="4.166666666666663E-2"/>
    <x v="3"/>
    <n v="0.99999999999999911"/>
  </r>
  <r>
    <x v="7"/>
    <d v="2024-08-26T00:00:00"/>
    <s v="الاثنين "/>
    <x v="1"/>
    <s v="احمد ياسر "/>
    <s v="تركيب لوحات كهرباء "/>
    <s v="تم العمل"/>
    <d v="1899-12-30T10:00:00"/>
    <d v="1899-12-30T17:00:00"/>
    <n v="0.29166666666666669"/>
    <x v="1"/>
    <n v="7"/>
  </r>
  <r>
    <x v="7"/>
    <d v="2024-08-26T00:00:00"/>
    <s v="الاثنين "/>
    <x v="0"/>
    <s v="محمد زنفل  "/>
    <s v="استكمال سلم الطوارىء "/>
    <s v="تم العمل"/>
    <d v="1899-12-30T11:00:00"/>
    <d v="1899-12-30T17:00:00"/>
    <n v="0.25000000000000006"/>
    <x v="1"/>
    <n v="6.0000000000000018"/>
  </r>
  <r>
    <x v="7"/>
    <d v="2024-08-26T00:00:00"/>
    <s v="الاثنين "/>
    <x v="6"/>
    <s v="صابر ابراهيم "/>
    <s v="تركيب تندة حديد اعلى المصاعد "/>
    <s v="تم العمل"/>
    <d v="1899-12-30T11:00:00"/>
    <d v="1899-12-30T17:00:00"/>
    <n v="0.25000000000000006"/>
    <x v="1"/>
    <n v="6.0000000000000018"/>
  </r>
  <r>
    <x v="7"/>
    <d v="2024-08-26T00:00:00"/>
    <s v="الاثنين "/>
    <x v="6"/>
    <s v="اسلام صالح "/>
    <s v="تركيب انارة  "/>
    <s v="تم العمل"/>
    <d v="1899-12-30T10:00:00"/>
    <d v="1899-12-30T17:00:00"/>
    <n v="0.29166666666666669"/>
    <x v="1"/>
    <n v="7"/>
  </r>
  <r>
    <x v="7"/>
    <d v="2024-08-26T00:00:00"/>
    <s v="الاثنين "/>
    <x v="0"/>
    <s v="محمد زفل   "/>
    <s v="استكمال صيانة شبابيك الالمونتال "/>
    <s v="تم العمل"/>
    <d v="1899-12-30T10:00:00"/>
    <d v="1899-12-30T17:00:00"/>
    <n v="0.29166666666666669"/>
    <x v="1"/>
    <n v="7"/>
  </r>
  <r>
    <x v="7"/>
    <d v="2024-08-26T00:00:00"/>
    <s v="الاثنين "/>
    <x v="13"/>
    <s v="ايمن محمد كامل "/>
    <s v="لحام تسريب  الاحبار "/>
    <s v="تم العمل"/>
    <d v="1899-12-30T14:00:00"/>
    <d v="1899-12-30T18:00:00"/>
    <n v="0.16666666666666663"/>
    <x v="0"/>
    <n v="3.9999999999999991"/>
  </r>
  <r>
    <x v="7"/>
    <d v="2024-08-26T00:00:00"/>
    <s v="الاثنين "/>
    <x v="0"/>
    <s v="مراد  صالح "/>
    <s v="احلال وتجديد خزان الاطفاء   "/>
    <s v="تم العمل"/>
    <d v="1899-12-30T10:00:00"/>
    <d v="1899-12-30T15:00:00"/>
    <n v="0.20833333333333331"/>
    <x v="0"/>
    <n v="5"/>
  </r>
  <r>
    <x v="7"/>
    <d v="2024-08-26T00:00:00"/>
    <s v="الاثنين "/>
    <x v="13"/>
    <s v="اسلام مصطفى    "/>
    <s v="صيانة ماكينات CTP"/>
    <s v="تم العمل"/>
    <d v="1899-12-30T14:00:00"/>
    <d v="1899-12-30T18:00:00"/>
    <n v="0.16666666666666663"/>
    <x v="3"/>
    <n v="3.9999999999999991"/>
  </r>
  <r>
    <x v="7"/>
    <d v="2024-08-26T00:00:00"/>
    <s v="الاثنين "/>
    <x v="5"/>
    <s v="ياسر الروبى     "/>
    <s v="صيانة رخام حوض الحمام "/>
    <s v="تم العمل"/>
    <d v="1899-12-30T17:30:00"/>
    <d v="1899-12-30T20:00:00"/>
    <n v="0.10416666666666674"/>
    <x v="3"/>
    <n v="2.5000000000000018"/>
  </r>
  <r>
    <x v="7"/>
    <d v="2024-08-27T00:00:00"/>
    <s v="الثلاثاء "/>
    <x v="5"/>
    <s v="محمود  عويس "/>
    <s v="صيانة تكييف المكتب  "/>
    <s v="تم العمل"/>
    <d v="1899-12-30T10:00:00"/>
    <d v="1899-12-30T15:00:00"/>
    <n v="0.20833333333333331"/>
    <x v="3"/>
    <n v="5"/>
  </r>
  <r>
    <x v="7"/>
    <d v="2024-08-27T00:00:00"/>
    <s v="الثلاثاء "/>
    <x v="50"/>
    <s v="هيثم سعيد "/>
    <s v="صيانة ماكينة طباعة بالتسليمات   "/>
    <s v="تم العمل"/>
    <d v="1899-12-30T15:00:00"/>
    <d v="1899-12-30T16:00:00"/>
    <n v="4.166666666666663E-2"/>
    <x v="3"/>
    <n v="0.99999999999999911"/>
  </r>
  <r>
    <x v="7"/>
    <d v="2024-08-27T00:00:00"/>
    <s v="الثلاثاء "/>
    <x v="5"/>
    <s v="ادم محمد "/>
    <s v="ترميم وتثبيت باب وطوارىء "/>
    <s v="تم العمل"/>
    <d v="1899-12-30T15:30:00"/>
    <d v="1899-12-30T17:30:00"/>
    <n v="8.3333333333333259E-2"/>
    <x v="3"/>
    <n v="1.9999999999999982"/>
  </r>
  <r>
    <x v="7"/>
    <d v="2024-08-27T00:00:00"/>
    <s v="الثلاثاء "/>
    <x v="5"/>
    <s v="محمود  عويس "/>
    <s v="صيانة تكييف"/>
    <s v="تم العمل"/>
    <d v="1899-12-30T16:00:00"/>
    <d v="1899-12-30T17:00:00"/>
    <n v="4.1666666666666741E-2"/>
    <x v="3"/>
    <n v="1.0000000000000018"/>
  </r>
  <r>
    <x v="7"/>
    <d v="2024-08-27T00:00:00"/>
    <s v="الثلاثاء "/>
    <x v="0"/>
    <s v="محمد زفل   "/>
    <s v="استكمال سلم الطوارىء "/>
    <s v="تم العمل"/>
    <d v="1899-12-30T11:00:00"/>
    <d v="1899-12-30T17:00:00"/>
    <n v="0.25000000000000006"/>
    <x v="1"/>
    <n v="6.0000000000000018"/>
  </r>
  <r>
    <x v="7"/>
    <d v="2024-08-27T00:00:00"/>
    <s v="الثلاثاء "/>
    <x v="6"/>
    <s v="صابر ابراهيم "/>
    <s v="استكمال تركيب تندة حديد اعلى المصاعد "/>
    <s v="تم العمل"/>
    <d v="1899-12-30T00:00:00"/>
    <d v="1899-12-30T17:00:00"/>
    <n v="0.70833333333333337"/>
    <x v="1"/>
    <n v="17"/>
  </r>
  <r>
    <x v="7"/>
    <d v="2024-08-27T00:00:00"/>
    <s v="الثلاثاء "/>
    <x v="1"/>
    <s v="احمد ياسر "/>
    <s v="توصيلات كهربائية "/>
    <s v="تم العمل"/>
    <d v="1899-12-30T10:00:00"/>
    <d v="1899-12-30T17:00:00"/>
    <n v="0.29166666666666669"/>
    <x v="1"/>
    <n v="7"/>
  </r>
  <r>
    <x v="7"/>
    <d v="2024-08-28T00:00:00"/>
    <s v="الاربعاء "/>
    <x v="8"/>
    <s v="حامد ابو المحاميد   "/>
    <s v="الزيارة الشهرية وتغيير حنفية 2.3 بوصة "/>
    <s v="تم العمل"/>
    <d v="1899-12-30T09:30:00"/>
    <d v="1899-12-30T11:30:00"/>
    <n v="8.333333333333337E-2"/>
    <x v="3"/>
    <n v="2.0000000000000009"/>
  </r>
  <r>
    <x v="7"/>
    <d v="2024-08-28T00:00:00"/>
    <s v="الاربعاء "/>
    <x v="5"/>
    <s v="محمود  عويس "/>
    <s v="صيانة تكييف"/>
    <s v="تم العمل"/>
    <d v="1899-12-30T16:00:00"/>
    <d v="1899-12-30T17:00:00"/>
    <n v="4.1666666666666741E-2"/>
    <x v="3"/>
    <n v="1.0000000000000018"/>
  </r>
  <r>
    <x v="7"/>
    <d v="2024-08-28T00:00:00"/>
    <s v="الاربعاء "/>
    <x v="5"/>
    <s v="محمود  عويس "/>
    <s v="صيانة تكييف"/>
    <s v="تم العمل"/>
    <d v="1899-12-30T00:00:00"/>
    <d v="1899-12-30T16:00:00"/>
    <n v="0.66666666666666663"/>
    <x v="3"/>
    <n v="16"/>
  </r>
  <r>
    <x v="7"/>
    <d v="2024-08-28T00:00:00"/>
    <s v="الاربعاء "/>
    <x v="6"/>
    <s v="كمال مرسى "/>
    <s v="صيانة ايروشر  "/>
    <s v="تم العمل"/>
    <d v="1899-12-30T00:00:00"/>
    <d v="1899-12-30T17:00:00"/>
    <n v="0.70833333333333337"/>
    <x v="3"/>
    <n v="17"/>
  </r>
  <r>
    <x v="7"/>
    <d v="2024-08-28T00:00:00"/>
    <s v="الاربعاء "/>
    <x v="17"/>
    <s v="فارس خليل "/>
    <s v="تركيب تاندة حديد "/>
    <s v="تم العمل"/>
    <d v="1899-12-30T14:30:00"/>
    <d v="1899-12-30T15:30:00"/>
    <n v="4.1666666666666741E-2"/>
    <x v="5"/>
    <n v="1.0000000000000018"/>
  </r>
  <r>
    <x v="7"/>
    <d v="2024-08-28T00:00:00"/>
    <s v="الاربعاء "/>
    <x v="1"/>
    <s v="احمد ياسر "/>
    <s v="تركيبات كهربائية "/>
    <s v="تم العمل"/>
    <d v="1899-12-30T10:00:00"/>
    <d v="1899-12-30T17:00:00"/>
    <n v="0.29166666666666669"/>
    <x v="1"/>
    <n v="7"/>
  </r>
  <r>
    <x v="7"/>
    <d v="2024-08-28T00:00:00"/>
    <s v="الاربعاء "/>
    <x v="6"/>
    <s v="اسلام صالح "/>
    <s v="صيانة كشافات الطوارىء "/>
    <s v="تم العمل"/>
    <d v="1899-12-30T10:00:00"/>
    <d v="1899-12-30T17:00:00"/>
    <n v="0.29166666666666669"/>
    <x v="1"/>
    <n v="7"/>
  </r>
  <r>
    <x v="7"/>
    <d v="2024-08-31T00:00:00"/>
    <s v="السبت "/>
    <x v="17"/>
    <s v="فارس خليل "/>
    <s v="تركيب تاندة حديد "/>
    <s v="تم العمل"/>
    <d v="1899-12-30T00:00:00"/>
    <d v="1899-12-30T15:30:00"/>
    <n v="0.64583333333333337"/>
    <x v="5"/>
    <n v="15.5"/>
  </r>
  <r>
    <x v="7"/>
    <d v="2024-08-31T00:00:00"/>
    <s v="السبت "/>
    <x v="1"/>
    <s v="احمد ياسر "/>
    <s v="تجميع شبكة  الكهرباء "/>
    <s v="تم العمل"/>
    <d v="1899-12-30T10:00:00"/>
    <d v="1899-12-30T17:30:00"/>
    <n v="0.31249999999999994"/>
    <x v="1"/>
    <n v="7.4999999999999982"/>
  </r>
  <r>
    <x v="7"/>
    <d v="2024-08-31T00:00:00"/>
    <s v="السبت "/>
    <x v="14"/>
    <s v="احمد السيد"/>
    <s v="تركيب مصعد البضائع "/>
    <s v="تم العمل"/>
    <d v="1899-12-30T10:00:00"/>
    <d v="1899-12-30T17:30:00"/>
    <n v="0.31249999999999994"/>
    <x v="1"/>
    <n v="7.4999999999999982"/>
  </r>
  <r>
    <x v="7"/>
    <d v="2024-08-31T00:00:00"/>
    <s v="السبت "/>
    <x v="9"/>
    <s v="سامى شعبان  "/>
    <s v="منع تسريب الزيت "/>
    <s v="تم العمل"/>
    <d v="1899-12-30T11:00:00"/>
    <d v="1899-12-30T16:30:00"/>
    <n v="0.22916666666666669"/>
    <x v="0"/>
    <n v="5.5"/>
  </r>
  <r>
    <x v="8"/>
    <d v="2024-09-01T00:00:00"/>
    <s v="الاحد "/>
    <x v="7"/>
    <s v="ذياد عادل"/>
    <s v="الزيارة الشهرية  مكافحة القوارض "/>
    <s v="تم العمل"/>
    <d v="1899-12-30T14:00:00"/>
    <d v="1899-12-30T15:00:00"/>
    <n v="4.166666666666663E-2"/>
    <x v="0"/>
    <n v="0.99999999999999911"/>
  </r>
  <r>
    <x v="8"/>
    <d v="2024-09-01T00:00:00"/>
    <s v="الاحد "/>
    <x v="9"/>
    <s v="سامى شعبان  "/>
    <s v="صيانة كلارك "/>
    <s v="تم العمل"/>
    <d v="1899-12-30T11:00:00"/>
    <d v="1899-12-30T13:00:00"/>
    <n v="8.3333333333333315E-2"/>
    <x v="1"/>
    <n v="1.9999999999999996"/>
  </r>
  <r>
    <x v="8"/>
    <d v="2024-09-01T00:00:00"/>
    <s v="الاحد "/>
    <x v="7"/>
    <s v="ذياد عادل"/>
    <s v="عمل مكافحة فى مخزن الوزارة "/>
    <s v="تم العمل"/>
    <d v="1899-12-30T12:00:00"/>
    <d v="1899-12-30T13:00:00"/>
    <n v="4.166666666666663E-2"/>
    <x v="4"/>
    <n v="0.99999999999999911"/>
  </r>
  <r>
    <x v="8"/>
    <d v="2024-09-01T00:00:00"/>
    <s v="الاحد "/>
    <x v="1"/>
    <s v="احمد ياسر "/>
    <s v="تجميع شبكة  الكهرباء "/>
    <s v="تم العمل"/>
    <d v="1899-12-30T13:00:00"/>
    <d v="1899-12-30T17:00:00"/>
    <n v="0.16666666666666674"/>
    <x v="1"/>
    <n v="4.0000000000000018"/>
  </r>
  <r>
    <x v="8"/>
    <d v="2024-09-01T00:00:00"/>
    <s v="الاحد "/>
    <x v="7"/>
    <s v="ذياد عادل"/>
    <s v="عمل مكافحة فى مخزن الوزارة "/>
    <s v="تم العمل"/>
    <d v="1899-12-30T11:00:00"/>
    <d v="1899-12-30T12:00:00"/>
    <n v="4.1666666666666685E-2"/>
    <x v="1"/>
    <n v="1.0000000000000004"/>
  </r>
  <r>
    <x v="8"/>
    <d v="2024-09-01T00:00:00"/>
    <s v="الاحد "/>
    <x v="9"/>
    <s v="سامى شعبان  "/>
    <s v="منع تسريب الزيت "/>
    <s v="تم العمل"/>
    <d v="1899-12-30T14:00:00"/>
    <d v="1899-12-30T15:00:00"/>
    <n v="4.166666666666663E-2"/>
    <x v="1"/>
    <n v="0.99999999999999911"/>
  </r>
  <r>
    <x v="8"/>
    <d v="2024-09-02T00:00:00"/>
    <s v="الاثنين "/>
    <x v="5"/>
    <s v="علاء احمد "/>
    <s v="صيانة تكيفات "/>
    <s v="تم العمل"/>
    <d v="1899-12-30T10:00:00"/>
    <d v="1899-12-30T12:00:00"/>
    <n v="8.3333333333333315E-2"/>
    <x v="3"/>
    <n v="1.9999999999999996"/>
  </r>
  <r>
    <x v="8"/>
    <d v="2024-09-02T00:00:00"/>
    <s v="الاثنين "/>
    <x v="5"/>
    <s v="محمود  عويس "/>
    <s v="صيانة تكييف"/>
    <s v="تم العمل"/>
    <d v="1899-12-30T12:30:00"/>
    <d v="1899-12-30T13:30:00"/>
    <n v="4.166666666666663E-2"/>
    <x v="3"/>
    <n v="0.99999999999999911"/>
  </r>
  <r>
    <x v="8"/>
    <d v="2024-09-03T00:00:00"/>
    <s v="الثلاثاء "/>
    <x v="44"/>
    <s v="وليد فتحى "/>
    <s v="تركيب  تكييف"/>
    <s v="تم العمل"/>
    <d v="1899-12-30T13:00:00"/>
    <d v="1899-12-30T15:00:00"/>
    <n v="8.333333333333337E-2"/>
    <x v="3"/>
    <n v="2.0000000000000009"/>
  </r>
  <r>
    <x v="8"/>
    <d v="2024-09-03T00:00:00"/>
    <s v="الثلاثاء "/>
    <x v="0"/>
    <s v="مراد  صالح "/>
    <s v="العمل فى خزان الاطفاء    "/>
    <s v="تم العمل"/>
    <d v="1899-12-30T10:00:00"/>
    <d v="1899-12-30T15:00:00"/>
    <n v="0.20833333333333331"/>
    <x v="0"/>
    <n v="5"/>
  </r>
  <r>
    <x v="8"/>
    <d v="2024-09-03T00:00:00"/>
    <s v="الثلاثاء "/>
    <x v="13"/>
    <s v="ايمن محمد كامل "/>
    <s v="لحام منع تسريب الاحبار  "/>
    <s v="تم العمل"/>
    <d v="1899-12-30T14:00:00"/>
    <d v="1899-12-30T18:00:00"/>
    <n v="0.16666666666666663"/>
    <x v="0"/>
    <n v="3.9999999999999991"/>
  </r>
  <r>
    <x v="8"/>
    <d v="2024-09-04T00:00:00"/>
    <s v="الاربعاء "/>
    <x v="5"/>
    <s v="محمود  عويس "/>
    <s v="صيانة تكييف مكتب السلامة والصحة والسرفر "/>
    <s v="تم العمل"/>
    <d v="1899-12-30T22:30:00"/>
    <d v="1899-12-30T23:00:00"/>
    <n v="2.083333333333337E-2"/>
    <x v="3"/>
    <n v="0.50000000000000089"/>
  </r>
  <r>
    <x v="8"/>
    <d v="2024-09-04T00:00:00"/>
    <s v="الاربعاء "/>
    <x v="51"/>
    <s v="مصطفى نصار  "/>
    <s v="العمل على ارتفعات تحرير كابل الفايبر  "/>
    <s v="تم العمل"/>
    <d v="1899-12-30T12:00:00"/>
    <d v="1899-12-30T16:00:00"/>
    <n v="0.16666666666666663"/>
    <x v="2"/>
    <n v="3.9999999999999991"/>
  </r>
  <r>
    <x v="8"/>
    <d v="2024-09-04T00:00:00"/>
    <s v="الاربعاء "/>
    <x v="5"/>
    <s v="محمود  عويس "/>
    <s v="صيانة تكييف غرفة الكهرباء ويب 7 "/>
    <s v="تم العمل"/>
    <d v="1899-12-30T11:30:00"/>
    <d v="1899-12-30T13:00:00"/>
    <n v="6.2499999999999944E-2"/>
    <x v="3"/>
    <n v="1.4999999999999987"/>
  </r>
  <r>
    <x v="8"/>
    <d v="2024-09-04T00:00:00"/>
    <s v="الاربعاء "/>
    <x v="6"/>
    <s v="شريف  عيد "/>
    <s v="توصيل كهرباء بالمصاعد  "/>
    <s v="تم العمل"/>
    <d v="1899-12-30T10:00:00"/>
    <d v="1899-12-30T11:00:00"/>
    <n v="4.166666666666663E-2"/>
    <x v="1"/>
    <n v="0.99999999999999911"/>
  </r>
  <r>
    <x v="8"/>
    <d v="2024-09-05T00:00:00"/>
    <s v="الخميس "/>
    <x v="47"/>
    <s v="صلاح منصور "/>
    <s v="صيانة تكييف "/>
    <s v="تم العمل"/>
    <d v="1899-12-30T11:30:00"/>
    <d v="1899-12-30T14:00:00"/>
    <n v="0.10416666666666669"/>
    <x v="3"/>
    <n v="2.5000000000000004"/>
  </r>
  <r>
    <x v="8"/>
    <d v="2024-09-05T00:00:00"/>
    <s v="الخميس "/>
    <x v="5"/>
    <s v="مصطفى رشاد  "/>
    <s v="انشاءات و دهانات "/>
    <s v="تم العمل"/>
    <d v="1899-12-30T11:30:00"/>
    <d v="1899-12-30T15:00:00"/>
    <n v="0.14583333333333331"/>
    <x v="2"/>
    <n v="3.4999999999999996"/>
  </r>
  <r>
    <x v="8"/>
    <d v="2024-09-05T00:00:00"/>
    <s v="الخميس "/>
    <x v="5"/>
    <s v="صلاح منصور "/>
    <s v="صيانة تكييف "/>
    <s v="تم العمل"/>
    <d v="1899-12-30T11:30:00"/>
    <d v="1899-12-30T13:00:00"/>
    <n v="6.2499999999999944E-2"/>
    <x v="3"/>
    <n v="1.4999999999999987"/>
  </r>
  <r>
    <x v="8"/>
    <d v="2024-09-05T00:00:00"/>
    <s v="الخميس "/>
    <x v="7"/>
    <s v="سامى الامير "/>
    <s v="عمل مكافحة لشقق  العاملين عدد 3 لحشرة للبق"/>
    <s v="تم العمل"/>
    <d v="1899-12-30T10:00:00"/>
    <d v="1899-12-30T12:00:00"/>
    <n v="8.3333333333333315E-2"/>
    <x v="3"/>
    <n v="1.9999999999999996"/>
  </r>
  <r>
    <x v="8"/>
    <d v="2024-09-06T00:00:00"/>
    <s v="الجمعة "/>
    <x v="43"/>
    <s v="عادل ابراهيم "/>
    <s v="تركيبات "/>
    <s v="تم العمل"/>
    <d v="1899-12-30T09:00:00"/>
    <d v="1899-12-30T16:00:00"/>
    <n v="0.29166666666666663"/>
    <x v="2"/>
    <n v="6.9999999999999991"/>
  </r>
  <r>
    <x v="8"/>
    <d v="2024-09-07T00:00:00"/>
    <s v="السبت "/>
    <x v="0"/>
    <s v="مراد  صالح "/>
    <s v="ترميم خزان الاطفاء    "/>
    <s v="تم العمل"/>
    <d v="1899-12-30T11:00:00"/>
    <d v="1899-12-30T17:00:00"/>
    <n v="0.25000000000000006"/>
    <x v="0"/>
    <n v="6.0000000000000018"/>
  </r>
  <r>
    <x v="8"/>
    <d v="2024-09-08T00:00:00"/>
    <s v="الاحد "/>
    <x v="8"/>
    <s v="علاء الشابورى "/>
    <s v="الزيارة الشهرية لصيانة نظام الانزار    "/>
    <s v="تم العمل"/>
    <d v="1899-12-30T11:00:00"/>
    <d v="1899-12-30T12:00:00"/>
    <n v="4.1666666666666685E-2"/>
    <x v="3"/>
    <n v="1.0000000000000004"/>
  </r>
  <r>
    <x v="8"/>
    <d v="2024-09-08T00:00:00"/>
    <s v="الاحد "/>
    <x v="5"/>
    <s v="محمود  عويس "/>
    <s v="عمل صيانةلكولدير مياة الطبع شيت"/>
    <s v="تم العمل"/>
    <d v="1899-12-30T11:30:00"/>
    <d v="1899-12-30T12:00:00"/>
    <n v="2.0833333333333315E-2"/>
    <x v="3"/>
    <n v="0.49999999999999956"/>
  </r>
  <r>
    <x v="8"/>
    <d v="2024-09-08T00:00:00"/>
    <s v="الاحد "/>
    <x v="13"/>
    <s v="اسلام مصطفى    "/>
    <s v="صيانة ماكينات CTP"/>
    <s v="تم العمل"/>
    <d v="1899-12-30T13:30:00"/>
    <d v="1899-12-30T17:00:00"/>
    <n v="0.14583333333333337"/>
    <x v="3"/>
    <n v="3.5000000000000009"/>
  </r>
  <r>
    <x v="8"/>
    <d v="2024-09-08T00:00:00"/>
    <s v="الاحد "/>
    <x v="7"/>
    <s v="زياد عادل "/>
    <s v="الزيارة الشهرية وعمل مكافحة للحشرات "/>
    <s v="تم العمل"/>
    <d v="1899-12-30T12:30:00"/>
    <d v="1899-12-30T15:00:00"/>
    <n v="0.10416666666666663"/>
    <x v="3"/>
    <n v="2.4999999999999991"/>
  </r>
  <r>
    <x v="8"/>
    <d v="2024-09-08T00:00:00"/>
    <s v="الاحد "/>
    <x v="14"/>
    <s v="مخلص كامل "/>
    <s v="عمل صيانة المصاعد "/>
    <s v="تم العمل"/>
    <d v="1899-12-30T16:00:00"/>
    <d v="1899-12-30T16:30:00"/>
    <n v="2.083333333333337E-2"/>
    <x v="3"/>
    <n v="0.50000000000000089"/>
  </r>
  <r>
    <x v="8"/>
    <d v="2024-09-08T00:00:00"/>
    <s v="الاحد "/>
    <x v="5"/>
    <s v="محمود ابو شادى "/>
    <s v="اعمال البناء  "/>
    <s v="تم العمل"/>
    <d v="1899-12-30T09:30:00"/>
    <d v="1899-12-30T16:00:00"/>
    <n v="0.27083333333333331"/>
    <x v="3"/>
    <n v="1.5"/>
  </r>
  <r>
    <x v="8"/>
    <d v="2024-09-09T00:00:00"/>
    <s v="الاثنين "/>
    <x v="5"/>
    <s v="محمود  عويس "/>
    <s v="عمل صيانةلكولدير مياة الكافتريا"/>
    <s v="تم العمل"/>
    <d v="1899-12-30T15:00:00"/>
    <d v="1899-12-30T16:30:00"/>
    <n v="6.25E-2"/>
    <x v="0"/>
    <n v="1.5"/>
  </r>
  <r>
    <x v="8"/>
    <d v="2024-09-09T00:00:00"/>
    <s v="الاثنين "/>
    <x v="52"/>
    <s v="اشرف فتجى "/>
    <s v="تغيير بطاريات "/>
    <s v="تم العمل"/>
    <d v="1899-12-30T00:00:00"/>
    <d v="1899-12-30T15:00:00"/>
    <n v="0.625"/>
    <x v="3"/>
    <n v="1.5"/>
  </r>
  <r>
    <x v="8"/>
    <d v="2024-09-09T00:00:00"/>
    <s v="الاثنين "/>
    <x v="5"/>
    <s v="محمود ابو شادى  "/>
    <s v="نظافة ورفع المخلفات حول المخزن "/>
    <s v="تم العمل"/>
    <d v="1899-12-30T11:00:00"/>
    <d v="1899-12-30T12:30:00"/>
    <n v="6.2500000000000056E-2"/>
    <x v="0"/>
    <n v="1.5"/>
  </r>
  <r>
    <x v="8"/>
    <d v="2024-09-10T00:00:00"/>
    <s v="الثلاثاء "/>
    <x v="14"/>
    <s v="محمد على "/>
    <s v="صيانة المصاعد "/>
    <s v="تم العمل"/>
    <d v="1899-12-30T10:00:00"/>
    <d v="1899-12-30T16:00:00"/>
    <n v="0.24999999999999994"/>
    <x v="3"/>
    <n v="5.9999999999999982"/>
  </r>
  <r>
    <x v="8"/>
    <d v="2024-09-10T00:00:00"/>
    <s v="الثلاثاء "/>
    <x v="35"/>
    <s v="عبد الرحمن حسين "/>
    <s v="صيانة غرفة الكمبروسر "/>
    <s v="تم العمل"/>
    <d v="1899-12-30T14:00:00"/>
    <d v="1899-12-30T16:00:00"/>
    <n v="8.3333333333333259E-2"/>
    <x v="3"/>
    <n v="1.9999999999999982"/>
  </r>
  <r>
    <x v="8"/>
    <d v="2024-09-10T00:00:00"/>
    <s v="الثلاثاء "/>
    <x v="52"/>
    <s v="اشرف فهمى  "/>
    <s v="صيانة بطاريات"/>
    <s v="تم العمل"/>
    <d v="1899-12-30T15:00:00"/>
    <d v="1899-12-30T16:00:00"/>
    <n v="4.166666666666663E-2"/>
    <x v="3"/>
    <n v="0.99999999999999911"/>
  </r>
  <r>
    <x v="8"/>
    <d v="2024-09-11T00:00:00"/>
    <s v="الاربعاء "/>
    <x v="1"/>
    <s v="احمد ياسر "/>
    <s v=" استكمال تجميع شبكة  الكهرباء "/>
    <s v="تم العمل"/>
    <d v="1899-12-30T09:00:00"/>
    <d v="1899-12-30T14:00:00"/>
    <n v="0.20833333333333337"/>
    <x v="1"/>
    <n v="5.0000000000000009"/>
  </r>
  <r>
    <x v="8"/>
    <d v="2024-09-11T00:00:00"/>
    <s v="الاربعاء "/>
    <x v="33"/>
    <s v="سالم حسام "/>
    <s v="صيانة الرامب الجديد  "/>
    <s v="تم العمل"/>
    <d v="1899-12-30T11:00:00"/>
    <d v="1899-12-30T16:00:00"/>
    <n v="0.20833333333333331"/>
    <x v="1"/>
    <n v="5"/>
  </r>
  <r>
    <x v="8"/>
    <d v="2024-09-12T00:00:00"/>
    <s v="الخميس "/>
    <x v="1"/>
    <s v="احمد ياسر "/>
    <s v=" استكمال تجميع شبكة  الكهرباء "/>
    <s v="تم العمل"/>
    <d v="1899-12-30T11:00:00"/>
    <d v="1899-12-30T17:00:00"/>
    <n v="0.25000000000000006"/>
    <x v="1"/>
    <n v="6.0000000000000018"/>
  </r>
  <r>
    <x v="8"/>
    <d v="2024-09-12T00:00:00"/>
    <s v="الخميس "/>
    <x v="34"/>
    <s v="رامى محمد  "/>
    <s v="عمل صيانة للابواب الالمونتال "/>
    <s v="تم العمل"/>
    <d v="1899-12-30T16:00:00"/>
    <d v="1899-12-30T16:30:00"/>
    <n v="2.083333333333337E-2"/>
    <x v="0"/>
    <n v="0.50000000000000089"/>
  </r>
  <r>
    <x v="8"/>
    <d v="2024-09-12T00:00:00"/>
    <s v="الخميس "/>
    <x v="47"/>
    <s v="صلاح منصور "/>
    <s v="صيانة تكيفات "/>
    <s v="تم العمل"/>
    <d v="1899-12-30T10:30:00"/>
    <d v="1899-12-30T13:00:00"/>
    <n v="0.10416666666666663"/>
    <x v="3"/>
    <n v="2.4999999999999991"/>
  </r>
  <r>
    <x v="8"/>
    <d v="2024-09-14T00:00:00"/>
    <s v="السبت "/>
    <x v="1"/>
    <s v="احمد ياسر "/>
    <s v=" تجميع شبكة  الكهرباء "/>
    <s v="تم العمل"/>
    <d v="1899-12-30T10:00:00"/>
    <d v="1899-12-30T17:30:00"/>
    <n v="0.31249999999999994"/>
    <x v="1"/>
    <n v="7.4999999999999982"/>
  </r>
  <r>
    <x v="8"/>
    <d v="2024-09-14T00:00:00"/>
    <s v="السبت "/>
    <x v="14"/>
    <s v="ناروز  سليمان "/>
    <s v="تجميع  المصاعد "/>
    <s v="تم العمل"/>
    <d v="1899-12-30T10:00:00"/>
    <d v="1899-12-30T17:30:00"/>
    <n v="0.31249999999999994"/>
    <x v="1"/>
    <n v="7.4999999999999982"/>
  </r>
  <r>
    <x v="8"/>
    <d v="2024-09-14T00:00:00"/>
    <s v="السبت "/>
    <x v="0"/>
    <s v="مراد  صالح "/>
    <s v="انشائات   "/>
    <s v="تم العمل"/>
    <d v="1899-12-30T09:30:00"/>
    <d v="1899-12-30T16:30:00"/>
    <n v="0.29166666666666669"/>
    <x v="0"/>
    <n v="7"/>
  </r>
  <r>
    <x v="8"/>
    <d v="2024-09-15T00:00:00"/>
    <s v="الاحد "/>
    <x v="13"/>
    <s v="اسلام مصطفى    "/>
    <s v="صيانة ماكينات CTP"/>
    <s v="تم العمل"/>
    <d v="1899-12-30T12:30:00"/>
    <d v="1899-12-30T14:00:00"/>
    <n v="6.25E-2"/>
    <x v="0"/>
    <n v="1.5"/>
  </r>
  <r>
    <x v="8"/>
    <d v="2024-09-15T00:00:00"/>
    <s v="الاحد "/>
    <x v="0"/>
    <s v="سلامة يوسف "/>
    <s v="صيانة لحام العاملين بالكفتريا    "/>
    <s v="تم العمل"/>
    <d v="1899-12-30T10:00:00"/>
    <d v="1899-12-30T15:00:00"/>
    <n v="0.20833333333333331"/>
    <x v="3"/>
    <n v="5"/>
  </r>
  <r>
    <x v="8"/>
    <d v="2024-09-15T00:00:00"/>
    <s v="الاحد "/>
    <x v="5"/>
    <s v="ادم مجمد "/>
    <s v="اعمال النقاشة  "/>
    <s v="تم العمل"/>
    <d v="1899-12-30T10:00:00"/>
    <d v="1899-12-30T17:00:00"/>
    <n v="0.29166666666666669"/>
    <x v="3"/>
    <n v="7"/>
  </r>
  <r>
    <x v="8"/>
    <d v="2024-09-15T00:00:00"/>
    <s v="الاحد "/>
    <x v="14"/>
    <s v="ناروز  سليمان "/>
    <s v="تجميع  المصاعد "/>
    <s v="تم العمل"/>
    <d v="1899-12-30T10:00:00"/>
    <d v="1899-12-30T17:30:00"/>
    <n v="0.31249999999999994"/>
    <x v="1"/>
    <n v="7.4999999999999982"/>
  </r>
  <r>
    <x v="8"/>
    <d v="2024-09-15T00:00:00"/>
    <s v="الاحد "/>
    <x v="1"/>
    <s v="احمد ياسر "/>
    <s v=" تجميع شبكة  الكهرباء "/>
    <s v="تم العمل"/>
    <d v="1899-12-30T10:00:00"/>
    <d v="1899-12-30T17:30:00"/>
    <n v="0.31249999999999994"/>
    <x v="1"/>
    <n v="7.4999999999999982"/>
  </r>
  <r>
    <x v="8"/>
    <d v="2024-09-15T00:00:00"/>
    <s v="الاحد "/>
    <x v="0"/>
    <s v="مراد "/>
    <s v="احلال وتجديد خزان الاطفاء    "/>
    <s v="تم العمل"/>
    <d v="1899-12-30T09:00:00"/>
    <d v="1899-12-30T16:00:00"/>
    <n v="0.29166666666666663"/>
    <x v="0"/>
    <n v="6.9999999999999991"/>
  </r>
  <r>
    <x v="8"/>
    <d v="2024-09-16T00:00:00"/>
    <s v="الاثنين "/>
    <x v="5"/>
    <s v="علاء احمد "/>
    <s v="صيانة التكيفات "/>
    <s v="تم العمل"/>
    <d v="1899-12-30T10:00:00"/>
    <d v="1899-12-30T11:30:00"/>
    <n v="6.25E-2"/>
    <x v="3"/>
    <n v="1.5"/>
  </r>
  <r>
    <x v="8"/>
    <d v="2024-09-16T00:00:00"/>
    <s v="الاثنين "/>
    <x v="5"/>
    <s v="محمود  عويس "/>
    <s v="عمل صيانة للتكيفات "/>
    <s v="تم العمل"/>
    <d v="1899-12-30T00:30:00"/>
    <d v="1899-12-30T16:30:00"/>
    <n v="0.66666666666666663"/>
    <x v="0"/>
    <n v="1.5"/>
  </r>
  <r>
    <x v="8"/>
    <d v="2024-09-16T00:00:00"/>
    <s v="الاثنين "/>
    <x v="11"/>
    <s v="محمد رمضان   "/>
    <s v="صيانة الكلاركات "/>
    <s v="تم العمل"/>
    <d v="1899-12-30T14:30:00"/>
    <d v="1899-12-30T16:00:00"/>
    <n v="6.25E-2"/>
    <x v="3"/>
    <n v="1.5"/>
  </r>
  <r>
    <x v="8"/>
    <d v="2024-09-16T00:00:00"/>
    <s v="الاثنين "/>
    <x v="0"/>
    <s v="مراد "/>
    <s v="احلال وتجديد بخزان حريق     "/>
    <s v="تم العمل"/>
    <d v="1899-12-30T09:00:00"/>
    <d v="1899-12-30T16:00:00"/>
    <n v="0.29166666666666663"/>
    <x v="0"/>
    <n v="6.9999999999999991"/>
  </r>
  <r>
    <x v="8"/>
    <d v="2024-09-16T00:00:00"/>
    <s v="الاثنين "/>
    <x v="5"/>
    <s v="احمد حسين "/>
    <s v="اعمال سيراميك"/>
    <s v="تم العمل"/>
    <d v="1899-12-30T10:00:00"/>
    <d v="1899-12-30T17:00:00"/>
    <n v="0.29166666666666669"/>
    <x v="3"/>
    <n v="7"/>
  </r>
  <r>
    <x v="8"/>
    <d v="2024-09-16T00:00:00"/>
    <s v="الاثنين "/>
    <x v="1"/>
    <s v="احمد ياسر "/>
    <s v="استكمال العمل فى  شبكة  الكهرباء "/>
    <s v="تم العمل"/>
    <d v="1899-12-30T10:00:00"/>
    <d v="1899-12-30T17:00:00"/>
    <n v="0.29166666666666669"/>
    <x v="1"/>
    <n v="7"/>
  </r>
  <r>
    <x v="8"/>
    <d v="2024-09-16T00:00:00"/>
    <s v="الاثنين "/>
    <x v="53"/>
    <s v="ابراهيم حسين "/>
    <s v="تركيب الراكات بالعنبر"/>
    <s v="تم العمل"/>
    <d v="1899-12-30T09:30:00"/>
    <d v="1899-12-30T16:00:00"/>
    <n v="0.27083333333333331"/>
    <x v="1"/>
    <n v="6.5"/>
  </r>
  <r>
    <x v="8"/>
    <d v="2024-09-17T00:00:00"/>
    <s v="الثلاثاء "/>
    <x v="46"/>
    <s v="عرفات  محمد "/>
    <s v="صيانة فلتر مياه "/>
    <s v="تم العمل"/>
    <d v="1899-12-30T13:30:00"/>
    <d v="1899-12-30T15:30:00"/>
    <n v="8.333333333333337E-2"/>
    <x v="3"/>
    <n v="2.0000000000000009"/>
  </r>
  <r>
    <x v="8"/>
    <d v="2024-09-17T00:00:00"/>
    <s v="الثلاثاء "/>
    <x v="13"/>
    <s v="اسلام مصطفى    "/>
    <s v="صيانة ماكينات CTP"/>
    <s v="تم العمل"/>
    <d v="1899-12-30T11:30:00"/>
    <d v="1899-12-30T17:00:00"/>
    <n v="0.22916666666666669"/>
    <x v="3"/>
    <n v="5.5"/>
  </r>
  <r>
    <x v="8"/>
    <d v="2024-09-17T00:00:00"/>
    <s v="الثلاثاء "/>
    <x v="5"/>
    <s v="محمود  عويس "/>
    <s v="عمل صيانة للتكيفات "/>
    <s v="تم العمل"/>
    <d v="1899-12-30T00:00:00"/>
    <d v="1899-12-30T14:00:00"/>
    <n v="0.58333333333333337"/>
    <x v="0"/>
    <n v="1.5"/>
  </r>
  <r>
    <x v="8"/>
    <d v="2024-09-17T00:00:00"/>
    <s v="الثلاثاء "/>
    <x v="0"/>
    <s v="مراد "/>
    <s v="عمل تسليح حديد بخزان حريق     "/>
    <s v="تم العمل"/>
    <d v="1899-12-30T09:00:00"/>
    <d v="1899-12-30T16:00:00"/>
    <n v="0.29166666666666663"/>
    <x v="0"/>
    <n v="6.9999999999999991"/>
  </r>
  <r>
    <x v="8"/>
    <d v="2024-09-18T00:00:00"/>
    <s v="الاربعاء "/>
    <x v="8"/>
    <s v="حامد ابو المحاميد "/>
    <s v="الزيارة الشهرية  المرور على نقط الاطفاء   "/>
    <s v="تم العمل"/>
    <d v="1899-12-30T10:00:00"/>
    <d v="1899-12-30T14:00:00"/>
    <n v="0.16666666666666669"/>
    <x v="3"/>
    <n v="4"/>
  </r>
  <r>
    <x v="8"/>
    <d v="2024-09-18T00:00:00"/>
    <s v="الاربعاء "/>
    <x v="8"/>
    <s v="حامد ابو المحاميد "/>
    <s v="تركيبات حساسات   "/>
    <s v="تم العمل"/>
    <d v="1899-12-30T10:00:00"/>
    <d v="1899-12-30T12:00:00"/>
    <n v="8.3333333333333315E-2"/>
    <x v="3"/>
    <n v="1.9999999999999996"/>
  </r>
  <r>
    <x v="8"/>
    <d v="2024-09-18T00:00:00"/>
    <s v="الاربعاء "/>
    <x v="46"/>
    <s v="اسلام محمد "/>
    <s v="صيانة فلتر مياه "/>
    <s v="تم العمل"/>
    <d v="1899-12-30T13:30:00"/>
    <d v="1899-12-30T15:00:00"/>
    <n v="6.25E-2"/>
    <x v="3"/>
    <n v="1.5"/>
  </r>
  <r>
    <x v="8"/>
    <d v="2024-09-18T00:00:00"/>
    <s v="الاربعاء "/>
    <x v="34"/>
    <s v="رامى محمد  "/>
    <s v="فك وتركيب باب المونتال  "/>
    <s v="تم العمل"/>
    <d v="1899-12-30T15:30:00"/>
    <d v="1899-12-30T16:00:00"/>
    <n v="2.0833333333333259E-2"/>
    <x v="3"/>
    <n v="0.49999999999999822"/>
  </r>
  <r>
    <x v="8"/>
    <d v="2024-09-18T00:00:00"/>
    <s v="الاربعاء "/>
    <x v="0"/>
    <s v="مراد "/>
    <s v="تجديد واحلال خزان الاطفاء     "/>
    <s v="تم العمل"/>
    <d v="1899-12-30T09:00:00"/>
    <d v="1899-12-30T16:00:00"/>
    <n v="0.29166666666666663"/>
    <x v="0"/>
    <n v="6.9999999999999991"/>
  </r>
  <r>
    <x v="8"/>
    <d v="2024-09-18T00:00:00"/>
    <s v="الاربعاء "/>
    <x v="34"/>
    <s v="رامى محمد  "/>
    <s v="تركيب باب الامونتال "/>
    <s v="تم العمل"/>
    <d v="1899-12-30T13:00:00"/>
    <d v="1899-12-30T16:30:00"/>
    <n v="0.14583333333333337"/>
    <x v="3"/>
    <n v="3.5000000000000009"/>
  </r>
  <r>
    <x v="8"/>
    <d v="2024-09-18T00:00:00"/>
    <s v="الاربعاء "/>
    <x v="1"/>
    <s v="احمد ياسر "/>
    <s v="اعمال تركيبات كهرباء"/>
    <s v="تم العمل"/>
    <d v="1899-12-30T12:00:00"/>
    <d v="1899-12-30T17:00:00"/>
    <n v="0.20833333333333337"/>
    <x v="1"/>
    <n v="5.0000000000000009"/>
  </r>
  <r>
    <x v="8"/>
    <d v="2024-09-18T00:00:00"/>
    <s v="الاربعاء "/>
    <x v="53"/>
    <s v="ابراهيم حسين "/>
    <s v="تركيب الراكات بالعنبر"/>
    <s v="تم العمل"/>
    <d v="1899-12-30T10:00:00"/>
    <d v="1899-12-30T16:00:00"/>
    <n v="0.24999999999999994"/>
    <x v="1"/>
    <n v="5.9999999999999982"/>
  </r>
  <r>
    <x v="8"/>
    <d v="2024-09-19T00:00:00"/>
    <s v="الخميس "/>
    <x v="54"/>
    <s v="حكيم سعيد "/>
    <s v="تركيب ستائر "/>
    <s v="تم العمل"/>
    <d v="1899-12-30T12:30:00"/>
    <d v="1899-12-30T14:30:00"/>
    <n v="8.3333333333333259E-2"/>
    <x v="3"/>
    <n v="1.9999999999999982"/>
  </r>
  <r>
    <x v="8"/>
    <d v="2024-09-21T00:00:00"/>
    <s v="السبت "/>
    <x v="0"/>
    <s v="مراد صالح "/>
    <s v="عمل حدادة      "/>
    <s v="تم العمل"/>
    <d v="1899-12-30T10:00:00"/>
    <d v="1899-12-30T16:00:00"/>
    <n v="0.24999999999999994"/>
    <x v="0"/>
    <n v="5.9999999999999982"/>
  </r>
  <r>
    <x v="8"/>
    <d v="2024-09-22T00:00:00"/>
    <s v="الاحد "/>
    <x v="5"/>
    <s v="محمود  عويس "/>
    <s v="صيانة للتكيفات "/>
    <s v="تم العمل"/>
    <d v="1899-12-30T14:30:00"/>
    <d v="1899-12-30T15:30:00"/>
    <n v="4.1666666666666741E-2"/>
    <x v="3"/>
    <n v="1.5"/>
  </r>
  <r>
    <x v="8"/>
    <d v="2024-09-22T00:00:00"/>
    <s v="الاحد "/>
    <x v="0"/>
    <s v="مراد "/>
    <s v="تجديد واحلال خزان الاطفاء     "/>
    <s v="تم العمل"/>
    <d v="1899-12-30T10:00:00"/>
    <d v="1899-12-30T15:00:00"/>
    <n v="0.20833333333333331"/>
    <x v="0"/>
    <n v="5"/>
  </r>
  <r>
    <x v="8"/>
    <d v="2024-09-23T00:00:00"/>
    <s v="الاثنين "/>
    <x v="16"/>
    <s v="كمال مرسى "/>
    <s v="قطع ولحام     "/>
    <s v="تم العمل"/>
    <d v="1899-12-30T15:00:00"/>
    <d v="1899-12-30T16:30:00"/>
    <n v="6.25E-2"/>
    <x v="3"/>
    <n v="1.5"/>
  </r>
  <r>
    <x v="8"/>
    <d v="2024-09-23T00:00:00"/>
    <s v="الاثنين "/>
    <x v="5"/>
    <s v="محمود عويس  "/>
    <s v="صيانة تكييف  "/>
    <s v="تم العمل"/>
    <d v="1899-12-30T12:30:00"/>
    <d v="1899-12-30T16:00:00"/>
    <n v="0.14583333333333326"/>
    <x v="3"/>
    <n v="3.4999999999999982"/>
  </r>
  <r>
    <x v="8"/>
    <d v="2024-09-23T00:00:00"/>
    <s v="الاثنين "/>
    <x v="0"/>
    <s v="مراد صالح "/>
    <s v="عمل تسليح بخزان الاطفاء    "/>
    <s v="تم العمل"/>
    <d v="1899-12-30T09:00:00"/>
    <d v="1899-12-30T16:00:00"/>
    <n v="0.29166666666666663"/>
    <x v="0"/>
    <n v="6.9999999999999991"/>
  </r>
  <r>
    <x v="8"/>
    <d v="2024-09-23T00:00:00"/>
    <s v="الاثنين "/>
    <x v="8"/>
    <s v="حامد ابو المجد "/>
    <s v="الزيارة الشهرية والمرور على شبكة الحريق  "/>
    <s v="تم العمل"/>
    <d v="1899-12-30T12:00:00"/>
    <d v="1899-12-30T13:00:00"/>
    <n v="4.166666666666663E-2"/>
    <x v="0"/>
    <n v="0.99999999999999911"/>
  </r>
  <r>
    <x v="8"/>
    <d v="2024-09-23T00:00:00"/>
    <s v="الاثنين "/>
    <x v="24"/>
    <s v="ابراهيم الصفتى  "/>
    <s v="تويصلات غرفة الطلمبات   "/>
    <s v="تم العمل"/>
    <d v="1899-12-30T13:00:00"/>
    <d v="1899-12-30T16:00:00"/>
    <n v="0.125"/>
    <x v="0"/>
    <n v="3"/>
  </r>
  <r>
    <x v="8"/>
    <d v="2024-09-24T00:00:00"/>
    <s v="الثلاثاء "/>
    <x v="5"/>
    <s v="محمود عويس  "/>
    <s v="عمل صيانة لوحات تكييف  "/>
    <s v="تم العمل"/>
    <d v="1899-12-30T10:00:00"/>
    <d v="1899-12-30T17:30:00"/>
    <n v="0.31249999999999994"/>
    <x v="3"/>
    <n v="7.4999999999999982"/>
  </r>
  <r>
    <x v="8"/>
    <d v="2024-09-25T00:00:00"/>
    <s v="الاربعاء "/>
    <x v="0"/>
    <s v="مراد صالح "/>
    <s v="احلال وتجديد خزان الاطفاء     "/>
    <s v="تم العمل"/>
    <d v="1899-12-30T10:00:00"/>
    <d v="1899-12-30T16:00:00"/>
    <n v="0.24999999999999994"/>
    <x v="0"/>
    <n v="5.9999999999999982"/>
  </r>
  <r>
    <x v="8"/>
    <d v="2024-09-25T00:00:00"/>
    <s v="الاربعاء "/>
    <x v="6"/>
    <s v="صابر ابراهيم "/>
    <s v="اعمال تركيبات كهرباء"/>
    <s v="تم العمل"/>
    <d v="1899-12-30T12:00:00"/>
    <d v="1899-12-30T12:30:00"/>
    <n v="2.083333333333337E-2"/>
    <x v="3"/>
    <n v="0.50000000000000089"/>
  </r>
  <r>
    <x v="8"/>
    <d v="2024-09-25T00:00:00"/>
    <s v="الاربعاء "/>
    <x v="34"/>
    <s v="رامى محمد  "/>
    <s v="عمل صيانة لابواب الامونتال "/>
    <s v="تم العمل"/>
    <d v="1899-12-30T14:30:00"/>
    <d v="1899-12-30T16:00:00"/>
    <n v="6.25E-2"/>
    <x v="3"/>
    <n v="1.5"/>
  </r>
  <r>
    <x v="8"/>
    <d v="2024-09-26T00:00:00"/>
    <s v="الخميس "/>
    <x v="0"/>
    <s v="مراد صالح "/>
    <s v="استكمال احلال وتجديد خزان الاطفاء     "/>
    <s v="تم العمل"/>
    <d v="1899-12-30T09:00:00"/>
    <d v="1899-12-30T16:00:00"/>
    <n v="0.29166666666666663"/>
    <x v="0"/>
    <n v="6.9999999999999991"/>
  </r>
  <r>
    <x v="8"/>
    <d v="2024-09-26T00:00:00"/>
    <s v="الخميس "/>
    <x v="34"/>
    <s v="رامى محمد  "/>
    <s v="عمل غرفة للتدخين بالكفتريا  لابواب الامونتال "/>
    <s v="تم العمل"/>
    <d v="1899-12-30T13:00:00"/>
    <d v="1899-12-30T17:00:00"/>
    <n v="0.16666666666666674"/>
    <x v="3"/>
    <n v="4.0000000000000018"/>
  </r>
  <r>
    <x v="8"/>
    <d v="2024-09-26T00:00:00"/>
    <s v="الخميس "/>
    <x v="4"/>
    <s v="عبد الرحمن عادل "/>
    <s v="توصيل كابل الفاير "/>
    <s v="تم العمل"/>
    <d v="1899-12-30T15:00:00"/>
    <d v="1899-12-30T17:30:00"/>
    <n v="0.10416666666666663"/>
    <x v="2"/>
    <n v="2.4999999999999991"/>
  </r>
  <r>
    <x v="8"/>
    <d v="2024-09-26T00:00:00"/>
    <s v="الخميس "/>
    <x v="55"/>
    <s v="حسام سمير "/>
    <s v="عمل معايرة وفحص للكلااركات "/>
    <s v="تم العمل"/>
    <d v="1899-12-30T13:00:00"/>
    <d v="1899-12-30T14:00:00"/>
    <n v="4.1666666666666741E-2"/>
    <x v="3"/>
    <n v="1.0000000000000018"/>
  </r>
  <r>
    <x v="8"/>
    <d v="2024-09-26T00:00:00"/>
    <s v="الخميس "/>
    <x v="56"/>
    <s v="ابراهيم محمد "/>
    <s v="صيانة تكيفات اعلى الطبع شيت "/>
    <s v="تم العمل"/>
    <d v="1899-12-30T12:00:00"/>
    <d v="1899-12-30T14:00:00"/>
    <n v="8.333333333333337E-2"/>
    <x v="3"/>
    <n v="2.0000000000000009"/>
  </r>
  <r>
    <x v="8"/>
    <d v="2024-09-28T00:00:00"/>
    <s v="السبت "/>
    <x v="3"/>
    <s v="علاء احمد "/>
    <s v="نركيبات "/>
    <s v="تم العمل"/>
    <d v="1899-12-30T10:00:00"/>
    <d v="1899-12-30T19:00:00"/>
    <n v="0.37499999999999994"/>
    <x v="2"/>
    <n v="8.9999999999999982"/>
  </r>
  <r>
    <x v="8"/>
    <d v="2024-09-28T00:00:00"/>
    <s v="السبت "/>
    <x v="0"/>
    <s v="مراد صالح "/>
    <s v="استكمال احلال وتجديد خزان الاطفاء     "/>
    <s v="تم العمل"/>
    <d v="1899-12-30T10:00:00"/>
    <d v="1899-12-30T16:30:00"/>
    <n v="0.27083333333333331"/>
    <x v="0"/>
    <n v="6.5"/>
  </r>
  <r>
    <x v="8"/>
    <d v="2024-09-28T00:00:00"/>
    <s v="السبت "/>
    <x v="57"/>
    <s v="احمد عبد العال "/>
    <s v="صيانة تكيفات اعلى الطبع شيت "/>
    <s v="تم العمل"/>
    <d v="1899-12-30T14:00:00"/>
    <d v="1899-12-30T17:00:00"/>
    <n v="0.125"/>
    <x v="3"/>
    <n v="3"/>
  </r>
  <r>
    <x v="8"/>
    <d v="2024-09-29T00:00:00"/>
    <s v="الاحد "/>
    <x v="56"/>
    <s v="حسام احمد "/>
    <s v="صيانة تشلير كولبس 3  "/>
    <s v="تم العمل"/>
    <d v="1899-12-30T14:00:00"/>
    <d v="1899-12-30T17:00:00"/>
    <n v="0.125"/>
    <x v="3"/>
    <n v="3"/>
  </r>
  <r>
    <x v="8"/>
    <d v="2024-09-29T00:00:00"/>
    <s v="الاحد "/>
    <x v="28"/>
    <s v="احمد عبد العليم "/>
    <s v="نركيبات "/>
    <s v="تم العمل"/>
    <d v="1899-12-30T10:00:00"/>
    <d v="1899-12-30T18:00:00"/>
    <n v="0.33333333333333331"/>
    <x v="2"/>
    <n v="8"/>
  </r>
  <r>
    <x v="8"/>
    <d v="2024-09-30T00:00:00"/>
    <s v="الاثنين "/>
    <x v="7"/>
    <s v="احمد ماهر  "/>
    <s v="الزيارة الشهرية واعمال مكافحة القوارض"/>
    <s v="تم العمل"/>
    <d v="1899-12-30T12:00:00"/>
    <d v="1899-12-30T14:00:00"/>
    <n v="8.333333333333337E-2"/>
    <x v="1"/>
    <n v="2.0000000000000009"/>
  </r>
  <r>
    <x v="8"/>
    <d v="2024-09-30T00:00:00"/>
    <s v="الاثنين "/>
    <x v="5"/>
    <s v="محمود عويس  "/>
    <s v="صيانة تكيف "/>
    <s v="تم العمل"/>
    <d v="1899-12-30T15:30:00"/>
    <d v="1899-12-30T17:00:00"/>
    <n v="6.25E-2"/>
    <x v="3"/>
    <n v="1.5"/>
  </r>
  <r>
    <x v="8"/>
    <d v="2024-09-30T00:00:00"/>
    <s v="الاثنين "/>
    <x v="7"/>
    <s v="محمود "/>
    <s v="الزيارة الشهرية ومكافحة الحشرات "/>
    <s v="تم العمل"/>
    <d v="1899-12-30T14:00:00"/>
    <d v="1899-12-30T15:00:00"/>
    <n v="4.166666666666663E-2"/>
    <x v="1"/>
    <n v="0.99999999999999911"/>
  </r>
  <r>
    <x v="9"/>
    <d v="2024-10-01T00:00:00"/>
    <s v="الثلاثاء "/>
    <x v="5"/>
    <s v="محمود عويس  "/>
    <s v="صيانة تكيف "/>
    <s v="تم العمل"/>
    <d v="1899-12-30T09:30:00"/>
    <d v="1899-12-30T17:00:00"/>
    <n v="0.31250000000000006"/>
    <x v="3"/>
    <n v="7.5000000000000018"/>
  </r>
  <r>
    <x v="9"/>
    <d v="2024-10-01T00:00:00"/>
    <s v="الثلاثاء "/>
    <x v="34"/>
    <s v="رامى محمد  "/>
    <s v="عمل صيانة لابواب الامونتال "/>
    <s v="تم العمل"/>
    <d v="1899-12-30T14:30:00"/>
    <d v="1899-12-30T17:00:00"/>
    <n v="0.10416666666666674"/>
    <x v="3"/>
    <n v="2.5000000000000018"/>
  </r>
  <r>
    <x v="9"/>
    <d v="2024-10-02T00:00:00"/>
    <s v="الاربعاء "/>
    <x v="5"/>
    <s v="محمود عويس  "/>
    <s v="صيانة تكيف "/>
    <s v="تم العمل"/>
    <d v="1899-12-30T09:30:00"/>
    <d v="1899-12-30T17:00:00"/>
    <n v="0.31250000000000006"/>
    <x v="3"/>
    <n v="7.5000000000000018"/>
  </r>
  <r>
    <x v="9"/>
    <d v="2024-10-02T00:00:00"/>
    <s v="الاربعاء "/>
    <x v="0"/>
    <s v="مراد صالح "/>
    <s v="استكمال احلال وتجديد خزان الاطفاء     "/>
    <s v="تم العمل"/>
    <d v="1899-12-30T10:00:00"/>
    <d v="1899-12-30T16:30:00"/>
    <n v="0.27083333333333331"/>
    <x v="0"/>
    <n v="6.5"/>
  </r>
  <r>
    <x v="9"/>
    <d v="2024-10-02T00:00:00"/>
    <s v="الاربعاء "/>
    <x v="38"/>
    <s v="اسلام مليجى "/>
    <s v="تغيير فلاتر     "/>
    <s v="تم العمل"/>
    <d v="1899-12-30T14:00:00"/>
    <d v="1899-12-30T15:00:00"/>
    <n v="4.166666666666663E-2"/>
    <x v="0"/>
    <n v="0.99999999999999911"/>
  </r>
  <r>
    <x v="9"/>
    <d v="2024-10-02T00:00:00"/>
    <s v="الاربعاء "/>
    <x v="8"/>
    <s v=" على الشنوبى     "/>
    <s v="الزيارة الشهرية و صيانة للوح الانزار "/>
    <s v="تم العمل"/>
    <d v="1899-12-30T12:00:00"/>
    <d v="1899-12-30T13:00:00"/>
    <n v="4.166666666666663E-2"/>
    <x v="0"/>
    <n v="0.99999999999999911"/>
  </r>
  <r>
    <x v="9"/>
    <d v="2024-10-02T00:00:00"/>
    <s v="الاربعاء "/>
    <x v="8"/>
    <s v=" على الشنوبى     "/>
    <s v="الزيارة الشهرية و صيانة للوح الانزار "/>
    <s v="تم العمل"/>
    <d v="1899-12-30T10:30:00"/>
    <d v="1899-12-30T12:00:00"/>
    <n v="6.25E-2"/>
    <x v="3"/>
    <n v="1.5"/>
  </r>
  <r>
    <x v="9"/>
    <d v="2024-10-02T00:00:00"/>
    <s v="الاربعاء "/>
    <x v="28"/>
    <s v="اسلام محمد "/>
    <s v="تركيبات "/>
    <s v="تم العمل"/>
    <d v="1899-12-30T15:30:00"/>
    <d v="1899-12-30T19:30:00"/>
    <n v="0.16666666666666663"/>
    <x v="2"/>
    <n v="3.9999999999999991"/>
  </r>
  <r>
    <x v="9"/>
    <d v="2024-10-02T00:00:00"/>
    <s v="الاربعاء "/>
    <x v="0"/>
    <s v="مراد صالح "/>
    <s v="صيانة الشبابيك الالموتال "/>
    <s v="تم العمل"/>
    <d v="1899-12-30T10:00:00"/>
    <d v="1899-12-30T17:00:00"/>
    <n v="0.29166666666666669"/>
    <x v="1"/>
    <n v="7"/>
  </r>
  <r>
    <x v="9"/>
    <d v="2024-10-02T00:00:00"/>
    <s v="الاربعاء "/>
    <x v="8"/>
    <s v=" على الشنوبى     "/>
    <s v="الزيارة الشهرية و صيانة للوح الانزار "/>
    <s v="تم العمل"/>
    <d v="1899-12-30T10:00:00"/>
    <d v="1899-12-30T11:00:00"/>
    <n v="4.166666666666663E-2"/>
    <x v="1"/>
    <n v="0.99999999999999911"/>
  </r>
  <r>
    <x v="9"/>
    <d v="2024-10-02T00:00:00"/>
    <s v="الاربعاء "/>
    <x v="17"/>
    <s v="مراد صالح "/>
    <s v="دهان سلم الطوارئ"/>
    <s v="تم العمل"/>
    <d v="1899-12-30T11:00:00"/>
    <d v="1899-12-30T16:00:00"/>
    <n v="0.20833333333333365"/>
    <x v="1"/>
    <n v="5.0000000000000071"/>
  </r>
  <r>
    <x v="9"/>
    <d v="2024-10-03T00:00:00"/>
    <s v="الخميس "/>
    <x v="5"/>
    <s v="محمود عويس  "/>
    <s v="صيانة تكيف "/>
    <s v="تم العمل"/>
    <d v="1899-12-30T10:00:00"/>
    <d v="1899-12-30T11:00:00"/>
    <n v="4.166666666666663E-2"/>
    <x v="3"/>
    <n v="0.99999999999999911"/>
  </r>
  <r>
    <x v="9"/>
    <d v="2024-10-03T00:00:00"/>
    <s v="الخميس "/>
    <x v="41"/>
    <s v="علاء احمد "/>
    <s v="صيانة "/>
    <s v="تم العمل"/>
    <d v="1899-12-30T12:00:00"/>
    <d v="1899-12-30T14:00:00"/>
    <n v="8.333333333333337E-2"/>
    <x v="2"/>
    <n v="2.0000000000000009"/>
  </r>
  <r>
    <x v="9"/>
    <d v="2024-10-05T00:00:00"/>
    <s v="السبت "/>
    <x v="2"/>
    <s v="مصطفى محمد "/>
    <s v="نركيبات "/>
    <s v="تم العمل"/>
    <d v="1899-12-30T11:30:00"/>
    <d v="1899-12-30T21:00:00"/>
    <n v="0.39583333333333331"/>
    <x v="2"/>
    <n v="9.5"/>
  </r>
  <r>
    <x v="9"/>
    <d v="2024-10-05T00:00:00"/>
    <s v="السبت "/>
    <x v="28"/>
    <s v="اسلام محمد "/>
    <s v="نركيبات "/>
    <s v="تم العمل"/>
    <d v="1899-12-30T10:00:00"/>
    <d v="1899-12-30T18:00:00"/>
    <n v="0.33333333333333331"/>
    <x v="2"/>
    <n v="8"/>
  </r>
  <r>
    <x v="9"/>
    <d v="2024-10-07T00:00:00"/>
    <s v="الاثنين "/>
    <x v="0"/>
    <s v="م/ محمد  صلاح "/>
    <s v="استكمال العمل خزان الاطفاء     "/>
    <s v="تم العمل"/>
    <d v="1899-12-30T10:00:00"/>
    <d v="1899-12-30T16:00:00"/>
    <n v="0.24999999999999994"/>
    <x v="0"/>
    <n v="5.9999999999999982"/>
  </r>
  <r>
    <x v="9"/>
    <d v="2024-10-07T00:00:00"/>
    <s v="الاثنين "/>
    <x v="5"/>
    <s v="محمود عويس  "/>
    <s v="صيانة تكيف "/>
    <s v="تم العمل"/>
    <d v="1899-12-30T09:00:00"/>
    <d v="1899-12-30T16:00:00"/>
    <n v="0.29166666666666663"/>
    <x v="0"/>
    <n v="6.9999999999999991"/>
  </r>
  <r>
    <x v="9"/>
    <d v="2024-10-08T00:00:00"/>
    <s v="الثلاثاء "/>
    <x v="26"/>
    <s v="احمد محمود "/>
    <s v="صيانة غرفة الغاز "/>
    <s v="تم العمل"/>
    <d v="1899-12-30T10:30:00"/>
    <d v="1899-12-30T12:00:00"/>
    <n v="6.25E-2"/>
    <x v="3"/>
    <n v="1.5"/>
  </r>
  <r>
    <x v="9"/>
    <d v="2024-10-08T00:00:00"/>
    <s v="الثلاثاء "/>
    <x v="32"/>
    <s v="احمد "/>
    <s v="تدعيم خط الحريق "/>
    <s v="تم العمل"/>
    <d v="1899-12-30T12:00:00"/>
    <d v="1899-12-30T15:00:00"/>
    <n v="0.125"/>
    <x v="4"/>
    <n v="3"/>
  </r>
  <r>
    <x v="9"/>
    <d v="2024-10-08T00:00:00"/>
    <s v="الثلاثاء "/>
    <x v="58"/>
    <s v="عبد الرحمن اشرف "/>
    <s v="صيانة ماكينة سبيد ماستر "/>
    <s v="تم العمل"/>
    <d v="1899-12-30T12:00:00"/>
    <d v="1899-12-30T20:00:00"/>
    <n v="0.33333333333333337"/>
    <x v="3"/>
    <n v="8"/>
  </r>
  <r>
    <x v="9"/>
    <d v="2024-10-09T00:00:00"/>
    <s v="الاربعاء "/>
    <x v="7"/>
    <s v="محمود احمد "/>
    <s v="الزيارة الشهرية ومكافحة الحشرات "/>
    <s v="تم العمل"/>
    <d v="1899-12-30T11:00:00"/>
    <d v="1899-12-30T13:00:00"/>
    <n v="8.3333333333333315E-2"/>
    <x v="3"/>
    <n v="1.9999999999999996"/>
  </r>
  <r>
    <x v="9"/>
    <d v="2024-10-10T00:00:00"/>
    <s v="الخميس "/>
    <x v="0"/>
    <s v="م/ محمد  صلاح "/>
    <s v="استكمال العمل خزان الاطفاء     "/>
    <s v="تم العمل"/>
    <d v="1899-12-30T10:00:00"/>
    <d v="1899-12-30T17:00:00"/>
    <n v="0.29166666666666669"/>
    <x v="0"/>
    <n v="7"/>
  </r>
  <r>
    <x v="9"/>
    <d v="2024-10-12T00:00:00"/>
    <s v="السبت "/>
    <x v="2"/>
    <s v="مصطفى محمد "/>
    <s v="تركيبات "/>
    <s v="تم العمل"/>
    <d v="1899-12-30T23:00:00"/>
    <d v="1899-12-30T17:30:00"/>
    <n v="-0.22916666666666674"/>
    <x v="2"/>
    <n v="6.5"/>
  </r>
  <r>
    <x v="9"/>
    <d v="2024-10-12T00:00:00"/>
    <s v="السبت "/>
    <x v="0"/>
    <s v="مراد صالح "/>
    <s v="ترميم  خزان الاطفاء     "/>
    <s v="تم العمل"/>
    <d v="1899-12-30T10:00:00"/>
    <d v="1899-12-30T17:30:00"/>
    <n v="0.31249999999999994"/>
    <x v="0"/>
    <n v="7.4999999999999982"/>
  </r>
  <r>
    <x v="9"/>
    <d v="2024-10-12T00:00:00"/>
    <s v="السبت "/>
    <x v="35"/>
    <s v="عبد الرحمن حسن "/>
    <s v="صيانة ثلاجة تبريد ماكينة ويب 4"/>
    <s v="تم العمل"/>
    <d v="1899-12-30T12:30:00"/>
    <d v="1899-12-30T13:00:00"/>
    <n v="2.0833333333333259E-2"/>
    <x v="3"/>
    <n v="0.49999999999999822"/>
  </r>
  <r>
    <x v="9"/>
    <d v="2024-10-13T00:00:00"/>
    <s v="الاحد "/>
    <x v="8"/>
    <s v="حامد عطوان      "/>
    <s v="الزيارة الشهرية على نظام الاطفاء "/>
    <s v="تم العمل"/>
    <d v="1899-12-30T10:00:00"/>
    <d v="1899-12-30T12:00:00"/>
    <n v="8.3333333333333315E-2"/>
    <x v="3"/>
    <n v="1.9999999999999996"/>
  </r>
  <r>
    <x v="9"/>
    <d v="2024-10-13T00:00:00"/>
    <s v="الاحد "/>
    <x v="5"/>
    <s v="محمود عويس  "/>
    <s v="صيانة تكيف "/>
    <s v="تم العمل"/>
    <d v="1899-12-30T10:00:00"/>
    <d v="1899-12-30T17:00:00"/>
    <n v="0.29166666666666669"/>
    <x v="3"/>
    <n v="7"/>
  </r>
  <r>
    <x v="9"/>
    <d v="2024-10-13T00:00:00"/>
    <s v="الاحد "/>
    <x v="7"/>
    <s v="اسلام ابراهيم "/>
    <s v="الزيارة الشهرية ومكافحة الحشرات "/>
    <s v="تم العمل"/>
    <d v="1899-12-30T13:00:00"/>
    <d v="1899-12-30T15:00:00"/>
    <n v="8.333333333333337E-2"/>
    <x v="1"/>
    <n v="2.0000000000000009"/>
  </r>
  <r>
    <x v="9"/>
    <d v="2024-10-13T00:00:00"/>
    <s v="الاحد "/>
    <x v="7"/>
    <s v="اسلام ابراهيم "/>
    <s v="الزيارة الشهرية ومكافحة الحشرات "/>
    <s v="تم العمل"/>
    <d v="1899-12-30T15:00:00"/>
    <d v="1899-12-30T16:00:00"/>
    <n v="4.166666666666663E-2"/>
    <x v="4"/>
    <n v="0.99999999999999911"/>
  </r>
  <r>
    <x v="9"/>
    <d v="2024-10-13T00:00:00"/>
    <s v="الاحد "/>
    <x v="7"/>
    <s v="اسلام ابراهيم "/>
    <s v="الزيارة الشهرية ومكافحة الحشرات "/>
    <s v="تم العمل"/>
    <d v="1899-12-30T17:00:00"/>
    <d v="1899-12-30T17:30:00"/>
    <n v="2.0833333333333259E-2"/>
    <x v="0"/>
    <n v="0.49999999999999822"/>
  </r>
  <r>
    <x v="9"/>
    <d v="2024-10-13T00:00:00"/>
    <s v="الاحد "/>
    <x v="0"/>
    <s v="مراد صالح "/>
    <s v="استكمال العمل خزان الاطفاء     "/>
    <s v="تم العمل"/>
    <d v="1899-12-30T10:00:00"/>
    <d v="1899-12-30T15:00:00"/>
    <n v="0.20833333333333331"/>
    <x v="0"/>
    <n v="5"/>
  </r>
  <r>
    <x v="9"/>
    <d v="2024-10-14T00:00:00"/>
    <s v="الاثنين "/>
    <x v="11"/>
    <s v="محمد رمضان   "/>
    <s v="صيانة الكلاركات "/>
    <s v="تم العمل"/>
    <d v="1899-12-30T13:00:00"/>
    <d v="1899-12-30T14:00:00"/>
    <n v="4.1666666666666741E-2"/>
    <x v="1"/>
    <n v="1.0000000000000018"/>
  </r>
  <r>
    <x v="9"/>
    <d v="2024-10-14T00:00:00"/>
    <s v="الاثنين "/>
    <x v="5"/>
    <s v="محمود عويس  "/>
    <s v="صيانة تكيف "/>
    <s v="تم العمل"/>
    <d v="1899-12-30T11:00:00"/>
    <d v="1899-12-30T15:00:00"/>
    <n v="0.16666666666666669"/>
    <x v="1"/>
    <n v="4"/>
  </r>
  <r>
    <x v="9"/>
    <d v="2024-10-14T00:00:00"/>
    <s v="الاثنين "/>
    <x v="14"/>
    <s v="احمد السيد "/>
    <s v="استكمال اعمال المصاعد "/>
    <s v="تم العمل"/>
    <d v="1899-12-30T10:00:00"/>
    <d v="1899-12-30T16:00:00"/>
    <n v="0.24999999999999994"/>
    <x v="1"/>
    <n v="5.9999999999999982"/>
  </r>
  <r>
    <x v="9"/>
    <d v="2024-10-14T00:00:00"/>
    <s v="الاثنين "/>
    <x v="0"/>
    <s v="عصام حسين"/>
    <s v="انشائات   "/>
    <s v="تم العمل"/>
    <d v="1899-12-30T10:00:00"/>
    <d v="1899-12-30T17:00:00"/>
    <n v="0.29166666666666669"/>
    <x v="2"/>
    <n v="7"/>
  </r>
  <r>
    <x v="9"/>
    <d v="2024-10-14T00:00:00"/>
    <s v="الاثنين "/>
    <x v="59"/>
    <s v="احمد عادل "/>
    <s v="صيانة ماكينة ATM   "/>
    <s v="تم العمل"/>
    <d v="1899-12-30T15:30:00"/>
    <d v="1899-12-30T16:30:00"/>
    <n v="4.166666666666663E-2"/>
    <x v="3"/>
    <n v="0.99999999999999911"/>
  </r>
  <r>
    <x v="9"/>
    <d v="2024-10-15T00:00:00"/>
    <s v="الثلاثاء "/>
    <x v="5"/>
    <s v="علاء احمد "/>
    <s v="صيانة تكيف "/>
    <s v="تم العمل"/>
    <d v="1899-12-30T10:00:00"/>
    <d v="1899-12-30T13:00:00"/>
    <n v="0.12499999999999994"/>
    <x v="3"/>
    <n v="2.9999999999999987"/>
  </r>
  <r>
    <x v="9"/>
    <d v="2024-10-15T00:00:00"/>
    <s v="الثلاثاء "/>
    <x v="5"/>
    <s v="محمود عويس  "/>
    <s v="صيانة تكيف "/>
    <s v="تم العمل"/>
    <d v="1899-12-30T10:00:00"/>
    <d v="1899-12-30T17:30:00"/>
    <n v="0.31249999999999994"/>
    <x v="3"/>
    <n v="7.4999999999999982"/>
  </r>
  <r>
    <x v="9"/>
    <d v="2024-10-15T00:00:00"/>
    <s v="الثلاثاء "/>
    <x v="13"/>
    <s v="اسلام مصطفى    "/>
    <s v="صيانة ماكينة CTP"/>
    <s v="تم العمل"/>
    <d v="1899-12-30T14:00:00"/>
    <d v="1899-12-30T17:30:00"/>
    <n v="0.14583333333333326"/>
    <x v="3"/>
    <n v="3.4999999999999982"/>
  </r>
  <r>
    <x v="9"/>
    <d v="2024-10-15T00:00:00"/>
    <s v="الثلاثاء "/>
    <x v="6"/>
    <s v="وليد محمد   "/>
    <s v="صيانة كلاركات "/>
    <s v="تم العمل"/>
    <d v="1899-12-30T14:00:00"/>
    <d v="1899-12-30T15:00:00"/>
    <n v="4.166666666666663E-2"/>
    <x v="4"/>
    <n v="0.99999999999999911"/>
  </r>
  <r>
    <x v="9"/>
    <d v="2024-10-15T00:00:00"/>
    <s v="الثلاثاء "/>
    <x v="0"/>
    <s v="عصام حسين"/>
    <s v="انشائات   "/>
    <s v="تم العمل"/>
    <d v="1899-12-30T09:30:00"/>
    <d v="1899-12-30T16:30:00"/>
    <n v="0.29166666666666669"/>
    <x v="2"/>
    <n v="7"/>
  </r>
  <r>
    <x v="9"/>
    <d v="2024-10-15T00:00:00"/>
    <s v="الثلاثاء "/>
    <x v="5"/>
    <s v="امير"/>
    <s v="تركيب كاميرات"/>
    <s v="تم العمل"/>
    <d v="1899-12-30T13:00:00"/>
    <d v="1899-12-30T14:00:00"/>
    <n v="4.1666666666666741E-2"/>
    <x v="6"/>
    <n v="1.0000000000000018"/>
  </r>
  <r>
    <x v="9"/>
    <d v="2024-10-16T00:00:00"/>
    <s v="الاربعاء "/>
    <x v="0"/>
    <s v="محمد زنفل  "/>
    <s v="انشائات   "/>
    <s v="تم العمل"/>
    <d v="1899-12-30T10:00:00"/>
    <d v="1899-12-30T16:00:00"/>
    <n v="0.24999999999999994"/>
    <x v="2"/>
    <n v="5.9999999999999982"/>
  </r>
  <r>
    <x v="9"/>
    <d v="2024-10-16T00:00:00"/>
    <s v="الاربعاء "/>
    <x v="32"/>
    <s v="محمد طنطاوى "/>
    <s v="تركيب حامل لخط الحريق "/>
    <s v="تم العمل"/>
    <d v="1899-12-30T10:00:00"/>
    <d v="1899-12-30T14:00:00"/>
    <n v="0.16666666666666669"/>
    <x v="1"/>
    <n v="4"/>
  </r>
  <r>
    <x v="9"/>
    <d v="2024-10-16T00:00:00"/>
    <s v="الاربعاء "/>
    <x v="28"/>
    <s v="اسلام محمد "/>
    <s v="نركيبات "/>
    <s v="تم العمل"/>
    <d v="1899-12-30T11:00:00"/>
    <d v="1899-12-30T17:00:00"/>
    <n v="0.25000000000000006"/>
    <x v="2"/>
    <n v="6.0000000000000018"/>
  </r>
  <r>
    <x v="9"/>
    <d v="2024-10-16T00:00:00"/>
    <s v="الاربعاء "/>
    <x v="53"/>
    <s v="ابراهيم احمد "/>
    <s v="تركيب راكات "/>
    <s v="تم العمل"/>
    <d v="1899-12-30T10:00:00"/>
    <d v="1899-12-30T16:00:00"/>
    <n v="0.24999999999999994"/>
    <x v="1"/>
    <n v="5.9999999999999982"/>
  </r>
  <r>
    <x v="9"/>
    <d v="2024-10-16T00:00:00"/>
    <s v="الاربعاء "/>
    <x v="14"/>
    <s v="احمد السيد "/>
    <s v="استكمال اعمال المصاعد "/>
    <s v="تم العمل"/>
    <d v="1899-12-30T10:00:00"/>
    <d v="1899-12-30T16:00:00"/>
    <n v="0.24999999999999994"/>
    <x v="1"/>
    <n v="5.9999999999999982"/>
  </r>
  <r>
    <x v="9"/>
    <d v="2024-10-16T00:00:00"/>
    <s v="الاربعاء "/>
    <x v="8"/>
    <s v="حامد عطوان      "/>
    <s v="الزيارة الشهرية على نظام الاطفاء "/>
    <s v="تم العمل"/>
    <d v="1899-12-30T10:00:00"/>
    <d v="1899-12-30T12:00:00"/>
    <n v="8.3333333333333315E-2"/>
    <x v="3"/>
    <n v="1.9999999999999996"/>
  </r>
  <r>
    <x v="9"/>
    <d v="2024-10-16T00:00:00"/>
    <s v="الاربعاء "/>
    <x v="18"/>
    <s v="محمد طنطاوى "/>
    <s v="صيانة غرفة الطلمبات  "/>
    <s v="تم العمل"/>
    <d v="1899-12-30T10:00:00"/>
    <d v="1899-12-30T17:00:00"/>
    <n v="0.29166666666666669"/>
    <x v="4"/>
    <n v="7"/>
  </r>
  <r>
    <x v="9"/>
    <d v="2024-10-17T00:00:00"/>
    <s v="الخميس "/>
    <x v="46"/>
    <s v="على مصطفى"/>
    <s v="صيانة فلتر المياة بالبوفية"/>
    <s v="تم العمل"/>
    <d v="1899-12-30T14:00:00"/>
    <d v="1899-12-30T15:00:00"/>
    <n v="4.166666666666663E-2"/>
    <x v="3"/>
    <n v="0.99999999999999911"/>
  </r>
  <r>
    <x v="9"/>
    <d v="2024-10-17T00:00:00"/>
    <s v="الخميس "/>
    <x v="14"/>
    <s v="محمد عادل  "/>
    <s v="صيانة اسانسير"/>
    <s v="تم العمل"/>
    <d v="1899-12-30T15:00:00"/>
    <d v="1899-12-30T16:00:00"/>
    <n v="4.1666666666666963E-2"/>
    <x v="3"/>
    <n v="1.0000000000000071"/>
  </r>
  <r>
    <x v="9"/>
    <d v="2024-10-17T00:00:00"/>
    <s v="الخميس "/>
    <x v="0"/>
    <s v="محمد زنفل  "/>
    <s v="انشائات   "/>
    <s v="تم العمل"/>
    <d v="1899-12-30T09:30:00"/>
    <d v="1899-12-30T17:00:00"/>
    <n v="0.31250000000000006"/>
    <x v="2"/>
    <n v="7.5000000000000018"/>
  </r>
  <r>
    <x v="9"/>
    <d v="2024-10-19T00:00:00"/>
    <s v="السبت "/>
    <x v="0"/>
    <s v="محمد صلاح "/>
    <s v="أ حلال وتجديد خزان الحريق "/>
    <s v="تم العمل"/>
    <d v="1899-12-30T10:00:00"/>
    <d v="1899-12-30T17:00:00"/>
    <n v="0.29166666666666669"/>
    <x v="0"/>
    <n v="7"/>
  </r>
  <r>
    <x v="9"/>
    <d v="2024-10-19T00:00:00"/>
    <s v="السبت "/>
    <x v="14"/>
    <s v="انس احمد  "/>
    <s v="صيانة اسانسير"/>
    <s v="تم العمل"/>
    <d v="1899-12-30T10:00:00"/>
    <d v="1899-12-30T17:00:00"/>
    <n v="0.29166666666666669"/>
    <x v="1"/>
    <n v="7"/>
  </r>
  <r>
    <x v="9"/>
    <d v="2024-10-19T00:00:00"/>
    <s v="السبت "/>
    <x v="4"/>
    <s v="سعيد محمد "/>
    <s v="انشائات   "/>
    <s v="تم العمل"/>
    <d v="1899-12-30T11:00:00"/>
    <d v="1899-12-30T14:00:00"/>
    <n v="0.12500000000000006"/>
    <x v="2"/>
    <n v="3.0000000000000013"/>
  </r>
  <r>
    <x v="9"/>
    <d v="2024-10-19T00:00:00"/>
    <s v="السبت "/>
    <x v="0"/>
    <s v="محمد زنفل  "/>
    <s v="انشائات   "/>
    <s v="تم العمل"/>
    <d v="1899-12-30T10:00:00"/>
    <d v="1899-12-30T17:30:00"/>
    <n v="0.31249999999999994"/>
    <x v="2"/>
    <n v="7.4999999999999982"/>
  </r>
  <r>
    <x v="9"/>
    <d v="2024-10-20T00:00:00"/>
    <s v="الاحد "/>
    <x v="59"/>
    <s v="احمد عادل "/>
    <s v="صيانة ماكينة ATM   "/>
    <s v="تم العمل"/>
    <d v="1899-12-30T14:30:00"/>
    <d v="1899-12-30T15:00:00"/>
    <n v="2.083333333333337E-2"/>
    <x v="3"/>
    <n v="0.50000000000000089"/>
  </r>
  <r>
    <x v="9"/>
    <d v="2024-10-20T00:00:00"/>
    <s v="الاحد "/>
    <x v="6"/>
    <s v="صابر ابراهيم "/>
    <s v="لحامات بأعمدة المخازن "/>
    <s v="تم العمل"/>
    <d v="1899-12-30T11:00:00"/>
    <d v="1899-12-30T17:00:00"/>
    <n v="0.25000000000000006"/>
    <x v="0"/>
    <n v="6.0000000000000018"/>
  </r>
  <r>
    <x v="9"/>
    <d v="2024-10-20T00:00:00"/>
    <s v="الاحد "/>
    <x v="2"/>
    <s v="مصطفى نصار  "/>
    <s v="تركيبات "/>
    <s v="تم العمل"/>
    <d v="1899-12-30T14:30:00"/>
    <d v="1899-12-30T17:30:00"/>
    <n v="0.125"/>
    <x v="2"/>
    <n v="6.5"/>
  </r>
  <r>
    <x v="9"/>
    <d v="2024-10-20T00:00:00"/>
    <s v="الاحد "/>
    <x v="0"/>
    <s v="محمد صلاح "/>
    <s v="استكمال العمل خزان الاطفاء     "/>
    <s v="تم العمل"/>
    <d v="1899-12-30T09:00:00"/>
    <d v="1899-12-30T16:00:00"/>
    <n v="0.29166666666666696"/>
    <x v="0"/>
    <n v="7.0000000000000071"/>
  </r>
  <r>
    <x v="9"/>
    <d v="2024-10-20T00:00:00"/>
    <s v="الاحد "/>
    <x v="0"/>
    <s v="محمد زنفل  "/>
    <s v="انشائات   "/>
    <s v="تم العمل"/>
    <d v="1899-12-30T10:00:00"/>
    <d v="1899-12-30T18:00:00"/>
    <n v="0.33333333333333331"/>
    <x v="2"/>
    <n v="8"/>
  </r>
  <r>
    <x v="9"/>
    <d v="2024-10-20T00:00:00"/>
    <s v="الاحد "/>
    <x v="5"/>
    <s v="محمود عويس "/>
    <s v="اصلاح الكولدير بالكفتريا    "/>
    <s v="تم العمل"/>
    <d v="1899-12-30T13:30:00"/>
    <d v="1899-12-30T14:00:00"/>
    <n v="2.083333333333337E-2"/>
    <x v="0"/>
    <n v="0.50000000000000089"/>
  </r>
  <r>
    <x v="9"/>
    <d v="2024-10-20T00:00:00"/>
    <s v="الاحد "/>
    <x v="53"/>
    <s v="ابراهيم امين  "/>
    <s v="تركيب راكات "/>
    <s v="تم العمل"/>
    <d v="1899-12-30T10:00:00"/>
    <d v="1899-12-30T16:00:00"/>
    <n v="0.24999999999999994"/>
    <x v="1"/>
    <n v="5.9999999999999982"/>
  </r>
  <r>
    <x v="9"/>
    <d v="2024-10-21T00:00:00"/>
    <s v="الاثنين "/>
    <x v="13"/>
    <s v="اسلام مصطفى    "/>
    <s v="صيانة ماكينة CTP"/>
    <s v="تم العمل"/>
    <d v="1899-12-30T12:00:00"/>
    <d v="1899-12-30T17:30:00"/>
    <n v="0.22916666666666663"/>
    <x v="3"/>
    <n v="5.4999999999999991"/>
  </r>
  <r>
    <x v="9"/>
    <d v="2024-10-21T00:00:00"/>
    <s v="الاثنين "/>
    <x v="0"/>
    <s v="محمد زنفل  "/>
    <s v="انشائات   "/>
    <s v="تم العمل"/>
    <d v="1899-12-30T10:00:00"/>
    <d v="1899-12-30T17:30:00"/>
    <n v="0.31249999999999994"/>
    <x v="2"/>
    <n v="7.4999999999999982"/>
  </r>
  <r>
    <x v="9"/>
    <d v="2024-10-21T00:00:00"/>
    <s v="الاثنين "/>
    <x v="53"/>
    <s v="صالح رمضان"/>
    <s v="تركيب راكات "/>
    <s v="تم العمل"/>
    <d v="1899-12-30T10:00:00"/>
    <d v="1899-12-30T16:00:00"/>
    <n v="0.24999999999999994"/>
    <x v="1"/>
    <n v="5.9999999999999982"/>
  </r>
  <r>
    <x v="9"/>
    <d v="2024-10-21T00:00:00"/>
    <s v="الاثنين "/>
    <x v="0"/>
    <s v="محمد صلاح "/>
    <s v="استكمال اعمال خزان الاطفاء "/>
    <s v="تم العمل"/>
    <d v="1899-12-30T09:00:00"/>
    <d v="1899-12-30T16:00:00"/>
    <n v="0.29166666666666663"/>
    <x v="0"/>
    <n v="6.9999999999999991"/>
  </r>
  <r>
    <x v="9"/>
    <d v="2024-10-21T00:00:00"/>
    <s v="الاثنين "/>
    <x v="3"/>
    <s v="علاء احمد "/>
    <s v="صيانة    "/>
    <s v="تم العمل"/>
    <d v="1899-12-30T09:30:00"/>
    <d v="1899-12-30T11:30:00"/>
    <n v="8.333333333333337E-2"/>
    <x v="2"/>
    <n v="2.0000000000000009"/>
  </r>
  <r>
    <x v="9"/>
    <d v="2024-10-22T00:00:00"/>
    <s v="الثلاثاء "/>
    <x v="0"/>
    <s v="محمد زنفل  "/>
    <s v="انشائات   "/>
    <s v="تم العمل"/>
    <d v="1899-12-30T10:00:00"/>
    <d v="1899-12-30T18:30:00"/>
    <n v="0.35416666666666669"/>
    <x v="2"/>
    <n v="8.5"/>
  </r>
  <r>
    <x v="9"/>
    <d v="2024-10-22T00:00:00"/>
    <s v="الثلاثاء "/>
    <x v="0"/>
    <s v="مراد صالح  "/>
    <s v="استكمال اعمال خزان الاطفاء "/>
    <s v="تم العمل"/>
    <d v="1899-12-30T09:00:00"/>
    <d v="1899-12-30T16:00:00"/>
    <n v="0.29166666666666663"/>
    <x v="0"/>
    <n v="6.9999999999999991"/>
  </r>
  <r>
    <x v="9"/>
    <d v="2024-10-22T00:00:00"/>
    <s v="الثلاثاء "/>
    <x v="6"/>
    <s v="محمد حسين "/>
    <s v="تغيير كشافات عنبر ويب 3"/>
    <s v="تم العمل"/>
    <d v="1899-12-30T14:30:00"/>
    <d v="1899-12-30T15:30:00"/>
    <n v="4.1666666666666741E-2"/>
    <x v="3"/>
    <n v="1.0000000000000018"/>
  </r>
  <r>
    <x v="9"/>
    <d v="2024-10-22T00:00:00"/>
    <s v="الثلاثاء "/>
    <x v="53"/>
    <s v="ابراهيم امين  "/>
    <s v="تركيب راكات "/>
    <s v="تم العمل"/>
    <d v="1899-12-30T10:00:00"/>
    <d v="1899-12-30T15:00:00"/>
    <n v="0.20833333333333331"/>
    <x v="1"/>
    <n v="5"/>
  </r>
  <r>
    <x v="9"/>
    <d v="2024-10-22T00:00:00"/>
    <s v="الثلاثاء "/>
    <x v="5"/>
    <s v="احمد حسين "/>
    <s v="تعديل وصيانة الكهرباء السلسيون "/>
    <s v="تم العمل"/>
    <d v="1899-12-30T12:30:00"/>
    <d v="1899-12-30T17:00:00"/>
    <n v="0.1875"/>
    <x v="6"/>
    <n v="4.5"/>
  </r>
  <r>
    <x v="9"/>
    <d v="2024-10-23T00:00:00"/>
    <s v="الاربعاء "/>
    <x v="0"/>
    <s v="محمد زنفل  "/>
    <s v="انشائات   "/>
    <s v="تم العمل"/>
    <d v="1899-12-30T09:30:00"/>
    <d v="1899-12-30T17:30:00"/>
    <n v="0.33333333333333331"/>
    <x v="2"/>
    <n v="8"/>
  </r>
  <r>
    <x v="9"/>
    <d v="2024-10-23T00:00:00"/>
    <s v="الاربعاء "/>
    <x v="18"/>
    <s v="فيكتور لوندي"/>
    <s v="صيانة غرفة الطلمبات  "/>
    <s v="تم العمل"/>
    <d v="1899-12-30T10:00:00"/>
    <d v="1899-12-30T17:00:00"/>
    <n v="0.29166666666666669"/>
    <x v="4"/>
    <n v="7"/>
  </r>
  <r>
    <x v="9"/>
    <d v="2024-10-23T00:00:00"/>
    <s v="الاربعاء "/>
    <x v="53"/>
    <s v="ابراهيم امين  "/>
    <s v="تركيب راكات "/>
    <s v="تم العمل"/>
    <d v="1899-12-30T10:00:00"/>
    <d v="1899-12-30T15:00:00"/>
    <n v="0.20833333333333331"/>
    <x v="1"/>
    <n v="5"/>
  </r>
  <r>
    <x v="9"/>
    <d v="2024-10-23T00:00:00"/>
    <s v="الاربعاء "/>
    <x v="13"/>
    <s v="اسلام مصطفى    "/>
    <s v="صيانة ماكينة CTP"/>
    <s v="تم العمل"/>
    <d v="1899-12-30T13:00:00"/>
    <d v="1899-12-30T15:00:00"/>
    <n v="8.333333333333337E-2"/>
    <x v="3"/>
    <n v="2.0000000000000009"/>
  </r>
  <r>
    <x v="9"/>
    <d v="2024-10-24T00:00:00"/>
    <s v="الخميس "/>
    <x v="0"/>
    <s v="محمد زنفل  "/>
    <s v="انشائات   "/>
    <s v="تم العمل"/>
    <d v="1899-12-30T10:00:00"/>
    <d v="1899-12-30T18:00:00"/>
    <n v="0.33333333333333331"/>
    <x v="2"/>
    <n v="8"/>
  </r>
  <r>
    <x v="9"/>
    <d v="2024-10-24T00:00:00"/>
    <s v="الخميس "/>
    <x v="18"/>
    <s v="فيكتور لوندي"/>
    <s v="صيانة غرفة الطلمبات  "/>
    <s v="تم العمل"/>
    <d v="1899-12-30T09:30:00"/>
    <d v="1899-12-30T14:00:00"/>
    <n v="0.18750000000000006"/>
    <x v="4"/>
    <n v="4.5000000000000018"/>
  </r>
  <r>
    <x v="9"/>
    <d v="2024-10-26T00:00:00"/>
    <s v="السبت "/>
    <x v="0"/>
    <s v="محمد زنفل  "/>
    <s v="اعمال سباكة "/>
    <s v="تم العمل"/>
    <d v="1899-12-30T10:00:00"/>
    <d v="1899-12-30T18:00:00"/>
    <n v="0.33333333333333331"/>
    <x v="2"/>
    <n v="8"/>
  </r>
  <r>
    <x v="9"/>
    <d v="2024-10-26T00:00:00"/>
    <s v="السبت "/>
    <x v="53"/>
    <s v="ابراهيم امين  "/>
    <s v="تركيب راكات "/>
    <s v="تم العمل"/>
    <d v="1899-12-30T10:00:00"/>
    <d v="1899-12-30T15:00:00"/>
    <n v="0.20833333333333331"/>
    <x v="1"/>
    <n v="5"/>
  </r>
  <r>
    <x v="9"/>
    <d v="2024-10-27T00:00:00"/>
    <s v="الاحد "/>
    <x v="0"/>
    <s v="محمد زنفل  "/>
    <s v="اعمال دهانات"/>
    <s v="تم العمل"/>
    <d v="1899-12-30T10:00:00"/>
    <d v="1899-12-30T18:00:00"/>
    <n v="0.33333333333333331"/>
    <x v="2"/>
    <n v="8"/>
  </r>
  <r>
    <x v="9"/>
    <d v="2024-10-27T00:00:00"/>
    <s v="الاحد "/>
    <x v="0"/>
    <s v="محمد صلاح "/>
    <s v="استكمال اعمال خزان الاطفاء "/>
    <s v="تم العمل"/>
    <d v="1899-12-30T09:00:00"/>
    <d v="1899-12-30T16:00:00"/>
    <n v="0.29166666666666663"/>
    <x v="0"/>
    <n v="6.9999999999999991"/>
  </r>
  <r>
    <x v="9"/>
    <d v="2024-10-27T00:00:00"/>
    <s v="الاحد "/>
    <x v="53"/>
    <s v="ابراهيم امين  "/>
    <s v="تركيب راكات "/>
    <s v="تم العمل"/>
    <d v="1899-12-30T10:00:00"/>
    <d v="1899-12-30T13:00:00"/>
    <n v="0.12499999999999994"/>
    <x v="1"/>
    <n v="2.9999999999999987"/>
  </r>
  <r>
    <x v="9"/>
    <d v="2024-10-28T00:00:00"/>
    <s v="الاثنين "/>
    <x v="0"/>
    <s v="محمد زنفل  "/>
    <s v="اعمال دهانات"/>
    <s v="تم العمل"/>
    <d v="1899-12-30T10:00:00"/>
    <d v="1899-12-30T18:00:00"/>
    <n v="0.33333333333333331"/>
    <x v="2"/>
    <n v="8"/>
  </r>
  <r>
    <x v="9"/>
    <d v="2024-10-28T00:00:00"/>
    <s v="الاثنين "/>
    <x v="7"/>
    <s v="اسلام ابراهيم "/>
    <s v="رش مبيت الامن وغرفة حركة النقل "/>
    <s v="تم العمل"/>
    <d v="1899-12-30T10:00:00"/>
    <d v="1899-12-30T12:00:00"/>
    <n v="8.3333333333333315E-2"/>
    <x v="3"/>
    <n v="1.9999999999999996"/>
  </r>
  <r>
    <x v="9"/>
    <d v="2024-10-28T00:00:00"/>
    <s v="الاثنين "/>
    <x v="18"/>
    <s v="فيكتور لوندي"/>
    <s v="صيانة غرفة الطلمبات  "/>
    <s v="تم العمل"/>
    <d v="1899-12-30T10:00:00"/>
    <d v="1899-12-30T16:00:00"/>
    <n v="0.24999999999999994"/>
    <x v="4"/>
    <n v="5.9999999999999982"/>
  </r>
  <r>
    <x v="9"/>
    <d v="2024-10-29T00:00:00"/>
    <s v="الثلاثاء "/>
    <x v="0"/>
    <s v="محمد زنفل  "/>
    <s v="اعمال دهانات"/>
    <s v="تم العمل"/>
    <d v="1899-12-30T10:00:00"/>
    <d v="1899-12-30T18:00:00"/>
    <n v="0.33333333333333331"/>
    <x v="2"/>
    <n v="8"/>
  </r>
  <r>
    <x v="9"/>
    <d v="2024-10-29T00:00:00"/>
    <s v="الثلاثاء "/>
    <x v="7"/>
    <s v=" اسلام ابراهيم "/>
    <s v="الزيارة الشهرية ومكافحة الحشرات "/>
    <s v="تم العمل"/>
    <d v="1899-12-30T13:00:00"/>
    <d v="1899-12-30T17:00:00"/>
    <n v="0.16666666666666674"/>
    <x v="3"/>
    <n v="4.0000000000000018"/>
  </r>
  <r>
    <x v="9"/>
    <d v="2024-10-29T00:00:00"/>
    <s v="الثلاثاء "/>
    <x v="60"/>
    <s v="محمود الشحات "/>
    <s v="صيانة شبكة الانزار "/>
    <s v="تم العمل"/>
    <d v="1899-12-30T13:00:00"/>
    <d v="1899-12-30T18:00:00"/>
    <n v="0.20833333333333337"/>
    <x v="2"/>
    <n v="5.0000000000000009"/>
  </r>
  <r>
    <x v="9"/>
    <d v="2024-10-29T00:00:00"/>
    <s v="الثلاثاء "/>
    <x v="0"/>
    <s v="محمد صلاح "/>
    <s v="استكمال اعمال خزان الاطفاء "/>
    <s v="تم العمل"/>
    <d v="1899-12-30T09:00:00"/>
    <d v="1899-12-30T16:00:00"/>
    <n v="0.29166666666666663"/>
    <x v="0"/>
    <n v="6.9999999999999991"/>
  </r>
  <r>
    <x v="9"/>
    <d v="2024-10-29T00:00:00"/>
    <s v="الثلاثاء "/>
    <x v="6"/>
    <s v="صابر ابراهيم "/>
    <s v="تركيب زوى حديدبأعمدة المخازن "/>
    <s v="تم العمل"/>
    <d v="1899-12-30T12:00:00"/>
    <d v="1899-12-30T17:00:00"/>
    <n v="0.20833333333333337"/>
    <x v="0"/>
    <n v="5.0000000000000009"/>
  </r>
  <r>
    <x v="9"/>
    <d v="2024-10-29T00:00:00"/>
    <s v="الثلاثاء "/>
    <x v="1"/>
    <s v="اسامة ابراهيم "/>
    <s v="اعمال تركيبات كهرباء"/>
    <s v="تم العمل"/>
    <d v="1899-12-30T11:00:00"/>
    <d v="1899-12-30T15:00:00"/>
    <n v="0.16666666666666669"/>
    <x v="1"/>
    <n v="4"/>
  </r>
  <r>
    <x v="9"/>
    <d v="2024-10-30T00:00:00"/>
    <s v="الاربعاء "/>
    <x v="61"/>
    <s v="محمد منير"/>
    <s v="صيانة سماعات المسجد"/>
    <s v="تم العمل"/>
    <d v="1899-12-30T11:00:00"/>
    <d v="1899-12-30T14:00:00"/>
    <n v="0.12500000000000006"/>
    <x v="3"/>
    <n v="3.0000000000000013"/>
  </r>
  <r>
    <x v="10"/>
    <d v="2024-11-01T00:00:00"/>
    <s v="الجمعة "/>
    <x v="5"/>
    <s v="محمد ابوسريع"/>
    <s v="اعمال محارة وبناء "/>
    <s v="تم العمل"/>
    <d v="1899-12-30T10:00:00"/>
    <d v="1899-12-30T17:00:00"/>
    <n v="0.29166666666666635"/>
    <x v="0"/>
    <n v="6.9999999999999929"/>
  </r>
  <r>
    <x v="10"/>
    <d v="2024-11-02T00:00:00"/>
    <s v="السبت "/>
    <x v="0"/>
    <s v="محمد صلاح "/>
    <s v="استكمال اعمال خزان الاطفاء "/>
    <s v="تم العمل"/>
    <d v="1899-12-30T08:00:00"/>
    <d v="1899-12-30T17:00:00"/>
    <n v="0.37499999999999972"/>
    <x v="0"/>
    <n v="8.9999999999999929"/>
  </r>
  <r>
    <x v="10"/>
    <d v="2024-11-02T00:00:00"/>
    <s v="السبت "/>
    <x v="4"/>
    <s v="سعيد محمد "/>
    <s v="صيانة شبكة فودافون "/>
    <s v="تم العمل"/>
    <d v="1899-12-30T09:30:00"/>
    <d v="1899-12-30T18:00:00"/>
    <n v="0.35416666666666669"/>
    <x v="2"/>
    <n v="8.5"/>
  </r>
  <r>
    <x v="10"/>
    <d v="2024-11-02T00:00:00"/>
    <s v="السبت "/>
    <x v="0"/>
    <s v="محمد زنفل  "/>
    <s v="اعمال تركيب تريهات "/>
    <s v="تم العمل"/>
    <d v="1899-12-30T10:00:00"/>
    <d v="1899-12-30T18:00:00"/>
    <n v="0.33333333333333331"/>
    <x v="2"/>
    <n v="8"/>
  </r>
  <r>
    <x v="10"/>
    <d v="2024-11-02T00:00:00"/>
    <s v="السبت "/>
    <x v="62"/>
    <s v="ضياء عبد الله  "/>
    <s v="تركيب كاميرات "/>
    <s v="تم العمل"/>
    <d v="1899-12-30T10:00:00"/>
    <d v="1899-12-30T18:00:00"/>
    <n v="0.33333333333333331"/>
    <x v="2"/>
    <n v="8"/>
  </r>
  <r>
    <x v="10"/>
    <d v="2024-11-02T00:00:00"/>
    <s v="السبت "/>
    <x v="0"/>
    <s v="محمد زنفل  "/>
    <s v="اعمال دهانات"/>
    <s v="تم العمل"/>
    <d v="1899-12-30T10:00:00"/>
    <d v="1899-12-30T18:00:00"/>
    <n v="0.33333333333333331"/>
    <x v="2"/>
    <n v="8"/>
  </r>
  <r>
    <x v="10"/>
    <d v="2024-11-02T00:00:00"/>
    <s v="السبت "/>
    <x v="63"/>
    <s v="عبد الرحمن عامر "/>
    <s v="صيانة سيور "/>
    <s v="تم العمل"/>
    <d v="1899-12-30T11:00:00"/>
    <d v="1899-12-30T15:00:00"/>
    <n v="0.16666666666666669"/>
    <x v="3"/>
    <n v="4"/>
  </r>
  <r>
    <x v="10"/>
    <d v="2024-11-02T00:00:00"/>
    <s v="السبت "/>
    <x v="2"/>
    <s v="مصطفى محمد "/>
    <s v="تركيبات "/>
    <s v="تم العمل"/>
    <d v="1899-12-30T11:00:00"/>
    <d v="1899-12-30T20:00:00"/>
    <n v="0.37500000000000006"/>
    <x v="3"/>
    <n v="9.0000000000000018"/>
  </r>
  <r>
    <x v="10"/>
    <d v="2024-11-03T00:00:00"/>
    <s v="الاحد "/>
    <x v="2"/>
    <s v="مصطفى محمد "/>
    <s v="تركيبات "/>
    <s v="تم العمل"/>
    <d v="1899-12-30T12:30:00"/>
    <d v="1899-12-30T18:30:00"/>
    <n v="0.25"/>
    <x v="6"/>
    <n v="6"/>
  </r>
  <r>
    <x v="10"/>
    <d v="2024-11-03T00:00:00"/>
    <s v="الاحد "/>
    <x v="13"/>
    <s v="اسلام مصطفى    "/>
    <s v="صيانة ماكينة CTP"/>
    <s v="تم العمل"/>
    <d v="1899-12-30T12:30:00"/>
    <d v="1899-12-30T16:00:00"/>
    <n v="0.14583333333333326"/>
    <x v="3"/>
    <n v="3.4999999999999982"/>
  </r>
  <r>
    <x v="10"/>
    <d v="2024-11-03T00:00:00"/>
    <s v="الاحد "/>
    <x v="0"/>
    <s v="محمد صلاح "/>
    <s v="استكمال اعمال خزان الاطفاء "/>
    <s v="تم العمل"/>
    <d v="1899-12-30T08:00:00"/>
    <d v="1899-12-30T16:00:00"/>
    <n v="0.33333333333333331"/>
    <x v="0"/>
    <n v="8"/>
  </r>
  <r>
    <x v="10"/>
    <d v="2024-11-04T00:00:00"/>
    <s v="الاثنين "/>
    <x v="0"/>
    <s v="محمد زنفل  "/>
    <s v="اعمال دهانات"/>
    <s v="تم العمل"/>
    <d v="1899-12-30T10:00:00"/>
    <d v="1899-12-30T18:00:00"/>
    <n v="0.33333333333333331"/>
    <x v="2"/>
    <n v="8"/>
  </r>
  <r>
    <x v="10"/>
    <d v="2024-11-04T00:00:00"/>
    <s v="الاثنين "/>
    <x v="0"/>
    <s v="محمد صلاح "/>
    <s v="استكمال اعمال خزان الاطفاء "/>
    <s v="تم العمل"/>
    <d v="1899-12-30T08:00:00"/>
    <d v="1899-12-30T16:00:00"/>
    <n v="0.33333333333333331"/>
    <x v="0"/>
    <n v="8"/>
  </r>
  <r>
    <x v="10"/>
    <d v="2024-11-04T00:00:00"/>
    <s v="الاثنين "/>
    <x v="5"/>
    <s v="احمد سعيد"/>
    <s v="أعمال سباكة "/>
    <s v="تم العمل"/>
    <d v="1899-12-30T01:00:00"/>
    <d v="1899-12-30T17:00:00"/>
    <n v="0.66666666666666674"/>
    <x v="1"/>
    <n v="16"/>
  </r>
  <r>
    <x v="10"/>
    <d v="2024-11-04T00:00:00"/>
    <s v="الاثنين "/>
    <x v="7"/>
    <s v="محمد ماهر "/>
    <s v="مكافحة الحشرات "/>
    <s v="تم العمل"/>
    <d v="1899-12-30T01:00:00"/>
    <d v="1899-12-30T15:00:00"/>
    <n v="0.58333333333333337"/>
    <x v="1"/>
    <n v="14"/>
  </r>
  <r>
    <x v="10"/>
    <d v="2024-11-04T00:00:00"/>
    <s v="الاثنين "/>
    <x v="0"/>
    <s v="احمد على "/>
    <s v="تركيب المونتال "/>
    <s v="تم العمل"/>
    <d v="1899-12-30T10:00:00"/>
    <d v="1899-12-30T16:00:00"/>
    <n v="0.24999999999999994"/>
    <x v="1"/>
    <n v="5.9999999999999982"/>
  </r>
  <r>
    <x v="10"/>
    <d v="2024-11-05T00:00:00"/>
    <s v="الثلاثاء "/>
    <x v="0"/>
    <s v="محمد صلاح "/>
    <s v="استكمال شد الخشب  لخزان الاطفاء "/>
    <s v="تم العمل"/>
    <d v="1899-12-30T08:00:00"/>
    <d v="1899-12-30T16:00:00"/>
    <n v="0.33333333333333331"/>
    <x v="0"/>
    <n v="8"/>
  </r>
  <r>
    <x v="10"/>
    <d v="2024-11-05T00:00:00"/>
    <s v="الثلاثاء "/>
    <x v="14"/>
    <s v="انس احمد  "/>
    <s v="تركيب  المصاعد "/>
    <s v="تم العمل"/>
    <d v="1899-12-30T10:00:00"/>
    <d v="1899-12-30T16:00:00"/>
    <n v="0.24999999999999994"/>
    <x v="1"/>
    <n v="5.9999999999999982"/>
  </r>
  <r>
    <x v="10"/>
    <d v="2024-11-05T00:00:00"/>
    <s v="الثلاثاء "/>
    <x v="0"/>
    <s v="محمد زنفل  "/>
    <s v="اعمال دهانات"/>
    <s v="تم العمل"/>
    <d v="1899-12-30T10:00:00"/>
    <d v="1899-12-30T18:00:00"/>
    <n v="0.33333333333333331"/>
    <x v="2"/>
    <n v="8"/>
  </r>
  <r>
    <x v="10"/>
    <d v="2024-11-05T00:00:00"/>
    <s v="الثلاثاء "/>
    <x v="28"/>
    <s v="اسلام احمد"/>
    <s v="تركيب تكيف مركزي"/>
    <s v="تم العمل"/>
    <d v="1899-12-30T10:00:00"/>
    <d v="1899-12-30T18:00:00"/>
    <n v="0.33333333333333331"/>
    <x v="2"/>
    <n v="8"/>
  </r>
  <r>
    <x v="10"/>
    <d v="2024-11-05T00:00:00"/>
    <s v="الثلاثاء "/>
    <x v="0"/>
    <s v="محمد صلاح "/>
    <s v="شد الخشب  لخزان الاطفاء "/>
    <s v="تم العمل"/>
    <d v="1899-12-30T08:00:00"/>
    <d v="1899-12-30T16:00:00"/>
    <n v="0.33333333333333331"/>
    <x v="0"/>
    <n v="8"/>
  </r>
  <r>
    <x v="10"/>
    <d v="2024-11-06T00:00:00"/>
    <s v="الاربعاء "/>
    <x v="35"/>
    <s v="احمد حمادة "/>
    <s v="اعمال لحامات"/>
    <s v="تم العمل"/>
    <d v="1899-12-30T14:30:00"/>
    <d v="1899-12-30T20:00:00"/>
    <n v="0.22916666666666674"/>
    <x v="3"/>
    <n v="5.5000000000000018"/>
  </r>
  <r>
    <x v="10"/>
    <d v="2024-11-06T00:00:00"/>
    <s v="الاربعاء "/>
    <x v="6"/>
    <s v="عمرو نبوى "/>
    <s v="صيانة مجر الصرف "/>
    <s v="تم العمل"/>
    <d v="1899-12-30T10:00:00"/>
    <d v="1899-12-30T17:00:00"/>
    <n v="0.29166666666666669"/>
    <x v="3"/>
    <n v="7"/>
  </r>
  <r>
    <x v="10"/>
    <d v="2024-11-06T00:00:00"/>
    <s v="الاربعاء "/>
    <x v="14"/>
    <s v="انس احمد  "/>
    <s v="تركيب  المصاعد "/>
    <s v="تم العمل"/>
    <d v="1899-12-30T10:00:00"/>
    <d v="1899-12-30T17:00:00"/>
    <n v="0.29166666666666669"/>
    <x v="1"/>
    <n v="7"/>
  </r>
  <r>
    <x v="10"/>
    <d v="2024-11-06T00:00:00"/>
    <s v="الاربعاء "/>
    <x v="6"/>
    <s v="شريف  عيد "/>
    <s v="صيانة الهيدرولك"/>
    <s v="تم العمل"/>
    <d v="1899-12-30T12:00:00"/>
    <d v="1899-12-30T16:00:00"/>
    <n v="0.16666666666666663"/>
    <x v="1"/>
    <n v="3.9999999999999991"/>
  </r>
  <r>
    <x v="10"/>
    <d v="2024-11-06T00:00:00"/>
    <s v="الاربعاء "/>
    <x v="0"/>
    <s v="محمد زنفل  "/>
    <s v="اعمال دهانات"/>
    <s v="تم العمل"/>
    <d v="1899-12-30T10:00:00"/>
    <d v="1899-12-30T18:00:00"/>
    <n v="0.33333333333333331"/>
    <x v="2"/>
    <n v="8"/>
  </r>
  <r>
    <x v="10"/>
    <d v="2024-11-06T00:00:00"/>
    <s v="الاربعاء "/>
    <x v="18"/>
    <s v="فيكتور لوندي"/>
    <s v="تركيب كشافات كهرباء "/>
    <s v="تم العمل"/>
    <d v="1899-12-30T11:30:00"/>
    <d v="1899-12-30T17:30:00"/>
    <n v="0.24999999999999994"/>
    <x v="4"/>
    <n v="5.9999999999999982"/>
  </r>
  <r>
    <x v="10"/>
    <d v="2024-11-07T00:00:00"/>
    <s v="الخميس "/>
    <x v="9"/>
    <s v="سامى شعبان  "/>
    <s v="صيانة كلاركات "/>
    <s v="تم العمل"/>
    <d v="1899-12-30T14:30:00"/>
    <d v="1899-12-30T15:00:00"/>
    <n v="2.083333333333337E-2"/>
    <x v="4"/>
    <n v="0.50000000000000089"/>
  </r>
  <r>
    <x v="10"/>
    <d v="2024-11-07T00:00:00"/>
    <s v="الخميس "/>
    <x v="14"/>
    <s v="انس احمد  "/>
    <s v="تركيب  المصاعد "/>
    <s v="تم العمل"/>
    <d v="1899-12-30T10:00:00"/>
    <d v="1899-12-30T17:00:00"/>
    <n v="0.29166666666666669"/>
    <x v="1"/>
    <n v="7"/>
  </r>
  <r>
    <x v="10"/>
    <d v="2024-11-07T00:00:00"/>
    <s v="الخميس "/>
    <x v="0"/>
    <s v="محمد صلاح "/>
    <s v="استكمال شد الخشب  لخزان الاطفاء "/>
    <s v="تم العمل"/>
    <d v="1899-12-30T08:00:00"/>
    <d v="1899-12-30T16:00:00"/>
    <n v="0.33333333333333331"/>
    <x v="0"/>
    <n v="8"/>
  </r>
  <r>
    <x v="10"/>
    <d v="2024-11-07T00:00:00"/>
    <s v="الخميس "/>
    <x v="5"/>
    <s v="احمد سعيد"/>
    <s v="تركيب سخان بحمامات العمال"/>
    <s v="رفض الأعمال"/>
    <d v="1899-12-30T14:00:00"/>
    <d v="1899-12-30T16:00:00"/>
    <n v="8.3333333333333259E-2"/>
    <x v="1"/>
    <n v="1.9999999999999982"/>
  </r>
  <r>
    <x v="10"/>
    <d v="2024-11-07T00:00:00"/>
    <s v="الخميس "/>
    <x v="0"/>
    <s v="محمد زنفل  "/>
    <s v="اعمال دهانات"/>
    <s v="تم العمل"/>
    <d v="1899-12-30T10:00:00"/>
    <d v="1899-12-30T18:00:00"/>
    <n v="0.33333333333333331"/>
    <x v="2"/>
    <n v="8"/>
  </r>
  <r>
    <x v="10"/>
    <d v="2024-11-07T00:00:00"/>
    <s v="الخميس "/>
    <x v="13"/>
    <s v="اسلام مصطفى    "/>
    <s v="صيانة ماكينة CTP"/>
    <s v="تم العمل"/>
    <d v="1899-12-30T12:00:00"/>
    <d v="1899-12-30T16:00:00"/>
    <n v="0.16666666666666663"/>
    <x v="3"/>
    <n v="3.9999999999999991"/>
  </r>
  <r>
    <x v="10"/>
    <d v="2024-11-08T00:00:00"/>
    <s v="الجمعة "/>
    <x v="49"/>
    <s v="ابراهيم الخزرجي"/>
    <s v="تركيبات"/>
    <s v="تم العمل"/>
    <d v="1899-12-30T10:00:00"/>
    <d v="1899-12-30T19:30:00"/>
    <n v="0.39583333333333331"/>
    <x v="2"/>
    <n v="9.5"/>
  </r>
  <r>
    <x v="10"/>
    <d v="2024-11-09T00:00:00"/>
    <s v="السبت "/>
    <x v="6"/>
    <s v="مصطفى حسن "/>
    <s v="صيانة مجر الصرف "/>
    <s v="تم العمل"/>
    <d v="1899-12-30T09:30:00"/>
    <d v="1899-12-30T17:00:00"/>
    <n v="0.31250000000000006"/>
    <x v="3"/>
    <n v="7.5000000000000018"/>
  </r>
  <r>
    <x v="10"/>
    <d v="2024-11-09T00:00:00"/>
    <s v="السبت "/>
    <x v="14"/>
    <s v="انس احمد  "/>
    <s v="تركيب  المصاعد "/>
    <s v="تم العمل"/>
    <d v="1899-12-30T10:00:00"/>
    <d v="1899-12-30T17:00:00"/>
    <n v="0.29166666666666669"/>
    <x v="1"/>
    <n v="7"/>
  </r>
  <r>
    <x v="10"/>
    <d v="2024-11-09T00:00:00"/>
    <s v="السبت "/>
    <x v="49"/>
    <s v="ابراهيم الخزرجي"/>
    <s v="تركيبات"/>
    <s v="تم العمل"/>
    <d v="1899-12-30T09:30:00"/>
    <d v="1899-12-30T22:30:00"/>
    <n v="0.54166666666666674"/>
    <x v="2"/>
    <n v="13.000000000000002"/>
  </r>
  <r>
    <x v="10"/>
    <d v="2024-11-09T00:00:00"/>
    <s v="السبت "/>
    <x v="0"/>
    <s v="مراد صالح"/>
    <s v="استكمال شد الخشب  لخزان الاطفاء "/>
    <s v="تم العمل"/>
    <d v="1899-12-30T11:00:00"/>
    <d v="1899-12-30T13:00:00"/>
    <n v="8.3333333333333315E-2"/>
    <x v="0"/>
    <n v="1.9999999999999996"/>
  </r>
  <r>
    <x v="10"/>
    <d v="2024-11-10T00:00:00"/>
    <s v="الاحد "/>
    <x v="8"/>
    <s v=" على الشنوبى     "/>
    <s v="الزيارة الشهرية و صيانة للوح الانزار "/>
    <s v="تم العمل"/>
    <d v="1899-12-30T10:00:00"/>
    <d v="1899-12-30T11:00:00"/>
    <n v="4.166666666666663E-2"/>
    <x v="3"/>
    <n v="0.99999999999999911"/>
  </r>
  <r>
    <x v="10"/>
    <d v="2024-11-10T00:00:00"/>
    <s v="الاحد "/>
    <x v="14"/>
    <s v="انس احمد  "/>
    <s v="تركيب  المصاعد "/>
    <s v="تم العمل"/>
    <d v="1899-12-30T10:00:00"/>
    <d v="1899-12-30T17:00:00"/>
    <n v="0.29166666666666669"/>
    <x v="1"/>
    <n v="7"/>
  </r>
  <r>
    <x v="10"/>
    <d v="2024-11-10T00:00:00"/>
    <s v="الاحد "/>
    <x v="0"/>
    <s v="مراد صالح"/>
    <s v="استكمال شد الخشب  لخزان الاطفاء "/>
    <s v="تم العمل"/>
    <d v="1899-12-30T09:30:00"/>
    <d v="1899-12-30T15:30:00"/>
    <n v="0.25000000000000006"/>
    <x v="0"/>
    <n v="6.0000000000000018"/>
  </r>
  <r>
    <x v="10"/>
    <d v="2024-11-10T00:00:00"/>
    <s v="الاحد "/>
    <x v="49"/>
    <s v="ابراهيم الخزرجي"/>
    <s v="تركيبات"/>
    <s v="تم العمل"/>
    <d v="1899-12-30T10:00:00"/>
    <d v="1899-12-30T18:00:00"/>
    <n v="0.33333333333333331"/>
    <x v="2"/>
    <n v="8"/>
  </r>
  <r>
    <x v="10"/>
    <d v="2024-11-10T00:00:00"/>
    <s v="الاحد "/>
    <x v="2"/>
    <s v="مصطفى محمد "/>
    <s v="تركيبات "/>
    <s v="تم العمل"/>
    <d v="1899-12-30T04:00:00"/>
    <d v="1899-12-30T13:00:00"/>
    <n v="0.375"/>
    <x v="6"/>
    <n v="9"/>
  </r>
  <r>
    <x v="10"/>
    <d v="2024-11-10T00:00:00"/>
    <s v="الاحد "/>
    <x v="18"/>
    <s v="فيكتور لوندي"/>
    <s v="تركيب كشافات كهرباء "/>
    <s v="تم العمل"/>
    <d v="1899-12-30T11:30:00"/>
    <d v="1899-12-30T17:30:00"/>
    <n v="0.24999999999999994"/>
    <x v="4"/>
    <n v="5.9999999999999982"/>
  </r>
  <r>
    <x v="10"/>
    <d v="2024-11-10T00:00:00"/>
    <s v="الاحد "/>
    <x v="7"/>
    <s v=" اسلام ابراهيم "/>
    <s v="الزيارة الشهرية ومكافحة الحشرات "/>
    <s v="تم العمل"/>
    <d v="1899-12-30T13:00:00"/>
    <d v="1899-12-30T17:00:00"/>
    <n v="0.16666666666666674"/>
    <x v="3"/>
    <n v="4.0000000000000018"/>
  </r>
  <r>
    <x v="10"/>
    <d v="2024-11-11T00:00:00"/>
    <s v="الاثنين "/>
    <x v="14"/>
    <s v="انس احمد  "/>
    <s v="تركيب المصاعد "/>
    <s v="تم العمل"/>
    <d v="1899-12-30T10:00:00"/>
    <d v="1899-12-30T17:00:00"/>
    <n v="0.29166666666666669"/>
    <x v="1"/>
    <n v="7"/>
  </r>
  <r>
    <x v="10"/>
    <d v="2024-11-11T00:00:00"/>
    <s v="الاثنين "/>
    <x v="13"/>
    <s v="اسلام مصطفى    "/>
    <s v="صيانة ماكينة CTP"/>
    <s v="تم العمل"/>
    <d v="1899-12-30T14:30:00"/>
    <d v="1899-12-30T17:30:00"/>
    <n v="0.125"/>
    <x v="3"/>
    <n v="3"/>
  </r>
  <r>
    <x v="10"/>
    <d v="2024-11-11T00:00:00"/>
    <s v="الاثنين "/>
    <x v="49"/>
    <s v="احمد محمد "/>
    <s v="تركيبات"/>
    <s v="تم العمل"/>
    <d v="1899-12-30T10:30:00"/>
    <d v="1899-12-30T23:30:00"/>
    <n v="0.54166666666666663"/>
    <x v="2"/>
    <n v="13"/>
  </r>
  <r>
    <x v="10"/>
    <d v="2024-11-11T00:00:00"/>
    <s v="الاثنين "/>
    <x v="0"/>
    <s v="مراد صالح"/>
    <s v="اعمال صيب خرسانة "/>
    <s v="تم العمل"/>
    <d v="1899-12-30T07:00:00"/>
    <d v="1899-12-30T17:00:00"/>
    <n v="0.41666666666666669"/>
    <x v="0"/>
    <n v="10"/>
  </r>
  <r>
    <x v="10"/>
    <d v="2024-11-12T00:00:00"/>
    <s v="الثلاثاء "/>
    <x v="6"/>
    <s v="صابر ابراهيم "/>
    <s v="تركيب تندة "/>
    <s v="تم العمل"/>
    <d v="1899-12-30T11:00:00"/>
    <d v="1899-12-30T17:30:00"/>
    <n v="0.27083333333333331"/>
    <x v="3"/>
    <n v="6.5"/>
  </r>
  <r>
    <x v="10"/>
    <d v="2024-11-12T00:00:00"/>
    <s v="الثلاثاء "/>
    <x v="0"/>
    <s v="محمد زنفل  "/>
    <s v="انشائات   "/>
    <s v="تم العمل"/>
    <d v="1899-12-30T09:00:00"/>
    <d v="1899-12-30T16:00:00"/>
    <n v="0.29166666666666663"/>
    <x v="2"/>
    <n v="6.9999999999999991"/>
  </r>
  <r>
    <x v="10"/>
    <d v="2024-11-12T00:00:00"/>
    <s v="الثلاثاء "/>
    <x v="49"/>
    <s v="ابراهيم الخزرجي"/>
    <s v="تركيبات"/>
    <s v="تم العمل"/>
    <d v="1899-12-30T16:30:00"/>
    <d v="1899-12-30T19:00:00"/>
    <n v="0.10416666666666663"/>
    <x v="2"/>
    <n v="2.4999999999999991"/>
  </r>
  <r>
    <x v="10"/>
    <d v="2024-11-12T00:00:00"/>
    <s v="الثلاثاء "/>
    <x v="34"/>
    <s v="رامى محمد "/>
    <s v="صيانة لوحة اعلانات "/>
    <s v="تم العمل"/>
    <d v="1899-12-30T14:00:00"/>
    <d v="1899-12-30T16:00:00"/>
    <n v="8.3333333333333259E-2"/>
    <x v="3"/>
    <n v="1.9999999999999982"/>
  </r>
  <r>
    <x v="10"/>
    <d v="2024-11-12T00:00:00"/>
    <s v="الثلاثاء "/>
    <x v="14"/>
    <s v="انس احمد  "/>
    <s v="تركيب  المصاعد "/>
    <s v="تم العمل"/>
    <d v="1899-12-30T10:00:00"/>
    <d v="1899-12-30T17:00:00"/>
    <n v="0.29166666666666669"/>
    <x v="1"/>
    <n v="7"/>
  </r>
  <r>
    <x v="10"/>
    <d v="2024-11-13T00:00:00"/>
    <s v="الاربعاء "/>
    <x v="0"/>
    <s v="محمد صلاح "/>
    <s v="فك الخشب من حوائط خزان الاطفاء"/>
    <s v="تم العمل"/>
    <d v="1899-12-30T08:00:00"/>
    <d v="1899-12-30T16:00:00"/>
    <n v="0.33333333333333331"/>
    <x v="0"/>
    <n v="8"/>
  </r>
  <r>
    <x v="10"/>
    <d v="2024-11-13T00:00:00"/>
    <s v="الاربعاء "/>
    <x v="6"/>
    <s v="احمد ابوزيت"/>
    <s v="صيانة و نظافة مجر صرف الأمطار"/>
    <s v="تم العمل"/>
    <d v="1899-12-30T10:00:00"/>
    <d v="1899-12-30T17:30:00"/>
    <n v="0.31249999999999994"/>
    <x v="3"/>
    <n v="7.4999999999999982"/>
  </r>
  <r>
    <x v="10"/>
    <d v="2024-11-13T00:00:00"/>
    <s v="الاربعاء "/>
    <x v="0"/>
    <s v="محمد زنفل  "/>
    <s v="انشائات   "/>
    <s v="تم العمل"/>
    <d v="1899-12-30T12:00:00"/>
    <d v="1899-12-30T21:30:00"/>
    <n v="0.39583333333333337"/>
    <x v="2"/>
    <n v="9.5"/>
  </r>
  <r>
    <x v="10"/>
    <d v="2024-11-13T00:00:00"/>
    <s v="الاربعاء "/>
    <x v="14"/>
    <s v="انس احمد  "/>
    <s v="تركيب المصاعد "/>
    <s v="تم العمل"/>
    <d v="1899-12-30T10:00:00"/>
    <d v="1899-12-30T17:00:00"/>
    <n v="0.29166666666666669"/>
    <x v="1"/>
    <n v="7"/>
  </r>
  <r>
    <x v="10"/>
    <d v="2024-11-13T00:00:00"/>
    <s v="الاربعاء "/>
    <x v="5"/>
    <s v="احمد سعيد"/>
    <s v="اعمال سباكة "/>
    <s v="تم العمل"/>
    <d v="1899-12-30T12:00:00"/>
    <d v="1899-12-30T16:00:00"/>
    <n v="0.16666666666666663"/>
    <x v="1"/>
    <n v="3.9999999999999991"/>
  </r>
  <r>
    <x v="10"/>
    <d v="2024-11-14T00:00:00"/>
    <s v="الخميس "/>
    <x v="6"/>
    <s v="حسام جناد"/>
    <s v="تركيب كشافات انارة"/>
    <s v="تم العمل"/>
    <d v="1899-12-30T11:00:00"/>
    <d v="1899-12-30T15:00:00"/>
    <n v="0.16666666666666669"/>
    <x v="3"/>
    <n v="4"/>
  </r>
  <r>
    <x v="10"/>
    <d v="2024-11-14T00:00:00"/>
    <s v="الخميس "/>
    <x v="0"/>
    <s v="محمد زنفل  "/>
    <s v="انشائات   "/>
    <s v="تم العمل"/>
    <d v="1899-12-30T09:30:00"/>
    <d v="1899-12-30T15:30:00"/>
    <n v="0.25000000000000006"/>
    <x v="2"/>
    <n v="6.0000000000000018"/>
  </r>
  <r>
    <x v="10"/>
    <d v="2024-11-14T00:00:00"/>
    <s v="الخميس "/>
    <x v="0"/>
    <s v="محمد صلاح "/>
    <s v="اعمال صب الخرسانة"/>
    <s v="تم العمل"/>
    <d v="1899-12-30T08:00:00"/>
    <d v="1899-12-30T16:00:00"/>
    <n v="0.33333333333333331"/>
    <x v="0"/>
    <n v="8"/>
  </r>
  <r>
    <x v="10"/>
    <d v="2024-11-14T00:00:00"/>
    <s v="الخميس "/>
    <x v="5"/>
    <s v="احمد سعيد"/>
    <s v="تغيير صرف الامطار"/>
    <s v="تم العمل"/>
    <d v="1899-12-30T10:00:00"/>
    <d v="1899-12-30T17:00:00"/>
    <n v="0.29166666666666635"/>
    <x v="0"/>
    <n v="6.9999999999999929"/>
  </r>
  <r>
    <x v="10"/>
    <d v="2024-11-14T00:00:00"/>
    <s v="الخميس "/>
    <x v="5"/>
    <s v="محمد ابوسريع"/>
    <s v="اعمال محارة وبناء "/>
    <s v="تم العمل"/>
    <d v="1899-12-30T10:00:00"/>
    <d v="1899-12-30T17:00:00"/>
    <n v="0.29166666666666635"/>
    <x v="0"/>
    <n v="6.9999999999999929"/>
  </r>
  <r>
    <x v="10"/>
    <d v="2024-11-14T00:00:00"/>
    <s v="الخميس "/>
    <x v="14"/>
    <s v="انس احمد  "/>
    <s v="تركيب المصاعد "/>
    <s v="تم العمل"/>
    <d v="1899-12-30T10:00:00"/>
    <d v="1899-12-30T17:00:00"/>
    <n v="0.29166666666666669"/>
    <x v="1"/>
    <n v="7"/>
  </r>
  <r>
    <x v="10"/>
    <d v="2024-11-16T00:00:00"/>
    <s v="السبت "/>
    <x v="49"/>
    <s v="احمد محمد "/>
    <s v="تركيبات و لحام"/>
    <s v="تم العمل"/>
    <d v="1899-12-30T09:30:00"/>
    <d v="1899-12-30T22:30:00"/>
    <n v="0.54166666666666674"/>
    <x v="2"/>
    <n v="13.000000000000002"/>
  </r>
  <r>
    <x v="10"/>
    <d v="2024-11-16T00:00:00"/>
    <s v="السبت "/>
    <x v="10"/>
    <s v="احمد فرج    "/>
    <s v="تركيب فراشة بالشارع  "/>
    <s v="تم العمل"/>
    <d v="1899-12-30T11:00:00"/>
    <d v="1899-12-30T17:00:00"/>
    <n v="0.25000000000000006"/>
    <x v="0"/>
    <n v="6.0000000000000018"/>
  </r>
  <r>
    <x v="10"/>
    <d v="2024-11-16T00:00:00"/>
    <s v="السبت "/>
    <x v="0"/>
    <s v="محمد صلاح "/>
    <s v="اعمال صب الخرسانة"/>
    <s v="تم العمل"/>
    <d v="1899-12-30T08:00:00"/>
    <d v="1899-12-30T16:00:00"/>
    <n v="0.33333333333333331"/>
    <x v="0"/>
    <n v="8"/>
  </r>
  <r>
    <x v="10"/>
    <d v="2024-11-17T00:00:00"/>
    <s v="الاحد "/>
    <x v="0"/>
    <s v="مراد صالح"/>
    <s v="اعمال صب الخرسانة"/>
    <s v="تم العمل"/>
    <d v="1899-12-30T08:00:00"/>
    <d v="1899-12-30T16:00:00"/>
    <n v="0.33333333333333331"/>
    <x v="0"/>
    <n v="8"/>
  </r>
  <r>
    <x v="10"/>
    <d v="2024-11-17T00:00:00"/>
    <s v="الاحد "/>
    <x v="10"/>
    <s v="احمد فرج    "/>
    <s v="تركيب فراشة بالشارع  "/>
    <s v="تم العمل"/>
    <d v="1899-12-30T11:00:00"/>
    <d v="1899-12-30T17:00:00"/>
    <n v="0.25000000000000006"/>
    <x v="0"/>
    <n v="6.0000000000000018"/>
  </r>
  <r>
    <x v="10"/>
    <d v="2024-11-17T00:00:00"/>
    <s v="الاحد "/>
    <x v="0"/>
    <s v="محمد زنفل  "/>
    <s v="انشائات   "/>
    <s v="تم العمل"/>
    <d v="1899-12-30T10:00:00"/>
    <d v="1899-12-30T18:00:00"/>
    <n v="0.33333333333333331"/>
    <x v="2"/>
    <n v="8"/>
  </r>
  <r>
    <x v="10"/>
    <d v="2024-11-17T00:00:00"/>
    <s v="الاحد "/>
    <x v="14"/>
    <s v="انس احمد  "/>
    <s v="تركيب  المصاعد "/>
    <s v="تم العمل"/>
    <d v="1899-12-30T09:30:00"/>
    <d v="1899-12-30T17:30:00"/>
    <n v="0.33333333333333331"/>
    <x v="1"/>
    <n v="8"/>
  </r>
  <r>
    <x v="10"/>
    <d v="2024-11-18T00:00:00"/>
    <s v="الاثنين "/>
    <x v="0"/>
    <s v="محمد صلاح "/>
    <s v="استكمال اعمال خزان الحريق "/>
    <s v="تم العمل"/>
    <d v="1899-12-30T08:00:00"/>
    <d v="1899-12-30T17:00:00"/>
    <n v="0.37500000000000006"/>
    <x v="0"/>
    <n v="9.0000000000000018"/>
  </r>
  <r>
    <x v="10"/>
    <d v="2024-11-18T00:00:00"/>
    <s v="الاثنين "/>
    <x v="10"/>
    <s v="محمد صالح "/>
    <s v="عمل فراشة للساحات  "/>
    <s v="تم العمل"/>
    <d v="1899-12-30T10:00:00"/>
    <d v="1899-12-30T17:00:00"/>
    <n v="0.29166666666666669"/>
    <x v="0"/>
    <n v="7"/>
  </r>
  <r>
    <x v="10"/>
    <d v="2024-11-18T00:00:00"/>
    <s v="الاثنين "/>
    <x v="0"/>
    <s v="محمد زنفل  "/>
    <s v="انشائات   "/>
    <s v="تم العمل"/>
    <d v="1899-12-30T09:00:00"/>
    <d v="1899-12-30T19:30:00"/>
    <n v="0.4375"/>
    <x v="2"/>
    <n v="10.5"/>
  </r>
  <r>
    <x v="10"/>
    <d v="2024-11-18T00:00:00"/>
    <s v="الاثنين "/>
    <x v="49"/>
    <s v="احمد محمد "/>
    <s v="تركيبات و لحام"/>
    <s v="تم العمل"/>
    <d v="1899-12-30T10:30:00"/>
    <d v="1899-12-30T23:30:00"/>
    <n v="0.54166666666666663"/>
    <x v="2"/>
    <n v="13"/>
  </r>
  <r>
    <x v="10"/>
    <d v="2024-11-18T00:00:00"/>
    <s v="الاثنين "/>
    <x v="14"/>
    <s v="محمد جمال "/>
    <s v="تركيب المصاعد "/>
    <s v="تم العمل"/>
    <d v="1899-12-30T12:30:00"/>
    <d v="1899-12-30T18:00:00"/>
    <n v="0.22916666666666663"/>
    <x v="1"/>
    <n v="5.4999999999999991"/>
  </r>
  <r>
    <x v="10"/>
    <d v="2024-11-19T00:00:00"/>
    <s v="الثلاثاء "/>
    <x v="5"/>
    <s v="محمود عويس "/>
    <s v="صيانة الكولدير "/>
    <s v="تم العمل"/>
    <d v="1899-12-30T10:00:00"/>
    <d v="1899-12-30T11:00:00"/>
    <n v="4.166666666666663E-2"/>
    <x v="1"/>
    <n v="0.99999999999999911"/>
  </r>
  <r>
    <x v="10"/>
    <d v="2024-11-19T00:00:00"/>
    <s v="الثلاثاء "/>
    <x v="0"/>
    <s v="محمد زنفل  "/>
    <s v="انشائات   "/>
    <s v="تم العمل"/>
    <d v="1899-12-30T10:00:00"/>
    <d v="1899-12-30T21:00:00"/>
    <n v="0.45833333333333331"/>
    <x v="2"/>
    <n v="11"/>
  </r>
  <r>
    <x v="10"/>
    <d v="2024-11-19T00:00:00"/>
    <s v="الثلاثاء "/>
    <x v="49"/>
    <s v="احمد محمد "/>
    <s v="تركيبات و لحام"/>
    <s v="تم العمل"/>
    <d v="1899-12-30T15:00:00"/>
    <d v="1899-12-30T21:00:00"/>
    <n v="0.25"/>
    <x v="2"/>
    <n v="6"/>
  </r>
  <r>
    <x v="10"/>
    <d v="2024-11-19T00:00:00"/>
    <s v="الثلاثاء "/>
    <x v="10"/>
    <s v="احمد فرج    "/>
    <s v="تركيب فراشة بالشارع  "/>
    <s v="تم العمل"/>
    <d v="1899-12-30T08:00:00"/>
    <d v="1899-12-30T17:00:00"/>
    <n v="0.37500000000000006"/>
    <x v="0"/>
    <n v="9.0000000000000018"/>
  </r>
  <r>
    <x v="10"/>
    <d v="2024-11-19T00:00:00"/>
    <s v="الثلاثاء "/>
    <x v="6"/>
    <s v="اسلام صالح "/>
    <s v="عمل مفتاح كهربائي لطرمة الجوكي"/>
    <s v="تم العمل"/>
    <d v="1899-12-30T10:00:00"/>
    <d v="1899-12-30T17:00:00"/>
    <n v="0.29166666666666669"/>
    <x v="0"/>
    <n v="7"/>
  </r>
  <r>
    <x v="10"/>
    <d v="2024-11-19T00:00:00"/>
    <s v="الثلاثاء "/>
    <x v="0"/>
    <s v="مراد صالح"/>
    <s v="اعمال صب الخرسانة"/>
    <s v="تم العمل"/>
    <d v="1899-12-30T08:00:00"/>
    <d v="1899-12-30T17:00:00"/>
    <n v="0.37500000000000006"/>
    <x v="0"/>
    <n v="9.0000000000000018"/>
  </r>
  <r>
    <x v="10"/>
    <d v="2024-11-20T00:00:00"/>
    <s v="الاربعاء "/>
    <x v="6"/>
    <s v="محمود عويس"/>
    <s v="تركيب شبكات حماية للوحدة الخارجية للتكيف"/>
    <s v="تم العمل"/>
    <d v="1899-12-30T11:00:00"/>
    <d v="1899-12-30T13:00:00"/>
    <n v="8.3333333333333315E-2"/>
    <x v="3"/>
    <n v="1.9999999999999996"/>
  </r>
  <r>
    <x v="10"/>
    <d v="2024-11-20T00:00:00"/>
    <s v="الاربعاء "/>
    <x v="5"/>
    <s v="محمود عويس"/>
    <s v="صاينة كولدير المياه"/>
    <s v="تم العمل"/>
    <d v="1899-12-30T14:30:00"/>
    <d v="1899-12-30T15:30:00"/>
    <n v="4.1666666666666741E-2"/>
    <x v="0"/>
    <n v="1.0000000000000018"/>
  </r>
  <r>
    <x v="10"/>
    <d v="2024-11-21T00:00:00"/>
    <s v="الخميس "/>
    <x v="11"/>
    <s v="احمد شعبان "/>
    <s v="صيانة كالاركات"/>
    <s v="تم العمل"/>
    <d v="1899-12-30T10:00:00"/>
    <d v="1899-12-30T14:00:00"/>
    <n v="0.16666666666666669"/>
    <x v="4"/>
    <n v="4"/>
  </r>
  <r>
    <x v="10"/>
    <d v="2024-11-21T00:00:00"/>
    <s v="الخميس "/>
    <x v="0"/>
    <s v="محمد زنفل  "/>
    <s v="انشائات   "/>
    <s v="تم العمل"/>
    <d v="1899-12-30T11:30:00"/>
    <d v="1899-12-30T21:00:00"/>
    <n v="0.39583333333333331"/>
    <x v="2"/>
    <n v="9.5"/>
  </r>
  <r>
    <x v="10"/>
    <d v="2024-11-21T00:00:00"/>
    <s v="الخميس "/>
    <x v="49"/>
    <s v="احمد محمد "/>
    <s v="تركيبات و لحام"/>
    <s v="تم العمل"/>
    <d v="1899-12-30T10:00:00"/>
    <d v="1899-12-30T23:30:00"/>
    <n v="0.5625"/>
    <x v="2"/>
    <n v="13.5"/>
  </r>
  <r>
    <x v="10"/>
    <d v="2024-11-21T00:00:00"/>
    <s v="الخميس "/>
    <x v="14"/>
    <s v="انس احمد  "/>
    <s v="تركيب  المصاعد "/>
    <s v="تم العمل"/>
    <d v="1899-12-30T09:00:00"/>
    <d v="1899-12-30T16:00:00"/>
    <n v="0.29166666666666663"/>
    <x v="1"/>
    <n v="6.9999999999999991"/>
  </r>
  <r>
    <x v="10"/>
    <d v="2024-11-21T00:00:00"/>
    <s v="الخميس "/>
    <x v="10"/>
    <s v="احمد فرج    "/>
    <s v="تركيب فراشة بالشارع  "/>
    <s v="تم العمل"/>
    <d v="1899-12-30T12:30:00"/>
    <d v="1899-12-30T13:30:00"/>
    <n v="4.166666666666663E-2"/>
    <x v="0"/>
    <n v="0.99999999999999911"/>
  </r>
  <r>
    <x v="10"/>
    <d v="2024-11-21T00:00:00"/>
    <s v="الخميس "/>
    <x v="0"/>
    <s v="مراد صالح"/>
    <s v="اعمال صب الخرسانة"/>
    <s v="تم العمل"/>
    <d v="1899-12-30T08:00:00"/>
    <d v="1899-12-30T16:00:00"/>
    <n v="0.33333333333333331"/>
    <x v="0"/>
    <n v="8"/>
  </r>
  <r>
    <x v="10"/>
    <d v="2024-11-21T00:00:00"/>
    <s v="الخميس "/>
    <x v="11"/>
    <s v="احمد شعبان "/>
    <s v="صيانة كلارك "/>
    <s v="تم العمل"/>
    <d v="1899-12-30T10:00:00"/>
    <d v="1899-12-30T14:00:00"/>
    <n v="0.16666666666666669"/>
    <x v="4"/>
    <n v="4"/>
  </r>
  <r>
    <x v="10"/>
    <d v="2024-11-23T00:00:00"/>
    <s v="السبت "/>
    <x v="18"/>
    <s v="خليفة سليمان"/>
    <s v="صيانة غرف الطلمبات"/>
    <s v="تم العمل"/>
    <d v="1899-12-30T13:00:00"/>
    <d v="1899-12-30T17:00:00"/>
    <n v="0.16666666666666674"/>
    <x v="4"/>
    <n v="4.0000000000000018"/>
  </r>
  <r>
    <x v="10"/>
    <d v="2024-11-23T00:00:00"/>
    <s v="السبت "/>
    <x v="0"/>
    <s v="محمد زنفل  "/>
    <s v="انشائات   "/>
    <s v="تم العمل"/>
    <d v="1899-12-30T09:30:00"/>
    <d v="1899-12-30T18:00:00"/>
    <n v="0.35416666666666669"/>
    <x v="2"/>
    <n v="8.5"/>
  </r>
  <r>
    <x v="10"/>
    <d v="2024-11-23T00:00:00"/>
    <s v="السبت "/>
    <x v="0"/>
    <s v="مراد صالح"/>
    <s v="استكمال اعمال خزان الحريق "/>
    <s v="تم العمل"/>
    <d v="1899-12-30T08:00:00"/>
    <d v="1899-12-30T17:00:00"/>
    <n v="0.37500000000000006"/>
    <x v="0"/>
    <n v="9.0000000000000018"/>
  </r>
  <r>
    <x v="10"/>
    <d v="2024-11-23T00:00:00"/>
    <s v="السبت "/>
    <x v="0"/>
    <s v="محمد صلاح "/>
    <s v="استكمال اعمال شبابيك الالموتال"/>
    <s v="تم العمل"/>
    <d v="1899-12-30T10:00:00"/>
    <d v="1899-12-30T17:00:00"/>
    <n v="0.29166666666666669"/>
    <x v="1"/>
    <n v="7"/>
  </r>
  <r>
    <x v="10"/>
    <d v="2024-11-23T00:00:00"/>
    <s v="السبت "/>
    <x v="14"/>
    <s v="انس احمد  "/>
    <s v="تركيب  المصاعد "/>
    <s v="تم العمل"/>
    <d v="1899-12-30T10:00:00"/>
    <d v="1899-12-30T17:00:00"/>
    <n v="0.29166666666666669"/>
    <x v="1"/>
    <n v="7"/>
  </r>
  <r>
    <x v="10"/>
    <d v="2024-11-24T00:00:00"/>
    <s v="الاحد "/>
    <x v="0"/>
    <s v="مراد صالح"/>
    <s v="استكمال اعمال خزان الحريق "/>
    <s v="تم العمل"/>
    <d v="1899-12-30T08:00:00"/>
    <d v="1899-12-30T17:00:00"/>
    <n v="0.37500000000000006"/>
    <x v="0"/>
    <n v="9.0000000000000018"/>
  </r>
  <r>
    <x v="10"/>
    <d v="2024-11-24T00:00:00"/>
    <s v="الاحد "/>
    <x v="18"/>
    <s v="فيكتور لوندي"/>
    <s v="صيانة غرفة الطلمبات  "/>
    <s v="تم العمل"/>
    <d v="1899-12-30T10:30:00"/>
    <d v="1899-12-30T17:30:00"/>
    <n v="0.29166666666666663"/>
    <x v="4"/>
    <n v="6.9999999999999991"/>
  </r>
  <r>
    <x v="10"/>
    <d v="2024-11-24T00:00:00"/>
    <s v="الاحد "/>
    <x v="5"/>
    <s v="احمد سعيد"/>
    <s v="عمل سباكة للسخانات بالحمامات"/>
    <s v="تم العمل"/>
    <d v="1899-12-30T16:00:00"/>
    <d v="1899-12-30T17:00:00"/>
    <n v="4.1666666666666741E-2"/>
    <x v="0"/>
    <n v="1.0000000000000018"/>
  </r>
  <r>
    <x v="10"/>
    <d v="2024-11-25T00:00:00"/>
    <s v="الاثنين "/>
    <x v="14"/>
    <s v="انس احمد  "/>
    <s v="تركيب المصاعد "/>
    <s v="تم العمل"/>
    <d v="1899-12-30T10:00:00"/>
    <d v="1899-12-30T17:00:00"/>
    <n v="0.29166666666666669"/>
    <x v="1"/>
    <n v="7"/>
  </r>
  <r>
    <x v="10"/>
    <d v="2024-11-25T00:00:00"/>
    <s v="الاثنين "/>
    <x v="0"/>
    <s v="محمد صلاح "/>
    <s v="استكمال اعمال خزان الحريق "/>
    <s v="تم العمل"/>
    <d v="1899-12-30T08:00:00"/>
    <d v="1899-12-30T17:00:00"/>
    <n v="0.37500000000000006"/>
    <x v="0"/>
    <n v="9.0000000000000018"/>
  </r>
  <r>
    <x v="10"/>
    <d v="2024-11-25T00:00:00"/>
    <s v="الاثنين "/>
    <x v="0"/>
    <s v="محمد صلاح "/>
    <s v="تركيب الوميتال"/>
    <s v="تم العمل"/>
    <d v="1899-12-30T10:00:00"/>
    <d v="1899-12-30T17:00:00"/>
    <n v="0.29166666666666669"/>
    <x v="1"/>
    <n v="7"/>
  </r>
  <r>
    <x v="10"/>
    <d v="2024-11-26T00:00:00"/>
    <s v="الثلاثاء "/>
    <x v="56"/>
    <s v="حسام الدين محمد"/>
    <s v="عمل عزل بالمداخن الخاصة بماكينات الويب"/>
    <s v="تم العمل"/>
    <d v="1899-12-30T13:00:00"/>
    <d v="1899-12-30T16:00:00"/>
    <n v="0.125"/>
    <x v="3"/>
    <n v="3"/>
  </r>
  <r>
    <x v="10"/>
    <d v="2024-11-26T00:00:00"/>
    <s v="الثلاثاء "/>
    <x v="7"/>
    <s v="اسلام ابراهيم "/>
    <s v="مكافحة الحشرات "/>
    <s v="تم العمل"/>
    <d v="1899-12-30T12:00:00"/>
    <d v="1899-12-30T17:00:00"/>
    <n v="0.20833333333333337"/>
    <x v="3"/>
    <n v="5.0000000000000009"/>
  </r>
  <r>
    <x v="10"/>
    <d v="2024-11-26T00:00:00"/>
    <s v="الثلاثاء "/>
    <x v="7"/>
    <s v="اسلام ابراهيم "/>
    <s v="مكافحة الحشرات "/>
    <s v="تم العمل"/>
    <d v="1899-12-30T16:00:00"/>
    <d v="1899-12-30T17:00:00"/>
    <n v="4.1666666666666741E-2"/>
    <x v="0"/>
    <n v="1.0000000000000018"/>
  </r>
  <r>
    <x v="10"/>
    <d v="2024-11-26T00:00:00"/>
    <s v="الثلاثاء "/>
    <x v="14"/>
    <s v="انس احمد  "/>
    <s v="تركيب مصاعد"/>
    <s v="تم العمل"/>
    <d v="1899-12-30T10:00:00"/>
    <d v="1899-12-30T17:00:00"/>
    <n v="0.29166666666666669"/>
    <x v="1"/>
    <n v="7"/>
  </r>
  <r>
    <x v="10"/>
    <d v="2024-11-26T00:00:00"/>
    <s v="الثلاثاء "/>
    <x v="7"/>
    <s v="اسلام ابراهيم "/>
    <s v="مكافحة الحشرات "/>
    <s v="تم العمل"/>
    <d v="1899-12-30T15:00:00"/>
    <d v="1899-12-30T16:00:00"/>
    <n v="4.166666666666663E-2"/>
    <x v="4"/>
    <n v="0.99999999999999911"/>
  </r>
  <r>
    <x v="10"/>
    <d v="2024-11-26T00:00:00"/>
    <s v="الثلاثاء "/>
    <x v="0"/>
    <s v="ابراهيم سعد"/>
    <s v="انشائات   "/>
    <s v="تم العمل"/>
    <d v="1899-12-30T10:00:00"/>
    <d v="1899-12-30T22:00:00"/>
    <n v="0.49999999999999994"/>
    <x v="2"/>
    <n v="11.999999999999998"/>
  </r>
  <r>
    <x v="10"/>
    <d v="2024-11-26T00:00:00"/>
    <s v="الثلاثاء "/>
    <x v="36"/>
    <s v="احمد محمد "/>
    <s v="تركيبات"/>
    <s v="تم العمل"/>
    <d v="1899-12-30T14:00:00"/>
    <d v="1899-12-30T20:00:00"/>
    <n v="0.25"/>
    <x v="2"/>
    <n v="6"/>
  </r>
  <r>
    <x v="10"/>
    <d v="2024-11-27T00:00:00"/>
    <s v="الاربعاء "/>
    <x v="14"/>
    <s v="احمد السيد"/>
    <s v="تركيب مصاعد"/>
    <s v="تم العمل"/>
    <d v="1899-12-30T10:00:00"/>
    <d v="1899-12-30T17:00:00"/>
    <n v="0.29166666666666669"/>
    <x v="1"/>
    <n v="7"/>
  </r>
  <r>
    <x v="10"/>
    <d v="2024-11-27T00:00:00"/>
    <s v="الاربعاء "/>
    <x v="0"/>
    <s v="محمد صلاح "/>
    <s v="استكمال اعمال خزان الحريق "/>
    <s v="تم العمل"/>
    <d v="1899-12-30T08:00:00"/>
    <d v="1899-12-30T17:00:00"/>
    <n v="0.37500000000000006"/>
    <x v="0"/>
    <n v="9.0000000000000018"/>
  </r>
  <r>
    <x v="10"/>
    <d v="2024-11-27T00:00:00"/>
    <s v="الاربعاء "/>
    <x v="0"/>
    <s v="ابراهيم سعد"/>
    <s v="تركيبات"/>
    <s v="تم العمل"/>
    <d v="1899-12-30T10:00:00"/>
    <d v="1899-12-30T18:00:00"/>
    <n v="0.33333333333333331"/>
    <x v="2"/>
    <n v="8"/>
  </r>
  <r>
    <x v="10"/>
    <d v="2024-11-28T00:00:00"/>
    <s v="الخميس "/>
    <x v="0"/>
    <s v="محمد زنفل  "/>
    <s v="تركيبات"/>
    <s v="تم العمل"/>
    <d v="1899-12-30T09:30:00"/>
    <d v="1899-12-30T18:00:00"/>
    <n v="0.35416666666666669"/>
    <x v="2"/>
    <n v="8.5"/>
  </r>
  <r>
    <x v="10"/>
    <d v="2024-11-30T00:00:00"/>
    <s v="السبت "/>
    <x v="14"/>
    <s v="محمد احمد محمد"/>
    <s v="تركيب مصاعد"/>
    <s v="تم العمل"/>
    <d v="1899-12-30T10:00:00"/>
    <d v="1899-12-30T17:00:00"/>
    <n v="0.29166666666666669"/>
    <x v="1"/>
    <n v="7"/>
  </r>
  <r>
    <x v="10"/>
    <d v="2024-11-30T00:00:00"/>
    <s v="السبت "/>
    <x v="0"/>
    <s v="مراد صالح"/>
    <s v="استكمال اعمال خزان الحريق "/>
    <s v="تم العمل"/>
    <d v="1899-12-30T08:00:00"/>
    <d v="1899-12-30T17:00:00"/>
    <n v="0.37500000000000006"/>
    <x v="0"/>
    <n v="9.0000000000000018"/>
  </r>
  <r>
    <x v="10"/>
    <d v="2024-11-30T00:00:00"/>
    <s v="السبت "/>
    <x v="0"/>
    <s v="محمد زنفل  "/>
    <s v="انشائات   "/>
    <s v="تم العمل"/>
    <d v="1899-12-30T09:30:00"/>
    <d v="1899-12-30T21:00:00"/>
    <n v="0.47916666666666669"/>
    <x v="2"/>
    <n v="11.5"/>
  </r>
  <r>
    <x v="10"/>
    <d v="2024-11-30T00:00:00"/>
    <s v="السبت "/>
    <x v="61"/>
    <s v="سيد عادل"/>
    <s v="تركيبات"/>
    <s v="تم العمل"/>
    <d v="1899-12-30T10:15:00"/>
    <d v="1899-12-30T14:00:00"/>
    <n v="0.15625000000000006"/>
    <x v="2"/>
    <n v="3.7500000000000013"/>
  </r>
  <r>
    <x v="11"/>
    <d v="2024-12-01T00:00:00"/>
    <s v="الاحد "/>
    <x v="7"/>
    <s v="اسلام ابراهيم "/>
    <s v="مكافحة الحشرات "/>
    <s v="تم العمل"/>
    <d v="1899-12-30T10:30:00"/>
    <d v="1899-12-30T16:00:00"/>
    <n v="0.22916666666666663"/>
    <x v="3"/>
    <n v="5.4999999999999991"/>
  </r>
  <r>
    <x v="11"/>
    <d v="2024-12-01T00:00:00"/>
    <s v="الاحد "/>
    <x v="14"/>
    <s v="محمد احمد محمد"/>
    <s v="تركيب مصاعد"/>
    <s v="تم العمل"/>
    <d v="1899-12-30T10:00:00"/>
    <d v="1899-12-30T17:00:00"/>
    <n v="0.29166666666666635"/>
    <x v="1"/>
    <n v="6.9999999999999929"/>
  </r>
  <r>
    <x v="11"/>
    <d v="2024-12-01T00:00:00"/>
    <s v="الاحد "/>
    <x v="8"/>
    <s v="حامد عطوان      "/>
    <s v="صيانة غرفة الطلمبات  "/>
    <s v="تم العمل"/>
    <d v="1899-12-30T10:00:00"/>
    <d v="1899-12-30T16:00:00"/>
    <n v="0.24999999999999994"/>
    <x v="3"/>
    <n v="5.9999999999999982"/>
  </r>
  <r>
    <x v="11"/>
    <d v="2024-12-01T00:00:00"/>
    <s v="الاحد "/>
    <x v="0"/>
    <s v="محمد صلاح "/>
    <s v="استكمال اعمال خزان الحريق "/>
    <s v="تم العمل"/>
    <d v="1899-12-30T08:00:00"/>
    <d v="1899-12-30T17:00:00"/>
    <n v="0.37500000000000006"/>
    <x v="0"/>
    <n v="9.0000000000000018"/>
  </r>
  <r>
    <x v="11"/>
    <d v="2024-12-01T00:00:00"/>
    <s v="الاحد "/>
    <x v="5"/>
    <s v="احمد سعيد"/>
    <s v="تغيير صرف الامطار"/>
    <s v="تم العمل"/>
    <d v="1899-12-30T11:00:00"/>
    <d v="1899-12-30T17:00:00"/>
    <n v="0.25000000000000006"/>
    <x v="0"/>
    <n v="6.0000000000000018"/>
  </r>
  <r>
    <x v="11"/>
    <d v="2024-12-01T00:00:00"/>
    <s v="الاحد "/>
    <x v="0"/>
    <s v="ابراهيم سعد"/>
    <s v="انشائات"/>
    <s v="تم العمل"/>
    <d v="1899-12-30T10:00:00"/>
    <d v="1899-12-30T18:00:00"/>
    <n v="0.33333333333333331"/>
    <x v="2"/>
    <n v="8"/>
  </r>
  <r>
    <x v="11"/>
    <d v="2024-12-02T00:00:00"/>
    <s v="الاثنين "/>
    <x v="14"/>
    <s v="انس احمد  "/>
    <s v="تركيب مصاعد"/>
    <s v="تم العمل"/>
    <d v="1899-12-30T10:00:00"/>
    <d v="1899-12-30T17:00:00"/>
    <n v="0.29166666666666635"/>
    <x v="1"/>
    <n v="6.9999999999999929"/>
  </r>
  <r>
    <x v="11"/>
    <d v="2024-12-02T00:00:00"/>
    <s v="الاثنين "/>
    <x v="6"/>
    <s v="عبدالله عبدالعليم طه"/>
    <s v="اعمال بناء"/>
    <s v="تم العمل"/>
    <d v="1899-12-30T12:00:00"/>
    <d v="1899-12-30T17:00:00"/>
    <n v="0.20833333333333304"/>
    <x v="1"/>
    <n v="4.9999999999999929"/>
  </r>
  <r>
    <x v="11"/>
    <d v="2024-12-02T00:00:00"/>
    <s v="الاثنين "/>
    <x v="13"/>
    <s v="رامي السعيد"/>
    <s v="صيانة كراسي مكتب "/>
    <s v="تم العمل"/>
    <d v="1899-12-30T14:00:00"/>
    <d v="1899-12-30T15:00:00"/>
    <n v="4.166666666666663E-2"/>
    <x v="3"/>
    <n v="0.99999999999999911"/>
  </r>
  <r>
    <x v="11"/>
    <d v="2024-12-02T00:00:00"/>
    <s v="الاثنين "/>
    <x v="8"/>
    <s v="حامد عطوان      "/>
    <s v="صيانة غرفة الطلمبات  "/>
    <s v="تم العمل"/>
    <d v="1899-12-30T10:00:00"/>
    <d v="1899-12-30T17:00:00"/>
    <n v="0.29166666666666669"/>
    <x v="3"/>
    <n v="7"/>
  </r>
  <r>
    <x v="11"/>
    <d v="2024-12-02T00:00:00"/>
    <s v="الاثنين "/>
    <x v="0"/>
    <s v="مراد صالح"/>
    <s v="استكمال اعمال خزان الحريق "/>
    <s v="تم العمل"/>
    <d v="1899-12-30T08:00:00"/>
    <d v="1899-12-30T17:00:00"/>
    <n v="0.37500000000000006"/>
    <x v="0"/>
    <n v="9.0000000000000018"/>
  </r>
  <r>
    <x v="11"/>
    <d v="2024-12-02T00:00:00"/>
    <s v="الاثنين "/>
    <x v="0"/>
    <s v="ابراهيم سعد"/>
    <s v="انشائات"/>
    <s v="تم العمل"/>
    <d v="1899-12-30T09:30:00"/>
    <d v="1899-12-30T18:00:00"/>
    <n v="0.35416666666666669"/>
    <x v="2"/>
    <n v="8.5"/>
  </r>
  <r>
    <x v="11"/>
    <d v="2024-12-03T00:00:00"/>
    <s v="الثلاثاء "/>
    <x v="14"/>
    <s v="انس احمد  "/>
    <s v="تركيب مصاعد"/>
    <s v="تم العمل"/>
    <d v="1899-12-30T10:00:00"/>
    <d v="1899-12-30T17:30:00"/>
    <n v="0.31249999999999994"/>
    <x v="1"/>
    <n v="7.4999999999999982"/>
  </r>
  <r>
    <x v="11"/>
    <d v="2024-12-03T00:00:00"/>
    <s v="الثلاثاء "/>
    <x v="8"/>
    <s v="حامد عطوان"/>
    <s v="صيانة غرفة الطلمبات  "/>
    <s v="تم العمل"/>
    <d v="1899-12-30T10:00:00"/>
    <d v="1899-12-30T11:00:00"/>
    <n v="4.166666666666663E-2"/>
    <x v="3"/>
    <n v="0.99999999999999911"/>
  </r>
  <r>
    <x v="11"/>
    <d v="2024-12-03T00:00:00"/>
    <s v="الثلاثاء "/>
    <x v="0"/>
    <s v="محمد صلاح "/>
    <s v="استكمال اعمال خزان الحريق "/>
    <s v="تم العمل"/>
    <d v="1899-12-30T08:00:00"/>
    <d v="1899-12-30T17:00:00"/>
    <n v="0.37500000000000006"/>
    <x v="0"/>
    <n v="9.0000000000000018"/>
  </r>
  <r>
    <x v="11"/>
    <d v="2024-12-03T00:00:00"/>
    <s v="الثلاثاء "/>
    <x v="0"/>
    <s v="ابراهيم سعد"/>
    <s v="انشائات"/>
    <s v="تم العمل"/>
    <d v="1899-12-30T09:30:00"/>
    <d v="1899-12-30T18:00:00"/>
    <n v="0.35416666666666669"/>
    <x v="2"/>
    <n v="8.5"/>
  </r>
  <r>
    <x v="11"/>
    <d v="2024-12-04T00:00:00"/>
    <s v="الاربعاء "/>
    <x v="14"/>
    <s v="انس احمد  "/>
    <s v="تركيب مصاعد"/>
    <s v="تم العمل"/>
    <d v="1899-12-30T10:00:00"/>
    <d v="1899-12-30T17:00:00"/>
    <n v="0.29166666666666635"/>
    <x v="1"/>
    <n v="6.9999999999999929"/>
  </r>
  <r>
    <x v="11"/>
    <d v="2024-12-04T00:00:00"/>
    <s v="الاربعاء "/>
    <x v="0"/>
    <s v="محمد صلاح "/>
    <s v="استكمال اعمال خزان الحريق "/>
    <s v="تم العمل"/>
    <d v="1899-12-30T08:00:00"/>
    <d v="1899-12-30T17:00:00"/>
    <n v="0.37500000000000006"/>
    <x v="0"/>
    <n v="9.0000000000000018"/>
  </r>
  <r>
    <x v="11"/>
    <d v="2024-12-04T00:00:00"/>
    <s v="الاربعاء "/>
    <x v="0"/>
    <s v="ابراهيم سعد"/>
    <s v="انشائات   "/>
    <s v="تم العمل"/>
    <d v="1899-12-30T13:00:00"/>
    <d v="1899-12-30T18:00:00"/>
    <n v="0.20833333333333337"/>
    <x v="2"/>
    <n v="5.0000000000000009"/>
  </r>
  <r>
    <x v="11"/>
    <d v="2024-12-05T00:00:00"/>
    <s v="الخميس "/>
    <x v="0"/>
    <s v="مراد صالح"/>
    <s v="استكمال اعمال خزان الحريق "/>
    <s v="تم العمل"/>
    <d v="1899-12-30T08:00:00"/>
    <d v="1899-12-30T17:00:00"/>
    <n v="0.37500000000000006"/>
    <x v="0"/>
    <n v="9.0000000000000018"/>
  </r>
  <r>
    <x v="11"/>
    <d v="2024-12-05T00:00:00"/>
    <s v="الخميس "/>
    <x v="64"/>
    <s v="خليل محمود"/>
    <s v="اعمل سباكة"/>
    <s v="تم العمل"/>
    <d v="1899-12-30T10:00:00"/>
    <d v="1899-12-30T13:30:00"/>
    <n v="0.14583333333333331"/>
    <x v="3"/>
    <n v="3.4999999999999996"/>
  </r>
  <r>
    <x v="11"/>
    <d v="2024-12-05T00:00:00"/>
    <s v="الخميس "/>
    <x v="13"/>
    <s v="اسلام مصطفى    "/>
    <s v="صيانة ماكينة CTP"/>
    <s v="تم العمل"/>
    <d v="1899-12-30T12:30:00"/>
    <d v="1899-12-30T17:00:00"/>
    <n v="0.1875"/>
    <x v="3"/>
    <n v="4.5"/>
  </r>
  <r>
    <x v="11"/>
    <d v="2024-12-07T00:00:00"/>
    <s v="السبت "/>
    <x v="14"/>
    <s v="انس احمد  "/>
    <s v="تركيب مصاعد"/>
    <s v="تم العمل"/>
    <d v="1899-12-30T10:00:00"/>
    <d v="1899-12-30T17:00:00"/>
    <n v="0.29166666666666635"/>
    <x v="1"/>
    <n v="6.9999999999999929"/>
  </r>
  <r>
    <x v="11"/>
    <d v="2024-12-07T00:00:00"/>
    <s v="السبت "/>
    <x v="7"/>
    <s v="محمد مهنى  "/>
    <s v="مكافحة قوارض وحشرات"/>
    <s v="تم العمل"/>
    <d v="1899-12-30T11:00:00"/>
    <d v="1899-12-30T13:30:00"/>
    <n v="0.10416666666666702"/>
    <x v="3"/>
    <n v="2.5000000000000084"/>
  </r>
  <r>
    <x v="11"/>
    <d v="2024-12-07T00:00:00"/>
    <s v="السبت "/>
    <x v="11"/>
    <s v="احمد شعبان "/>
    <s v="صيانة كلارك"/>
    <s v="تم العمل"/>
    <d v="1899-12-30T16:30:00"/>
    <d v="1899-12-30T17:30:00"/>
    <n v="4.166666666666663E-2"/>
    <x v="3"/>
    <n v="0.99999999999999911"/>
  </r>
  <r>
    <x v="11"/>
    <d v="2024-12-07T00:00:00"/>
    <s v="السبت "/>
    <x v="0"/>
    <s v="مراد صالح"/>
    <s v="استكمال اعمال خزان الحريق "/>
    <s v="تم العمل"/>
    <d v="1899-12-30T08:00:00"/>
    <d v="1899-12-30T17:00:00"/>
    <n v="0.37500000000000006"/>
    <x v="0"/>
    <n v="9.0000000000000018"/>
  </r>
  <r>
    <x v="11"/>
    <d v="2024-12-07T00:00:00"/>
    <s v="السبت "/>
    <x v="65"/>
    <s v="محمد علي "/>
    <s v="تركيب تكييف"/>
    <s v="تم العمل"/>
    <d v="1899-12-30T11:00:00"/>
    <d v="1899-12-30T18:00:00"/>
    <n v="0.29166666666666669"/>
    <x v="2"/>
    <n v="7"/>
  </r>
  <r>
    <x v="11"/>
    <d v="2024-12-07T00:00:00"/>
    <s v="السبت "/>
    <x v="0"/>
    <s v="محمد زنفل  "/>
    <s v="انشائات"/>
    <s v="تم العمل"/>
    <d v="1899-12-30T10:00:00"/>
    <d v="1899-12-30T18:00:00"/>
    <n v="0.33333333333333331"/>
    <x v="2"/>
    <n v="8"/>
  </r>
  <r>
    <x v="11"/>
    <d v="2024-12-08T00:00:00"/>
    <s v="الاحد "/>
    <x v="8"/>
    <s v="علي الشحات "/>
    <s v="المرور الشهري على نظام الانذار"/>
    <s v="تم العمل"/>
    <d v="1899-12-30T11:00:00"/>
    <d v="1899-12-30T13:30:00"/>
    <n v="0.10416666666666702"/>
    <x v="3"/>
    <n v="2.5000000000000084"/>
  </r>
  <r>
    <x v="11"/>
    <d v="2024-12-08T00:00:00"/>
    <s v="الاحد "/>
    <x v="14"/>
    <s v="انس احمد  "/>
    <s v="تركيب مصاعد"/>
    <s v="تم العمل"/>
    <d v="1899-12-30T10:00:00"/>
    <d v="1899-12-30T17:00:00"/>
    <n v="0.29166666666666669"/>
    <x v="1"/>
    <n v="7"/>
  </r>
  <r>
    <x v="11"/>
    <d v="2024-12-08T00:00:00"/>
    <s v="الاحد "/>
    <x v="8"/>
    <s v="علي الشحات "/>
    <s v="المرور الشهري على نظام الانذار"/>
    <s v="تم العمل"/>
    <d v="1899-12-30T10:00:00"/>
    <d v="1899-12-30T11:00:00"/>
    <n v="4.166666666666663E-2"/>
    <x v="1"/>
    <n v="0.99999999999999911"/>
  </r>
  <r>
    <x v="11"/>
    <d v="2024-12-08T00:00:00"/>
    <s v="الاحد "/>
    <x v="7"/>
    <s v="محمد احمد"/>
    <s v="مكافحة قوارض وحشرات"/>
    <s v="تم العمل"/>
    <d v="1899-12-30T14:00:00"/>
    <d v="1899-12-30T15:00:00"/>
    <n v="4.166666666666663E-2"/>
    <x v="1"/>
    <n v="0.99999999999999911"/>
  </r>
  <r>
    <x v="11"/>
    <d v="2024-12-08T00:00:00"/>
    <s v="الاحد "/>
    <x v="0"/>
    <s v="مراد صالح"/>
    <s v="استكمال اعمال خزان الحريق "/>
    <s v="تم العمل"/>
    <d v="1899-12-30T08:00:00"/>
    <d v="1899-12-30T17:00:00"/>
    <n v="0.37500000000000006"/>
    <x v="0"/>
    <n v="9.0000000000000018"/>
  </r>
  <r>
    <x v="11"/>
    <d v="2024-12-08T00:00:00"/>
    <s v="الاحد "/>
    <x v="8"/>
    <s v="علي الشحات "/>
    <s v="المرور الشهري على نظام الانذار"/>
    <s v="تم العمل"/>
    <d v="1899-12-30T13:00:00"/>
    <d v="1899-12-30T14:00:00"/>
    <n v="4.1666666666666741E-2"/>
    <x v="0"/>
    <n v="1.0000000000000018"/>
  </r>
  <r>
    <x v="11"/>
    <d v="2024-12-08T00:00:00"/>
    <s v="الاحد "/>
    <x v="64"/>
    <s v="عمرو عصام"/>
    <s v="صيانة كلاركات "/>
    <s v="تم العمل"/>
    <d v="1899-12-30T14:00:00"/>
    <d v="1899-12-30T15:00:00"/>
    <n v="4.1666666666666963E-2"/>
    <x v="0"/>
    <n v="1.0000000000000071"/>
  </r>
  <r>
    <x v="11"/>
    <d v="2024-12-08T00:00:00"/>
    <s v="الاحد "/>
    <x v="8"/>
    <s v="حامد ابو المجد "/>
    <s v="المرور الشهري على نظام الانذار"/>
    <s v="تم العمل"/>
    <d v="1899-12-30T14:30:00"/>
    <d v="1899-12-30T16:00:00"/>
    <n v="6.25E-2"/>
    <x v="0"/>
    <n v="1.5"/>
  </r>
  <r>
    <x v="11"/>
    <d v="2024-12-08T00:00:00"/>
    <s v="الاحد "/>
    <x v="7"/>
    <s v="احمد محمد "/>
    <s v="مكافحة قوارض وحشرات"/>
    <s v="تم العمل"/>
    <d v="1899-12-30T15:30:00"/>
    <d v="1899-12-30T16:30:00"/>
    <n v="4.1666666666666963E-2"/>
    <x v="0"/>
    <n v="1.0000000000000071"/>
  </r>
  <r>
    <x v="11"/>
    <d v="2024-12-08T00:00:00"/>
    <s v="الاحد "/>
    <x v="0"/>
    <s v="ابراهيم سعد"/>
    <s v="انشائات   "/>
    <s v="تم العمل"/>
    <d v="1899-12-30T10:00:00"/>
    <d v="1899-12-30T20:00:00"/>
    <n v="0.41666666666666669"/>
    <x v="2"/>
    <n v="10"/>
  </r>
  <r>
    <x v="11"/>
    <d v="2024-12-09T00:00:00"/>
    <s v="الاثنين "/>
    <x v="0"/>
    <s v="ابراهيم سعد"/>
    <s v="انشائات   "/>
    <s v="تم العمل"/>
    <d v="1899-12-30T10:00:00"/>
    <d v="1899-12-30T18:00:00"/>
    <n v="0.33333333333333331"/>
    <x v="2"/>
    <n v="8"/>
  </r>
  <r>
    <x v="11"/>
    <d v="2024-12-09T00:00:00"/>
    <s v="الاثنين "/>
    <x v="0"/>
    <s v="مراد صالح"/>
    <s v="استكمال اعمال خزان الحريق "/>
    <s v="تم العمل"/>
    <d v="1899-12-30T08:00:00"/>
    <d v="1899-12-30T17:00:00"/>
    <n v="0.37500000000000006"/>
    <x v="0"/>
    <n v="9.0000000000000018"/>
  </r>
  <r>
    <x v="11"/>
    <d v="2024-12-09T00:00:00"/>
    <s v="الاثنين "/>
    <x v="14"/>
    <s v="انس احمد  "/>
    <s v="تركيب مصاعد"/>
    <s v="تم العمل"/>
    <d v="1899-12-30T10:00:00"/>
    <d v="1899-12-30T20:00:00"/>
    <n v="0.41666666666666669"/>
    <x v="1"/>
    <n v="10"/>
  </r>
  <r>
    <x v="11"/>
    <d v="2024-12-10T00:00:00"/>
    <s v="الثلاثاء "/>
    <x v="0"/>
    <s v="ابراهيم سعد"/>
    <s v="انشائات   "/>
    <s v="تم العمل"/>
    <d v="1899-12-30T10:00:00"/>
    <d v="1899-12-30T18:00:00"/>
    <n v="0.33333333333333331"/>
    <x v="2"/>
    <n v="8"/>
  </r>
  <r>
    <x v="11"/>
    <d v="2024-12-10T00:00:00"/>
    <s v="الثلاثاء "/>
    <x v="7"/>
    <s v="اسلام ابراهيم "/>
    <s v="مكافحة الحشرات "/>
    <s v="تم العمل"/>
    <d v="1899-12-30T16:30:00"/>
    <d v="1899-12-30T17:30:00"/>
    <n v="4.166666666666663E-2"/>
    <x v="3"/>
    <n v="0.99999999999999911"/>
  </r>
  <r>
    <x v="11"/>
    <d v="2024-12-11T00:00:00"/>
    <s v="الاربعاء "/>
    <x v="34"/>
    <s v="رامي محمد"/>
    <s v="صيانة شبابيك الالمونتال "/>
    <s v="تم العمل"/>
    <d v="1899-12-30T14:30:00"/>
    <d v="1899-12-30T16:00:00"/>
    <n v="6.25E-2"/>
    <x v="3"/>
    <n v="1.5"/>
  </r>
  <r>
    <x v="11"/>
    <d v="2024-12-11T00:00:00"/>
    <s v="الاربعاء "/>
    <x v="5"/>
    <s v="محمود عويس"/>
    <s v="صيانة ثلاجة تبريد "/>
    <s v="تم العمل"/>
    <d v="1899-12-30T10:30:00"/>
    <d v="1899-12-30T12:30:00"/>
    <n v="8.333333333333337E-2"/>
    <x v="3"/>
    <n v="2.0000000000000009"/>
  </r>
  <r>
    <x v="11"/>
    <d v="2024-12-11T00:00:00"/>
    <s v="الاربعاء "/>
    <x v="0"/>
    <s v="محمد صلاح "/>
    <s v="استكمال اعمال خزان الحريق "/>
    <s v="تم العمل"/>
    <d v="1899-12-30T08:00:00"/>
    <d v="1899-12-30T17:00:00"/>
    <n v="0.37500000000000006"/>
    <x v="0"/>
    <n v="9.0000000000000018"/>
  </r>
  <r>
    <x v="11"/>
    <d v="2024-12-12T00:00:00"/>
    <s v="الخميس "/>
    <x v="0"/>
    <s v="محمد صلاح "/>
    <s v="استكمال اعمال خزان الحريق "/>
    <s v="تم العمل"/>
    <d v="1899-12-30T08:00:00"/>
    <d v="1899-12-30T17:00:00"/>
    <n v="0.37500000000000006"/>
    <x v="0"/>
    <n v="9.0000000000000018"/>
  </r>
  <r>
    <x v="11"/>
    <d v="2024-12-14T00:00:00"/>
    <s v="السبت "/>
    <x v="10"/>
    <s v="فرج محمد "/>
    <s v="تركيب فراشة بالشارع  "/>
    <s v="تم العمل"/>
    <d v="1899-12-30T10:00:00"/>
    <d v="1899-12-30T18:00:00"/>
    <n v="0.33333333333333331"/>
    <x v="0"/>
    <n v="8"/>
  </r>
  <r>
    <x v="11"/>
    <d v="2024-12-14T00:00:00"/>
    <s v="السبت "/>
    <x v="14"/>
    <s v="انس احمد  "/>
    <s v="تركيب مصاعد"/>
    <s v="تم العمل"/>
    <d v="1899-12-30T10:00:00"/>
    <d v="1899-12-30T17:00:00"/>
    <n v="0.29166666666666669"/>
    <x v="1"/>
    <n v="7"/>
  </r>
  <r>
    <x v="11"/>
    <d v="2024-12-14T00:00:00"/>
    <s v="السبت "/>
    <x v="11"/>
    <s v="احمد شعبان "/>
    <s v="صيانة كلارك"/>
    <s v="تم العمل"/>
    <d v="1899-12-30T13:00:00"/>
    <d v="1899-12-30T17:30:00"/>
    <n v="0.1875"/>
    <x v="4"/>
    <n v="4.5"/>
  </r>
  <r>
    <x v="11"/>
    <d v="2024-12-14T00:00:00"/>
    <s v="السبت "/>
    <x v="0"/>
    <s v="يحيى طه"/>
    <s v="تركيب سيراميك"/>
    <s v="تم العمل"/>
    <d v="1899-12-30T09:00:00"/>
    <d v="1899-12-30T19:00:00"/>
    <n v="0.41666666666666663"/>
    <x v="2"/>
    <n v="10"/>
  </r>
  <r>
    <x v="11"/>
    <d v="2024-12-14T00:00:00"/>
    <s v="السبت "/>
    <x v="0"/>
    <s v="يحيى طه"/>
    <s v="توصيل كابلات"/>
    <s v="تم العمل"/>
    <d v="1899-12-30T09:30:00"/>
    <d v="1899-12-30T22:00:00"/>
    <n v="0.52083333333333326"/>
    <x v="2"/>
    <n v="12.499999999999998"/>
  </r>
  <r>
    <x v="11"/>
    <d v="2024-12-14T00:00:00"/>
    <s v="السبت "/>
    <x v="65"/>
    <s v="وليد فتحي"/>
    <s v="تركيب تكييفات"/>
    <s v="تم العمل"/>
    <d v="1899-12-30T11:30:00"/>
    <d v="1899-12-30T12:00:00"/>
    <n v="2.0833333333333315E-2"/>
    <x v="2"/>
    <n v="0.49999999999999956"/>
  </r>
  <r>
    <x v="11"/>
    <d v="2024-12-15T00:00:00"/>
    <s v="الاحد "/>
    <x v="34"/>
    <s v="رامي محمد"/>
    <s v="تركيب الوميتال"/>
    <s v="تم العمل"/>
    <d v="1899-12-30T14:00:00"/>
    <d v="1899-12-30T17:00:00"/>
    <n v="0.125"/>
    <x v="3"/>
    <n v="3"/>
  </r>
  <r>
    <x v="11"/>
    <d v="2024-12-15T00:00:00"/>
    <s v="الاحد "/>
    <x v="7"/>
    <s v="محمد مهنى  "/>
    <s v="مكافحة القوارض والحشرات"/>
    <s v="تم العمل"/>
    <d v="1899-12-30T13:00:00"/>
    <d v="1899-12-30T16:00:00"/>
    <n v="0.125"/>
    <x v="3"/>
    <n v="3"/>
  </r>
  <r>
    <x v="11"/>
    <d v="2024-12-15T00:00:00"/>
    <s v="الاحد "/>
    <x v="14"/>
    <s v="انس احمد  "/>
    <s v="تركيب مصاعد"/>
    <s v="تم العمل"/>
    <d v="1899-12-30T10:00:00"/>
    <d v="1899-12-30T16:00:00"/>
    <n v="0.24999999999999994"/>
    <x v="1"/>
    <n v="5.9999999999999982"/>
  </r>
  <r>
    <x v="11"/>
    <d v="2024-12-15T00:00:00"/>
    <s v="الاحد "/>
    <x v="5"/>
    <s v="احمد سعيد"/>
    <s v="اعمال سباكة "/>
    <s v="تم العمل"/>
    <d v="1899-12-30T13:00:00"/>
    <d v="1899-12-30T17:00:00"/>
    <n v="0.16666666666666641"/>
    <x v="0"/>
    <n v="3.9999999999999938"/>
  </r>
  <r>
    <x v="11"/>
    <d v="2024-12-15T00:00:00"/>
    <s v="الاحد "/>
    <x v="10"/>
    <s v="احمد فرج"/>
    <s v="اعمال فراشة"/>
    <s v="تم العمل"/>
    <d v="1899-12-30T10:00:00"/>
    <d v="1899-12-30T17:00:00"/>
    <n v="0.29166666666666669"/>
    <x v="0"/>
    <n v="7"/>
  </r>
  <r>
    <x v="11"/>
    <d v="2024-12-15T00:00:00"/>
    <s v="الاحد "/>
    <x v="0"/>
    <s v="مراد صالح"/>
    <s v="استكمال اعمال خزان الحريق "/>
    <s v="تم العمل"/>
    <d v="1899-12-30T08:00:00"/>
    <d v="1899-12-30T17:00:00"/>
    <n v="0.37500000000000006"/>
    <x v="0"/>
    <n v="9.0000000000000018"/>
  </r>
  <r>
    <x v="11"/>
    <d v="2024-12-15T00:00:00"/>
    <s v="الاحد "/>
    <x v="0"/>
    <s v="وائل انور مصطفى  "/>
    <s v="اعمال دهانات"/>
    <s v="تم العمل"/>
    <d v="1899-12-30T11:00:00"/>
    <d v="1899-12-30T17:30:00"/>
    <n v="0.27083333333333331"/>
    <x v="2"/>
    <n v="6.5"/>
  </r>
  <r>
    <x v="11"/>
    <d v="2024-12-15T00:00:00"/>
    <s v="الاحد "/>
    <x v="0"/>
    <s v="وائل انور مصطفى  "/>
    <s v="اعمال سباكة "/>
    <s v="تم العمل"/>
    <d v="1899-12-30T11:00:00"/>
    <d v="1899-12-30T17:30:00"/>
    <n v="0.27083333333333331"/>
    <x v="2"/>
    <n v="6.5"/>
  </r>
  <r>
    <x v="11"/>
    <d v="2024-12-16T00:00:00"/>
    <s v="الاثنين "/>
    <x v="14"/>
    <s v="انس احمد  "/>
    <s v="تركيب مصاعد"/>
    <s v="تم العمل"/>
    <d v="1899-12-30T10:00:00"/>
    <d v="1899-12-30T17:00:00"/>
    <n v="0.29166666666666669"/>
    <x v="1"/>
    <n v="7"/>
  </r>
  <r>
    <x v="11"/>
    <d v="2024-12-16T00:00:00"/>
    <s v="الاثنين "/>
    <x v="0"/>
    <s v="محمد زنفل  "/>
    <s v="انشائات"/>
    <s v="تم العمل"/>
    <d v="1899-12-30T10:00:00"/>
    <d v="1899-12-30T13:00:00"/>
    <n v="0.12499999999999994"/>
    <x v="2"/>
    <n v="2.9999999999999987"/>
  </r>
  <r>
    <x v="11"/>
    <d v="2024-12-16T00:00:00"/>
    <s v="الاثنين "/>
    <x v="10"/>
    <s v="احمد فرج"/>
    <s v="اعمال فراشة"/>
    <s v="تم العمل"/>
    <d v="1899-12-30T10:00:00"/>
    <d v="1899-12-30T17:00:00"/>
    <n v="0.29166666666666669"/>
    <x v="0"/>
    <n v="7"/>
  </r>
  <r>
    <x v="11"/>
    <d v="2024-12-16T00:00:00"/>
    <s v="الاثنين "/>
    <x v="0"/>
    <s v="مراد صالح"/>
    <s v="استكمال اعمال خزان الحريق "/>
    <s v="تم العمل"/>
    <d v="1899-12-30T08:00:00"/>
    <d v="1899-12-30T17:00:00"/>
    <n v="0.37500000000000006"/>
    <x v="0"/>
    <n v="9.0000000000000018"/>
  </r>
  <r>
    <x v="11"/>
    <d v="2024-12-16T00:00:00"/>
    <s v="الاثنين "/>
    <x v="11"/>
    <s v="محمد رمضان   "/>
    <s v="عمل صيانة كلاركات "/>
    <s v="تم العمل"/>
    <d v="1899-12-30T16:00:00"/>
    <d v="1899-12-30T17:30:00"/>
    <n v="6.25E-2"/>
    <x v="4"/>
    <n v="1.5"/>
  </r>
  <r>
    <x v="11"/>
    <d v="2024-12-16T00:00:00"/>
    <s v="الاثنين "/>
    <x v="5"/>
    <s v="محمد خليل     "/>
    <s v="تركيب كشاف كهرباء  "/>
    <s v="تم العمل"/>
    <d v="1899-12-30T11:30:00"/>
    <d v="1899-12-30T12:00:00"/>
    <n v="2.0833333333333315E-2"/>
    <x v="3"/>
    <n v="0.49999999999999956"/>
  </r>
  <r>
    <x v="11"/>
    <d v="2024-12-17T00:00:00"/>
    <s v="الثلاثاء "/>
    <x v="6"/>
    <s v="حسام جنات"/>
    <s v="صيانةكشاف كهربئي"/>
    <s v="تم العمل"/>
    <d v="1899-12-30T15:00:00"/>
    <d v="1899-12-30T17:00:00"/>
    <n v="8.333333333333337E-2"/>
    <x v="3"/>
    <n v="2.0000000000000009"/>
  </r>
  <r>
    <x v="11"/>
    <d v="2024-12-17T00:00:00"/>
    <s v="الثلاثاء "/>
    <x v="6"/>
    <s v="محمد على"/>
    <s v="صيانة كالاركات"/>
    <s v="تم العمل"/>
    <d v="1899-12-30T15:00:00"/>
    <d v="1899-12-30T17:00:00"/>
    <n v="8.333333333333337E-2"/>
    <x v="1"/>
    <n v="2.0000000000000009"/>
  </r>
  <r>
    <x v="11"/>
    <d v="2024-12-17T00:00:00"/>
    <s v="الثلاثاء "/>
    <x v="5"/>
    <s v="احمد سعيد"/>
    <s v="صيانة كاتور المياة"/>
    <s v="تم العمل"/>
    <d v="1899-12-30T11:00:00"/>
    <d v="1899-12-30T14:00:00"/>
    <n v="0.12500000000000006"/>
    <x v="0"/>
    <n v="3.0000000000000013"/>
  </r>
  <r>
    <x v="11"/>
    <d v="2024-12-17T00:00:00"/>
    <s v="الثلاثاء "/>
    <x v="20"/>
    <s v="خالد ممدوح"/>
    <s v="معاينة نظام الانذار"/>
    <s v="تم العمل"/>
    <d v="1899-12-30T13:00:00"/>
    <d v="1899-12-30T14:00:00"/>
    <n v="4.1666666666666741E-2"/>
    <x v="2"/>
    <n v="1.0000000000000018"/>
  </r>
  <r>
    <x v="11"/>
    <d v="2024-12-17T00:00:00"/>
    <s v="الثلاثاء "/>
    <x v="10"/>
    <s v="احمد فرج"/>
    <s v="اعمال فراشة"/>
    <s v="تم العمل"/>
    <d v="1899-12-30T09:00:00"/>
    <d v="1899-12-30T17:00:00"/>
    <n v="0.33333333333333337"/>
    <x v="0"/>
    <n v="8"/>
  </r>
  <r>
    <x v="11"/>
    <d v="2024-12-17T00:00:00"/>
    <s v="الثلاثاء "/>
    <x v="0"/>
    <s v="يحيى طه"/>
    <s v="توصيل كابلات"/>
    <s v="تم العمل"/>
    <d v="1899-12-30T11:00:00"/>
    <d v="1899-12-30T17:30:00"/>
    <n v="0.27083333333333331"/>
    <x v="2"/>
    <n v="6.5"/>
  </r>
  <r>
    <x v="11"/>
    <d v="2024-12-18T00:00:00"/>
    <s v="الاربعاء "/>
    <x v="61"/>
    <s v="سيد عادل"/>
    <s v="تركيبات"/>
    <s v="تم العمل"/>
    <d v="1899-12-30T16:30:00"/>
    <d v="1899-12-30T22:00:00"/>
    <n v="0.22916666666666663"/>
    <x v="2"/>
    <n v="5.4999999999999991"/>
  </r>
  <r>
    <x v="11"/>
    <d v="2024-12-18T00:00:00"/>
    <s v="الاربعاء "/>
    <x v="28"/>
    <s v="اسلام حسين"/>
    <s v="تركيب تكيفات"/>
    <s v="تم العمل"/>
    <d v="1899-12-30T10:30:00"/>
    <d v="1899-12-30T15:30:00"/>
    <n v="0.20833333333333337"/>
    <x v="2"/>
    <n v="5.0000000000000009"/>
  </r>
  <r>
    <x v="11"/>
    <d v="2024-12-18T00:00:00"/>
    <s v="الاربعاء "/>
    <x v="0"/>
    <s v="يحيى طه"/>
    <s v="توصيل كابلات"/>
    <s v="تم العمل"/>
    <d v="1899-12-30T10:00:00"/>
    <d v="1899-12-30T18:00:00"/>
    <n v="0.33333333333333331"/>
    <x v="2"/>
    <n v="8"/>
  </r>
  <r>
    <x v="11"/>
    <d v="2024-12-18T00:00:00"/>
    <s v="الاربعاء "/>
    <x v="5"/>
    <s v="محمد النقيب "/>
    <s v="صيانة فيشة كهربائية"/>
    <s v="تم العمل"/>
    <d v="1899-12-30T13:00:00"/>
    <d v="1899-12-30T14:00:00"/>
    <n v="4.1666666666666741E-2"/>
    <x v="1"/>
    <n v="1.0000000000000018"/>
  </r>
  <r>
    <x v="11"/>
    <d v="2024-12-18T00:00:00"/>
    <s v="الاربعاء "/>
    <x v="10"/>
    <s v="احمد فرج"/>
    <s v="اعمال فراشة"/>
    <s v="تم العمل"/>
    <d v="1899-12-30T10:00:00"/>
    <d v="1899-12-30T17:00:00"/>
    <n v="0.29166666666666669"/>
    <x v="0"/>
    <n v="7"/>
  </r>
  <r>
    <x v="11"/>
    <d v="2024-12-19T00:00:00"/>
    <s v="الخميس "/>
    <x v="0"/>
    <s v="محمد زنفل  "/>
    <s v="دهانات "/>
    <s v="تم العمل"/>
    <d v="1899-12-30T10:00:00"/>
    <d v="1899-12-30T18:00:00"/>
    <n v="0.33333333333333331"/>
    <x v="2"/>
    <n v="8"/>
  </r>
  <r>
    <x v="11"/>
    <d v="2024-12-19T00:00:00"/>
    <s v="الخميس "/>
    <x v="10"/>
    <s v="احمد فرج"/>
    <s v="اعمال فراشة"/>
    <s v="تم العمل"/>
    <d v="1899-12-30T10:00:00"/>
    <d v="1899-12-30T17:30:00"/>
    <n v="0.31249999999999994"/>
    <x v="0"/>
    <n v="7.4999999999999982"/>
  </r>
  <r>
    <x v="11"/>
    <d v="2024-12-19T00:00:00"/>
    <s v="الخميس "/>
    <x v="0"/>
    <s v="مراد صالح"/>
    <s v="استكمال اعمال خزان الحريق "/>
    <s v="تم العمل"/>
    <d v="1899-12-30T10:00:00"/>
    <d v="1899-12-30T12:00:00"/>
    <n v="8.3333333333333315E-2"/>
    <x v="0"/>
    <n v="1.9999999999999996"/>
  </r>
  <r>
    <x v="11"/>
    <d v="2024-12-20T00:00:00"/>
    <s v="الجمعة "/>
    <x v="10"/>
    <s v="احمد فرج"/>
    <s v="اعمال فراشة"/>
    <s v="تم العمل"/>
    <d v="1899-12-30T11:00:00"/>
    <d v="1899-12-30T17:30:00"/>
    <n v="0.27083333333333331"/>
    <x v="0"/>
    <n v="6.5"/>
  </r>
  <r>
    <x v="11"/>
    <d v="2024-12-21T00:00:00"/>
    <s v="السبت "/>
    <x v="0"/>
    <s v="محمد على"/>
    <s v="صيانة شبابيك الالمونتال "/>
    <s v="تم العمل"/>
    <d v="1899-12-30T11:00:00"/>
    <d v="1899-12-30T17:00:00"/>
    <n v="0.25000000000000006"/>
    <x v="1"/>
    <n v="6.0000000000000018"/>
  </r>
  <r>
    <x v="11"/>
    <d v="2024-12-21T00:00:00"/>
    <s v="السبت "/>
    <x v="0"/>
    <s v="محمد زنفل  "/>
    <s v="دهانات "/>
    <s v="تم العمل"/>
    <d v="1899-12-30T09:30:00"/>
    <d v="1899-12-30T18:00:00"/>
    <n v="0.35416666666666669"/>
    <x v="2"/>
    <n v="8.5"/>
  </r>
  <r>
    <x v="11"/>
    <d v="2024-12-21T00:00:00"/>
    <s v="السبت "/>
    <x v="14"/>
    <s v="انس احمد  "/>
    <s v="تركيب مصاعد"/>
    <s v="تم العمل"/>
    <d v="1899-12-30T09:00:00"/>
    <d v="1899-12-30T17:00:00"/>
    <n v="0.33333333333333337"/>
    <x v="1"/>
    <n v="8"/>
  </r>
  <r>
    <x v="11"/>
    <d v="2024-12-21T00:00:00"/>
    <s v="السبت "/>
    <x v="10"/>
    <s v="احمد فرج"/>
    <s v="اعمال فراشة"/>
    <s v="تم العمل"/>
    <d v="1899-12-30T10:00:00"/>
    <d v="1899-12-30T17:00:00"/>
    <n v="0.29166666666666669"/>
    <x v="0"/>
    <n v="7"/>
  </r>
  <r>
    <x v="11"/>
    <d v="2024-12-21T00:00:00"/>
    <s v="السبت "/>
    <x v="0"/>
    <s v="مراد صالح"/>
    <s v="استكمال اعمال خزان الحريق "/>
    <s v="تم العمل"/>
    <d v="1899-12-30T08:00:00"/>
    <d v="1899-12-30T17:00:00"/>
    <n v="0.37500000000000006"/>
    <x v="0"/>
    <n v="9.0000000000000018"/>
  </r>
  <r>
    <x v="11"/>
    <d v="2024-12-22T00:00:00"/>
    <s v="الاحد "/>
    <x v="8"/>
    <s v="حامد ابو المحاميد "/>
    <s v="الزيارة  الشهرية المرور على خط الحريق  "/>
    <s v="تم العمل"/>
    <d v="1899-12-30T11:30:00"/>
    <d v="1899-12-30T13:00:00"/>
    <e v="#REF!"/>
    <x v="3"/>
    <e v="#REF!"/>
  </r>
  <r>
    <x v="11"/>
    <d v="2024-12-21T00:00:00"/>
    <s v="الاحد "/>
    <x v="0"/>
    <s v="محمد زنفل  "/>
    <s v="دهانات "/>
    <s v="تم العمل"/>
    <d v="1899-12-30T10:00:00"/>
    <d v="1899-12-30T18:00:00"/>
    <n v="0.33333333333333331"/>
    <x v="2"/>
    <n v="8"/>
  </r>
  <r>
    <x v="11"/>
    <d v="2024-12-22T00:00:00"/>
    <s v="الاحد "/>
    <x v="10"/>
    <s v="احمد فرج"/>
    <s v="اعمال فراشة"/>
    <s v="تم العمل"/>
    <d v="1899-12-30T09:00:00"/>
    <d v="1899-12-30T17:00:00"/>
    <n v="0.33333333333333337"/>
    <x v="0"/>
    <n v="8"/>
  </r>
  <r>
    <x v="11"/>
    <d v="2024-12-23T00:00:00"/>
    <s v="الاثنين "/>
    <x v="0"/>
    <s v="مراد صالح"/>
    <s v="استكمال اعمال خزان الحريق "/>
    <s v="تم العمل"/>
    <d v="1899-12-30T08:00:00"/>
    <d v="1899-12-30T17:00:00"/>
    <n v="0.37500000000000006"/>
    <x v="0"/>
    <n v="9.0000000000000018"/>
  </r>
  <r>
    <x v="11"/>
    <d v="2024-12-23T00:00:00"/>
    <s v="الاثنين "/>
    <x v="6"/>
    <s v="محمد على"/>
    <s v="صيانة كالاركات"/>
    <s v="تم العمل"/>
    <d v="1899-12-30T13:00:00"/>
    <d v="1899-12-30T14:00:00"/>
    <n v="4.1666666666666741E-2"/>
    <x v="1"/>
    <n v="1.0000000000000018"/>
  </r>
  <r>
    <x v="11"/>
    <d v="2024-12-23T00:00:00"/>
    <s v="الاثنين "/>
    <x v="0"/>
    <s v="ابراهيم سعد "/>
    <s v="انشاءات"/>
    <s v="تم العمل"/>
    <d v="1899-12-30T10:00:00"/>
    <d v="1899-12-30T19:00:00"/>
    <n v="0.37499999999999994"/>
    <x v="2"/>
    <n v="8.9999999999999982"/>
  </r>
  <r>
    <x v="11"/>
    <d v="2024-12-23T00:00:00"/>
    <s v="الاثنين "/>
    <x v="14"/>
    <s v="انس احمد  "/>
    <s v="تركيب مصاعد"/>
    <s v="تم العمل"/>
    <d v="1899-12-30T10:00:00"/>
    <d v="1899-12-30T17:00:00"/>
    <n v="0.29166666666666669"/>
    <x v="1"/>
    <n v="7"/>
  </r>
  <r>
    <x v="11"/>
    <d v="2024-12-23T00:00:00"/>
    <s v="الاثنين "/>
    <x v="49"/>
    <s v="احمد محمد فخرى "/>
    <s v="تركيبات "/>
    <s v="تم العمل"/>
    <d v="1899-12-30T10:00:00"/>
    <d v="1899-12-30T19:00:00"/>
    <n v="0.37499999999999994"/>
    <x v="2"/>
    <n v="8.9999999999999982"/>
  </r>
  <r>
    <x v="11"/>
    <d v="2024-12-23T00:00:00"/>
    <s v="الاثنين "/>
    <x v="6"/>
    <s v="صابر ابراهيم "/>
    <s v="تركيب خوص حديد لباب الاسانسير"/>
    <s v="تم العمل"/>
    <d v="1899-12-30T13:00:00"/>
    <d v="1899-12-30T17:00:00"/>
    <n v="0.16666666666666674"/>
    <x v="1"/>
    <n v="4.0000000000000018"/>
  </r>
  <r>
    <x v="11"/>
    <d v="2024-12-24T00:00:00"/>
    <s v="الثلاثاء "/>
    <x v="14"/>
    <s v="انس احمد  "/>
    <s v="تركيب مصاعد"/>
    <s v="تم العمل"/>
    <d v="1899-12-30T10:00:00"/>
    <d v="1899-12-30T17:00:00"/>
    <n v="0.29166666666666669"/>
    <x v="1"/>
    <n v="7"/>
  </r>
  <r>
    <x v="11"/>
    <d v="2024-12-24T00:00:00"/>
    <s v="الثلاثاء "/>
    <x v="0"/>
    <s v="ابراهيم سعد "/>
    <s v="انشاءات"/>
    <s v="تم العمل"/>
    <d v="1899-12-30T10:00:00"/>
    <d v="1899-12-30T18:00:00"/>
    <n v="0.33333333333333331"/>
    <x v="2"/>
    <n v="8"/>
  </r>
  <r>
    <x v="11"/>
    <d v="2024-12-24T00:00:00"/>
    <s v="الثلاثاء "/>
    <x v="0"/>
    <s v="محمد على"/>
    <s v="صيانة شبابيك الالمونتال "/>
    <s v="تم العمل"/>
    <d v="1899-12-30T10:00:00"/>
    <d v="1899-12-30T17:00:00"/>
    <n v="0.29166666666666669"/>
    <x v="1"/>
    <n v="7"/>
  </r>
  <r>
    <x v="11"/>
    <d v="2024-12-24T00:00:00"/>
    <s v="الثلاثاء "/>
    <x v="6"/>
    <s v="صابر ابراهيم "/>
    <s v="تركيب خوص حديد لباب الاسانسير"/>
    <s v="تم العمل"/>
    <d v="1899-12-30T11:00:00"/>
    <d v="1899-12-30T14:00:00"/>
    <n v="0.12500000000000006"/>
    <x v="1"/>
    <n v="3.0000000000000013"/>
  </r>
  <r>
    <x v="11"/>
    <d v="2024-12-24T00:00:00"/>
    <s v="الثلاثاء "/>
    <x v="6"/>
    <s v="محمد على"/>
    <s v="صيانة كالاركات"/>
    <s v="تم العمل"/>
    <d v="1899-12-30T13:00:00"/>
    <d v="1899-12-30T14:00:00"/>
    <n v="4.1666666666666741E-2"/>
    <x v="1"/>
    <n v="1.0000000000000018"/>
  </r>
  <r>
    <x v="11"/>
    <d v="2024-12-24T00:00:00"/>
    <s v="الثلاثاء "/>
    <x v="0"/>
    <s v="مراد صالح"/>
    <s v="استكمال اعمال خزان الحريق "/>
    <s v="تم العمل"/>
    <d v="1899-12-30T08:00:00"/>
    <d v="1899-12-30T17:00:00"/>
    <n v="0.37500000000000006"/>
    <x v="0"/>
    <n v="9.0000000000000018"/>
  </r>
  <r>
    <x v="11"/>
    <d v="2024-12-24T00:00:00"/>
    <s v="الثلاثاء "/>
    <x v="6"/>
    <s v="شريف عيد"/>
    <s v="عزل كبلات كهرباء غرفة الطرمبات"/>
    <s v="تم العمل"/>
    <d v="1899-12-30T10:00:00"/>
    <d v="1899-12-30T17:00:00"/>
    <n v="0.29166666666666669"/>
    <x v="0"/>
    <n v="7"/>
  </r>
  <r>
    <x v="11"/>
    <d v="2024-12-25T00:00:00"/>
    <s v="الاربعاء "/>
    <x v="0"/>
    <s v="محمد زنفل  "/>
    <s v="دهانات "/>
    <s v="تم العمل"/>
    <d v="1899-12-30T10:00:00"/>
    <d v="1899-12-30T18:00:00"/>
    <n v="0.33333333333333331"/>
    <x v="2"/>
    <n v="8"/>
  </r>
  <r>
    <x v="11"/>
    <d v="2024-12-25T00:00:00"/>
    <s v="الاربعاء "/>
    <x v="14"/>
    <s v="انس احمد  "/>
    <s v="تركيب مصاعد"/>
    <s v="تم العمل"/>
    <d v="1899-12-30T10:00:00"/>
    <d v="1899-12-30T17:00:00"/>
    <n v="0.29166666666666669"/>
    <x v="1"/>
    <n v="7"/>
  </r>
  <r>
    <x v="11"/>
    <d v="2024-12-25T00:00:00"/>
    <s v="الاربعاء "/>
    <x v="0"/>
    <s v="مراد صالح"/>
    <s v="استكمال اعمال خزان الحريق "/>
    <s v="تم العمل"/>
    <d v="1899-12-30T08:00:00"/>
    <d v="1899-12-30T17:00:00"/>
    <n v="0.37500000000000006"/>
    <x v="0"/>
    <n v="9.0000000000000018"/>
  </r>
  <r>
    <x v="11"/>
    <d v="2024-12-26T00:00:00"/>
    <s v="الخميس "/>
    <x v="0"/>
    <s v="مراد صالح"/>
    <s v="استكمال اعمال خزان الحريق "/>
    <s v="تم العمل"/>
    <d v="1899-12-30T08:00:00"/>
    <d v="1899-12-30T17:00:00"/>
    <n v="0.37500000000000006"/>
    <x v="0"/>
    <n v="9.0000000000000018"/>
  </r>
  <r>
    <x v="11"/>
    <d v="2024-12-26T00:00:00"/>
    <s v="الخميس "/>
    <x v="14"/>
    <s v="انس احمد  "/>
    <s v="تركيب مصاعد"/>
    <s v="تم العمل"/>
    <d v="1899-12-30T10:00:00"/>
    <d v="1899-12-30T17:00:00"/>
    <n v="0.29166666666666669"/>
    <x v="1"/>
    <n v="7"/>
  </r>
  <r>
    <x v="11"/>
    <d v="2024-12-26T00:00:00"/>
    <s v="الخميس "/>
    <x v="0"/>
    <s v="محمد زنفل  "/>
    <s v="انشائات"/>
    <s v="تم العمل"/>
    <d v="1899-12-30T11:00:00"/>
    <d v="1899-12-30T18:00:00"/>
    <n v="0.29166666666666669"/>
    <x v="2"/>
    <n v="7"/>
  </r>
  <r>
    <x v="11"/>
    <d v="2024-12-26T00:00:00"/>
    <s v="الخميس "/>
    <x v="10"/>
    <s v="احمد فرج"/>
    <s v="اعمال فراشة"/>
    <s v="تم العمل"/>
    <d v="1899-12-30T12:00:00"/>
    <d v="1899-12-30T17:00:00"/>
    <n v="0.20833333333333337"/>
    <x v="0"/>
    <n v="5.0000000000000009"/>
  </r>
  <r>
    <x v="11"/>
    <d v="2024-12-28T00:00:00"/>
    <s v="السبت "/>
    <x v="66"/>
    <s v="شعبان عطا"/>
    <s v="تركيبات "/>
    <s v="تم العمل"/>
    <d v="1899-12-30T11:00:00"/>
    <d v="1899-12-30T18:00:00"/>
    <n v="0.29166666666666669"/>
    <x v="2"/>
    <n v="7"/>
  </r>
  <r>
    <x v="11"/>
    <d v="2024-12-28T00:00:00"/>
    <s v="السبت "/>
    <x v="0"/>
    <s v="مراد صالح"/>
    <s v="استكمال اعمال خزان الحريق "/>
    <s v="تم العمل"/>
    <d v="1899-12-30T08:00:00"/>
    <d v="1899-12-30T17:00:00"/>
    <n v="0.37500000000000006"/>
    <x v="0"/>
    <n v="9.0000000000000018"/>
  </r>
  <r>
    <x v="11"/>
    <d v="2024-12-28T00:00:00"/>
    <s v="السبت "/>
    <x v="14"/>
    <s v="انس احمد  "/>
    <s v="تركيب مصاعد"/>
    <s v="تم العمل"/>
    <d v="1899-12-30T10:00:00"/>
    <d v="1899-12-30T17:00:00"/>
    <n v="0.29166666666666669"/>
    <x v="1"/>
    <n v="7"/>
  </r>
  <r>
    <x v="11"/>
    <d v="2024-12-28T00:00:00"/>
    <s v="السبت "/>
    <x v="0"/>
    <s v="محمد صلاح "/>
    <s v="تركيب الوميتال"/>
    <s v="تم العمل"/>
    <d v="1899-12-30T14:00:00"/>
    <d v="1899-12-30T16:00:00"/>
    <n v="8.3333333333333259E-2"/>
    <x v="1"/>
    <n v="1.9999999999999982"/>
  </r>
  <r>
    <x v="11"/>
    <d v="2024-12-29T00:00:00"/>
    <s v="الاحد "/>
    <x v="0"/>
    <s v="مراد صالح"/>
    <s v="استكمال اعمال خزان الحريق "/>
    <s v="تم العمل"/>
    <d v="1899-12-30T08:00:00"/>
    <d v="1899-12-30T17:00:00"/>
    <n v="0.37500000000000006"/>
    <x v="0"/>
    <n v="9.0000000000000018"/>
  </r>
  <r>
    <x v="11"/>
    <d v="2024-12-29T00:00:00"/>
    <s v="الاحد "/>
    <x v="66"/>
    <s v="شعبان عطا"/>
    <s v="تركيبات "/>
    <s v="تم العمل"/>
    <d v="1899-12-30T10:30:00"/>
    <d v="1899-12-30T18:00:00"/>
    <n v="0.3125"/>
    <x v="2"/>
    <n v="7.5"/>
  </r>
  <r>
    <x v="11"/>
    <d v="2024-12-29T00:00:00"/>
    <s v="الاحد "/>
    <x v="0"/>
    <s v="ابراهيم سعد "/>
    <s v="انشاءات"/>
    <s v="تم العمل"/>
    <d v="1899-12-30T10:00:00"/>
    <d v="1899-12-30T18:00:00"/>
    <n v="0.33333333333333331"/>
    <x v="2"/>
    <n v="8"/>
  </r>
  <r>
    <x v="11"/>
    <d v="2024-12-29T00:00:00"/>
    <s v="الاحد "/>
    <x v="14"/>
    <s v="انس احمد  "/>
    <s v="تركيب مصاعد"/>
    <s v="تم العمل"/>
    <d v="1899-12-30T10:00:00"/>
    <d v="1899-12-30T17:00:00"/>
    <n v="0.29166666666666669"/>
    <x v="1"/>
    <n v="7"/>
  </r>
  <r>
    <x v="11"/>
    <d v="2024-12-29T00:00:00"/>
    <s v="الاحد "/>
    <x v="49"/>
    <s v="احمد محمد فخرى "/>
    <s v="تركيبات "/>
    <s v="تم العمل"/>
    <d v="1899-12-30T10:30:00"/>
    <d v="1899-12-30T14:00:00"/>
    <n v="0.14583333333333337"/>
    <x v="2"/>
    <n v="3.5000000000000009"/>
  </r>
  <r>
    <x v="11"/>
    <d v="2024-12-30T00:00:00"/>
    <s v="الاثنين "/>
    <x v="0"/>
    <s v="مراد صالح"/>
    <s v="استكمال اعمال خزان الحريق "/>
    <s v="تم العمل"/>
    <d v="1899-12-30T08:00:00"/>
    <d v="1899-12-30T17:00:00"/>
    <n v="0.37500000000000006"/>
    <x v="0"/>
    <n v="9.0000000000000018"/>
  </r>
  <r>
    <x v="11"/>
    <d v="2024-12-30T00:00:00"/>
    <s v="الاثنين "/>
    <x v="11"/>
    <s v="أحمد شعبان   "/>
    <s v="عمل صيانة كلاركات "/>
    <s v="تم العمل"/>
    <d v="1899-12-30T12:00:00"/>
    <d v="1899-12-30T12:30:00"/>
    <n v="2.083333333333337E-2"/>
    <x v="4"/>
    <n v="0.50000000000000089"/>
  </r>
  <r>
    <x v="11"/>
    <d v="2024-12-30T00:00:00"/>
    <s v="الاثنين "/>
    <x v="7"/>
    <s v="محمد ماهر  "/>
    <s v="مكافحة الحشرات "/>
    <s v="تم العمل"/>
    <d v="1899-12-30T14:00:00"/>
    <d v="1899-12-30T15:00:00"/>
    <n v="4.166666666666663E-2"/>
    <x v="4"/>
    <n v="0.99999999999999911"/>
  </r>
  <r>
    <x v="11"/>
    <d v="2024-12-30T00:00:00"/>
    <s v="الاثنين "/>
    <x v="7"/>
    <s v="محمد ماهر  "/>
    <s v="مكافحة الحشرات "/>
    <s v="تم العمل"/>
    <d v="1899-12-30T13:00:00"/>
    <d v="1899-12-30T14:00:00"/>
    <n v="4.1666666666666741E-2"/>
    <x v="1"/>
    <n v="1.0000000000000018"/>
  </r>
  <r>
    <x v="11"/>
    <d v="2024-12-30T00:00:00"/>
    <s v="الاثنين "/>
    <x v="11"/>
    <s v="أحمد شعبان   "/>
    <s v="عمل صيانة كلاركات "/>
    <s v="تم العمل"/>
    <d v="1899-12-30T12:00:00"/>
    <d v="1899-12-30T12:30:00"/>
    <n v="2.083333333333337E-2"/>
    <x v="1"/>
    <n v="0.50000000000000089"/>
  </r>
  <r>
    <x v="11"/>
    <d v="2024-12-31T00:00:00"/>
    <s v="الثلاثاء "/>
    <x v="14"/>
    <s v="انس احمد  "/>
    <s v="تركيب مصاعد"/>
    <s v="تم العمل"/>
    <d v="1899-12-30T10:00:00"/>
    <d v="1899-12-30T17:00:00"/>
    <n v="0.29166666666666669"/>
    <x v="1"/>
    <n v="7"/>
  </r>
  <r>
    <x v="11"/>
    <d v="2024-12-31T00:00:00"/>
    <s v="الثلاثاء "/>
    <x v="5"/>
    <s v="مجدى كرم  "/>
    <s v="صيانة خطوط التليفون والانترنت "/>
    <s v="تم العمل"/>
    <d v="1899-12-30T11:00:00"/>
    <d v="1899-12-30T12:00:00"/>
    <n v="4.1666666666666685E-2"/>
    <x v="6"/>
    <n v="1.0000000000000004"/>
  </r>
  <r>
    <x v="12"/>
    <d v="2025-01-01T00:00:00"/>
    <s v="الاربعاء "/>
    <x v="0"/>
    <s v="مراد صالح"/>
    <s v="استكمال اعمال خزان الاطفاء"/>
    <s v="تم العمل"/>
    <d v="1899-12-30T08:00:00"/>
    <d v="1899-12-30T17:00:00"/>
    <n v="0.37500000000000006"/>
    <x v="0"/>
    <n v="9.0000000000000018"/>
  </r>
  <r>
    <x v="12"/>
    <d v="2025-01-01T00:00:00"/>
    <s v="الاربعاء "/>
    <x v="14"/>
    <s v="انس احمد "/>
    <s v="تركيب مصاعد"/>
    <s v="تم العمل"/>
    <d v="1899-12-30T10:00:00"/>
    <d v="1899-12-30T17:00:00"/>
    <n v="0.29166666666666669"/>
    <x v="1"/>
    <n v="7"/>
  </r>
  <r>
    <x v="12"/>
    <d v="2025-01-01T00:00:00"/>
    <s v="الاربعاء "/>
    <x v="0"/>
    <s v="محمد صلاح"/>
    <s v="تركيب الوميتال"/>
    <s v="تم العمل"/>
    <d v="1899-12-30T11:00:00"/>
    <d v="1899-12-30T17:00:00"/>
    <n v="0.25000000000000006"/>
    <x v="1"/>
    <n v="6.0000000000000018"/>
  </r>
  <r>
    <x v="12"/>
    <d v="2025-01-02T00:00:00"/>
    <s v="الخميس "/>
    <x v="0"/>
    <s v="محمد صلاح"/>
    <s v="تركيب الوميتال"/>
    <s v="تم العمل"/>
    <d v="1899-12-30T10:00:00"/>
    <d v="1899-12-30T17:00:00"/>
    <n v="0.29166666666666669"/>
    <x v="1"/>
    <n v="7"/>
  </r>
  <r>
    <x v="12"/>
    <d v="2025-01-02T00:00:00"/>
    <s v="الخميس "/>
    <x v="14"/>
    <s v="انس احمد"/>
    <s v="تركيب مصاعد"/>
    <s v="تم العمل"/>
    <d v="1899-12-30T10:00:00"/>
    <d v="1899-12-30T17:00:00"/>
    <n v="0.29166666666666669"/>
    <x v="1"/>
    <n v="7"/>
  </r>
  <r>
    <x v="12"/>
    <d v="2025-01-04T00:00:00"/>
    <s v="السبت "/>
    <x v="0"/>
    <s v="مراد صالح"/>
    <s v="استكمال اعمال خزان الاطفاء"/>
    <s v="تم العمل"/>
    <d v="1899-12-30T08:00:00"/>
    <d v="1899-12-30T17:00:00"/>
    <n v="0.37500000000000006"/>
    <x v="0"/>
    <n v="9.0000000000000018"/>
  </r>
  <r>
    <x v="12"/>
    <d v="2025-01-04T00:00:00"/>
    <s v="السبت "/>
    <x v="64"/>
    <s v="مراد صالح"/>
    <s v="تركيب سيراميك"/>
    <s v="تم العمل"/>
    <d v="1899-12-30T10:00:00"/>
    <d v="1899-12-30T17:00:00"/>
    <n v="0.29166666666666669"/>
    <x v="0"/>
    <n v="7"/>
  </r>
  <r>
    <x v="12"/>
    <d v="2025-01-04T00:00:00"/>
    <s v="السبت "/>
    <x v="0"/>
    <s v="محمد صلاح"/>
    <s v="تركيب الوميتال"/>
    <s v="تم العمل"/>
    <d v="1899-12-30T11:00:00"/>
    <d v="1899-12-30T17:00:00"/>
    <n v="0.25000000000000006"/>
    <x v="1"/>
    <n v="6.0000000000000018"/>
  </r>
  <r>
    <x v="12"/>
    <d v="2025-01-04T00:00:00"/>
    <s v="السبت "/>
    <x v="14"/>
    <s v="انس احمد "/>
    <s v="تركيب مصاعد"/>
    <s v="تم العمل"/>
    <d v="1899-12-30T09:00:00"/>
    <d v="1899-12-30T17:00:00"/>
    <n v="0.33333333333333337"/>
    <x v="1"/>
    <n v="8"/>
  </r>
  <r>
    <x v="12"/>
    <d v="2025-01-04T00:00:00"/>
    <s v="السبت "/>
    <x v="1"/>
    <s v="مينا سامي"/>
    <s v="استكمال العمل بشبكة الاطفاء"/>
    <s v="تم العمل"/>
    <d v="1899-12-30T12:00:00"/>
    <d v="1899-12-30T17:00:00"/>
    <n v="0.20833333333333337"/>
    <x v="1"/>
    <n v="5.0000000000000009"/>
  </r>
  <r>
    <x v="12"/>
    <d v="2025-01-04T00:00:00"/>
    <s v="السبت "/>
    <x v="0"/>
    <s v="ابراهيم العيسوي"/>
    <s v="اعمال نقاشة   "/>
    <s v="تم العمل"/>
    <d v="1899-12-30T11:30:00"/>
    <d v="1899-12-30T18:00:00"/>
    <n v="0.27083333333333331"/>
    <x v="2"/>
    <n v="6.5"/>
  </r>
  <r>
    <x v="12"/>
    <d v="2025-01-04T00:00:00"/>
    <s v="السبت "/>
    <x v="49"/>
    <s v="ابراهيم الخزرجي"/>
    <s v="تركيبات"/>
    <s v="تم العمل"/>
    <d v="1899-12-30T11:30:00"/>
    <d v="1899-12-30T18:30:00"/>
    <n v="0.29166666666666669"/>
    <x v="2"/>
    <n v="7"/>
  </r>
  <r>
    <x v="12"/>
    <d v="2025-01-05T00:00:00"/>
    <s v="الاحد "/>
    <x v="64"/>
    <s v="هيثم جمال"/>
    <s v="تنظيف لوجو الشركة بالمبنى الاداري"/>
    <s v="تم العمل"/>
    <d v="1899-12-30T13:00:00"/>
    <d v="1899-12-30T17:00:00"/>
    <n v="0.16666666666666674"/>
    <x v="3"/>
    <n v="4.0000000000000018"/>
  </r>
  <r>
    <x v="12"/>
    <d v="2025-01-05T00:00:00"/>
    <s v="الاحد "/>
    <x v="64"/>
    <s v="يوسف عثمان"/>
    <s v="تغيير سخانات المياه "/>
    <s v="تم العمل"/>
    <d v="1899-12-30T14:30:00"/>
    <d v="1899-12-30T17:00:00"/>
    <n v="0.10416666666666674"/>
    <x v="3"/>
    <n v="2.5000000000000018"/>
  </r>
  <r>
    <x v="12"/>
    <d v="2025-01-06T00:00:00"/>
    <s v="الاثنين "/>
    <x v="1"/>
    <s v="سامر سامي"/>
    <s v="اعمال في شبكة الاطفاء "/>
    <s v="تم العمل"/>
    <d v="1899-12-30T10:00:00"/>
    <d v="1899-12-30T17:00:00"/>
    <n v="0.29166666666666635"/>
    <x v="1"/>
    <n v="6.9999999999999929"/>
  </r>
  <r>
    <x v="12"/>
    <d v="2025-01-06T00:00:00"/>
    <s v="الاثنين "/>
    <x v="0"/>
    <s v="محمد صلاح"/>
    <s v="تركيب الوميتال"/>
    <s v="تم العمل"/>
    <d v="1899-12-30T11:00:00"/>
    <d v="1899-12-30T17:00:00"/>
    <n v="0.25000000000000006"/>
    <x v="1"/>
    <n v="6.0000000000000018"/>
  </r>
  <r>
    <x v="12"/>
    <d v="2025-01-06T00:00:00"/>
    <s v="الاثنين "/>
    <x v="64"/>
    <s v="محمد طنطاوي"/>
    <s v="اصلاح بوابة مخزن الوزارة"/>
    <s v="تم العمل"/>
    <d v="1899-12-30T13:00:00"/>
    <d v="1899-12-30T18:00:00"/>
    <n v="0.20833333333333337"/>
    <x v="4"/>
    <n v="5.0000000000000009"/>
  </r>
  <r>
    <x v="12"/>
    <d v="2025-01-07T00:00:00"/>
    <s v="الثلاثاء "/>
    <x v="0"/>
    <s v="محمد صلاح"/>
    <s v="تركيب الوميتال"/>
    <s v="تم العمل"/>
    <d v="1899-12-30T10:00:00"/>
    <d v="1899-12-30T17:00:00"/>
    <n v="0.29166666666666669"/>
    <x v="1"/>
    <n v="7"/>
  </r>
  <r>
    <x v="12"/>
    <d v="2025-01-07T00:00:00"/>
    <s v="الثلاثاء "/>
    <x v="0"/>
    <s v="مراد صالح"/>
    <s v="استكمال اعمال خزان الاطفاء"/>
    <s v="تم العمل"/>
    <d v="1899-12-30T09:30:00"/>
    <d v="1899-12-30T17:00:00"/>
    <n v="0.31250000000000006"/>
    <x v="0"/>
    <n v="7.5000000000000018"/>
  </r>
  <r>
    <x v="12"/>
    <d v="2025-01-07T00:00:00"/>
    <s v="الثلاثاء "/>
    <x v="0"/>
    <s v="محمد زنفل  "/>
    <s v="أنشاءات"/>
    <s v="تم العمل"/>
    <d v="1899-12-30T10:00:00"/>
    <d v="1899-12-30T18:00:00"/>
    <n v="0.33333333333333331"/>
    <x v="2"/>
    <n v="8"/>
  </r>
  <r>
    <x v="12"/>
    <d v="2025-01-07T00:00:00"/>
    <s v="الثلاثاء "/>
    <x v="0"/>
    <s v="مراد صالح"/>
    <s v="تركيب سيراميك"/>
    <s v="تم العمل"/>
    <d v="1899-12-30T10:00:00"/>
    <d v="1899-12-30T17:00:00"/>
    <n v="0.29166666666666669"/>
    <x v="0"/>
    <n v="7"/>
  </r>
  <r>
    <x v="12"/>
    <d v="2025-01-07T00:00:00"/>
    <s v="الثلاثاء "/>
    <x v="5"/>
    <s v="ياسر روبي"/>
    <s v="تركيب درج رخام"/>
    <s v="تم العمل"/>
    <d v="1899-12-30T15:00:00"/>
    <d v="1899-12-30T17:30:00"/>
    <n v="0.10416666666666663"/>
    <x v="0"/>
    <n v="2.4999999999999991"/>
  </r>
  <r>
    <x v="12"/>
    <d v="2025-01-08T00:00:00"/>
    <s v="الاربعاء "/>
    <x v="11"/>
    <s v="مراد صالح"/>
    <s v="تركيب سيراميك"/>
    <s v="تم العمل"/>
    <d v="1899-12-30T12:00:00"/>
    <d v="1899-12-30T17:00:00"/>
    <n v="0.20833333333333337"/>
    <x v="0"/>
    <n v="5.0000000000000009"/>
  </r>
  <r>
    <x v="12"/>
    <d v="2025-01-08T00:00:00"/>
    <s v="الاربعاء "/>
    <x v="0"/>
    <s v="محمد زنفل  "/>
    <s v="أنشاءات"/>
    <s v="تم العمل"/>
    <d v="1899-12-30T10:00:00"/>
    <d v="1899-12-30T18:00:00"/>
    <n v="0.33333333333333331"/>
    <x v="2"/>
    <n v="8"/>
  </r>
  <r>
    <x v="12"/>
    <d v="2025-01-08T00:00:00"/>
    <s v="الاربعاء "/>
    <x v="10"/>
    <s v="رافت سعد"/>
    <s v="اعمال فراشة"/>
    <s v="تم العمل"/>
    <d v="1899-12-30T10:00:00"/>
    <d v="1899-12-30T17:00:00"/>
    <n v="0.29166666666666669"/>
    <x v="0"/>
    <n v="7"/>
  </r>
  <r>
    <x v="12"/>
    <d v="2025-01-08T00:00:00"/>
    <s v="الاربعاء "/>
    <x v="64"/>
    <s v="اشرف لطفي"/>
    <s v="عمل صيانة كلاركات "/>
    <s v="تم العمل"/>
    <d v="1899-12-30T12:00:00"/>
    <d v="1899-12-30T17:00:00"/>
    <n v="0.20833333333333337"/>
    <x v="4"/>
    <n v="5.0000000000000009"/>
  </r>
  <r>
    <x v="12"/>
    <d v="2025-01-09T00:00:00"/>
    <s v="الخميس "/>
    <x v="0"/>
    <s v="مراد صالح"/>
    <s v="تركيب سيراميك"/>
    <s v="تم العمل"/>
    <d v="1899-12-30T10:00:00"/>
    <d v="1899-12-30T17:00:00"/>
    <n v="0.29166666666666669"/>
    <x v="0"/>
    <n v="7"/>
  </r>
  <r>
    <x v="12"/>
    <d v="2025-01-09T00:00:00"/>
    <s v="الخميس "/>
    <x v="10"/>
    <s v="رافت سعد"/>
    <s v="اعمال فراشة"/>
    <s v="تم العمل"/>
    <d v="1899-12-30T10:00:00"/>
    <d v="1899-12-30T17:00:00"/>
    <n v="0.29166666666666669"/>
    <x v="0"/>
    <n v="7"/>
  </r>
  <r>
    <x v="12"/>
    <d v="2025-01-09T00:00:00"/>
    <s v="الخميس "/>
    <x v="35"/>
    <s v="احمد حماده"/>
    <s v="اعمال لحامات"/>
    <s v="تم العمل"/>
    <d v="1899-12-30T14:30:00"/>
    <d v="1899-12-30T17:00:00"/>
    <n v="0.10416666666666674"/>
    <x v="3"/>
    <n v="2.5000000000000018"/>
  </r>
  <r>
    <x v="12"/>
    <d v="2025-01-09T00:00:00"/>
    <s v="الخميس "/>
    <x v="17"/>
    <s v="احمد ابوزيد"/>
    <s v="صيانة صرف الامطار"/>
    <s v="تم العمل"/>
    <d v="1899-12-30T10:00:00"/>
    <d v="1899-12-30T15:00:00"/>
    <n v="0.20833333333333331"/>
    <x v="3"/>
    <n v="5"/>
  </r>
  <r>
    <x v="12"/>
    <d v="2025-01-09T00:00:00"/>
    <s v="الخميس "/>
    <x v="0"/>
    <s v="محمد زنفل  "/>
    <s v="أنشاءات"/>
    <s v="تم العمل"/>
    <d v="1899-12-30T10:00:00"/>
    <d v="1899-12-30T18:00:00"/>
    <n v="0.33333333333333331"/>
    <x v="2"/>
    <n v="8"/>
  </r>
  <r>
    <x v="12"/>
    <d v="2025-01-11T00:00:00"/>
    <s v="السبت "/>
    <x v="10"/>
    <s v="فرج محمد  "/>
    <s v="فك فراشة الشوارع الخارجية "/>
    <s v="تم العمل"/>
    <d v="1899-12-30T09:30:00"/>
    <d v="1899-12-30T17:00:00"/>
    <n v="0.31250000000000006"/>
    <x v="0"/>
    <n v="7.5000000000000018"/>
  </r>
  <r>
    <x v="12"/>
    <d v="2025-01-11T00:00:00"/>
    <s v="السبت "/>
    <x v="5"/>
    <s v="فؤاد سالم "/>
    <s v="دهان الكفتريا"/>
    <s v="تم العمل"/>
    <d v="1899-12-30T09:30:00"/>
    <d v="1899-12-30T17:00:00"/>
    <n v="0.31250000000000006"/>
    <x v="0"/>
    <n v="7.5000000000000018"/>
  </r>
  <r>
    <x v="12"/>
    <d v="2025-01-11T00:00:00"/>
    <s v="السبت "/>
    <x v="6"/>
    <s v="محمد رفعت  "/>
    <s v="عمل صيانة الكلارك "/>
    <s v="تم العمل"/>
    <d v="1899-12-30T09:30:00"/>
    <d v="1899-12-30T12:00:00"/>
    <n v="0.10416666666666669"/>
    <x v="0"/>
    <n v="2.5000000000000004"/>
  </r>
  <r>
    <x v="12"/>
    <d v="2025-01-12T00:00:00"/>
    <s v="الاحد "/>
    <x v="8"/>
    <s v="علاء على"/>
    <s v="تركيب لوحة انذار على غرفة المحول"/>
    <s v="تم العمل"/>
    <d v="1899-12-30T11:00:00"/>
    <d v="1899-12-30T12:00:00"/>
    <n v="4.1666666666666685E-2"/>
    <x v="3"/>
    <n v="1.0000000000000004"/>
  </r>
  <r>
    <x v="12"/>
    <d v="2025-01-12T00:00:00"/>
    <s v="الاحد "/>
    <x v="7"/>
    <s v="محمد ماهر"/>
    <s v="مكافحة الحشرات "/>
    <s v="تم العمل"/>
    <d v="1899-12-30T12:00:00"/>
    <d v="1899-12-30T15:00:00"/>
    <n v="0.125"/>
    <x v="3"/>
    <n v="3"/>
  </r>
  <r>
    <x v="12"/>
    <d v="2025-01-12T00:00:00"/>
    <s v="الاحد "/>
    <x v="0"/>
    <s v="مراد صالح"/>
    <s v="استكمال اعمال خزان الاطفاء"/>
    <s v="تم العمل"/>
    <d v="1899-12-30T09:00:00"/>
    <d v="1899-12-30T17:00:00"/>
    <n v="0.33333333333333337"/>
    <x v="0"/>
    <n v="8"/>
  </r>
  <r>
    <x v="12"/>
    <d v="2025-01-13T00:00:00"/>
    <s v="الاثنين "/>
    <x v="14"/>
    <s v="مخلص كامل "/>
    <s v="صيانة الاسانسير"/>
    <s v="تم العمل"/>
    <d v="1899-12-30T11:30:00"/>
    <d v="1899-12-30T12:30:00"/>
    <n v="4.1666666666666685E-2"/>
    <x v="3"/>
    <n v="1.0000000000000004"/>
  </r>
  <r>
    <x v="12"/>
    <d v="2025-01-13T00:00:00"/>
    <s v="الاثنين "/>
    <x v="18"/>
    <s v="فيكتور لوندي"/>
    <s v="عزل اسقف المخزن"/>
    <s v="تم العمل"/>
    <d v="1899-12-30T12:00:00"/>
    <d v="1899-12-30T15:30:00"/>
    <n v="0.14583333333333337"/>
    <x v="4"/>
    <n v="3.5000000000000009"/>
  </r>
  <r>
    <x v="12"/>
    <d v="2025-01-13T00:00:00"/>
    <s v="الاثنين "/>
    <x v="17"/>
    <s v="شريف عيد"/>
    <s v="تركيب كشافات كهرباء "/>
    <s v="تم العمل"/>
    <d v="1899-12-30T10:00:00"/>
    <d v="1899-12-30T17:00:00"/>
    <n v="0.29166666666666669"/>
    <x v="1"/>
    <n v="7"/>
  </r>
  <r>
    <x v="12"/>
    <d v="2025-01-13T00:00:00"/>
    <s v="الاثنين "/>
    <x v="14"/>
    <s v="مخلص كامل "/>
    <s v="تركيب مصاعد"/>
    <s v="تم العمل"/>
    <d v="1899-12-30T10:00:00"/>
    <d v="1899-12-30T17:00:00"/>
    <n v="0.29166666666666669"/>
    <x v="1"/>
    <n v="7"/>
  </r>
  <r>
    <x v="12"/>
    <d v="2025-01-13T00:00:00"/>
    <s v="الاثنين "/>
    <x v="0"/>
    <s v="محمد صلاح"/>
    <s v="تركيب الوميتال"/>
    <s v="تم العمل"/>
    <d v="1899-12-30T11:30:00"/>
    <d v="1899-12-30T17:00:00"/>
    <n v="0.22916666666666669"/>
    <x v="1"/>
    <n v="5.5"/>
  </r>
  <r>
    <x v="12"/>
    <d v="2025-01-13T00:00:00"/>
    <s v="الاثنين "/>
    <x v="0"/>
    <s v="مراد صالح"/>
    <s v="استكمال اعمال خزان الاطفاء"/>
    <s v="تم العمل"/>
    <d v="1899-12-30T09:00:00"/>
    <d v="1899-12-30T17:00:00"/>
    <n v="0.33333333333333337"/>
    <x v="0"/>
    <n v="8"/>
  </r>
  <r>
    <x v="12"/>
    <d v="2025-01-13T00:00:00"/>
    <s v="الاثنين "/>
    <x v="67"/>
    <s v="محمود سالم "/>
    <s v="صيانة غرفة الطلمبات  "/>
    <s v="تم العمل"/>
    <d v="1899-12-30T10:00:00"/>
    <d v="1899-12-30T11:00:00"/>
    <n v="4.1666666666666963E-2"/>
    <x v="0"/>
    <n v="1.0000000000000071"/>
  </r>
  <r>
    <x v="12"/>
    <d v="2025-01-13T00:00:00"/>
    <s v="الاثنين "/>
    <x v="5"/>
    <s v="محمود ابوشادي"/>
    <s v="اعمال نظافة"/>
    <s v="تم العمل"/>
    <d v="1899-12-30T14:00:00"/>
    <d v="1899-12-30T17:00:00"/>
    <n v="0.125"/>
    <x v="0"/>
    <n v="3"/>
  </r>
  <r>
    <x v="12"/>
    <d v="2025-01-13T00:00:00"/>
    <s v="الاثنين "/>
    <x v="5"/>
    <s v="محمود ابوشادي"/>
    <s v="صيانة كشافات الكافيتريا"/>
    <s v="تم العمل"/>
    <d v="1899-12-30T18:30:00"/>
    <d v="1899-12-30T21:00:00"/>
    <n v="0.10416666666666663"/>
    <x v="3"/>
    <n v="2.4999999999999991"/>
  </r>
  <r>
    <x v="12"/>
    <d v="2025-01-14T00:00:00"/>
    <s v="الثلاثاء "/>
    <x v="18"/>
    <s v="فيكتور لوندي"/>
    <s v="عزل اسقف المخزن"/>
    <s v="تم العمل"/>
    <d v="1899-12-30T11:30:00"/>
    <d v="1899-12-30T16:00:00"/>
    <n v="0.18749999999999994"/>
    <x v="4"/>
    <n v="4.4999999999999982"/>
  </r>
  <r>
    <x v="12"/>
    <d v="2025-01-14T00:00:00"/>
    <s v="الثلاثاء "/>
    <x v="14"/>
    <s v="احمد حسن"/>
    <s v="تركيب مصاعد"/>
    <s v="تم العمل"/>
    <d v="1899-12-30T10:00:00"/>
    <d v="1899-12-30T17:00:00"/>
    <n v="0.29166666666666669"/>
    <x v="1"/>
    <n v="7"/>
  </r>
  <r>
    <x v="12"/>
    <d v="2025-01-14T00:00:00"/>
    <s v="الثلاثاء "/>
    <x v="17"/>
    <s v="شريف عيد"/>
    <s v="تركيب كشافات كهرباء "/>
    <s v="تم العمل"/>
    <d v="1899-12-30T10:00:00"/>
    <d v="1899-12-30T17:00:00"/>
    <n v="0.29166666666666669"/>
    <x v="1"/>
    <n v="7"/>
  </r>
  <r>
    <x v="12"/>
    <d v="2025-01-14T00:00:00"/>
    <s v="الثلاثاء "/>
    <x v="5"/>
    <s v="مصطفى رشاد  "/>
    <s v="اعمال نقاشة   "/>
    <s v="تم العمل"/>
    <d v="1899-12-30T11:00:00"/>
    <d v="1899-12-30T17:00:00"/>
    <n v="0.25000000000000006"/>
    <x v="1"/>
    <n v="6.0000000000000018"/>
  </r>
  <r>
    <x v="12"/>
    <d v="2025-01-14T00:00:00"/>
    <s v="الثلاثاء "/>
    <x v="0"/>
    <s v="محمد صلاح"/>
    <s v="تركيب الوميتال"/>
    <s v="تم العمل"/>
    <d v="1899-12-30T11:00:00"/>
    <d v="1899-12-30T17:00:00"/>
    <n v="0.25000000000000006"/>
    <x v="1"/>
    <n v="6.0000000000000018"/>
  </r>
  <r>
    <x v="12"/>
    <d v="2025-01-14T00:00:00"/>
    <s v="الثلاثاء "/>
    <x v="1"/>
    <s v="سامر سامي"/>
    <s v="اعمال في شبكة الاطفاء "/>
    <s v="تم العمل"/>
    <d v="1899-12-30T12:00:00"/>
    <d v="1899-12-30T17:00:00"/>
    <n v="0.20833333333333337"/>
    <x v="1"/>
    <n v="5.0000000000000009"/>
  </r>
  <r>
    <x v="12"/>
    <d v="2025-01-14T00:00:00"/>
    <s v="الثلاثاء "/>
    <x v="0"/>
    <s v="محمد زنفل  "/>
    <s v="انشاءات"/>
    <s v="تم العمل"/>
    <d v="1899-12-30T10:00:00"/>
    <d v="1899-12-30T18:00:00"/>
    <n v="0.33333333333333331"/>
    <x v="2"/>
    <n v="8"/>
  </r>
  <r>
    <x v="12"/>
    <d v="2025-01-15T00:00:00"/>
    <s v="الاربعاء "/>
    <x v="18"/>
    <s v="فيكتور لوندي"/>
    <s v="عزل اسقف المخزن"/>
    <s v="تم العمل"/>
    <d v="1899-12-30T11:00:00"/>
    <d v="1899-12-30T14:30:00"/>
    <n v="0.14583333333333331"/>
    <x v="4"/>
    <n v="3.4999999999999996"/>
  </r>
  <r>
    <x v="12"/>
    <d v="2025-01-15T00:00:00"/>
    <s v="الاربعاء "/>
    <x v="1"/>
    <s v="سامر سامي"/>
    <s v="اعمال في شبكة الاطفاء "/>
    <s v="تم العمل"/>
    <d v="1899-12-30T10:00:00"/>
    <d v="1899-12-30T17:00:00"/>
    <n v="0.29166666666666669"/>
    <x v="1"/>
    <n v="7"/>
  </r>
  <r>
    <x v="12"/>
    <d v="2025-01-15T00:00:00"/>
    <s v="الاربعاء "/>
    <x v="17"/>
    <s v="شريف عيد"/>
    <s v="تركيب كشافات كهرباء "/>
    <s v="تم العمل"/>
    <d v="1899-12-30T10:00:00"/>
    <d v="1899-12-30T17:00:00"/>
    <n v="0.29166666666666669"/>
    <x v="1"/>
    <n v="7"/>
  </r>
  <r>
    <x v="12"/>
    <d v="2025-01-15T00:00:00"/>
    <s v="الاربعاء "/>
    <x v="7"/>
    <s v="كريم عبداالناصر"/>
    <s v="مكافحة الحشرات "/>
    <s v="تم العمل"/>
    <d v="1899-12-30T15:00:00"/>
    <d v="1899-12-30T16:00:00"/>
    <n v="4.166666666666663E-2"/>
    <x v="1"/>
    <n v="0.99999999999999911"/>
  </r>
  <r>
    <x v="12"/>
    <d v="2025-01-15T00:00:00"/>
    <s v="الاربعاء "/>
    <x v="5"/>
    <s v="مصطفى رشاد  "/>
    <s v="اعمال نقاشة   "/>
    <s v="تم العمل"/>
    <d v="1899-12-30T16:00:00"/>
    <d v="1899-12-30T17:00:00"/>
    <n v="4.1666666666666075E-2"/>
    <x v="1"/>
    <n v="0.99999999999998579"/>
  </r>
  <r>
    <x v="12"/>
    <d v="2025-01-15T00:00:00"/>
    <s v="الاربعاء "/>
    <x v="0"/>
    <s v="محمد زنفل  "/>
    <s v="انشاءات"/>
    <s v="تم العمل"/>
    <d v="1899-12-30T10:00:00"/>
    <d v="1899-12-30T18:00:00"/>
    <n v="0.33333333333333331"/>
    <x v="2"/>
    <n v="8"/>
  </r>
  <r>
    <x v="12"/>
    <d v="2025-01-16T00:00:00"/>
    <s v="الخميس "/>
    <x v="5"/>
    <s v="ادم محمد "/>
    <s v="تركيب سيراميك"/>
    <s v="تم العمل"/>
    <d v="1899-12-30T10:00:00"/>
    <d v="1899-12-30T17:00:00"/>
    <n v="0.29166666666666669"/>
    <x v="3"/>
    <n v="7"/>
  </r>
  <r>
    <x v="12"/>
    <d v="2025-01-16T00:00:00"/>
    <s v="الخميس "/>
    <x v="14"/>
    <s v="انس احمد"/>
    <s v="تركيب مصاعد"/>
    <s v="تم العمل"/>
    <d v="1899-12-30T10:00:00"/>
    <d v="1899-12-30T17:00:00"/>
    <n v="0.29166666666666669"/>
    <x v="1"/>
    <n v="7"/>
  </r>
  <r>
    <x v="12"/>
    <d v="2025-01-16T00:00:00"/>
    <s v="الخميس "/>
    <x v="1"/>
    <s v="سامر سامي"/>
    <s v="اعمال في شبكة الاطفاء "/>
    <s v="تم العمل"/>
    <d v="1899-12-30T10:00:00"/>
    <d v="1899-12-30T17:00:00"/>
    <n v="0.29166666666666669"/>
    <x v="1"/>
    <n v="7"/>
  </r>
  <r>
    <x v="12"/>
    <d v="2025-01-16T00:00:00"/>
    <s v="الخميس "/>
    <x v="0"/>
    <s v="مراد صالح"/>
    <s v="استكمال اعمال خزان الاطفاء"/>
    <s v="تم العمل"/>
    <d v="1899-12-30T09:00:00"/>
    <d v="1899-12-30T17:00:00"/>
    <n v="0.33333333333333337"/>
    <x v="0"/>
    <n v="8"/>
  </r>
  <r>
    <x v="12"/>
    <d v="2025-01-18T00:00:00"/>
    <s v="السبت "/>
    <x v="0"/>
    <s v="مراد صالح"/>
    <s v="استكمال اعمال خزان الاطفاء"/>
    <s v="تم العمل"/>
    <d v="1899-12-30T09:00:00"/>
    <d v="1899-12-30T17:00:00"/>
    <n v="0.33333333333333337"/>
    <x v="0"/>
    <n v="8"/>
  </r>
  <r>
    <x v="12"/>
    <d v="2025-01-18T00:00:00"/>
    <s v="السبت "/>
    <x v="10"/>
    <s v="فرج محمد"/>
    <s v="فك فراشة الشوارع الخارجية "/>
    <s v="تم العمل"/>
    <d v="1899-12-30T09:30:00"/>
    <d v="1899-12-30T17:00:00"/>
    <n v="0.31250000000000006"/>
    <x v="0"/>
    <n v="7.5000000000000018"/>
  </r>
  <r>
    <x v="12"/>
    <d v="2025-01-18T00:00:00"/>
    <s v="السبت "/>
    <x v="1"/>
    <s v="سامر سامي"/>
    <s v="استكمال الاعمال في شبكة الاطفاء"/>
    <s v="تم العمل"/>
    <d v="1899-12-30T10:00:00"/>
    <d v="1899-12-30T17:00:00"/>
    <n v="0.29166666666666669"/>
    <x v="1"/>
    <n v="7"/>
  </r>
  <r>
    <x v="12"/>
    <d v="2025-01-18T00:00:00"/>
    <s v="السبت "/>
    <x v="14"/>
    <s v="انس احمد"/>
    <s v="تركيب مصاعد"/>
    <s v="تم العمل"/>
    <d v="1899-12-30T10:00:00"/>
    <d v="1899-12-30T17:00:00"/>
    <n v="0.29166666666666669"/>
    <x v="1"/>
    <n v="7"/>
  </r>
  <r>
    <x v="12"/>
    <d v="2025-01-19T00:00:00"/>
    <s v="الاحد "/>
    <x v="17"/>
    <s v="شريف عيد"/>
    <s v="تركيب كشافات كهرباء "/>
    <s v="تم العمل"/>
    <d v="1899-12-30T10:00:00"/>
    <d v="1899-12-30T16:00:00"/>
    <n v="0.24999999999999994"/>
    <x v="1"/>
    <n v="5.9999999999999982"/>
  </r>
  <r>
    <x v="12"/>
    <d v="2025-01-19T00:00:00"/>
    <s v="الاحد "/>
    <x v="14"/>
    <s v="انس احمد"/>
    <s v="تركيب مصاعد"/>
    <s v="تم العمل"/>
    <d v="1899-12-30T10:00:00"/>
    <d v="1899-12-30T16:00:00"/>
    <n v="0.24999999999999994"/>
    <x v="1"/>
    <n v="5.9999999999999982"/>
  </r>
  <r>
    <x v="12"/>
    <d v="2025-01-20T00:00:00"/>
    <s v="الاثنين "/>
    <x v="14"/>
    <s v="انس احمد"/>
    <s v="تركيب مصاعد"/>
    <s v="تم العمل"/>
    <d v="1899-12-30T10:00:00"/>
    <d v="1899-12-30T17:00:00"/>
    <n v="0.29166666666666669"/>
    <x v="1"/>
    <n v="7"/>
  </r>
  <r>
    <x v="12"/>
    <d v="2025-01-20T00:00:00"/>
    <s v="الاثنين "/>
    <x v="1"/>
    <s v="سامر سامي"/>
    <s v="صيانة خط الحريق "/>
    <s v="تم العمل"/>
    <d v="1899-12-30T10:00:00"/>
    <d v="1899-12-30T17:00:00"/>
    <n v="0.29166666666666669"/>
    <x v="1"/>
    <n v="7"/>
  </r>
  <r>
    <x v="12"/>
    <d v="2025-01-21T00:00:00"/>
    <s v="الثلاثاء "/>
    <x v="26"/>
    <s v="احمد محمود "/>
    <s v="صيانة دورية لغرف ومحابس الغاز     "/>
    <s v="تم العمل"/>
    <d v="1899-12-30T10:30:00"/>
    <d v="1899-12-30T11:30:00"/>
    <n v="4.1666666666666685E-2"/>
    <x v="3"/>
    <n v="1.0000000000000004"/>
  </r>
  <r>
    <x v="12"/>
    <d v="2025-01-21T00:00:00"/>
    <s v="الثلاثاء "/>
    <x v="0"/>
    <s v="مراد صالح"/>
    <s v="استكمال اعمال خزان الاطفاء"/>
    <s v="تم العمل"/>
    <d v="1899-12-30T08:00:00"/>
    <d v="1899-12-30T17:00:00"/>
    <n v="0.37500000000000006"/>
    <x v="0"/>
    <n v="9.0000000000000018"/>
  </r>
  <r>
    <x v="12"/>
    <d v="2025-01-21T00:00:00"/>
    <s v="الثلاثاء "/>
    <x v="14"/>
    <s v="انس احمد"/>
    <s v="تركيب مصاعد"/>
    <s v="تم العمل"/>
    <d v="1899-12-30T10:00:00"/>
    <d v="1899-12-30T17:00:00"/>
    <n v="0.29166666666666669"/>
    <x v="1"/>
    <n v="7"/>
  </r>
  <r>
    <x v="12"/>
    <d v="2025-01-21T00:00:00"/>
    <s v="الثلاثاء "/>
    <x v="17"/>
    <s v="شريف عيد"/>
    <s v="تركيب كشافات كهرباء "/>
    <s v="تم العمل"/>
    <d v="1899-12-30T10:00:00"/>
    <d v="1899-12-30T17:00:00"/>
    <n v="0.29166666666666735"/>
    <x v="1"/>
    <n v="7.000000000000016"/>
  </r>
  <r>
    <x v="12"/>
    <d v="2025-01-22T00:00:00"/>
    <s v="الاربعاء "/>
    <x v="1"/>
    <s v="سامر سامي"/>
    <s v="توصيل لوحة الانذار"/>
    <s v="تم العمل"/>
    <d v="1899-12-30T11:00:00"/>
    <d v="1899-12-30T16:00:00"/>
    <n v="0.20833333333333331"/>
    <x v="1"/>
    <n v="5"/>
  </r>
  <r>
    <x v="12"/>
    <d v="2025-01-22T00:00:00"/>
    <s v="الاربعاء "/>
    <x v="5"/>
    <s v="محمود عويس"/>
    <s v="تركيب فليسكبل ب  لكابلات تكيفات المبمى الاداري"/>
    <s v="تم العمل"/>
    <d v="1899-12-30T13:30:00"/>
    <d v="1899-12-30T15:00:00"/>
    <n v="6.25E-2"/>
    <x v="3"/>
    <n v="1.5"/>
  </r>
  <r>
    <x v="12"/>
    <d v="2025-01-22T00:00:00"/>
    <s v="الاربعاء "/>
    <x v="17"/>
    <s v="شريف عيد"/>
    <s v="تركيب كشافات كهرباء "/>
    <s v="تم العمل"/>
    <d v="1899-12-30T10:00:00"/>
    <d v="1899-12-30T17:00:00"/>
    <n v="0.29166666666666735"/>
    <x v="1"/>
    <n v="7.000000000000016"/>
  </r>
  <r>
    <x v="12"/>
    <d v="2025-01-22T00:00:00"/>
    <s v="الاربعاء "/>
    <x v="14"/>
    <s v="احمد السيد"/>
    <s v="تركيب مصاعد"/>
    <s v="تم العمل"/>
    <d v="1899-12-30T10:00:00"/>
    <d v="1899-12-30T17:00:00"/>
    <n v="0.29166666666666735"/>
    <x v="1"/>
    <n v="7.000000000000016"/>
  </r>
  <r>
    <x v="12"/>
    <d v="2025-01-23T00:00:00"/>
    <s v="الخميس "/>
    <x v="1"/>
    <s v="سامر سامي"/>
    <s v="توصيل لوحة الانذار"/>
    <s v="تم العمل"/>
    <d v="1899-12-30T11:00:00"/>
    <d v="1899-12-30T16:00:00"/>
    <n v="0.20833333333333365"/>
    <x v="1"/>
    <n v="5.0000000000000071"/>
  </r>
  <r>
    <x v="12"/>
    <d v="2025-01-23T00:00:00"/>
    <s v="الخميس "/>
    <x v="14"/>
    <s v="احمد السيد"/>
    <s v="تركيب مصاعد"/>
    <s v="تم العمل"/>
    <d v="1899-12-30T10:00:00"/>
    <d v="1899-12-30T17:00:00"/>
    <n v="0.29166666666666735"/>
    <x v="1"/>
    <n v="7.000000000000016"/>
  </r>
  <r>
    <x v="12"/>
    <d v="2025-01-25T00:00:00"/>
    <s v="السبت "/>
    <x v="0"/>
    <s v="مراد صالح"/>
    <s v="تركيب سيراميك لغرفة الطلمبات"/>
    <s v="تم العمل"/>
    <d v="1899-12-30T09:00:00"/>
    <d v="1899-12-30T17:00:00"/>
    <n v="0.33333333333333337"/>
    <x v="0"/>
    <n v="8"/>
  </r>
  <r>
    <x v="12"/>
    <d v="2025-01-26T00:00:00"/>
    <s v="الاحد "/>
    <x v="17"/>
    <s v="صابر ابراهيم "/>
    <s v="تركيب استاند"/>
    <s v="تم العمل"/>
    <d v="1899-12-30T13:00:00"/>
    <d v="1899-12-30T15:00:00"/>
    <n v="8.333333333333337E-2"/>
    <x v="3"/>
    <n v="2.0000000000000009"/>
  </r>
  <r>
    <x v="12"/>
    <d v="2025-01-26T00:00:00"/>
    <s v="الاحد "/>
    <x v="14"/>
    <s v="انس احمد"/>
    <s v="تركيب مصاعد"/>
    <s v="تم العمل"/>
    <d v="1899-12-30T11:00:00"/>
    <d v="1899-12-30T17:00:00"/>
    <n v="0.25000000000000006"/>
    <x v="1"/>
    <n v="6.0000000000000018"/>
  </r>
  <r>
    <x v="12"/>
    <d v="2025-01-26T00:00:00"/>
    <s v="الاحد "/>
    <x v="7"/>
    <s v="اسلام ابراهيم "/>
    <s v="مكافحة حشرات "/>
    <s v="تم العمل"/>
    <d v="1899-12-30T12:00:00"/>
    <d v="1899-12-30T13:30:00"/>
    <n v="6.25E-2"/>
    <x v="1"/>
    <n v="1.5"/>
  </r>
  <r>
    <x v="12"/>
    <d v="2025-01-27T00:00:00"/>
    <s v="الاثنين "/>
    <x v="0"/>
    <s v="محمد صلاح"/>
    <s v="استكمال اعمال خزان الاطفاء"/>
    <s v="تم العمل"/>
    <d v="1899-12-30T09:00:00"/>
    <d v="1899-12-30T17:00:00"/>
    <n v="0.33333333333333337"/>
    <x v="0"/>
    <n v="8"/>
  </r>
  <r>
    <x v="12"/>
    <d v="2025-01-27T00:00:00"/>
    <s v="الاثنين "/>
    <x v="14"/>
    <s v="ابراهيم هارون"/>
    <s v="تركيب مصاعد"/>
    <s v="تم العمل"/>
    <d v="1899-12-30T12:00:00"/>
    <d v="1899-12-30T17:00:00"/>
    <n v="0.20833333333333337"/>
    <x v="1"/>
    <n v="5.0000000000000009"/>
  </r>
  <r>
    <x v="12"/>
    <d v="2025-01-27T00:00:00"/>
    <s v="الاثنين "/>
    <x v="1"/>
    <s v="سامر سامي"/>
    <s v="تركيب شبكة انذار"/>
    <s v="تم العمل"/>
    <d v="1899-12-30T11:00:00"/>
    <d v="1899-12-30T14:00:00"/>
    <n v="0.12500000000000006"/>
    <x v="1"/>
    <n v="3.0000000000000013"/>
  </r>
  <r>
    <x v="12"/>
    <d v="2025-01-27T00:00:00"/>
    <s v="الاثنين "/>
    <x v="17"/>
    <s v="شريف عيد"/>
    <s v="اعمال كهرباء"/>
    <s v="تم العمل"/>
    <d v="1899-12-30T10:00:00"/>
    <d v="1899-12-30T17:00:00"/>
    <n v="0.29166666666666669"/>
    <x v="1"/>
    <n v="7"/>
  </r>
  <r>
    <x v="12"/>
    <d v="2025-01-28T00:00:00"/>
    <s v="الثلاثاء "/>
    <x v="34"/>
    <s v="رامي محمد"/>
    <s v="صيانة الوميتال"/>
    <s v="تم العمل"/>
    <d v="1899-12-30T14:30:00"/>
    <d v="1899-12-30T15:30:00"/>
    <n v="4.1666666666666741E-2"/>
    <x v="3"/>
    <n v="1.0000000000000018"/>
  </r>
  <r>
    <x v="12"/>
    <d v="2025-01-28T00:00:00"/>
    <s v="الثلاثاء "/>
    <x v="0"/>
    <s v="مراد صالح"/>
    <s v="استكمال اعمال خزان الاطفاء"/>
    <s v="تم العمل"/>
    <d v="1899-12-30T09:00:00"/>
    <d v="1899-12-30T17:00:00"/>
    <n v="0.33333333333333337"/>
    <x v="0"/>
    <n v="8"/>
  </r>
  <r>
    <x v="12"/>
    <d v="2025-01-28T00:00:00"/>
    <s v="الثلاثاء "/>
    <x v="14"/>
    <s v="احمد السيد"/>
    <s v="تركيب مصاعد"/>
    <s v="تم العمل"/>
    <d v="1899-12-30T11:00:00"/>
    <d v="1899-12-30T17:00:00"/>
    <n v="0.25000000000000006"/>
    <x v="1"/>
    <n v="6.0000000000000018"/>
  </r>
  <r>
    <x v="12"/>
    <d v="2025-01-28T00:00:00"/>
    <s v="الثلاثاء "/>
    <x v="17"/>
    <s v="شريف عيد"/>
    <s v="اعمال كهرباء"/>
    <s v="تم العمل"/>
    <d v="1899-12-30T10:00:00"/>
    <d v="1899-12-30T17:00:00"/>
    <n v="0.29166666666666669"/>
    <x v="1"/>
    <n v="7"/>
  </r>
  <r>
    <x v="12"/>
    <d v="2025-01-29T00:00:00"/>
    <s v="الاربعاء "/>
    <x v="17"/>
    <s v="محمود عويس"/>
    <s v="صيانة تكييف"/>
    <s v="تم العمل"/>
    <d v="1899-12-30T10:30:00"/>
    <d v="1899-12-30T13:00:00"/>
    <n v="0.10416666666666663"/>
    <x v="3"/>
    <n v="2.4999999999999991"/>
  </r>
  <r>
    <x v="12"/>
    <d v="2025-01-29T00:00:00"/>
    <s v="الاربعاء "/>
    <x v="64"/>
    <s v="ابراهيم عبدالحليم"/>
    <s v="صيانة كلاركات "/>
    <s v="تم العمل"/>
    <d v="1899-12-30T10:00:00"/>
    <d v="1899-12-30T12:00:00"/>
    <n v="8.3333333333333315E-2"/>
    <x v="1"/>
    <n v="1.9999999999999996"/>
  </r>
  <r>
    <x v="12"/>
    <d v="2025-01-29T00:00:00"/>
    <s v="الاربعاء "/>
    <x v="17"/>
    <s v="محمد نقيب"/>
    <s v="اعمال كهرباء"/>
    <s v="تم العمل"/>
    <d v="1899-12-30T10:00:00"/>
    <d v="1899-12-30T17:00:00"/>
    <n v="0.29166666666666635"/>
    <x v="1"/>
    <n v="6.9999999999999929"/>
  </r>
  <r>
    <x v="12"/>
    <d v="2025-01-29T00:00:00"/>
    <s v="الاربعاء "/>
    <x v="0"/>
    <s v="مراد صالح"/>
    <s v="استكمال اعمال خزان الاطفاء"/>
    <s v="تم العمل"/>
    <d v="1899-12-30T10:00:00"/>
    <d v="1899-12-30T17:00:00"/>
    <n v="0.29166666666666635"/>
    <x v="0"/>
    <n v="6.9999999999999929"/>
  </r>
  <r>
    <x v="12"/>
    <d v="2025-01-30T00:00:00"/>
    <s v="الخميس "/>
    <x v="0"/>
    <s v="محمد رمضان   "/>
    <s v="تركيب الوميتال"/>
    <s v="تم العمل"/>
    <d v="1899-12-30T11:00:00"/>
    <d v="1899-12-30T17:00:00"/>
    <n v="0.25000000000000006"/>
    <x v="1"/>
    <n v="6.0000000000000018"/>
  </r>
  <r>
    <x v="12"/>
    <d v="2025-01-30T00:00:00"/>
    <s v="الخميس "/>
    <x v="5"/>
    <s v="مصطفى رشاد  "/>
    <s v="اعمال نقاشة   "/>
    <s v="تم العمل"/>
    <d v="1899-12-30T10:00:00"/>
    <d v="1899-12-30T12:00:00"/>
    <n v="8.3333333333333315E-2"/>
    <x v="1"/>
    <n v="1.9999999999999996"/>
  </r>
  <r>
    <x v="12"/>
    <d v="2025-01-30T00:00:00"/>
    <s v="الخميس "/>
    <x v="0"/>
    <s v="مراد صالح"/>
    <s v="استكمال اعمال خزان الاطفاء"/>
    <s v="تم العمل"/>
    <d v="1899-12-30T10:00:00"/>
    <d v="1899-12-30T16:00:00"/>
    <n v="0.24999999999999994"/>
    <x v="0"/>
    <n v="5.9999999999999982"/>
  </r>
  <r>
    <x v="12"/>
    <d v="2025-01-30T00:00:00"/>
    <s v="الخميس "/>
    <x v="8"/>
    <s v="حامد ابوالمجد"/>
    <s v="تركيب ماسورة حريق في عنبر 2"/>
    <s v="تم العمل"/>
    <d v="1899-12-30T10:30:00"/>
    <d v="1899-12-30T15:00:00"/>
    <n v="0.1875"/>
    <x v="0"/>
    <n v="4.5"/>
  </r>
  <r>
    <x v="13"/>
    <d v="2025-02-01T00:00:00"/>
    <s v="السبت "/>
    <x v="24"/>
    <s v="محمد مصطفى"/>
    <s v="تركيب طلمبات الحريق"/>
    <s v="تم العمل"/>
    <d v="1899-12-30T13:00:00"/>
    <d v="1899-12-30T17:00:00"/>
    <n v="0.16666666666666674"/>
    <x v="0"/>
    <n v="4.0000000000000018"/>
  </r>
  <r>
    <x v="13"/>
    <d v="2025-02-01T00:00:00"/>
    <s v="السبت "/>
    <x v="0"/>
    <s v="ابراهيم سعد "/>
    <s v="تركيبات"/>
    <s v="تم العمل"/>
    <d v="1899-12-30T10:00:00"/>
    <d v="1899-12-30T18:00:00"/>
    <n v="0.33333333333333331"/>
    <x v="2"/>
    <n v="8"/>
  </r>
  <r>
    <x v="13"/>
    <d v="2025-02-02T00:00:00"/>
    <s v="الاحد "/>
    <x v="0"/>
    <s v="محمد صلاح"/>
    <s v="تركيب الوميتال"/>
    <s v="تم العمل"/>
    <d v="1899-12-30T10:00:00"/>
    <d v="1899-12-30T17:00:00"/>
    <n v="0.29166666666666669"/>
    <x v="1"/>
    <n v="7"/>
  </r>
  <r>
    <x v="13"/>
    <d v="2025-02-02T00:00:00"/>
    <s v="الاحد "/>
    <x v="1"/>
    <s v="اسامة ابراهيم "/>
    <s v="توصيل لوحة الانذار"/>
    <s v="تم العمل"/>
    <d v="1899-12-30T11:00:00"/>
    <d v="1899-12-30T12:00:00"/>
    <n v="4.1666666666666685E-2"/>
    <x v="1"/>
    <n v="1.0000000000000004"/>
  </r>
  <r>
    <x v="13"/>
    <d v="2025-02-02T00:00:00"/>
    <s v="الاحد "/>
    <x v="24"/>
    <s v="محمد مصطفى"/>
    <s v="تركيب طلمبات الحريق"/>
    <s v="تم العمل"/>
    <d v="1899-12-30T08:00:00"/>
    <d v="1899-12-30T17:00:00"/>
    <n v="0.37500000000000006"/>
    <x v="0"/>
    <n v="9.0000000000000018"/>
  </r>
  <r>
    <x v="13"/>
    <d v="2025-02-02T00:00:00"/>
    <s v="الاحد "/>
    <x v="5"/>
    <s v="محمد نقيب"/>
    <s v="صيانة كشافات الانارة"/>
    <s v="تم العمل"/>
    <d v="1899-12-30T10:00:00"/>
    <d v="1899-12-30T17:00:00"/>
    <n v="0.29166666666666669"/>
    <x v="0"/>
    <n v="7"/>
  </r>
  <r>
    <x v="13"/>
    <d v="2025-02-03T00:00:00"/>
    <s v="الاثنين "/>
    <x v="0"/>
    <s v="مراد صالح"/>
    <s v="استكمال اعمال خزان الاطفاء"/>
    <s v="تم العمل"/>
    <d v="1899-12-30T09:00:00"/>
    <d v="1899-12-30T17:00:00"/>
    <n v="0.33333333333333337"/>
    <x v="0"/>
    <n v="8"/>
  </r>
  <r>
    <x v="13"/>
    <d v="2025-02-03T00:00:00"/>
    <s v="الاثنين "/>
    <x v="5"/>
    <s v="محمد نقيب"/>
    <s v="صيانة كشافات الانارة"/>
    <s v="تم العمل"/>
    <d v="1899-12-30T10:00:00"/>
    <d v="1899-12-30T17:00:00"/>
    <n v="0.29166666666666669"/>
    <x v="0"/>
    <n v="7"/>
  </r>
  <r>
    <x v="13"/>
    <d v="2025-02-04T00:00:00"/>
    <s v="الثلاثاء "/>
    <x v="0"/>
    <s v="محمد صلاح"/>
    <s v="تركيب الوميتال"/>
    <s v="تم العمل"/>
    <d v="1899-12-30T10:00:00"/>
    <d v="1899-12-30T17:00:00"/>
    <n v="0.29166666666666669"/>
    <x v="1"/>
    <n v="7"/>
  </r>
  <r>
    <x v="13"/>
    <d v="2025-02-04T00:00:00"/>
    <s v="الثلاثاء "/>
    <x v="24"/>
    <s v="محمد مصطفى"/>
    <s v="تركيب طلمبات الحريق"/>
    <s v="تم العمل"/>
    <d v="1899-12-30T09:00:00"/>
    <d v="1899-12-30T17:00:00"/>
    <n v="0.33333333333333337"/>
    <x v="0"/>
    <n v="8"/>
  </r>
  <r>
    <x v="13"/>
    <d v="2025-02-04T00:00:00"/>
    <s v="الثلاثاء "/>
    <x v="5"/>
    <s v="محمد نقيب"/>
    <s v="صيانة كشافات الانارة"/>
    <s v="تم العمل"/>
    <d v="1899-12-30T10:00:00"/>
    <d v="1899-12-30T17:00:00"/>
    <n v="0.29166666666666669"/>
    <x v="0"/>
    <n v="7"/>
  </r>
  <r>
    <x v="13"/>
    <d v="2025-02-04T00:00:00"/>
    <s v="الثلاثاء "/>
    <x v="61"/>
    <s v="سيد عادل"/>
    <s v="تركيبات"/>
    <s v="تم العمل"/>
    <d v="1899-12-30T11:30:00"/>
    <d v="1899-12-30T17:00:00"/>
    <n v="0.22916666666666669"/>
    <x v="2"/>
    <n v="5.5"/>
  </r>
  <r>
    <x v="13"/>
    <d v="2025-02-07T00:00:00"/>
    <s v="الخميس "/>
    <x v="17"/>
    <s v="شريف عيد"/>
    <s v="اعمال كهرباء"/>
    <s v="تم العمل"/>
    <d v="1899-12-30T10:00:00"/>
    <d v="1899-12-30T12:00:00"/>
    <n v="8.3333333333333315E-2"/>
    <x v="1"/>
    <n v="1.9999999999999996"/>
  </r>
  <r>
    <x v="13"/>
    <d v="2025-02-08T00:00:00"/>
    <s v="السبت "/>
    <x v="4"/>
    <s v="سيد عاطف"/>
    <s v="صيانة"/>
    <s v="تم العمل"/>
    <d v="1899-12-30T10:00:00"/>
    <d v="1899-12-30T14:00:00"/>
    <n v="0.16666666666666669"/>
    <x v="2"/>
    <n v="4"/>
  </r>
  <r>
    <x v="13"/>
    <d v="2025-02-08T00:00:00"/>
    <s v="السبت "/>
    <x v="54"/>
    <s v="عاطف كمال"/>
    <s v="تركيبات"/>
    <s v="تم العمل"/>
    <d v="1899-12-30T10:30:00"/>
    <d v="1899-12-30T14:00:00"/>
    <n v="0.14583333333333337"/>
    <x v="2"/>
    <n v="3.5000000000000009"/>
  </r>
  <r>
    <x v="13"/>
    <d v="2025-02-09T00:00:00"/>
    <s v="الاحد "/>
    <x v="68"/>
    <s v="محمد عبدالوهاب"/>
    <s v="صيانة ماكينة السلوفان"/>
    <s v="تم العمل"/>
    <d v="1899-12-30T10:30:00"/>
    <d v="1899-12-30T18:00:00"/>
    <n v="0.3125"/>
    <x v="3"/>
    <n v="7.5"/>
  </r>
  <r>
    <x v="13"/>
    <d v="2025-02-09T00:00:00"/>
    <s v="الاحد "/>
    <x v="69"/>
    <s v="احمد محمد"/>
    <s v="تركيب كاميرات"/>
    <s v="تم العمل"/>
    <d v="1899-12-30T12:00:00"/>
    <d v="1899-12-30T17:00:00"/>
    <n v="0.20833333333333337"/>
    <x v="1"/>
    <n v="5.0000000000000009"/>
  </r>
  <r>
    <x v="13"/>
    <d v="2025-02-09T00:00:00"/>
    <s v="الاحد "/>
    <x v="14"/>
    <s v="جورج يونان"/>
    <s v="تركيب مصاعد"/>
    <s v="تم العمل"/>
    <d v="1899-12-30T11:00:00"/>
    <d v="1899-12-30T17:00:00"/>
    <n v="0.25000000000000006"/>
    <x v="1"/>
    <n v="6.0000000000000018"/>
  </r>
  <r>
    <x v="13"/>
    <d v="2025-02-09T00:00:00"/>
    <s v="الاحد "/>
    <x v="70"/>
    <s v="محمد مصطفى"/>
    <s v="تركيب طلمبات الحريق"/>
    <s v="تم العمل"/>
    <d v="1899-12-30T10:00:00"/>
    <d v="1899-12-30T17:00:00"/>
    <n v="0.29166666666666669"/>
    <x v="0"/>
    <n v="7"/>
  </r>
  <r>
    <x v="13"/>
    <d v="2025-02-09T00:00:00"/>
    <s v="الاحد "/>
    <x v="7"/>
    <s v="محمد ماهر"/>
    <s v="مكافحة حشرات "/>
    <s v="تم العمل"/>
    <d v="1899-12-30T15:00:00"/>
    <d v="1899-12-30T16:00:00"/>
    <n v="4.166666666666663E-2"/>
    <x v="1"/>
    <n v="0.99999999999999911"/>
  </r>
  <r>
    <x v="13"/>
    <d v="2025-02-10T00:00:00"/>
    <s v="الاثنين "/>
    <x v="68"/>
    <s v="محمد الزيني"/>
    <s v="صيانة ماكينة السلوفان"/>
    <s v="تم العمل"/>
    <d v="1899-12-30T10:30:00"/>
    <d v="1899-12-30T17:30:00"/>
    <n v="0.29166666666666663"/>
    <x v="3"/>
    <n v="6.9999999999999991"/>
  </r>
  <r>
    <x v="13"/>
    <d v="2025-02-10T00:00:00"/>
    <s v="الاثنين "/>
    <x v="8"/>
    <s v="علي الشحات "/>
    <s v="المرور الشهري على نظام الانذار"/>
    <s v="تم العمل"/>
    <d v="1899-12-30T12:00:00"/>
    <d v="1899-12-30T13:00:00"/>
    <n v="4.166666666666663E-2"/>
    <x v="3"/>
    <n v="0.99999999999999911"/>
  </r>
  <r>
    <x v="13"/>
    <d v="2025-02-11T00:00:00"/>
    <s v="الثلاثاء "/>
    <x v="68"/>
    <s v="ضياء ابراهيم"/>
    <s v="صيانة ماكينة السلوفان"/>
    <s v="تم العمل"/>
    <d v="1899-12-30T10:30:00"/>
    <d v="1899-12-30T17:00:00"/>
    <n v="0.27083333333333337"/>
    <x v="3"/>
    <n v="6.5000000000000009"/>
  </r>
  <r>
    <x v="13"/>
    <d v="2025-02-11T00:00:00"/>
    <s v="الثلاثاء "/>
    <x v="48"/>
    <s v="اسلام شديد"/>
    <s v="صيانة ماكينة التكويد"/>
    <s v="تم العمل"/>
    <d v="1899-12-30T11:00:00"/>
    <d v="1899-12-30T14:00:00"/>
    <n v="0.12500000000000006"/>
    <x v="3"/>
    <n v="3.0000000000000013"/>
  </r>
  <r>
    <x v="13"/>
    <d v="2025-02-11T00:00:00"/>
    <s v="الثلاثاء "/>
    <x v="8"/>
    <s v="احمد فوزي"/>
    <s v="صيانة لوحات الانذار"/>
    <s v="تم العمل"/>
    <d v="1899-12-30T13:30:00"/>
    <d v="1899-12-30T15:00:00"/>
    <n v="6.25E-2"/>
    <x v="3"/>
    <n v="1.5"/>
  </r>
  <r>
    <x v="13"/>
    <d v="2025-02-12T00:00:00"/>
    <s v="الاربعاء "/>
    <x v="61"/>
    <s v="سيد عادل"/>
    <s v="توصيل كابلات"/>
    <s v="تم العمل"/>
    <d v="1899-12-30T10:30:00"/>
    <d v="1899-12-30T18:30:00"/>
    <n v="0.33333333333333337"/>
    <x v="3"/>
    <n v="8"/>
  </r>
  <r>
    <x v="13"/>
    <d v="2025-02-12T00:00:00"/>
    <s v="الاربعاء "/>
    <x v="68"/>
    <s v="ضياء ابراهيم"/>
    <s v="صيانة ماكينة SPOT"/>
    <s v="تم العمل"/>
    <d v="1899-12-30T11:00:00"/>
    <d v="1899-12-30T17:30:00"/>
    <n v="0.27083333333333331"/>
    <x v="3"/>
    <n v="6.5"/>
  </r>
  <r>
    <x v="13"/>
    <d v="2025-02-12T00:00:00"/>
    <s v="الاربعاء "/>
    <x v="5"/>
    <s v="محمد نقيب"/>
    <s v="صيانة كشافات الانارة"/>
    <s v="تم العمل"/>
    <d v="1899-12-30T10:00:00"/>
    <d v="1899-12-30T17:00:00"/>
    <n v="0.29166666666666669"/>
    <x v="0"/>
    <n v="7"/>
  </r>
  <r>
    <x v="13"/>
    <d v="2025-02-12T00:00:00"/>
    <s v="الاربعاء "/>
    <x v="70"/>
    <s v="محمد مصطفى"/>
    <s v="تركيب طلمبات الحريق"/>
    <s v="تم العمل"/>
    <d v="1899-12-30T11:00:00"/>
    <d v="1899-12-30T20:30:00"/>
    <n v="0.39583333333333331"/>
    <x v="0"/>
    <n v="9.5"/>
  </r>
  <r>
    <x v="13"/>
    <d v="2025-02-13T00:00:00"/>
    <s v="الخميس "/>
    <x v="70"/>
    <s v="محمد مصطفى"/>
    <s v="تركيب طلمبات الحريق"/>
    <s v="تم العمل"/>
    <d v="1899-12-30T10:00:00"/>
    <d v="1899-12-30T18:00:00"/>
    <n v="0.33333333333333331"/>
    <x v="0"/>
    <n v="8"/>
  </r>
  <r>
    <x v="13"/>
    <d v="2025-02-15T00:00:00"/>
    <s v="السبت "/>
    <x v="71"/>
    <s v="محمد محمود"/>
    <s v="صيانة زجاج"/>
    <s v="تم العمل"/>
    <d v="1899-12-30T16:00:00"/>
    <d v="1899-12-30T18:00:00"/>
    <n v="8.333333333333337E-2"/>
    <x v="2"/>
    <n v="2.0000000000000009"/>
  </r>
  <r>
    <x v="13"/>
    <d v="2025-02-16T00:00:00"/>
    <s v="الاحد "/>
    <x v="7"/>
    <s v="محمد ماهر"/>
    <s v="مكافحة حشرات "/>
    <s v="تم العمل"/>
    <d v="1899-12-30T12:30:00"/>
    <d v="1899-12-30T14:00:00"/>
    <n v="6.25E-2"/>
    <x v="3"/>
    <n v="1.5"/>
  </r>
  <r>
    <x v="13"/>
    <d v="2025-02-16T00:00:00"/>
    <s v="الاحد "/>
    <x v="70"/>
    <s v="محمد مصطفى"/>
    <s v="تركيب طلمبات الحريق"/>
    <s v="تم العمل"/>
    <d v="1899-12-30T10:00:00"/>
    <d v="1899-12-30T17:00:00"/>
    <n v="0.29166666666666669"/>
    <x v="0"/>
    <n v="7"/>
  </r>
  <r>
    <x v="13"/>
    <d v="2025-02-16T00:00:00"/>
    <s v="الاحد "/>
    <x v="5"/>
    <s v="محمد نقيب"/>
    <s v="صيانة كشافات الانارة"/>
    <s v="تم العمل"/>
    <d v="1899-12-30T10:00:00"/>
    <d v="1899-12-30T17:00:00"/>
    <n v="0.29166666666666669"/>
    <x v="0"/>
    <n v="7"/>
  </r>
  <r>
    <x v="13"/>
    <d v="2025-02-18T00:00:00"/>
    <s v="الثلاثاء "/>
    <x v="18"/>
    <s v="فيكتور لوندي"/>
    <s v="صيانة الديزل "/>
    <s v="تم العمل"/>
    <d v="1899-12-30T13:00:00"/>
    <d v="1899-12-30T17:00:00"/>
    <n v="0.16666666666666674"/>
    <x v="4"/>
    <n v="4.0000000000000018"/>
  </r>
  <r>
    <x v="13"/>
    <d v="2025-02-20T00:00:00"/>
    <s v="الخميس "/>
    <x v="14"/>
    <s v="محمد عادل  "/>
    <s v="صيانة المصاعد "/>
    <s v="تم العمل"/>
    <d v="1899-12-30T12:00:00"/>
    <d v="1899-12-30T13:00:00"/>
    <n v="4.166666666666663E-2"/>
    <x v="3"/>
    <n v="0.99999999999999911"/>
  </r>
  <r>
    <x v="13"/>
    <d v="2025-02-20T00:00:00"/>
    <s v="الخميس "/>
    <x v="18"/>
    <s v="فيكتور لوندي"/>
    <s v="صيانة الديزل "/>
    <s v="تم العمل"/>
    <d v="1899-12-30T12:00:00"/>
    <d v="1899-12-30T13:00:00"/>
    <n v="4.166666666666663E-2"/>
    <x v="4"/>
    <n v="0.99999999999999911"/>
  </r>
  <r>
    <x v="13"/>
    <d v="2025-02-20T00:00:00"/>
    <s v="الخميس "/>
    <x v="17"/>
    <s v="شريف عيد"/>
    <s v="صيانة غرفة الكهرباء"/>
    <s v="تم العمل"/>
    <d v="1899-12-30T10:00:00"/>
    <d v="1899-12-30T12:00:00"/>
    <n v="8.3333333333333315E-2"/>
    <x v="1"/>
    <n v="1.9999999999999996"/>
  </r>
  <r>
    <x v="13"/>
    <d v="2025-02-20T00:00:00"/>
    <s v="الخميس "/>
    <x v="14"/>
    <s v="محمد عادل  "/>
    <s v="تركيب مصاعد"/>
    <s v="تم العمل"/>
    <d v="1899-12-30T13:00:00"/>
    <d v="1899-12-30T15:00:00"/>
    <n v="8.333333333333337E-2"/>
    <x v="1"/>
    <n v="2.0000000000000009"/>
  </r>
  <r>
    <x v="13"/>
    <d v="2025-02-22T00:00:00"/>
    <s v="السبت "/>
    <x v="17"/>
    <s v="شريف عيد"/>
    <s v="سحب كابلات لغرفة الطلمبات"/>
    <s v="تم العمل"/>
    <d v="1899-12-30T10:00:00"/>
    <d v="1899-12-30T17:00:00"/>
    <n v="0.29166666666666669"/>
    <x v="0"/>
    <n v="7"/>
  </r>
  <r>
    <x v="13"/>
    <d v="2025-02-22T00:00:00"/>
    <s v="السبت "/>
    <x v="70"/>
    <s v="محمد سعيد"/>
    <s v="اعمال لحامات"/>
    <s v="تم العمل"/>
    <d v="1899-12-30T11:00:00"/>
    <d v="1899-12-30T17:00:00"/>
    <n v="0.25000000000000006"/>
    <x v="0"/>
    <n v="6.0000000000000018"/>
  </r>
  <r>
    <x v="13"/>
    <d v="2025-02-23T00:00:00"/>
    <s v="الاحد "/>
    <x v="7"/>
    <s v="محمد احمد"/>
    <s v="مكافحة حشرات "/>
    <s v="تم العمل"/>
    <d v="1899-12-30T11:00:00"/>
    <d v="1899-12-30T13:00:00"/>
    <n v="8.3333333333333315E-2"/>
    <x v="1"/>
    <n v="1.9999999999999996"/>
  </r>
  <r>
    <x v="13"/>
    <d v="2025-02-23T00:00:00"/>
    <s v="الاحد "/>
    <x v="7"/>
    <s v="محمد احمد"/>
    <s v="مكافحة حشرات "/>
    <s v="تم العمل"/>
    <d v="1899-12-30T13:00:00"/>
    <d v="1899-12-30T14:00:00"/>
    <n v="4.1666666666666741E-2"/>
    <x v="4"/>
    <n v="1.0000000000000018"/>
  </r>
  <r>
    <x v="14"/>
    <d v="2025-03-02T00:00:00"/>
    <s v="الاحد "/>
    <x v="7"/>
    <s v="نادر ياسر"/>
    <s v="مكافحة حشرات "/>
    <s v="تم العمل"/>
    <d v="1899-12-30T12:30:00"/>
    <d v="1899-12-30T15:30:00"/>
    <n v="0.125"/>
    <x v="3"/>
    <n v="3"/>
  </r>
  <r>
    <x v="14"/>
    <d v="2025-03-02T00:00:00"/>
    <s v="الاحد "/>
    <x v="7"/>
    <s v="محمد ماهر"/>
    <s v="مكافحة حشرات "/>
    <s v="تم العمل"/>
    <d v="1899-12-30T10:00:00"/>
    <d v="1899-12-30T11:00:00"/>
    <n v="4.166666666666663E-2"/>
    <x v="0"/>
    <n v="0.99999999999999911"/>
  </r>
  <r>
    <x v="14"/>
    <d v="2025-03-03T00:00:00"/>
    <s v="الاثنين "/>
    <x v="14"/>
    <s v="مخلص كامل "/>
    <s v="صيانة مصاعد"/>
    <s v="تم العمل"/>
    <d v="1899-12-30T12:00:00"/>
    <d v="1899-12-30T14:30:00"/>
    <n v="0.10416666666666663"/>
    <x v="3"/>
    <n v="2.4999999999999991"/>
  </r>
  <r>
    <x v="14"/>
    <d v="2025-03-06T00:00:00"/>
    <s v="الخميس "/>
    <x v="64"/>
    <s v="عبدالسلام محمد"/>
    <s v="ترميم ارضيات المطابع"/>
    <s v="تم العمل"/>
    <d v="1899-12-30T10:00:00"/>
    <d v="1899-12-30T16:00:00"/>
    <n v="0.24999999999999994"/>
    <x v="3"/>
    <n v="5.9999999999999982"/>
  </r>
  <r>
    <x v="14"/>
    <d v="2025-03-06T00:00:00"/>
    <s v="الخميس "/>
    <x v="8"/>
    <s v="حامد ابوالمجد"/>
    <s v="المرور الشهري على نظام الانذار"/>
    <s v="تم العمل"/>
    <d v="1899-12-30T10:00:00"/>
    <d v="1899-12-30T12:00:00"/>
    <n v="8.3333333333333315E-2"/>
    <x v="3"/>
    <n v="1.9999999999999996"/>
  </r>
  <r>
    <x v="14"/>
    <d v="2025-03-08T00:00:00"/>
    <s v="السبت "/>
    <x v="0"/>
    <s v="محمد زنفل  "/>
    <s v="تركيبات"/>
    <s v="تم العمل"/>
    <d v="1899-12-30T09:30:00"/>
    <d v="1899-12-30T16:00:00"/>
    <n v="0.27083333333333331"/>
    <x v="2"/>
    <n v="6.5"/>
  </r>
  <r>
    <x v="14"/>
    <d v="2025-03-08T00:00:00"/>
    <s v="السبت "/>
    <x v="0"/>
    <s v="يحيى طه"/>
    <s v="اعمال دهانات"/>
    <s v="تم العمل"/>
    <d v="1899-12-30T11:00:00"/>
    <d v="1899-12-30T16:00:00"/>
    <n v="0.20833333333333331"/>
    <x v="2"/>
    <n v="5"/>
  </r>
  <r>
    <x v="14"/>
    <d v="2025-03-08T00:00:00"/>
    <s v="السبت "/>
    <x v="71"/>
    <s v="اسامة داغر"/>
    <s v="اعمال صيانة"/>
    <s v="تم العمل"/>
    <d v="1899-12-30T13:00:00"/>
    <d v="1899-12-30T16:00:00"/>
    <n v="0.125"/>
    <x v="2"/>
    <n v="3"/>
  </r>
  <r>
    <x v="14"/>
    <d v="2025-03-09T00:00:00"/>
    <s v="الاحد "/>
    <x v="64"/>
    <s v="احمد علي"/>
    <s v="صيانة السلم المتحرك"/>
    <s v="تم العمل"/>
    <d v="1899-12-30T13:00:00"/>
    <d v="1899-12-30T16:00:00"/>
    <n v="0.125"/>
    <x v="1"/>
    <n v="3"/>
  </r>
  <r>
    <x v="14"/>
    <d v="2025-03-09T00:00:00"/>
    <s v="الاحد "/>
    <x v="7"/>
    <s v="محمد ماهر"/>
    <s v="مكافحة حشرات "/>
    <s v="تم العمل"/>
    <d v="1899-12-30T11:00:00"/>
    <d v="1899-12-30T12:00:00"/>
    <n v="4.1666666666666685E-2"/>
    <x v="1"/>
    <n v="1.0000000000000004"/>
  </r>
  <r>
    <x v="14"/>
    <d v="2025-03-09T00:00:00"/>
    <s v="الاحد "/>
    <x v="64"/>
    <s v="عبدالسلام محمد"/>
    <s v="ترميم ارضيات المطابع"/>
    <s v="تم العمل"/>
    <d v="1899-12-30T10:00:00"/>
    <d v="1899-12-30T15:00:00"/>
    <n v="0.20833333333333331"/>
    <x v="3"/>
    <n v="5"/>
  </r>
  <r>
    <x v="14"/>
    <d v="2025-03-10T00:00:00"/>
    <s v="الاثنين "/>
    <x v="8"/>
    <s v="المهندس علاء"/>
    <s v="المرور الشهري على نظام الانذار"/>
    <s v="تم العمل"/>
    <d v="1899-12-30T10:30:00"/>
    <d v="1899-12-30T11:00:00"/>
    <n v="2.0833333333333315E-2"/>
    <x v="3"/>
    <n v="0.49999999999999956"/>
  </r>
  <r>
    <x v="14"/>
    <d v="2025-03-10T00:00:00"/>
    <s v="الاثنين "/>
    <x v="14"/>
    <s v="مخلص كامل "/>
    <s v="صيانة مصاعد"/>
    <s v="تم العمل"/>
    <d v="1899-12-30T11:00:00"/>
    <d v="1899-12-30T14:00:00"/>
    <n v="0.12500000000000006"/>
    <x v="1"/>
    <n v="3.0000000000000013"/>
  </r>
  <r>
    <x v="14"/>
    <d v="2025-03-10T00:00:00"/>
    <s v="الاثنين "/>
    <x v="8"/>
    <s v="المهندس علاء"/>
    <s v="المرور الشهري على نظام الانذار"/>
    <s v="تم العمل"/>
    <d v="1899-12-30T10:00:00"/>
    <d v="1899-12-30T11:00:00"/>
    <n v="4.166666666666663E-2"/>
    <x v="1"/>
    <n v="0.99999999999999911"/>
  </r>
  <r>
    <x v="14"/>
    <d v="2025-03-10T00:00:00"/>
    <s v="الاثنين "/>
    <x v="8"/>
    <s v="مصطفى عبدالفتاح"/>
    <s v="صيانة طلمبات"/>
    <s v="تم العمل"/>
    <d v="1899-12-30T09:00:00"/>
    <d v="1899-12-30T11:00:00"/>
    <n v="8.3333333333333315E-2"/>
    <x v="1"/>
    <n v="1.9999999999999996"/>
  </r>
  <r>
    <x v="14"/>
    <d v="2025-03-11T00:00:00"/>
    <s v="الثلاثاء "/>
    <x v="17"/>
    <s v="شريف عيد"/>
    <s v="استكمال اعمال الكهرباء"/>
    <s v="تم العمل"/>
    <d v="1899-12-30T10:00:00"/>
    <d v="1899-12-30T13:00:00"/>
    <n v="0.12499999999999994"/>
    <x v="1"/>
    <n v="2.9999999999999987"/>
  </r>
  <r>
    <x v="14"/>
    <d v="2025-03-11T00:00:00"/>
    <s v="الثلاثاء "/>
    <x v="18"/>
    <s v="فيكتور لوندي"/>
    <s v="صيانة طلمبات"/>
    <s v="تم العمل"/>
    <d v="1899-12-30T04:00:00"/>
    <d v="1899-12-30T04:30:00"/>
    <n v="2.0833333333333343E-2"/>
    <x v="4"/>
    <n v="0.50000000000000022"/>
  </r>
  <r>
    <x v="14"/>
    <d v="2025-03-12T00:00:00"/>
    <s v="الاربعاء "/>
    <x v="18"/>
    <s v="فيكتور لوندي"/>
    <s v="صيانة طلمبات"/>
    <s v="تم العمل"/>
    <d v="1899-12-30T10:00:00"/>
    <d v="1899-12-30T11:00:00"/>
    <n v="4.166666666666663E-2"/>
    <x v="4"/>
    <n v="0.99999999999999911"/>
  </r>
  <r>
    <x v="14"/>
    <d v="2025-03-12T00:00:00"/>
    <s v="الاربعاء "/>
    <x v="72"/>
    <s v="محمد احمد"/>
    <s v="صيانة ماكينة سبيد ماستر 4"/>
    <s v="تم العمل"/>
    <d v="1899-12-30T11:30:00"/>
    <d v="1899-12-30T15:00:00"/>
    <n v="0.14583333333333331"/>
    <x v="3"/>
    <n v="3.4999999999999996"/>
  </r>
  <r>
    <x v="14"/>
    <d v="2025-03-13T00:00:00"/>
    <s v="الخميس "/>
    <x v="17"/>
    <s v="صابر ابراهيم "/>
    <s v="تركيب ركات"/>
    <s v="تم العمل"/>
    <d v="1899-12-30T09:30:00"/>
    <d v="1899-12-30T14:00:00"/>
    <n v="0.18750000000000006"/>
    <x v="1"/>
    <n v="4.5000000000000018"/>
  </r>
  <r>
    <x v="14"/>
    <d v="2025-03-15T00:00:00"/>
    <s v="السبت "/>
    <x v="8"/>
    <s v="حامد ابو المجد"/>
    <s v="صيانة غرفة الطلمبات  "/>
    <s v="تم العمل"/>
    <d v="1899-12-30T11:00:00"/>
    <d v="1899-12-30T14:00:00"/>
    <n v="0.12500000000000006"/>
    <x v="1"/>
    <n v="3.0000000000000013"/>
  </r>
  <r>
    <x v="14"/>
    <d v="2025-03-16T00:00:00"/>
    <s v="الاحد "/>
    <x v="17"/>
    <s v="صابر ابراهيم "/>
    <s v="اعمال لحامات"/>
    <s v="تم العمل"/>
    <d v="1899-12-30T10:00:00"/>
    <d v="1899-12-30T14:00:00"/>
    <n v="0.16666666666666669"/>
    <x v="1"/>
    <n v="4"/>
  </r>
  <r>
    <x v="14"/>
    <d v="2025-03-16T00:00:00"/>
    <s v="الاحد "/>
    <x v="17"/>
    <s v="صابر احمد"/>
    <s v="تركيب راكات "/>
    <s v="تم العمل"/>
    <d v="1899-12-30T10:00:00"/>
    <d v="1899-12-30T15:00:00"/>
    <n v="0.20833333333333331"/>
    <x v="1"/>
    <n v="5"/>
  </r>
  <r>
    <x v="14"/>
    <d v="2025-03-16T00:00:00"/>
    <s v="الاحد "/>
    <x v="7"/>
    <s v="محمد ماهر"/>
    <s v="مكافحة حشرات "/>
    <s v="تم العمل"/>
    <d v="1899-12-30T12:00:00"/>
    <d v="1899-12-30T14:30:00"/>
    <n v="0.10416666666666663"/>
    <x v="3"/>
    <n v="2.4999999999999991"/>
  </r>
  <r>
    <x v="14"/>
    <d v="2025-03-16T00:00:00"/>
    <s v="الاحد "/>
    <x v="73"/>
    <s v="المهندس محمد"/>
    <s v="اعمال صيانة غرف الكهرباء"/>
    <s v="تم العمل"/>
    <d v="1899-12-30T14:30:00"/>
    <d v="1899-12-30T17:00:00"/>
    <n v="0.10416666666666674"/>
    <x v="3"/>
    <n v="2.5000000000000018"/>
  </r>
  <r>
    <x v="14"/>
    <d v="2025-03-16T00:00:00"/>
    <s v="الاحد "/>
    <x v="61"/>
    <s v="سيد عادل"/>
    <s v="تركيبات"/>
    <s v="تم العمل"/>
    <d v="1899-12-30T12:30:00"/>
    <d v="1899-12-30T16:00:00"/>
    <n v="0.14583333333333326"/>
    <x v="2"/>
    <n v="3.4999999999999982"/>
  </r>
  <r>
    <x v="14"/>
    <d v="2025-03-17T00:00:00"/>
    <s v="الاثنين "/>
    <x v="11"/>
    <s v="احمد شعبان"/>
    <s v="صيانة كلاركات "/>
    <s v="تم العمل"/>
    <d v="1899-12-30T09:30:00"/>
    <d v="1899-12-30T11:30:00"/>
    <n v="8.333333333333337E-2"/>
    <x v="3"/>
    <n v="2.0000000000000009"/>
  </r>
  <r>
    <x v="14"/>
    <d v="2025-03-17T00:00:00"/>
    <s v="الاثنين "/>
    <x v="7"/>
    <s v="وائل حلمي"/>
    <s v="مكافحة حشرات "/>
    <s v="تم العمل"/>
    <d v="1899-12-30T11:00:00"/>
    <d v="1899-12-30T12:00:00"/>
    <n v="4.1666666666666685E-2"/>
    <x v="3"/>
    <n v="1.0000000000000004"/>
  </r>
  <r>
    <x v="14"/>
    <d v="2025-03-17T00:00:00"/>
    <s v="الاثنين "/>
    <x v="17"/>
    <s v="صابر ابراهيم "/>
    <s v="اعمال لحامات"/>
    <s v="تم العمل"/>
    <d v="1899-12-30T10:00:00"/>
    <d v="1899-12-30T14:00:00"/>
    <n v="0.16666666666666669"/>
    <x v="1"/>
    <n v="4"/>
  </r>
  <r>
    <x v="14"/>
    <d v="2025-03-18T00:00:00"/>
    <s v="الثلاثاء "/>
    <x v="17"/>
    <s v="صابر ابراهيم "/>
    <s v="اعمال لحامات"/>
    <s v="تم العمل"/>
    <d v="1899-12-30T10:00:00"/>
    <d v="1899-12-30T14:00:00"/>
    <n v="0.16666666666666669"/>
    <x v="1"/>
    <n v="4"/>
  </r>
  <r>
    <x v="14"/>
    <d v="2025-03-22T00:00:00"/>
    <s v="السبت "/>
    <x v="70"/>
    <s v="ابراهيم كمال"/>
    <s v="تركيب طلمبات الحريق"/>
    <s v="تم العمل"/>
    <d v="1899-12-30T10:30:00"/>
    <d v="1899-12-30T13:30:00"/>
    <n v="0.125"/>
    <x v="0"/>
    <n v="3"/>
  </r>
  <r>
    <x v="14"/>
    <d v="2025-03-23T00:00:00"/>
    <s v="الاحد "/>
    <x v="61"/>
    <s v="سيد عادل"/>
    <s v="تركيبات"/>
    <s v="تم العمل"/>
    <d v="1899-12-30T12:00:00"/>
    <d v="1899-12-30T14:00:00"/>
    <n v="8.333333333333337E-2"/>
    <x v="2"/>
    <n v="2.0000000000000009"/>
  </r>
  <r>
    <x v="14"/>
    <d v="2025-03-24T00:00:00"/>
    <s v="الاثنين "/>
    <x v="14"/>
    <s v="محمد عادل  "/>
    <s v="صيانة مصاعد"/>
    <s v="تم العمل"/>
    <d v="1899-12-30T12:30:00"/>
    <d v="1899-12-30T13:15:00"/>
    <n v="3.125E-2"/>
    <x v="3"/>
    <n v="0.75"/>
  </r>
  <r>
    <x v="14"/>
    <d v="2025-03-24T00:00:00"/>
    <s v="الاثنين "/>
    <x v="14"/>
    <s v="محسن جمال"/>
    <s v="صيانة مصاعد"/>
    <s v="تم العمل"/>
    <d v="1899-12-30T10:00:00"/>
    <d v="1899-12-30T14:00:00"/>
    <n v="0.16666666666666669"/>
    <x v="1"/>
    <n v="4"/>
  </r>
  <r>
    <x v="14"/>
    <d v="2025-03-25T00:00:00"/>
    <s v="الثلاثاء "/>
    <x v="18"/>
    <s v="فيكتور لوندي"/>
    <s v="صيانة طلمبات"/>
    <s v="تم العمل"/>
    <d v="1899-12-30T14:00:00"/>
    <d v="1899-12-30T17:00:00"/>
    <n v="0.125"/>
    <x v="4"/>
    <n v="3"/>
  </r>
  <r>
    <x v="14"/>
    <d v="2025-03-25T00:00:00"/>
    <s v="الثلاثاء "/>
    <x v="36"/>
    <s v="محمد عطية السيد"/>
    <s v="صيانة السلم المتحرك"/>
    <s v="تم العمل"/>
    <d v="1899-12-30T10:00:00"/>
    <d v="1899-12-30T15:00:00"/>
    <n v="0.20833333333333331"/>
    <x v="1"/>
    <n v="5"/>
  </r>
  <r>
    <x v="14"/>
    <d v="2025-03-26T00:00:00"/>
    <s v="الاربعاء "/>
    <x v="14"/>
    <s v="محسن جمال"/>
    <s v="صيانة مصاعد"/>
    <s v="تم العمل"/>
    <d v="1899-12-30T10:00:00"/>
    <d v="1899-12-30T15:00:00"/>
    <n v="0.20833333333333331"/>
    <x v="1"/>
    <n v="5"/>
  </r>
  <r>
    <x v="14"/>
    <d v="2025-03-27T00:00:00"/>
    <s v="الخميس "/>
    <x v="8"/>
    <s v="حامد ابوالمجد"/>
    <s v="تركيب ريليف فالف"/>
    <s v="تم العمل"/>
    <d v="1899-12-30T10:00:00"/>
    <d v="1899-12-30T12:00:00"/>
    <n v="8.3333333333333315E-2"/>
    <x v="1"/>
    <n v="1.9999999999999996"/>
  </r>
  <r>
    <x v="14"/>
    <d v="2025-03-27T00:00:00"/>
    <s v="الخميس "/>
    <x v="18"/>
    <s v="فيكتور لوندي"/>
    <s v="صيانة طلمبات"/>
    <s v="تم العمل"/>
    <d v="1899-12-30T13:00:00"/>
    <d v="1899-12-30T19:00:00"/>
    <n v="0.25"/>
    <x v="4"/>
    <n v="6"/>
  </r>
  <r>
    <x v="14"/>
    <d v="2025-03-27T00:00:00"/>
    <s v="الخميس "/>
    <x v="72"/>
    <s v="احمد وهبة"/>
    <s v="صيانة ماكينة uv"/>
    <s v="تم العمل"/>
    <d v="1899-12-30T22:00:00"/>
    <d v="1899-12-30T23:59:00"/>
    <n v="8.2638888888888928E-2"/>
    <x v="3"/>
    <n v="1.9833333333333343"/>
  </r>
  <r>
    <x v="15"/>
    <d v="2025-06-01T00:00:00"/>
    <s v="الاحد "/>
    <x v="5"/>
    <s v="محمود عويس"/>
    <s v="صيانة تكييفات"/>
    <s v="تم العمل"/>
    <d v="1899-12-30T16:00:00"/>
    <d v="1899-12-30T17:00:00"/>
    <n v="4.1666666666666741E-2"/>
    <x v="1"/>
    <n v="1.0000000000000018"/>
  </r>
  <r>
    <x v="15"/>
    <d v="2025-06-02T00:00:00"/>
    <s v="الاثنين "/>
    <x v="6"/>
    <s v="صابر ايبراهيم "/>
    <s v="تركيب شفاط فى الطبع شيت "/>
    <s v="تم العمل"/>
    <d v="1899-12-30T14:30:00"/>
    <d v="1899-12-30T16:00:00"/>
    <n v="6.25E-2"/>
    <x v="3"/>
    <n v="1.5"/>
  </r>
  <r>
    <x v="15"/>
    <d v="2025-06-02T00:00:00"/>
    <s v="الاثنين "/>
    <x v="13"/>
    <s v="اسلام مصطفى  "/>
    <s v="عمل صيانة  ماكينة CTB"/>
    <s v="تم العمل"/>
    <d v="1899-12-30T13:00:00"/>
    <d v="1899-12-30T17:00:00"/>
    <n v="0.16666666666666674"/>
    <x v="3"/>
    <n v="4.0000000000000018"/>
  </r>
  <r>
    <x v="15"/>
    <d v="2025-06-02T00:00:00"/>
    <s v="الاثنين "/>
    <x v="7"/>
    <s v="كامل جمعة  "/>
    <s v="الزيارة الشهرية للمكافحة "/>
    <s v="تم العمل"/>
    <d v="1899-12-30T12:00:00"/>
    <d v="1899-12-30T14:00:00"/>
    <n v="8.333333333333337E-2"/>
    <x v="1"/>
    <n v="2.0000000000000009"/>
  </r>
  <r>
    <x v="15"/>
    <d v="2025-06-02T00:00:00"/>
    <s v="الاثنين "/>
    <x v="5"/>
    <s v="حازم عاطف "/>
    <s v="صيانة غرفة USB "/>
    <s v="تم العمل"/>
    <d v="1899-12-30T19:30:00"/>
    <d v="1899-12-30T21:00:00"/>
    <n v="6.25E-2"/>
    <x v="6"/>
    <n v="1.5"/>
  </r>
  <r>
    <x v="15"/>
    <d v="2025-06-02T00:00:00"/>
    <s v="الاثنين "/>
    <x v="6"/>
    <s v="شريف عيد  "/>
    <s v="عمل صيانة بغرفة الكهرباء "/>
    <s v="تم العمل"/>
    <d v="1899-12-30T11:00:00"/>
    <d v="1899-12-30T17:00:00"/>
    <n v="0.25000000000000006"/>
    <x v="0"/>
    <n v="6.0000000000000018"/>
  </r>
  <r>
    <x v="15"/>
    <d v="2025-06-02T00:00:00"/>
    <s v="الاثنين "/>
    <x v="7"/>
    <s v="كامل جمعة  "/>
    <s v="الزيارة الشهرية للمكافحة "/>
    <s v="تم العمل"/>
    <d v="1899-12-30T12:00:00"/>
    <d v="1899-12-30T14:00:00"/>
    <n v="8.333333333333337E-2"/>
    <x v="0"/>
    <n v="2.0000000000000009"/>
  </r>
  <r>
    <x v="15"/>
    <d v="2025-06-02T00:00:00"/>
    <s v="الاثنين "/>
    <x v="5"/>
    <s v="احمد سعيد"/>
    <s v="تركيب كولدير مياه "/>
    <s v="تم العمل"/>
    <d v="1899-12-30T12:00:00"/>
    <d v="1899-12-30T15:00:00"/>
    <n v="0.125"/>
    <x v="0"/>
    <n v="3"/>
  </r>
  <r>
    <x v="15"/>
    <d v="2025-06-03T00:00:00"/>
    <s v="الثلاثاء "/>
    <x v="5"/>
    <s v="أحمد حسن "/>
    <s v="دهانات حديد فى مخزن هدايا"/>
    <s v="تم العمل"/>
    <d v="1899-12-30T13:00:00"/>
    <d v="1899-12-30T15:00:00"/>
    <n v="8.333333333333337E-2"/>
    <x v="6"/>
    <n v="2.0000000000000009"/>
  </r>
  <r>
    <x v="15"/>
    <d v="2025-06-04T00:00:00"/>
    <s v="الاربعاء "/>
    <x v="6"/>
    <s v="ابراهيم  عبد الحليم   "/>
    <s v="صيانة الكلاركات"/>
    <s v="تم العمل"/>
    <d v="1899-12-30T11:00:00"/>
    <d v="1899-12-30T12:00:00"/>
    <n v="4.1666666666666685E-2"/>
    <x v="1"/>
    <n v="1.0000000000000004"/>
  </r>
  <r>
    <x v="15"/>
    <d v="2025-06-11T00:00:00"/>
    <s v="الاربعاء "/>
    <x v="64"/>
    <s v="علاء شحات على "/>
    <s v="صيانة  خط الحريق فى مخزن الوزارة "/>
    <s v="تم العمل"/>
    <d v="1899-12-30T13:00:00"/>
    <d v="1899-12-30T17:00:00"/>
    <n v="0.16666666666666674"/>
    <x v="4"/>
    <n v="4.0000000000000018"/>
  </r>
  <r>
    <x v="15"/>
    <d v="2025-06-11T00:00:00"/>
    <s v="الاربعاء "/>
    <x v="57"/>
    <s v="مصطفى مهدى  "/>
    <s v="صيانة  الشلندرات  "/>
    <s v="تم العمل"/>
    <d v="1899-12-30T12:00:00"/>
    <d v="1899-12-30T16:00:00"/>
    <n v="0.16666666666666663"/>
    <x v="3"/>
    <n v="3.9999999999999991"/>
  </r>
  <r>
    <x v="15"/>
    <d v="2025-06-11T00:00:00"/>
    <s v="الاربعاء "/>
    <x v="13"/>
    <s v="اسلام  "/>
    <s v="صيانة  ماكينة CTB"/>
    <s v="تم العمل"/>
    <d v="1899-12-30T13:00:00"/>
    <d v="1899-12-30T15:00:00"/>
    <n v="8.333333333333337E-2"/>
    <x v="3"/>
    <n v="2.0000000000000009"/>
  </r>
  <r>
    <x v="15"/>
    <d v="2025-06-12T00:00:00"/>
    <s v="الخميس "/>
    <x v="64"/>
    <s v="علاء شحات على "/>
    <s v="صيانة  خط الحريق فى مخزن الوزارة "/>
    <s v="تم العمل"/>
    <d v="1899-12-30T09:30:00"/>
    <d v="1899-12-30T21:00:00"/>
    <n v="0.47916666666666669"/>
    <x v="4"/>
    <n v="11.5"/>
  </r>
  <r>
    <x v="15"/>
    <d v="2025-06-12T00:00:00"/>
    <s v="الخميس "/>
    <x v="13"/>
    <s v="هشام  حسين  "/>
    <s v="صيانة تنك الاحبار"/>
    <s v="تم العمل"/>
    <d v="1899-12-30T13:00:00"/>
    <d v="1899-12-30T16:00:00"/>
    <n v="0.125"/>
    <x v="0"/>
    <n v="3"/>
  </r>
  <r>
    <x v="15"/>
    <d v="2025-06-12T00:00:00"/>
    <s v="الخميس "/>
    <x v="57"/>
    <s v="احمد عبد العزيز "/>
    <s v="صيانة  الشلندرات  "/>
    <s v="تم العمل"/>
    <d v="1899-12-30T15:00:00"/>
    <d v="1899-12-30T17:00:00"/>
    <n v="8.333333333333337E-2"/>
    <x v="3"/>
    <n v="2.0000000000000009"/>
  </r>
  <r>
    <x v="15"/>
    <d v="2025-06-15T00:00:00"/>
    <s v="الاحد "/>
    <x v="74"/>
    <s v="محمد راضى "/>
    <s v="صيانة  ماكينة التصوير  "/>
    <s v="تم العمل"/>
    <d v="1899-12-30T10:00:00"/>
    <d v="1899-12-30T11:00:00"/>
    <n v="4.166666666666663E-2"/>
    <x v="3"/>
    <n v="0.99999999999999911"/>
  </r>
  <r>
    <x v="15"/>
    <d v="2025-06-14T00:00:00"/>
    <s v="السبت "/>
    <x v="8"/>
    <s v="محمد عيسى "/>
    <s v="تركيبات "/>
    <s v="تم العمل"/>
    <d v="1899-12-30T12:00:00"/>
    <d v="1899-12-30T18:30:00"/>
    <n v="0.27083333333333337"/>
    <x v="2"/>
    <n v="6.5000000000000009"/>
  </r>
  <r>
    <x v="15"/>
    <d v="2025-06-16T00:00:00"/>
    <s v="الاثنين "/>
    <x v="6"/>
    <s v="شريف عيد "/>
    <s v="صيانة فيشة كهربائية"/>
    <s v="تم العمل"/>
    <d v="1899-12-30T11:00:00"/>
    <d v="1899-12-30T12:30:00"/>
    <n v="6.2500000000000056E-2"/>
    <x v="1"/>
    <n v="1.5000000000000013"/>
  </r>
  <r>
    <x v="15"/>
    <d v="2025-06-16T00:00:00"/>
    <s v="الاثنين "/>
    <x v="5"/>
    <s v="محمود عويس"/>
    <s v="صيانة تكييفات  "/>
    <s v="تم العمل"/>
    <d v="1899-12-30T11:30:00"/>
    <d v="1899-12-30T17:00:00"/>
    <n v="0.22916666666666669"/>
    <x v="3"/>
    <n v="5.5"/>
  </r>
  <r>
    <x v="15"/>
    <d v="2025-06-16T00:00:00"/>
    <s v="الاثنين "/>
    <x v="0"/>
    <s v="محمد عيسى "/>
    <s v="تركيبات "/>
    <s v="تم العمل"/>
    <d v="1899-12-30T17:30:00"/>
    <d v="1899-12-30T21:00:00"/>
    <n v="0.14583333333333337"/>
    <x v="2"/>
    <n v="3.5000000000000009"/>
  </r>
  <r>
    <x v="15"/>
    <d v="2025-06-17T00:00:00"/>
    <s v="الثلاثاء "/>
    <x v="6"/>
    <s v="ابراهيم عبدالحليم"/>
    <s v="صيانة كلاركات "/>
    <s v="تم العمل"/>
    <d v="1899-12-30T11:00:00"/>
    <d v="1899-12-30T13:00:00"/>
    <n v="8.3333333333333315E-2"/>
    <x v="1"/>
    <n v="1.9999999999999996"/>
  </r>
  <r>
    <x v="15"/>
    <d v="2025-06-17T00:00:00"/>
    <s v="الثلاثاء "/>
    <x v="13"/>
    <s v="هشام  حسين  "/>
    <s v="صيانة تنك الاحبار"/>
    <s v="تم العمل"/>
    <d v="1899-12-30T14:00:00"/>
    <d v="1899-12-30T17:30:00"/>
    <n v="0.14583333333333326"/>
    <x v="0"/>
    <n v="3.4999999999999982"/>
  </r>
  <r>
    <x v="15"/>
    <d v="2025-06-18T00:00:00"/>
    <s v="الاربعاء "/>
    <x v="13"/>
    <s v="ايمن محمد كامل"/>
    <s v="صيانة تنك الاحبار"/>
    <s v="تم العمل"/>
    <d v="1899-12-30T12:00:00"/>
    <d v="1899-12-30T17:00:00"/>
    <n v="0.20833333333333337"/>
    <x v="0"/>
    <n v="5.0000000000000009"/>
  </r>
  <r>
    <x v="15"/>
    <d v="2025-06-18T00:00:00"/>
    <s v="الاربعاء "/>
    <x v="5"/>
    <s v="محمود عويس"/>
    <s v="صيانة تكييفات التسليمات "/>
    <s v="تم العمل"/>
    <d v="1899-12-30T15:00:00"/>
    <d v="1899-12-30T17:00:00"/>
    <n v="8.333333333333337E-2"/>
    <x v="3"/>
    <n v="2.0000000000000009"/>
  </r>
  <r>
    <x v="15"/>
    <d v="2025-06-18T00:00:00"/>
    <s v="الاربعاء "/>
    <x v="38"/>
    <s v="محمود عويس"/>
    <s v="صيانة فلتر المياه "/>
    <s v="تم العمل"/>
    <d v="1899-12-30T11:00:00"/>
    <d v="1899-12-30T12:00:00"/>
    <n v="4.1666666666666685E-2"/>
    <x v="3"/>
    <n v="1.0000000000000004"/>
  </r>
  <r>
    <x v="15"/>
    <d v="2025-06-18T00:00:00"/>
    <s v="الاربعاء "/>
    <x v="38"/>
    <s v="اسلام مليجي"/>
    <s v="صيانة فلتر المياه "/>
    <s v="تم العمل"/>
    <d v="1899-12-30T12:00:00"/>
    <d v="1899-12-30T14:00:00"/>
    <n v="8.333333333333337E-2"/>
    <x v="1"/>
    <n v="2.0000000000000009"/>
  </r>
  <r>
    <x v="15"/>
    <d v="2025-06-18T00:00:00"/>
    <s v="الاربعاء "/>
    <x v="5"/>
    <s v="احمد حسين "/>
    <s v="صيانة اجهزة التكيف "/>
    <s v="تم العمل"/>
    <d v="1899-12-30T13:30:00"/>
    <d v="1899-12-30T15:00:00"/>
    <n v="6.25E-2"/>
    <x v="6"/>
    <n v="1.5"/>
  </r>
  <r>
    <x v="15"/>
    <d v="2025-06-18T00:00:00"/>
    <s v="الاربعاء "/>
    <x v="5"/>
    <s v="احمد عبد الله "/>
    <s v="تركيب كولدير  مياه جديد "/>
    <s v="تم العمل"/>
    <d v="1899-12-30T18:30:00"/>
    <d v="1899-12-30T21:00:00"/>
    <n v="0.10416666666666663"/>
    <x v="6"/>
    <n v="2.4999999999999991"/>
  </r>
  <r>
    <x v="15"/>
    <d v="2025-06-19T00:00:00"/>
    <s v="الخميس "/>
    <x v="13"/>
    <s v="اسلام  "/>
    <s v="صيانة  ماكينة CTB"/>
    <s v="تم العمل"/>
    <d v="1899-12-30T13:00:00"/>
    <d v="1899-12-30T17:30:00"/>
    <n v="0.1875"/>
    <x v="3"/>
    <n v="4.5"/>
  </r>
  <r>
    <x v="15"/>
    <d v="2025-06-19T00:00:00"/>
    <s v="الخميس "/>
    <x v="14"/>
    <s v="مخلص كامل "/>
    <s v="اعمال صيانة الاسانسير "/>
    <s v="تم العمل"/>
    <d v="1899-12-30T14:00:00"/>
    <d v="1899-12-30T17:00:00"/>
    <n v="0.125"/>
    <x v="1"/>
    <n v="3"/>
  </r>
  <r>
    <x v="15"/>
    <d v="2025-06-19T00:00:00"/>
    <s v="الخميس "/>
    <x v="64"/>
    <s v="محمد سعيد محمد"/>
    <s v="تركيب استيكر على الاستاندات"/>
    <s v="تم العمل"/>
    <d v="1899-12-30T13:00:00"/>
    <d v="1899-12-30T15:00:00"/>
    <n v="8.333333333333337E-2"/>
    <x v="1"/>
    <n v="2.0000000000000009"/>
  </r>
  <r>
    <x v="15"/>
    <d v="2025-06-20T00:00:00"/>
    <s v="الخميس "/>
    <x v="7"/>
    <s v="سيد جاد  "/>
    <s v="الزيارة الشهرية للمكافحة  الافات والقوارض"/>
    <s v="تم العمل"/>
    <d v="1899-12-30T16:00:00"/>
    <d v="1899-12-30T17:30:00"/>
    <n v="6.25E-2"/>
    <x v="6"/>
    <n v="1.5"/>
  </r>
  <r>
    <x v="15"/>
    <d v="2025-06-21T00:00:00"/>
    <s v="السبت "/>
    <x v="60"/>
    <s v="السيد ابراهيم "/>
    <s v="صيانة دورية "/>
    <s v="تم العمل"/>
    <d v="1899-12-30T10:30:00"/>
    <d v="1899-12-30T17:00:00"/>
    <n v="0.27083333333333337"/>
    <x v="2"/>
    <n v="6.5000000000000009"/>
  </r>
  <r>
    <x v="15"/>
    <d v="2025-06-21T00:00:00"/>
    <s v="السبت "/>
    <x v="0"/>
    <s v="عمرو فاروق      "/>
    <s v="انشاءات"/>
    <s v="تم العمل"/>
    <d v="1899-12-30T09:30:00"/>
    <d v="1899-12-30T17:00:00"/>
    <n v="0.31250000000000006"/>
    <x v="2"/>
    <n v="7.5000000000000018"/>
  </r>
  <r>
    <x v="15"/>
    <d v="2025-06-22T00:00:00"/>
    <s v="الاحد "/>
    <x v="14"/>
    <s v="محمد عادل  "/>
    <s v="اعمال صيانة الاسانسير "/>
    <s v="تم العمل"/>
    <d v="1899-12-30T11:30:00"/>
    <d v="1899-12-30T12:30:00"/>
    <n v="4.1666666666666685E-2"/>
    <x v="3"/>
    <n v="1.0000000000000004"/>
  </r>
  <r>
    <x v="15"/>
    <d v="2025-06-22T00:00:00"/>
    <s v="الاحد "/>
    <x v="13"/>
    <s v="اسلام مصطفى  "/>
    <s v="عمل صيانة  ماكينة CTB"/>
    <s v="تم العمل"/>
    <d v="1899-12-30T13:00:00"/>
    <d v="1899-12-30T16:00:00"/>
    <n v="0.125"/>
    <x v="3"/>
    <n v="3"/>
  </r>
  <r>
    <x v="15"/>
    <d v="2025-06-22T00:00:00"/>
    <s v="الاحد "/>
    <x v="22"/>
    <s v="محمود عويس"/>
    <s v="صيانة تكييفات  "/>
    <s v="تم العمل"/>
    <d v="1899-12-30T12:00:00"/>
    <d v="1899-12-30T13:00:00"/>
    <n v="4.166666666666663E-2"/>
    <x v="3"/>
    <n v="0.99999999999999911"/>
  </r>
  <r>
    <x v="15"/>
    <d v="2025-06-22T00:00:00"/>
    <s v="الاحد "/>
    <x v="7"/>
    <s v="كامل جمعة  "/>
    <s v="الزيارة الشهرية للمكافحة  الافات والقوارض"/>
    <s v="تم العمل"/>
    <d v="1899-12-30T11:00:00"/>
    <d v="1899-12-30T12:00:00"/>
    <n v="4.1666666666666685E-2"/>
    <x v="0"/>
    <n v="1.0000000000000004"/>
  </r>
  <r>
    <x v="15"/>
    <d v="2025-06-22T00:00:00"/>
    <s v="الاحد "/>
    <x v="7"/>
    <s v="كامل جمعة  "/>
    <s v="الزيارة الشهرية للمكافحة  الافات والقوارض"/>
    <s v="تم العمل"/>
    <d v="1899-12-30T12:00:00"/>
    <d v="1899-12-30T13:00:00"/>
    <n v="4.166666666666663E-2"/>
    <x v="1"/>
    <n v="0.99999999999999911"/>
  </r>
  <r>
    <x v="15"/>
    <d v="2025-06-23T00:00:00"/>
    <s v="الاثنين "/>
    <x v="61"/>
    <s v="سيد عادل  "/>
    <s v="صيانة  "/>
    <s v="تم العمل"/>
    <d v="1899-12-30T15:30:00"/>
    <d v="1899-12-30T18:00:00"/>
    <n v="0.10416666666666663"/>
    <x v="2"/>
    <n v="2.4999999999999991"/>
  </r>
  <r>
    <x v="15"/>
    <d v="2025-06-23T00:00:00"/>
    <s v="الاثنين "/>
    <x v="5"/>
    <s v="محمود عويس"/>
    <s v="صيانة تكييفات"/>
    <s v="تم العمل"/>
    <d v="1899-12-30T10:00:00"/>
    <d v="1899-12-30T17:00:00"/>
    <n v="0.29166666666666669"/>
    <x v="3"/>
    <n v="7"/>
  </r>
  <r>
    <x v="15"/>
    <d v="2025-06-23T00:00:00"/>
    <s v="الاثنين "/>
    <x v="6"/>
    <s v="سيد رفاعي"/>
    <s v="تنزيل ماكينة من حاوية"/>
    <s v="تم العمل"/>
    <d v="1899-12-30T13:00:00"/>
    <d v="1899-12-30T14:00:00"/>
    <n v="4.1666666666666741E-2"/>
    <x v="3"/>
    <n v="1.0000000000000018"/>
  </r>
  <r>
    <x v="15"/>
    <d v="2025-06-23T00:00:00"/>
    <s v="الاثنين "/>
    <x v="13"/>
    <s v="ايمن محمد كامل"/>
    <s v="صيانة تانك الاحبار"/>
    <s v="تم العمل"/>
    <d v="1899-12-30T11:00:00"/>
    <d v="1899-12-30T17:00:00"/>
    <n v="0.25000000000000006"/>
    <x v="0"/>
    <n v="6.0000000000000018"/>
  </r>
  <r>
    <x v="15"/>
    <d v="2025-06-23T00:00:00"/>
    <s v="الاثنين "/>
    <x v="5"/>
    <s v="ادم حسن"/>
    <s v="تركيب انتر لوك"/>
    <s v="تم العمل"/>
    <d v="1899-12-30T11:00:00"/>
    <d v="1899-12-30T17:00:00"/>
    <n v="0.25000000000000006"/>
    <x v="0"/>
    <n v="6.0000000000000018"/>
  </r>
  <r>
    <x v="15"/>
    <d v="2025-06-24T00:00:00"/>
    <s v="الثلاثاء "/>
    <x v="6"/>
    <s v="عيد احمد"/>
    <s v="صيانة ماكينة sp4"/>
    <s v="تم العمل"/>
    <d v="1899-12-30T10:30:00"/>
    <d v="1899-12-30T17:00:00"/>
    <n v="0.27083333333333337"/>
    <x v="3"/>
    <n v="6.5000000000000009"/>
  </r>
  <r>
    <x v="15"/>
    <d v="2025-06-24T00:00:00"/>
    <s v="الثلاثاء "/>
    <x v="5"/>
    <s v="محمود عويس"/>
    <s v="صيانة تكييفات"/>
    <s v="تم العمل"/>
    <d v="1899-12-30T10:00:00"/>
    <d v="1899-12-30T11:00:00"/>
    <n v="4.166666666666663E-2"/>
    <x v="0"/>
    <n v="0.99999999999999911"/>
  </r>
  <r>
    <x v="15"/>
    <d v="2025-06-24T00:00:00"/>
    <s v="الثلاثاء "/>
    <x v="5"/>
    <s v="ادم حسن"/>
    <s v="تركيب انتر لوك"/>
    <s v="تم العمل"/>
    <d v="1899-12-30T11:00:00"/>
    <d v="1899-12-30T17:00:00"/>
    <n v="0.25000000000000006"/>
    <x v="0"/>
    <n v="6.0000000000000018"/>
  </r>
  <r>
    <x v="15"/>
    <d v="2025-06-25T00:00:00"/>
    <s v="الاربعاء "/>
    <x v="13"/>
    <s v="ايمن محمد كامل"/>
    <s v="صيانة تانك الاحبار"/>
    <s v="تم العمل"/>
    <d v="1899-12-30T12:00:00"/>
    <d v="1899-12-30T17:00:00"/>
    <n v="0.20833333333333337"/>
    <x v="0"/>
    <n v="5.0000000000000009"/>
  </r>
  <r>
    <x v="15"/>
    <d v="2025-06-25T00:00:00"/>
    <s v="الاربعاء "/>
    <x v="26"/>
    <s v="محمد حسنى  "/>
    <s v="عمل صيانة لغرفة الغاز "/>
    <s v="تم العمل"/>
    <d v="1899-12-30T10:00:00"/>
    <d v="1899-12-30T10:30:00"/>
    <n v="2.0833333333333315E-2"/>
    <x v="3"/>
    <n v="0.49999999999999956"/>
  </r>
  <r>
    <x v="15"/>
    <d v="2025-06-26T00:00:00"/>
    <s v="الخميس "/>
    <x v="0"/>
    <s v="يحيى طه "/>
    <s v="تركيبات "/>
    <s v="تم العمل"/>
    <d v="1899-12-30T10:30:00"/>
    <d v="1899-12-30T21:30:00"/>
    <n v="0.45833333333333337"/>
    <x v="2"/>
    <n v="11"/>
  </r>
  <r>
    <x v="15"/>
    <d v="2025-06-26T00:00:00"/>
    <s v="الخميس "/>
    <x v="35"/>
    <s v="مصطفى مهدى  "/>
    <s v="صيانة شيلر الويب الجديد"/>
    <s v="تم العمل"/>
    <d v="1899-12-30T13:00:00"/>
    <d v="1899-12-30T15:00:00"/>
    <n v="8.333333333333337E-2"/>
    <x v="3"/>
    <n v="2.0000000000000009"/>
  </r>
  <r>
    <x v="16"/>
    <d v="2025-07-01T00:00:00"/>
    <s v="الثلاثاء "/>
    <x v="5"/>
    <s v="محمود عويس"/>
    <s v="صيانة مبرد مياه الشرب "/>
    <s v="تم العمل"/>
    <n v="0.58333333333333337"/>
    <d v="1899-12-30T17:00:00"/>
    <n v="0.125"/>
    <x v="3"/>
    <n v="3"/>
  </r>
  <r>
    <x v="16"/>
    <d v="2025-07-02T00:00:00"/>
    <s v="الاربعاء "/>
    <x v="5"/>
    <s v="محمود عويس"/>
    <s v="صيانة مبرد مياه الشرب "/>
    <s v="تم العمل"/>
    <n v="0.41666666666666669"/>
    <d v="1899-12-30T13:00:00"/>
    <n v="0.12499999999999994"/>
    <x v="3"/>
    <n v="2.9999999999999987"/>
  </r>
  <r>
    <x v="16"/>
    <d v="2025-07-02T00:00:00"/>
    <s v="الاربعاء "/>
    <x v="13"/>
    <s v="ايمن محمد كامل "/>
    <s v="صيانة تانك الاحبار"/>
    <s v="تم العمل"/>
    <n v="0.5"/>
    <d v="1899-12-30T17:00:00"/>
    <n v="0.20833333333333337"/>
    <x v="0"/>
    <n v="5.0000000000000009"/>
  </r>
  <r>
    <x v="16"/>
    <d v="2025-07-02T00:00:00"/>
    <s v="الاربعاء "/>
    <x v="12"/>
    <s v="رامى محمد "/>
    <s v="صيانة ابواب الوميتال المبنى الاداري"/>
    <s v="تم العمل"/>
    <n v="0.625"/>
    <d v="1899-12-30T16:00:00"/>
    <n v="4.166666666666663E-2"/>
    <x v="3"/>
    <n v="0.99999999999999911"/>
  </r>
  <r>
    <x v="16"/>
    <d v="2025-07-03T00:00:00"/>
    <s v="الخميس "/>
    <x v="13"/>
    <s v="ايمن محمد كامل "/>
    <s v="صيانة تانك الاحبار"/>
    <s v="تم العمل"/>
    <n v="0.5"/>
    <d v="1899-12-30T17:00:00"/>
    <n v="0.20833333333333337"/>
    <x v="0"/>
    <n v="5.0000000000000009"/>
  </r>
  <r>
    <x v="16"/>
    <d v="2025-07-04T00:00:00"/>
    <s v="الجمعة "/>
    <x v="6"/>
    <s v="مصطفى نصار  "/>
    <s v="لحام سيور بخط الكولبس "/>
    <s v="تم العمل"/>
    <n v="0.41666666666666669"/>
    <d v="1899-12-30T11:00:00"/>
    <n v="4.166666666666663E-2"/>
    <x v="3"/>
    <n v="0.99999999999999911"/>
  </r>
  <r>
    <x v="15"/>
    <d v="2025-07-05T00:00:00"/>
    <s v="السبت "/>
    <x v="0"/>
    <s v="يحيى طه "/>
    <s v="تركيبات "/>
    <s v="تم العمل"/>
    <n v="0.58333333333333337"/>
    <d v="1899-12-30T17:30:00"/>
    <n v="0.14583333333333326"/>
    <x v="2"/>
    <n v="3.4999999999999982"/>
  </r>
  <r>
    <x v="16"/>
    <d v="2025-07-06T00:00:00"/>
    <s v="الاحد "/>
    <x v="64"/>
    <s v="عبدالرحمن احمد"/>
    <s v="رفع وتثبيت تشيلر اعلى ويب 3"/>
    <s v="تم العمل"/>
    <n v="0.45833333333333331"/>
    <d v="1899-12-30T13:00:00"/>
    <n v="8.3333333333333315E-2"/>
    <x v="3"/>
    <n v="1.9999999999999996"/>
  </r>
  <r>
    <x v="16"/>
    <d v="2025-07-06T00:00:00"/>
    <s v="الاحد "/>
    <x v="7"/>
    <s v="كامل جمعة  "/>
    <s v="مكافحة قوارض وحشرات"/>
    <s v="تم العمل"/>
    <n v="0.45833333333333331"/>
    <d v="1899-12-30T13:00:00"/>
    <n v="8.3333333333333315E-2"/>
    <x v="3"/>
    <n v="1.9999999999999996"/>
  </r>
  <r>
    <x v="16"/>
    <d v="2025-07-06T00:00:00"/>
    <s v="الاحد "/>
    <x v="5"/>
    <s v="مصطفى رشاد  "/>
    <s v="ترميم حائط غرفة السيرفر"/>
    <s v="تم العمل"/>
    <n v="0.5"/>
    <d v="1899-12-30T16:00:00"/>
    <n v="0.16666666666666663"/>
    <x v="3"/>
    <n v="3.9999999999999991"/>
  </r>
  <r>
    <x v="16"/>
    <d v="2025-07-06T00:00:00"/>
    <s v="الاحد "/>
    <x v="13"/>
    <s v="ايمن محمد كامل "/>
    <s v="صيانة تانك الاحبار"/>
    <s v="تم العمل"/>
    <n v="0.5"/>
    <d v="1899-12-30T17:00:00"/>
    <n v="0.20833333333333337"/>
    <x v="0"/>
    <n v="5.0000000000000009"/>
  </r>
  <r>
    <x v="15"/>
    <d v="2025-07-07T00:00:00"/>
    <s v="الاحد "/>
    <x v="14"/>
    <s v="ملخص  كامل   "/>
    <s v=" صيانة المصاعد "/>
    <s v="تم العمل"/>
    <n v="0.5"/>
    <d v="1899-12-30T16:00:00"/>
    <n v="0.16666666666666663"/>
    <x v="1"/>
    <n v="3.9999999999999991"/>
  </r>
  <r>
    <x v="16"/>
    <d v="2025-07-07T00:00:00"/>
    <s v="الاحد "/>
    <x v="5"/>
    <s v="مصطفى رشاد  "/>
    <s v="ترميم حائط غرفة السيرفر"/>
    <s v="تم العمل"/>
    <d v="1899-12-30T10:00:00"/>
    <d v="1899-12-30T14:00:00"/>
    <n v="0.16666666666666669"/>
    <x v="3"/>
    <n v="4"/>
  </r>
  <r>
    <x v="15"/>
    <d v="2025-07-07T00:00:00"/>
    <s v="الاثنين "/>
    <x v="5"/>
    <s v="محدى كرم "/>
    <s v="لحام جنشات  فى كمر السقف "/>
    <s v="تم العمل"/>
    <d v="1899-12-30T16:30:00"/>
    <d v="1899-12-30T18:00:00"/>
    <n v="6.25E-2"/>
    <x v="6"/>
    <n v="1.5"/>
  </r>
  <r>
    <x v="16"/>
    <d v="2025-07-07T00:00:00"/>
    <s v="الاثنين "/>
    <x v="5"/>
    <s v="محمد سعيد "/>
    <s v="تركيب مراوح سقف "/>
    <s v="تم العمل"/>
    <d v="1899-12-30T06:00:00"/>
    <d v="1899-12-30T14:00:00"/>
    <n v="0.33333333333333337"/>
    <x v="6"/>
    <n v="8"/>
  </r>
  <r>
    <x v="16"/>
    <d v="2025-07-08T00:00:00"/>
    <s v="الثلاثاء "/>
    <x v="5"/>
    <s v="مصطفى رشاد"/>
    <s v="عمل نقاشة وترميم للحائط "/>
    <s v="تم العمل"/>
    <d v="1899-12-30T12:30:00"/>
    <d v="1899-12-30T16:00:00"/>
    <n v="0.14583333333333326"/>
    <x v="3"/>
    <n v="3.4999999999999982"/>
  </r>
  <r>
    <x v="16"/>
    <d v="2025-07-08T00:00:00"/>
    <s v="الثلاثاء "/>
    <x v="12"/>
    <s v="رامى محمد "/>
    <s v="صيانة ابواب مكتب الحركة "/>
    <s v="تم العمل"/>
    <d v="1899-12-30T15:30:00"/>
    <d v="1899-12-30T17:00:00"/>
    <n v="6.25E-2"/>
    <x v="3"/>
    <n v="1.5"/>
  </r>
  <r>
    <x v="16"/>
    <d v="2025-07-08T00:00:00"/>
    <s v="الثلاثاء "/>
    <x v="5"/>
    <s v="محمود الدروى "/>
    <s v="صيانة تكييف غرفة السيرفر"/>
    <s v="تم العمل"/>
    <d v="1899-12-30T11:30:00"/>
    <d v="1899-12-30T17:00:00"/>
    <n v="0.22916666666666669"/>
    <x v="3"/>
    <n v="5.5"/>
  </r>
  <r>
    <x v="16"/>
    <d v="2025-07-09T00:00:00"/>
    <s v="الاربعاء "/>
    <x v="5"/>
    <s v="ممدوح محمد "/>
    <s v="صيانة ادوات الاوراق  "/>
    <s v="تم العمل"/>
    <d v="1899-12-30T14:00:00"/>
    <d v="1899-12-30T17:00:00"/>
    <n v="0.125"/>
    <x v="6"/>
    <n v="3"/>
  </r>
  <r>
    <x v="16"/>
    <d v="2025-07-09T00:00:00"/>
    <s v="الاربعاء "/>
    <x v="5"/>
    <s v="مصطفى محمود  "/>
    <s v="تغيير بطارية عداد المياه الديجتال "/>
    <s v="تم العمل"/>
    <d v="1899-12-30T11:30:00"/>
    <d v="1899-12-30T12:30:00"/>
    <n v="4.1666666666666685E-2"/>
    <x v="3"/>
    <n v="1.0000000000000004"/>
  </r>
  <r>
    <x v="16"/>
    <d v="2025-07-09T00:00:00"/>
    <s v="الاربعاء "/>
    <x v="13"/>
    <s v="ايمن محمد كامل "/>
    <s v="لحام تنكات الاحبار"/>
    <s v="تم العمل"/>
    <d v="1899-12-30T12:00:00"/>
    <d v="1899-12-30T17:00:00"/>
    <n v="0.20833333333333337"/>
    <x v="0"/>
    <n v="5.0000000000000009"/>
  </r>
  <r>
    <x v="16"/>
    <d v="2025-07-09T00:00:00"/>
    <s v="الاربعاء "/>
    <x v="61"/>
    <s v="سيد عادل  "/>
    <s v="صيانة دورية"/>
    <s v="تم العمل"/>
    <d v="1899-12-30T12:00:00"/>
    <d v="1899-12-30T15:30:00"/>
    <n v="0.14583333333333337"/>
    <x v="2"/>
    <n v="3.5000000000000009"/>
  </r>
  <r>
    <x v="16"/>
    <d v="2025-07-09T00:00:00"/>
    <s v="الاربعاء "/>
    <x v="5"/>
    <s v="مصطفى رشاد  "/>
    <s v="دهان سلم المبنى الادارى "/>
    <s v="تم العمل"/>
    <d v="1899-12-30T12:00:00"/>
    <d v="1899-12-30T16:00:00"/>
    <n v="0.16666666666666663"/>
    <x v="3"/>
    <n v="3.9999999999999991"/>
  </r>
  <r>
    <x v="16"/>
    <d v="2025-07-09T00:00:00"/>
    <s v="الاربعاء "/>
    <x v="13"/>
    <s v="اسلام مصطفى  "/>
    <s v="عمل صيانة  ماكينة CTB"/>
    <s v="تم العمل"/>
    <d v="1899-12-30T16:00:00"/>
    <d v="1899-12-30T17:00:00"/>
    <n v="4.1666666666666741E-2"/>
    <x v="3"/>
    <n v="1.0000000000000018"/>
  </r>
  <r>
    <x v="16"/>
    <d v="2025-07-09T00:00:00"/>
    <s v="الاربعاء "/>
    <x v="32"/>
    <s v="على اشرف "/>
    <s v="معايرة الموازين "/>
    <s v="تم العمل"/>
    <d v="1899-12-30T16:00:00"/>
    <d v="1899-12-30T17:00:00"/>
    <n v="4.1666666666666741E-2"/>
    <x v="1"/>
    <n v="1.0000000000000018"/>
  </r>
  <r>
    <x v="16"/>
    <d v="2025-07-10T00:00:00"/>
    <s v="الخميس "/>
    <x v="22"/>
    <s v="محمود عويس"/>
    <s v="صيانة التكيفات "/>
    <s v="تم العمل"/>
    <d v="1899-12-30T10:00:00"/>
    <d v="1899-12-30T16:00:00"/>
    <n v="0.24999999999999994"/>
    <x v="3"/>
    <n v="5.9999999999999982"/>
  </r>
  <r>
    <x v="16"/>
    <d v="2025-07-10T00:00:00"/>
    <s v="الخميس "/>
    <x v="36"/>
    <s v="كريم محممود   "/>
    <s v="عزل حوائط "/>
    <s v="تم العمل"/>
    <d v="1899-12-30T05:00:00"/>
    <d v="1899-12-30T14:00:00"/>
    <n v="0.375"/>
    <x v="2"/>
    <n v="9"/>
  </r>
  <r>
    <x v="16"/>
    <d v="2025-07-10T00:00:00"/>
    <s v="الخميس "/>
    <x v="5"/>
    <s v="عبد الله محمد "/>
    <s v="تغيير حبارات "/>
    <s v="تم العمل"/>
    <d v="1899-12-30T10:00:00"/>
    <d v="1899-12-30T10:30:00"/>
    <n v="2.0833333333333315E-2"/>
    <x v="3"/>
    <n v="0.49999999999999956"/>
  </r>
  <r>
    <x v="16"/>
    <d v="2025-07-10T00:00:00"/>
    <s v="الخميس "/>
    <x v="13"/>
    <s v="ايمن محمد كامل "/>
    <s v="لحام تنكات الاحبار"/>
    <s v="تم العمل"/>
    <d v="1899-12-30T12:00:00"/>
    <d v="1899-12-30T17:00:00"/>
    <n v="0.20833333333333337"/>
    <x v="0"/>
    <n v="5.0000000000000009"/>
  </r>
  <r>
    <x v="16"/>
    <d v="2025-07-10T00:00:00"/>
    <s v="الخميس "/>
    <x v="5"/>
    <s v="محمود عويس"/>
    <s v="صيانة تكييف غرفة السيرفر "/>
    <s v="تم العمل"/>
    <d v="1899-12-30T15:30:00"/>
    <d v="1899-12-30T17:00:00"/>
    <n v="6.25E-2"/>
    <x v="3"/>
    <n v="1.5"/>
  </r>
  <r>
    <x v="16"/>
    <d v="2025-07-12T00:00:00"/>
    <s v="السبت "/>
    <x v="6"/>
    <s v="سيد على "/>
    <s v="صيانة كلارك "/>
    <s v="تم العمل"/>
    <d v="1899-12-30T12:00:00"/>
    <d v="1899-12-30T17:00:00"/>
    <n v="0.20833333333333337"/>
    <x v="1"/>
    <n v="5.0000000000000009"/>
  </r>
  <r>
    <x v="16"/>
    <d v="2025-07-12T00:00:00"/>
    <s v="السبت "/>
    <x v="36"/>
    <s v="كريم محممود   "/>
    <s v="عزل حوائط "/>
    <s v="تم العمل"/>
    <d v="1899-12-30T11:00:00"/>
    <d v="1899-12-30T19:00:00"/>
    <n v="0.33333333333333331"/>
    <x v="2"/>
    <n v="8"/>
  </r>
  <r>
    <x v="16"/>
    <d v="2025-07-12T00:00:00"/>
    <s v="السبت "/>
    <x v="13"/>
    <s v="محسن عبد الباسط  "/>
    <s v="لحام تنكات الاحبار"/>
    <s v="تم العمل"/>
    <d v="1899-12-30T10:00:00"/>
    <d v="1899-12-30T17:00:00"/>
    <n v="0.29166666666666669"/>
    <x v="0"/>
    <n v="7"/>
  </r>
  <r>
    <x v="16"/>
    <d v="2025-07-13T00:00:00"/>
    <s v="الاحد "/>
    <x v="13"/>
    <s v="اسلام مصطفى  "/>
    <s v="عمل صيانة  ماكينة CTB"/>
    <s v="تم العمل"/>
    <d v="1899-12-30T13:00:00"/>
    <d v="1899-12-30T17:00:00"/>
    <n v="0.16666666666666674"/>
    <x v="3"/>
    <n v="4.0000000000000018"/>
  </r>
  <r>
    <x v="16"/>
    <d v="2025-07-13T00:00:00"/>
    <s v="الاحد "/>
    <x v="75"/>
    <s v="احمد محمد   "/>
    <s v="صيانة "/>
    <s v="تم العمل"/>
    <d v="1899-12-30T13:15:00"/>
    <d v="1899-12-30T14:00:00"/>
    <n v="3.125E-2"/>
    <x v="2"/>
    <n v="0.75"/>
  </r>
  <r>
    <x v="16"/>
    <d v="2025-07-13T00:00:00"/>
    <s v="الاحد "/>
    <x v="7"/>
    <s v="محمد احمد "/>
    <s v="الزيارة الشهرية لمكافحة القوارض والحشرات "/>
    <s v="تم العمل"/>
    <d v="1899-12-30T12:00:00"/>
    <d v="1899-12-30T17:00:00"/>
    <n v="0.20833333333333337"/>
    <x v="3"/>
    <n v="5.0000000000000009"/>
  </r>
  <r>
    <x v="16"/>
    <d v="2025-07-13T00:00:00"/>
    <s v="الاحد "/>
    <x v="7"/>
    <s v="محمد احمد "/>
    <s v="الزيارة الشهرية لمكافحة القوارض والحشرات "/>
    <s v="تم العمل"/>
    <d v="1899-12-30T13:00:00"/>
    <d v="1899-12-30T14:00:00"/>
    <n v="4.1666666666666741E-2"/>
    <x v="1"/>
    <n v="1.0000000000000018"/>
  </r>
  <r>
    <x v="16"/>
    <d v="2025-07-13T00:00:00"/>
    <s v="الاحد "/>
    <x v="5"/>
    <s v="محمود عويس"/>
    <s v="صيانة تكييف "/>
    <s v="تم العمل"/>
    <d v="1899-12-30T12:00:00"/>
    <d v="1899-12-30T14:00:00"/>
    <n v="8.333333333333337E-2"/>
    <x v="1"/>
    <n v="2.0000000000000009"/>
  </r>
  <r>
    <x v="16"/>
    <d v="2025-07-14T00:00:00"/>
    <s v="الاثنين "/>
    <x v="5"/>
    <s v="احمد سيد"/>
    <s v="صيانة أدوات ادارية "/>
    <s v="تم العمل"/>
    <d v="1899-12-30T13:00:00"/>
    <d v="1899-12-30T14:30:00"/>
    <n v="6.25E-2"/>
    <x v="6"/>
    <n v="1.5"/>
  </r>
  <r>
    <x v="16"/>
    <d v="2025-07-14T00:00:00"/>
    <s v="الاثنين "/>
    <x v="10"/>
    <s v="فرج محمد "/>
    <s v="تركيب فراشة بالشوارع الخارجية "/>
    <s v="تم العمل"/>
    <d v="1899-12-30T10:30:00"/>
    <d v="1899-12-30T17:00:00"/>
    <n v="0.27083333333333337"/>
    <x v="0"/>
    <n v="6.5000000000000009"/>
  </r>
  <r>
    <x v="16"/>
    <d v="2025-07-14T00:00:00"/>
    <s v="الاثنين "/>
    <x v="5"/>
    <s v="محمد النقيب "/>
    <s v="اعمال الكهرباء "/>
    <s v="تم العمل"/>
    <d v="1899-12-30T10:30:00"/>
    <d v="1899-12-30T17:00:00"/>
    <n v="0.27083333333333337"/>
    <x v="0"/>
    <n v="6.5000000000000009"/>
  </r>
  <r>
    <x v="16"/>
    <d v="2025-07-15T00:00:00"/>
    <s v="الثلاثاء "/>
    <x v="3"/>
    <s v="علاء احمد "/>
    <s v="صيانة "/>
    <s v="تم العمل"/>
    <d v="1899-12-30T09:00:00"/>
    <d v="1899-12-30T10:00:00"/>
    <n v="4.1666666666666685E-2"/>
    <x v="2"/>
    <n v="1.0000000000000004"/>
  </r>
  <r>
    <x v="16"/>
    <d v="2025-07-15T00:00:00"/>
    <s v="الثلاثاء "/>
    <x v="75"/>
    <s v="احمد محمد   "/>
    <s v="صيانة "/>
    <s v="تم العمل"/>
    <d v="1899-12-30T13:15:00"/>
    <d v="1899-12-30T14:00:00"/>
    <n v="3.125E-2"/>
    <x v="2"/>
    <n v="0.75"/>
  </r>
  <r>
    <x v="16"/>
    <d v="2025-07-15T00:00:00"/>
    <s v="الثلاثاء "/>
    <x v="10"/>
    <s v="فرج محمد "/>
    <s v="تركيب فراشة بالشوارع الخارجية "/>
    <s v="تم العمل"/>
    <d v="1899-12-30T11:00:00"/>
    <d v="1899-12-30T17:00:00"/>
    <n v="0.25000000000000006"/>
    <x v="0"/>
    <n v="6.0000000000000018"/>
  </r>
  <r>
    <x v="16"/>
    <d v="2025-07-16T00:00:00"/>
    <s v="الاربعاء "/>
    <x v="5"/>
    <s v="اسلام السيد "/>
    <s v="تغيير شمعات فلتر المياه"/>
    <s v="تم العمل"/>
    <d v="1899-12-30T12:00:00"/>
    <d v="1899-12-30T13:00:00"/>
    <n v="4.166666666666663E-2"/>
    <x v="3"/>
    <n v="0.99999999999999911"/>
  </r>
  <r>
    <x v="16"/>
    <d v="2025-07-16T00:00:00"/>
    <s v="الاربعاء "/>
    <x v="6"/>
    <s v="صابر ابراهيم  "/>
    <s v="اصلاح بوابة المخزن "/>
    <s v="تم العمل"/>
    <d v="1899-12-30T12:00:00"/>
    <d v="1899-12-30T17:00:00"/>
    <n v="0.20833333333333337"/>
    <x v="0"/>
    <n v="5.0000000000000009"/>
  </r>
  <r>
    <x v="16"/>
    <d v="2025-07-16T00:00:00"/>
    <s v="الاربعاء "/>
    <x v="5"/>
    <s v="محمود عويس"/>
    <s v="صيانة تكييف مخزن قطع الغيار "/>
    <s v="تم العمل"/>
    <d v="1899-12-30T10:00:00"/>
    <d v="1899-12-30T17:00:00"/>
    <n v="0.29166666666666669"/>
    <x v="3"/>
    <n v="7"/>
  </r>
  <r>
    <x v="16"/>
    <d v="2025-07-16T00:00:00"/>
    <s v="الاربعاء "/>
    <x v="13"/>
    <s v="ايمن محمد كامل "/>
    <s v="لحام تنكات الاحبار"/>
    <s v="تم العمل"/>
    <d v="1899-12-30T12:00:00"/>
    <d v="1899-12-30T17:00:00"/>
    <n v="0.20833333333333337"/>
    <x v="0"/>
    <n v="5.0000000000000009"/>
  </r>
  <r>
    <x v="16"/>
    <d v="2025-07-16T00:00:00"/>
    <s v="الاربعاء "/>
    <x v="10"/>
    <s v="فرج محمد "/>
    <s v="عمل  فراشة باالمخزن  "/>
    <s v="تم العمل"/>
    <d v="1899-12-30T11:00:00"/>
    <d v="1899-12-30T17:00:00"/>
    <n v="0.25000000000000006"/>
    <x v="0"/>
    <n v="6.0000000000000018"/>
  </r>
  <r>
    <x v="16"/>
    <d v="2025-07-16T00:00:00"/>
    <s v="الاربعاء "/>
    <x v="5"/>
    <s v="اسلام السيد "/>
    <s v="تغيير شمعات فلتر المياه"/>
    <s v="تم العمل"/>
    <d v="1899-12-30T13:30:00"/>
    <d v="1899-12-30T14:00:00"/>
    <n v="2.083333333333337E-2"/>
    <x v="1"/>
    <n v="0.50000000000000089"/>
  </r>
  <r>
    <x v="16"/>
    <d v="2025-07-16T00:00:00"/>
    <s v="الاربعاء "/>
    <x v="5"/>
    <s v="محمود عويس"/>
    <s v="صيانة تكييفات الادارى "/>
    <s v="تم العمل"/>
    <d v="1899-12-30T11:00:00"/>
    <d v="1899-12-30T12:00:00"/>
    <n v="4.1666666666666685E-2"/>
    <x v="0"/>
    <n v="1.0000000000000004"/>
  </r>
  <r>
    <x v="16"/>
    <d v="2025-07-16T00:00:00"/>
    <s v="الاربعاء "/>
    <x v="5"/>
    <s v="محمود عويس"/>
    <s v="صيانة تكييف "/>
    <s v="تم العمل"/>
    <d v="1899-12-30T10:00:00"/>
    <d v="1899-12-30T16:00:00"/>
    <n v="0.24999999999999994"/>
    <x v="3"/>
    <n v="5.9999999999999982"/>
  </r>
  <r>
    <x v="16"/>
    <d v="2025-07-17T00:00:00"/>
    <s v="الخميس "/>
    <x v="76"/>
    <s v="محمد عبد النبى  "/>
    <s v="عمل صيانة الكمبروسر  رقم 1 "/>
    <s v="تم العمل"/>
    <d v="1899-12-30T11:00:00"/>
    <d v="1899-12-30T11:30:00"/>
    <n v="2.083333333333337E-2"/>
    <x v="3"/>
    <n v="0.50000000000000089"/>
  </r>
  <r>
    <x v="16"/>
    <d v="2025-07-17T00:00:00"/>
    <s v="الخميس "/>
    <x v="30"/>
    <s v="معروف محمد   "/>
    <s v="عمل صيانة الكمبروسر  "/>
    <s v="تم العمل"/>
    <d v="1899-12-30T12:15:00"/>
    <d v="1899-12-30T14:00:00"/>
    <n v="7.2916666666666741E-2"/>
    <x v="3"/>
    <n v="1.7500000000000018"/>
  </r>
  <r>
    <x v="16"/>
    <d v="2025-07-17T00:00:00"/>
    <s v="الخميس "/>
    <x v="7"/>
    <s v="محمد احمد "/>
    <s v="الزيارة الشهرية لمكافحة القوارض والحشرات "/>
    <s v="تم العمل"/>
    <d v="1899-12-30T15:30:00"/>
    <d v="1899-12-30T17:00:00"/>
    <n v="6.25E-2"/>
    <x v="3"/>
    <n v="1.5"/>
  </r>
  <r>
    <x v="16"/>
    <d v="2025-07-17T00:00:00"/>
    <s v="الخميس "/>
    <x v="10"/>
    <s v="فرج محمد "/>
    <s v="استكمال  فراشة باالمخزن  "/>
    <s v="تم العمل"/>
    <d v="1899-12-30T11:00:00"/>
    <d v="1899-12-30T17:00:00"/>
    <n v="0.25000000000000006"/>
    <x v="0"/>
    <n v="6.0000000000000018"/>
  </r>
  <r>
    <x v="16"/>
    <d v="2025-07-17T00:00:00"/>
    <s v="الخميس "/>
    <x v="5"/>
    <s v="محمود عويس"/>
    <s v="عمل صيانة تكييف "/>
    <s v="تم العمل"/>
    <d v="1899-12-30T14:00:00"/>
    <d v="1899-12-30T16:00:00"/>
    <n v="8.3333333333333259E-2"/>
    <x v="3"/>
    <n v="1.9999999999999982"/>
  </r>
  <r>
    <x v="16"/>
    <d v="2025-07-17T00:00:00"/>
    <s v="الخميس "/>
    <x v="13"/>
    <s v="ايمن محمد كامل "/>
    <s v="لحام تسريب  الاحبار"/>
    <s v="تم العمل"/>
    <d v="1899-12-30T12:00:00"/>
    <d v="1899-12-30T17:00:00"/>
    <n v="0.20833333333333337"/>
    <x v="0"/>
    <n v="5.0000000000000009"/>
  </r>
  <r>
    <x v="16"/>
    <d v="2025-07-19T00:00:00"/>
    <s v="السبت "/>
    <x v="60"/>
    <s v="السيد ابراهيم  "/>
    <s v="صيانة دورية "/>
    <s v="تم العمل"/>
    <d v="1899-12-30T10:30:00"/>
    <d v="1899-12-30T14:00:00"/>
    <n v="0.14583333333333337"/>
    <x v="2"/>
    <n v="3.5000000000000009"/>
  </r>
  <r>
    <x v="16"/>
    <d v="2025-07-19T00:00:00"/>
    <s v="السبت "/>
    <x v="10"/>
    <s v="فرج محمد "/>
    <s v="استكمال  فراشة باالمخزن  "/>
    <s v="تم العمل"/>
    <d v="1899-12-30T10:00:00"/>
    <d v="1899-12-30T17:00:00"/>
    <n v="0.29166666666666669"/>
    <x v="0"/>
    <n v="7"/>
  </r>
  <r>
    <x v="16"/>
    <d v="2025-07-20T00:00:00"/>
    <s v="الاحد "/>
    <x v="10"/>
    <s v="فرج محمد "/>
    <s v="عمل  فراشة باالمخزن  "/>
    <s v="تم العمل"/>
    <d v="1899-12-30T10:00:00"/>
    <d v="1899-12-30T17:00:00"/>
    <n v="0.29166666666666669"/>
    <x v="0"/>
    <n v="7"/>
  </r>
  <r>
    <x v="16"/>
    <d v="2025-07-20T00:00:00"/>
    <s v="الاحد "/>
    <x v="13"/>
    <s v="ايمن محمد كامل "/>
    <s v="عمل معالجة تسريب للاحبار "/>
    <s v="تم العمل"/>
    <d v="1899-12-30T12:30:00"/>
    <d v="1899-12-30T17:00:00"/>
    <n v="0.1875"/>
    <x v="0"/>
    <n v="4.5"/>
  </r>
  <r>
    <x v="16"/>
    <d v="2025-07-20T00:00:00"/>
    <s v="الاحد "/>
    <x v="5"/>
    <s v="علاء احمد "/>
    <s v="صيانةالتكييف فى المبنى الادارى "/>
    <s v="تم العمل"/>
    <d v="1899-12-30T14:00:00"/>
    <d v="1899-12-30T15:00:00"/>
    <n v="4.166666666666663E-2"/>
    <x v="6"/>
    <n v="0.99999999999999911"/>
  </r>
  <r>
    <x v="16"/>
    <d v="2025-07-21T00:00:00"/>
    <s v="الاثنين "/>
    <x v="77"/>
    <s v="محمد دسوقى  "/>
    <s v="لحام وتقطيع  "/>
    <s v="تم العمل"/>
    <d v="1899-12-30T11:30:00"/>
    <d v="1899-12-30T17:00:00"/>
    <n v="0.22916666666666669"/>
    <x v="3"/>
    <n v="5.5"/>
  </r>
  <r>
    <x v="16"/>
    <d v="2025-07-21T00:00:00"/>
    <s v="الاثنين "/>
    <x v="7"/>
    <s v="محمد احمد   "/>
    <s v="الزيارة الشهرية للمكافحة  الافات والقوارض"/>
    <s v="تم العمل"/>
    <d v="1899-12-30T14:00:00"/>
    <d v="1899-12-30T16:00:00"/>
    <n v="8.3333333333333259E-2"/>
    <x v="3"/>
    <n v="1.9999999999999982"/>
  </r>
  <r>
    <x v="16"/>
    <d v="2025-07-21T00:00:00"/>
    <s v="الاثنين "/>
    <x v="5"/>
    <s v="محمد النقيب "/>
    <s v="صيانة فيشة الكهرباء "/>
    <s v="تم العمل"/>
    <d v="1899-12-30T10:00:00"/>
    <d v="1899-12-30T11:00:00"/>
    <n v="4.166666666666663E-2"/>
    <x v="3"/>
    <n v="0.99999999999999911"/>
  </r>
  <r>
    <x v="16"/>
    <d v="2025-07-21T00:00:00"/>
    <s v="الاثنين "/>
    <x v="5"/>
    <s v="محمود عويس"/>
    <s v="عمل صيانة تكييف "/>
    <s v="تم العمل"/>
    <d v="1899-12-30T13:00:00"/>
    <d v="1899-12-30T15:00:00"/>
    <n v="8.333333333333337E-2"/>
    <x v="1"/>
    <n v="2.0000000000000009"/>
  </r>
  <r>
    <x v="16"/>
    <d v="2025-07-21T00:00:00"/>
    <s v="الاثنين "/>
    <x v="10"/>
    <s v="فرج محمد "/>
    <s v="عمل  فراشة باالمخزن  "/>
    <s v="تم العمل"/>
    <d v="1899-12-30T10:00:00"/>
    <d v="1899-12-30T17:00:00"/>
    <n v="0.29166666666666669"/>
    <x v="0"/>
    <n v="7"/>
  </r>
  <r>
    <x v="16"/>
    <d v="2025-07-21T00:00:00"/>
    <s v="الاثنين "/>
    <x v="13"/>
    <s v="ايمن محمد كامل "/>
    <s v="لحام تسريب  الاحبار"/>
    <s v="تم العمل"/>
    <d v="1899-12-30T12:00:00"/>
    <d v="1899-12-30T17:00:00"/>
    <n v="0.20833333333333337"/>
    <x v="0"/>
    <n v="5.0000000000000009"/>
  </r>
  <r>
    <x v="16"/>
    <d v="2025-07-21T00:00:00"/>
    <s v="الاثنين "/>
    <x v="5"/>
    <s v="محمود عويس"/>
    <s v="عمل صيانة تكييف "/>
    <s v="تم العمل"/>
    <d v="1899-12-30T12:00:00"/>
    <d v="1899-12-30T17:00:00"/>
    <n v="0.20833333333333337"/>
    <x v="0"/>
    <n v="5.0000000000000009"/>
  </r>
  <r>
    <x v="16"/>
    <d v="2025-07-21T00:00:00"/>
    <s v="الاثنين "/>
    <x v="5"/>
    <s v="محمود عويس"/>
    <s v="عمل صيانة تكييف "/>
    <s v="تم العمل"/>
    <d v="1899-12-30T12:00:00"/>
    <d v="1899-12-30T14:00:00"/>
    <n v="8.333333333333337E-2"/>
    <x v="1"/>
    <n v="2.0000000000000009"/>
  </r>
  <r>
    <x v="16"/>
    <d v="2025-07-22T00:00:00"/>
    <s v="الثلاثاء "/>
    <x v="5"/>
    <s v="مجدى كرم "/>
    <s v="صيانة أعمال سباكة  "/>
    <s v="تم العمل"/>
    <d v="1899-12-30T17:00:00"/>
    <d v="1899-12-30T18:00:00"/>
    <n v="4.166666666666663E-2"/>
    <x v="6"/>
    <n v="0.99999999999999911"/>
  </r>
  <r>
    <x v="16"/>
    <d v="2025-07-22T00:00:00"/>
    <s v="الثلاثاء "/>
    <x v="6"/>
    <s v="ابراهيم  عبد الحليم   "/>
    <s v="صيانة كلارك "/>
    <s v="تم العمل"/>
    <d v="1899-12-30T12:00:00"/>
    <d v="1899-12-30T13:00:00"/>
    <n v="4.166666666666663E-2"/>
    <x v="1"/>
    <n v="0.99999999999999911"/>
  </r>
  <r>
    <x v="16"/>
    <d v="2025-07-22T00:00:00"/>
    <s v="الثلاثاء "/>
    <x v="5"/>
    <s v="محمود عويس"/>
    <s v="عمل صيانة تكييف "/>
    <s v="تم العمل"/>
    <d v="1899-12-30T13:00:00"/>
    <d v="1899-12-30T14:00:00"/>
    <n v="4.1666666666666741E-2"/>
    <x v="1"/>
    <n v="1.0000000000000018"/>
  </r>
  <r>
    <x v="16"/>
    <d v="2025-07-22T00:00:00"/>
    <s v="الثلاثاء "/>
    <x v="69"/>
    <s v="احمد بدوى "/>
    <s v="المرور على الكاميرات "/>
    <s v="تم العمل"/>
    <d v="1899-12-30T12:00:00"/>
    <d v="1899-12-30T16:00:00"/>
    <n v="0.16666666666666663"/>
    <x v="1"/>
    <n v="3.9999999999999991"/>
  </r>
  <r>
    <x v="16"/>
    <d v="2025-07-22T00:00:00"/>
    <s v="الثلاثاء "/>
    <x v="5"/>
    <s v="محمود الدروي"/>
    <s v="صيانةالتكييف فى استراحه المهندسين"/>
    <s v="تم العمل"/>
    <d v="1899-12-30T11:30:00"/>
    <d v="1899-12-30T14:00:00"/>
    <n v="0.10416666666666669"/>
    <x v="3"/>
    <n v="2.5000000000000004"/>
  </r>
  <r>
    <x v="16"/>
    <d v="2025-07-23T00:00:00"/>
    <s v="الثلاثاء "/>
    <x v="77"/>
    <s v="محمد الدسوقى "/>
    <s v="لحام وتجميع وصلات اللتشلر "/>
    <s v="تم العمل"/>
    <d v="1899-12-30T11:00:00"/>
    <d v="1899-12-30T17:30:00"/>
    <n v="0.27083333333333331"/>
    <x v="3"/>
    <n v="6.5"/>
  </r>
  <r>
    <x v="16"/>
    <d v="2025-07-23T00:00:00"/>
    <s v="الاربعاء "/>
    <x v="13"/>
    <s v="ايمن محمد كامل "/>
    <s v="لحام تسريب  الاحبار"/>
    <s v="تم العمل"/>
    <d v="1899-12-30T14:00:00"/>
    <d v="1899-12-30T17:00:00"/>
    <n v="0.125"/>
    <x v="0"/>
    <n v="3"/>
  </r>
  <r>
    <x v="16"/>
    <d v="2025-07-23T00:00:00"/>
    <s v="الاربعاء "/>
    <x v="77"/>
    <s v="محمد الدسوقى "/>
    <s v="لحام وتجميع وصلات اللتشلر "/>
    <s v="تم العمل"/>
    <d v="1899-12-30T10:30:00"/>
    <d v="1899-12-30T17:30:00"/>
    <n v="0.29166666666666663"/>
    <x v="3"/>
    <n v="6.9999999999999991"/>
  </r>
  <r>
    <x v="16"/>
    <d v="2025-07-22T00:00:00"/>
    <s v="الثلاثاء "/>
    <x v="5"/>
    <s v="مجدى كرم "/>
    <s v="صيانة أعمال سباكة  "/>
    <s v="تم العمل"/>
    <d v="1899-12-30T17:00:00"/>
    <d v="1899-12-30T18:00:00"/>
    <n v="4.166666666666663E-2"/>
    <x v="6"/>
    <n v="0.99999999999999911"/>
  </r>
  <r>
    <x v="16"/>
    <d v="2025-07-23T00:00:00"/>
    <s v="الاربعاء "/>
    <x v="7"/>
    <s v="محمود ماهر  "/>
    <s v="الزيارة الشهرية لمكافحة القوارض والحشرات "/>
    <s v="تم العمل"/>
    <d v="1899-12-30T11:00:00"/>
    <d v="1899-12-30T12:00:00"/>
    <n v="4.1666666666666685E-2"/>
    <x v="6"/>
    <n v="1.0000000000000004"/>
  </r>
  <r>
    <x v="16"/>
    <d v="2025-07-23T00:00:00"/>
    <s v="الاربعاء "/>
    <x v="6"/>
    <s v="ابراهيم فتح الله"/>
    <s v="صيانةكلاركات "/>
    <s v="تم العمل"/>
    <d v="1899-12-30T11:00:00"/>
    <d v="1899-12-30T15:00:00"/>
    <n v="0.16666666666666669"/>
    <x v="1"/>
    <n v="4"/>
  </r>
  <r>
    <x v="16"/>
    <d v="2025-07-23T00:00:00"/>
    <s v="الاربعاء "/>
    <x v="5"/>
    <s v="محمود الدروي"/>
    <s v="صيانةالتكيفات "/>
    <s v="تم العمل"/>
    <d v="1899-12-30T12:00:00"/>
    <d v="1899-12-30T15:00:00"/>
    <n v="0.125"/>
    <x v="1"/>
    <n v="3"/>
  </r>
  <r>
    <x v="16"/>
    <d v="2025-07-23T00:00:00"/>
    <s v="الاربعاء "/>
    <x v="14"/>
    <s v="محمد عادل  "/>
    <s v="المرور الشهرية على الاسناسير "/>
    <s v="تم العمل"/>
    <d v="1899-12-30T15:00:00"/>
    <d v="1899-12-30T16:00:00"/>
    <n v="4.166666666666663E-2"/>
    <x v="1"/>
    <n v="0.99999999999999911"/>
  </r>
  <r>
    <x v="16"/>
    <d v="2025-07-24T00:00:00"/>
    <s v="الخميس "/>
    <x v="77"/>
    <s v="محمد الدسوقى "/>
    <s v="تركيب شيلر قسم ويب 3"/>
    <s v="تم العمل"/>
    <d v="1899-12-30T10:30:00"/>
    <d v="1899-12-30T17:30:00"/>
    <n v="0.29166666666666663"/>
    <x v="3"/>
    <n v="6.9999999999999991"/>
  </r>
  <r>
    <x v="16"/>
    <d v="2025-07-27T00:00:00"/>
    <s v="الاحد "/>
    <x v="5"/>
    <s v="محمود عويس"/>
    <s v="عمل صيانة تكييف "/>
    <s v="تم العمل"/>
    <d v="1899-12-30T10:00:00"/>
    <d v="1899-12-30T14:00:00"/>
    <n v="0.16666666666666669"/>
    <x v="1"/>
    <n v="4"/>
  </r>
  <r>
    <x v="16"/>
    <d v="2025-07-27T00:00:00"/>
    <s v="الاحد "/>
    <x v="5"/>
    <s v="احمد سعيد "/>
    <s v="اعمال سباكة "/>
    <s v="تم العمل"/>
    <d v="1899-12-30T11:00:00"/>
    <d v="1899-12-30T14:00:00"/>
    <n v="0.12500000000000006"/>
    <x v="1"/>
    <n v="3.0000000000000013"/>
  </r>
  <r>
    <x v="16"/>
    <d v="2025-07-27T00:00:00"/>
    <s v="الاحد "/>
    <x v="77"/>
    <s v="محمد الدسوقى "/>
    <s v="تركيب شيلر قسم ويب 3"/>
    <s v="تم العمل"/>
    <d v="1899-12-30T10:30:00"/>
    <d v="1899-12-30T16:30:00"/>
    <n v="0.25"/>
    <x v="3"/>
    <n v="6"/>
  </r>
  <r>
    <x v="16"/>
    <d v="2025-07-28T00:00:00"/>
    <s v="الاثنين "/>
    <x v="7"/>
    <s v="كامل جمعة  "/>
    <s v="الزيارة الشهرية لمكافحة القوارض والحشرات "/>
    <s v="تم العمل"/>
    <d v="1899-12-30T12:00:00"/>
    <d v="1899-12-30T14:00:00"/>
    <n v="8.333333333333337E-2"/>
    <x v="3"/>
    <n v="2.0000000000000009"/>
  </r>
  <r>
    <x v="16"/>
    <d v="2025-07-28T00:00:00"/>
    <s v="الاثنين "/>
    <x v="77"/>
    <s v="محمد الدسوقى "/>
    <s v="لحام وتجميع وصلات اللتشلر "/>
    <s v="تم العمل"/>
    <d v="1899-12-30T10:30:00"/>
    <d v="1899-12-30T17:00:00"/>
    <n v="0.27083333333333337"/>
    <x v="3"/>
    <n v="6.5000000000000009"/>
  </r>
  <r>
    <x v="16"/>
    <d v="2025-07-28T00:00:00"/>
    <s v="الاثنين "/>
    <x v="13"/>
    <s v="ايمن محمد كامل "/>
    <s v="لحام تسريب  الاحبار"/>
    <s v="تم العمل"/>
    <d v="1899-12-30T14:00:00"/>
    <d v="1899-12-30T17:00:00"/>
    <n v="0.125"/>
    <x v="0"/>
    <n v="3"/>
  </r>
  <r>
    <x v="16"/>
    <d v="2025-07-28T00:00:00"/>
    <s v="الاثنين "/>
    <x v="7"/>
    <s v="ايمن كامل   "/>
    <s v="الزيارة الشهرية لمكافحة القوارض والحشرات "/>
    <s v="تم العمل"/>
    <d v="1899-12-30T14:00:00"/>
    <d v="1899-12-30T17:00:00"/>
    <n v="0.125"/>
    <x v="0"/>
    <n v="3"/>
  </r>
  <r>
    <x v="16"/>
    <d v="2025-07-28T00:00:00"/>
    <s v="الاثنين "/>
    <x v="5"/>
    <s v="محمود عويس"/>
    <s v="عمل صيانة تكييف "/>
    <s v="تم العمل"/>
    <d v="1899-12-30T10:30:00"/>
    <d v="1899-12-30T14:00:00"/>
    <n v="0.14583333333333337"/>
    <x v="3"/>
    <n v="3.5000000000000009"/>
  </r>
  <r>
    <x v="16"/>
    <d v="2025-07-28T00:00:00"/>
    <s v="الاثنين "/>
    <x v="5"/>
    <s v="محمود عويس"/>
    <s v="عمل صيانة تكييف "/>
    <s v="تم العمل"/>
    <d v="1899-12-30T10:30:00"/>
    <d v="1899-12-30T14:00:00"/>
    <n v="0.14583333333333337"/>
    <x v="1"/>
    <n v="3.5000000000000009"/>
  </r>
  <r>
    <x v="16"/>
    <d v="2025-07-29T00:00:00"/>
    <s v="الثلاثاء "/>
    <x v="5"/>
    <s v="محمود عويس"/>
    <s v="عمل صيانة تكييف "/>
    <s v="تم العمل"/>
    <d v="1899-12-30T16:00:00"/>
    <d v="1899-12-30T17:00:00"/>
    <n v="4.1666666666666741E-2"/>
    <x v="3"/>
    <n v="1.0000000000000018"/>
  </r>
  <r>
    <x v="16"/>
    <d v="2025-07-29T00:00:00"/>
    <s v="الثلاثاء "/>
    <x v="5"/>
    <s v="أحمد حسين  "/>
    <s v="الزيارة الشهرية لصيانة الاسانسير "/>
    <s v="تم العمل"/>
    <d v="1899-12-30T15:00:00"/>
    <d v="1899-12-30T16:00:00"/>
    <n v="4.166666666666663E-2"/>
    <x v="6"/>
    <n v="0.99999999999999911"/>
  </r>
  <r>
    <x v="16"/>
    <d v="2025-07-30T00:00:00"/>
    <s v="الاربعاء "/>
    <x v="6"/>
    <s v="صابر ابراهيم "/>
    <s v="اعمال لحام فى  سندرة بسح عنبر ويب 3 "/>
    <s v="تم العمل"/>
    <d v="1899-12-30T11:00:00"/>
    <d v="1899-12-30T17:30:00"/>
    <n v="0.27083333333333331"/>
    <x v="3"/>
    <n v="6.5"/>
  </r>
  <r>
    <x v="16"/>
    <d v="2025-07-30T00:00:00"/>
    <s v="الاربعاء "/>
    <x v="5"/>
    <s v="محمد النقيب "/>
    <s v="تركيب كشاف بالكفتريا "/>
    <s v="تم العمل"/>
    <d v="1899-12-30T10:00:00"/>
    <d v="1899-12-30T11:00:00"/>
    <n v="4.166666666666663E-2"/>
    <x v="3"/>
    <n v="0.99999999999999911"/>
  </r>
  <r>
    <x v="17"/>
    <d v="2025-08-01T00:00:00"/>
    <s v="الجمعة "/>
    <x v="32"/>
    <s v="ابو المجد  "/>
    <s v="اعمال صيانة لعربيات  الهيدورليك "/>
    <s v="تم العمل"/>
    <d v="1899-12-30T14:30:00"/>
    <d v="1899-12-30T15:00:00"/>
    <n v="2.0833333333333402E-2"/>
    <x v="6"/>
    <n v="0.50000000000000089"/>
  </r>
  <r>
    <x v="17"/>
    <d v="2025-08-02T00:00:00"/>
    <s v="السبت "/>
    <x v="5"/>
    <s v="محمد ابراهيم "/>
    <s v="اعمال محارة "/>
    <s v="تم العمل"/>
    <d v="1899-12-30T10:00:00"/>
    <d v="1899-12-30T16:00:00"/>
    <n v="0.24999999999999994"/>
    <x v="0"/>
    <n v="5.9999999999999982"/>
  </r>
  <r>
    <x v="17"/>
    <d v="2025-08-02T00:00:00"/>
    <s v="السبت "/>
    <x v="3"/>
    <s v="محمود مرعى "/>
    <s v="اعمال لحام  شبكة الاطفاء "/>
    <s v="تم العمل"/>
    <d v="1899-12-30T11:00:00"/>
    <d v="1899-12-30T15:00:00"/>
    <n v="0.16666666666666669"/>
    <x v="2"/>
    <n v="4"/>
  </r>
  <r>
    <x v="17"/>
    <d v="2025-08-02T00:00:00"/>
    <s v="السبت "/>
    <x v="66"/>
    <s v="على فريد عبد الله "/>
    <s v="تركيبات "/>
    <s v="تم العمل"/>
    <d v="1899-12-30T15:00:00"/>
    <d v="1899-12-30T23:00:00"/>
    <n v="0.33333333333333337"/>
    <x v="2"/>
    <n v="8"/>
  </r>
  <r>
    <x v="17"/>
    <d v="2025-08-02T00:00:00"/>
    <s v="السبت "/>
    <x v="60"/>
    <s v="السيد ابراهيم  "/>
    <s v="صيانة دورية "/>
    <s v="تم العمل"/>
    <d v="1899-12-30T11:00:00"/>
    <d v="1899-12-30T14:00:00"/>
    <n v="0.12500000000000006"/>
    <x v="2"/>
    <n v="3.0000000000000013"/>
  </r>
  <r>
    <x v="17"/>
    <d v="2025-08-02T00:00:00"/>
    <s v="السبت "/>
    <x v="5"/>
    <s v="جمعة محمد "/>
    <s v="صيانة كلارك "/>
    <s v="تم العمل"/>
    <d v="1899-12-30T10:00:00"/>
    <d v="1899-12-30T11:00:00"/>
    <n v="4.166666666666663E-2"/>
    <x v="0"/>
    <n v="0.99999999999999911"/>
  </r>
  <r>
    <x v="17"/>
    <d v="2025-08-03T00:00:00"/>
    <s v="الاحد "/>
    <x v="5"/>
    <s v="محمود عويس"/>
    <s v="عمل صيانة تكييف استراحة المهندسين الخزينة "/>
    <s v="تم العمل"/>
    <d v="1899-12-30T13:00:00"/>
    <d v="1899-12-30T17:00:00"/>
    <n v="0.16666666666666674"/>
    <x v="3"/>
    <n v="4.0000000000000018"/>
  </r>
  <r>
    <x v="17"/>
    <d v="2025-08-03T00:00:00"/>
    <s v="الاحد "/>
    <x v="13"/>
    <s v="ايمن محمد كامل "/>
    <s v="عمل لحام  تسريب للاحبار "/>
    <s v="تم العمل"/>
    <d v="1899-12-30T14:00:00"/>
    <d v="1899-12-30T17:00:00"/>
    <n v="0.125"/>
    <x v="0"/>
    <n v="3"/>
  </r>
  <r>
    <x v="17"/>
    <d v="2025-08-03T00:00:00"/>
    <s v="الاحد "/>
    <x v="77"/>
    <s v="محمد الدسوقى "/>
    <s v="اعمال تركيب الشلر"/>
    <s v="تم العمل"/>
    <d v="1899-12-30T12:30:00"/>
    <d v="1899-12-30T17:00:00"/>
    <n v="0.1875"/>
    <x v="3"/>
    <n v="4.5"/>
  </r>
  <r>
    <x v="17"/>
    <d v="2025-08-03T00:00:00"/>
    <s v="الاحد "/>
    <x v="66"/>
    <s v="على فريد عبد الله "/>
    <s v="تركيبات "/>
    <s v="تم العمل"/>
    <d v="1899-12-30T10:00:00"/>
    <d v="1899-12-30T16:00:00"/>
    <n v="0.24999999999999994"/>
    <x v="2"/>
    <n v="5.9999999999999982"/>
  </r>
  <r>
    <x v="17"/>
    <d v="2025-08-04T00:00:00"/>
    <s v="الاثنين "/>
    <x v="78"/>
    <s v="اسلام محمد "/>
    <s v="عمل صيانة لوحدة السوفتير "/>
    <s v="تم العمل"/>
    <d v="1899-12-30T11:30:00"/>
    <d v="1899-12-30T13:30:00"/>
    <n v="8.3333333333333315E-2"/>
    <x v="3"/>
    <n v="1.9999999999999996"/>
  </r>
  <r>
    <x v="17"/>
    <d v="2025-08-04T00:00:00"/>
    <s v="الاثنين "/>
    <x v="7"/>
    <s v="محمد ماهر    "/>
    <s v="الزيارة الشهرية لمكافحة القوارض والحشرات "/>
    <s v="تم العمل"/>
    <d v="1899-12-30T12:00:00"/>
    <d v="1899-12-30T14:00:00"/>
    <n v="8.333333333333337E-2"/>
    <x v="3"/>
    <n v="2.0000000000000009"/>
  </r>
  <r>
    <x v="17"/>
    <d v="2025-08-04T00:00:00"/>
    <s v="الاثنين "/>
    <x v="79"/>
    <s v="نادر اسكندر "/>
    <s v="اعمال لحام لتجهيز  شبكة اطفاء تلقائى "/>
    <s v="تم العمل"/>
    <d v="1899-12-30T12:30:00"/>
    <d v="1899-12-30T17:00:00"/>
    <n v="0.1875"/>
    <x v="5"/>
    <n v="4.5"/>
  </r>
  <r>
    <x v="17"/>
    <d v="2025-08-04T00:00:00"/>
    <s v="الاثنين "/>
    <x v="7"/>
    <s v="محمد ماهر    "/>
    <s v="الزيارة الشهرية لمكافحة القوارض والحشرات "/>
    <s v="تم العمل"/>
    <d v="1899-12-30T14:00:00"/>
    <d v="1899-12-30T15:00:00"/>
    <n v="4.166666666666663E-2"/>
    <x v="1"/>
    <n v="0.99999999999999911"/>
  </r>
  <r>
    <x v="17"/>
    <d v="2025-08-04T00:00:00"/>
    <s v="الاثنين "/>
    <x v="7"/>
    <s v="محمد ماهر    "/>
    <s v="الزيارة الشهرية لمكافحة القوارض والحشرات "/>
    <s v="تم العمل"/>
    <d v="1899-12-30T15:00:00"/>
    <d v="1899-12-30T17:00:00"/>
    <n v="8.333333333333337E-2"/>
    <x v="0"/>
    <n v="2.0000000000000009"/>
  </r>
  <r>
    <x v="17"/>
    <d v="2025-08-04T00:00:00"/>
    <s v="الاثنين "/>
    <x v="13"/>
    <s v="ايمن محمد كامل "/>
    <s v="عمل لحام  تسريب للاحبار "/>
    <s v="تم العمل"/>
    <d v="1899-12-30T14:00:00"/>
    <d v="1899-12-30T17:00:00"/>
    <n v="0.125"/>
    <x v="0"/>
    <n v="3"/>
  </r>
  <r>
    <x v="17"/>
    <d v="2025-08-05T00:00:00"/>
    <s v="الثلاثاء "/>
    <x v="7"/>
    <s v="محمد ماهر    "/>
    <s v="الزيارة الشهرية لمكافحة القوارض والحشرات "/>
    <s v="تم العمل"/>
    <d v="1899-12-30T13:00:00"/>
    <d v="1899-12-30T17:00:00"/>
    <n v="0.16666666666666674"/>
    <x v="6"/>
    <n v="4.0000000000000018"/>
  </r>
  <r>
    <x v="17"/>
    <d v="2025-08-05T00:00:00"/>
    <s v="الثلاثاء "/>
    <x v="5"/>
    <s v="محمود عويس"/>
    <s v="عمل صيانة صيانة لوحدات التكييف بالمطبعة"/>
    <s v="تم العمل"/>
    <d v="1899-12-30T10:00:00"/>
    <d v="1899-12-30T17:00:00"/>
    <n v="0.29166666666666669"/>
    <x v="3"/>
    <n v="7"/>
  </r>
  <r>
    <x v="17"/>
    <d v="2025-08-05T00:00:00"/>
    <s v="الثلاثاء "/>
    <x v="5"/>
    <s v="ادم محمد "/>
    <s v="عمل انشائات معمارية "/>
    <s v="تم العمل"/>
    <d v="1899-12-30T12:00:00"/>
    <d v="1899-12-30T17:00:00"/>
    <n v="0.20833333333333337"/>
    <x v="0"/>
    <n v="5.0000000000000009"/>
  </r>
  <r>
    <x v="17"/>
    <d v="2025-08-05T00:00:00"/>
    <s v="الثلاثاء "/>
    <x v="3"/>
    <s v="علاء احمد "/>
    <s v="صيانة"/>
    <s v="تم العمل"/>
    <d v="1899-12-30T11:00:00"/>
    <d v="1899-12-30T13:00:00"/>
    <n v="8.3333333333333315E-2"/>
    <x v="2"/>
    <n v="1.9999999999999996"/>
  </r>
  <r>
    <x v="17"/>
    <d v="2025-08-05T00:00:00"/>
    <s v="الثلاثاء "/>
    <x v="13"/>
    <s v="ايمن محمد كامل "/>
    <s v="عمل لحام  تسريب للاحبار "/>
    <s v="تم العمل"/>
    <d v="1899-12-30T15:00:00"/>
    <d v="1899-12-30T17:00:00"/>
    <n v="8.333333333333337E-2"/>
    <x v="0"/>
    <n v="2.0000000000000009"/>
  </r>
  <r>
    <x v="17"/>
    <d v="2025-08-06T00:00:00"/>
    <s v="الاربعاء "/>
    <x v="5"/>
    <s v="محمود عويس"/>
    <s v="عمل صيانة تكييف استراحة المهندسين"/>
    <s v="تم العمل"/>
    <d v="1899-12-30T12:30:00"/>
    <d v="1899-12-30T13:30:00"/>
    <n v="4.166666666666663E-2"/>
    <x v="3"/>
    <n v="0.99999999999999911"/>
  </r>
  <r>
    <x v="17"/>
    <d v="2025-08-06T00:00:00"/>
    <s v="الاربعاء "/>
    <x v="12"/>
    <s v="رامى محمد "/>
    <s v="صيانة ابواب الالمونتال"/>
    <s v="تم العمل"/>
    <d v="1899-12-30T15:00:00"/>
    <d v="1899-12-30T17:00:00"/>
    <n v="8.333333333333337E-2"/>
    <x v="3"/>
    <n v="2.0000000000000009"/>
  </r>
  <r>
    <x v="17"/>
    <d v="2025-08-07T00:00:00"/>
    <s v="الخميس "/>
    <x v="2"/>
    <s v="كمال احمد  "/>
    <s v="تركيبات "/>
    <s v="تم العمل"/>
    <d v="1899-12-30T17:00:00"/>
    <d v="1899-12-30T20:00:00"/>
    <n v="0.125"/>
    <x v="2"/>
    <n v="3"/>
  </r>
  <r>
    <x v="17"/>
    <d v="2025-08-07T00:00:00"/>
    <s v="الخميس "/>
    <x v="66"/>
    <s v="على فريد عبد الله "/>
    <s v="تركيبات "/>
    <s v="تم العمل"/>
    <d v="1899-12-30T16:45:00"/>
    <d v="1899-12-30T22:00:00"/>
    <n v="0.21875"/>
    <x v="2"/>
    <n v="5.25"/>
  </r>
  <r>
    <x v="17"/>
    <d v="2025-08-07T00:00:00"/>
    <s v="الخميس "/>
    <x v="12"/>
    <s v="رامى محمد "/>
    <s v="صيانة ابواب الالمونتال"/>
    <s v="تم العمل"/>
    <d v="1899-12-30T15:00:00"/>
    <d v="1899-12-30T17:00:00"/>
    <n v="8.333333333333337E-2"/>
    <x v="3"/>
    <n v="2.0000000000000009"/>
  </r>
  <r>
    <x v="17"/>
    <d v="2025-08-07T00:00:00"/>
    <s v="الخميس "/>
    <x v="75"/>
    <s v="احمد محمد "/>
    <s v="تركيبات "/>
    <s v="تم العمل"/>
    <d v="1899-12-30T12:00:00"/>
    <d v="1899-12-30T18:00:00"/>
    <n v="0.25"/>
    <x v="2"/>
    <n v="6"/>
  </r>
  <r>
    <x v="17"/>
    <d v="2025-08-07T00:00:00"/>
    <s v="الخميس "/>
    <x v="5"/>
    <s v="محمود عويس"/>
    <s v="عمل صيانة تكييف للطبع شيت "/>
    <s v="تم العمل"/>
    <d v="1899-12-30T11:00:00"/>
    <d v="1899-12-30T12:00:00"/>
    <n v="4.1666666666666685E-2"/>
    <x v="3"/>
    <n v="1.0000000000000004"/>
  </r>
  <r>
    <x v="17"/>
    <d v="2025-08-09T00:00:00"/>
    <s v="السبت "/>
    <x v="79"/>
    <s v="نادر اسكندر "/>
    <s v="اعمال لحام لتجهيز  شبكة اطفاء تلقائى "/>
    <s v="تم العمل"/>
    <d v="1899-12-30T10:00:00"/>
    <d v="1899-12-30T17:00:00"/>
    <n v="0.29166666666666669"/>
    <x v="5"/>
    <n v="7"/>
  </r>
  <r>
    <x v="17"/>
    <d v="2025-08-09T00:00:00"/>
    <s v="السبت "/>
    <x v="80"/>
    <s v="محمد احمد "/>
    <s v="تركيبات "/>
    <s v="تم العمل"/>
    <d v="1899-12-30T10:00:00"/>
    <d v="1899-12-30T20:00:00"/>
    <n v="0.41666666666666669"/>
    <x v="2"/>
    <n v="10"/>
  </r>
  <r>
    <x v="17"/>
    <d v="2025-08-10T00:00:00"/>
    <s v="الاحد "/>
    <x v="8"/>
    <s v="حامد عطوان"/>
    <s v="الزيارة الشهرية  على نقاط الاطفاء وصناديق الحريق "/>
    <s v="تم العمل"/>
    <d v="1899-12-30T12:00:00"/>
    <d v="1899-12-30T15:00:00"/>
    <n v="0.125"/>
    <x v="3"/>
    <n v="3"/>
  </r>
  <r>
    <x v="17"/>
    <d v="2025-08-10T00:00:00"/>
    <s v="الاحد "/>
    <x v="5"/>
    <s v="احمد سعيد  "/>
    <s v="صيانة الماتور "/>
    <s v="تم العمل"/>
    <d v="1899-12-30T13:00:00"/>
    <d v="1899-12-30T15:00:00"/>
    <n v="8.333333333333337E-2"/>
    <x v="1"/>
    <n v="2.0000000000000009"/>
  </r>
  <r>
    <x v="17"/>
    <d v="2025-08-10T00:00:00"/>
    <s v="الاحد "/>
    <x v="8"/>
    <s v="حامد عطوان"/>
    <s v="الزيارة الشهرية  على نقاط الاطفاء وصناديق الحريق "/>
    <s v="تم العمل"/>
    <d v="1899-12-30T15:30:00"/>
    <d v="1899-12-30T17:00:00"/>
    <n v="6.25E-2"/>
    <x v="0"/>
    <n v="1.5"/>
  </r>
  <r>
    <x v="17"/>
    <d v="2025-08-10T00:00:00"/>
    <s v="الاحد "/>
    <x v="13"/>
    <s v="ايمن محمد كامل "/>
    <s v="عمل لحام  تسريب للاحبار "/>
    <s v="تم العمل"/>
    <d v="1899-12-30T10:00:00"/>
    <d v="1899-12-30T17:00:00"/>
    <n v="0.29166666666666669"/>
    <x v="0"/>
    <n v="7"/>
  </r>
  <r>
    <x v="17"/>
    <d v="2025-08-10T00:00:00"/>
    <s v="الاحد "/>
    <x v="5"/>
    <s v="ادم محمد  "/>
    <s v="اعمال تركيب انتر لك "/>
    <s v="تم العمل"/>
    <d v="1899-12-30T11:00:00"/>
    <d v="1899-12-30T17:00:00"/>
    <n v="0.25000000000000006"/>
    <x v="0"/>
    <n v="6.0000000000000018"/>
  </r>
  <r>
    <x v="17"/>
    <d v="2025-08-11T00:00:00"/>
    <s v="الاثنين "/>
    <x v="79"/>
    <s v="سامى سامى "/>
    <s v="اعمال لحام لتجهيز  شبكة اطفاء تلقائى "/>
    <s v="تم العمل"/>
    <d v="1899-12-30T10:00:00"/>
    <d v="1899-12-30T17:00:00"/>
    <n v="0.29166666666666669"/>
    <x v="5"/>
    <n v="7"/>
  </r>
  <r>
    <x v="17"/>
    <d v="2025-08-11T00:00:00"/>
    <s v="الاثنين "/>
    <x v="8"/>
    <s v="على شحات "/>
    <s v="الزيارة الشهرية  على الانزار "/>
    <s v="تم العمل"/>
    <d v="1899-12-30T11:00:00"/>
    <d v="1899-12-30T12:00:00"/>
    <n v="4.1666666666666685E-2"/>
    <x v="3"/>
    <n v="1.0000000000000004"/>
  </r>
  <r>
    <x v="17"/>
    <d v="2025-08-11T00:00:00"/>
    <s v="الاثنين "/>
    <x v="8"/>
    <s v="على شحات "/>
    <s v="الزيارة الشهرية  على الانزار "/>
    <s v="تم العمل"/>
    <d v="1899-12-30T15:30:00"/>
    <d v="1899-12-30T17:00:00"/>
    <n v="6.25E-2"/>
    <x v="0"/>
    <n v="1.5"/>
  </r>
  <r>
    <x v="17"/>
    <d v="2025-08-11T00:00:00"/>
    <s v="الاثنين "/>
    <x v="11"/>
    <s v="سيد على "/>
    <s v="صيانة الكلارك "/>
    <s v="تم العمل"/>
    <d v="1899-12-30T12:30:00"/>
    <d v="1899-12-30T16:00:00"/>
    <n v="0.14583333333333326"/>
    <x v="0"/>
    <n v="3.4999999999999982"/>
  </r>
  <r>
    <x v="17"/>
    <d v="2025-08-11T00:00:00"/>
    <s v="الاثنين "/>
    <x v="13"/>
    <s v="محسن عبد الباسط  "/>
    <s v="لحام تنك  للاحبار "/>
    <s v="تم العمل"/>
    <d v="1899-12-30T12:30:00"/>
    <d v="1899-12-30T17:00:00"/>
    <n v="0.1875"/>
    <x v="0"/>
    <n v="4.5"/>
  </r>
  <r>
    <x v="17"/>
    <d v="2025-08-11T00:00:00"/>
    <s v="الاثنين "/>
    <x v="8"/>
    <s v="على شحات "/>
    <s v="الزيارة الشهرية  على الانزار "/>
    <s v="تم العمل"/>
    <d v="1899-12-30T11:00:00"/>
    <d v="1899-12-30T17:00:00"/>
    <n v="0.25000000000000006"/>
    <x v="1"/>
    <n v="6.0000000000000018"/>
  </r>
  <r>
    <x v="17"/>
    <d v="2025-08-11T00:00:00"/>
    <s v="الاثنين "/>
    <x v="5"/>
    <s v="علاء احمد "/>
    <s v="صيانة تكيفات  غرفة السيرفر "/>
    <s v="تم العمل"/>
    <d v="1899-12-30T12:00:00"/>
    <d v="1899-12-30T13:30:00"/>
    <n v="6.25E-2"/>
    <x v="6"/>
    <n v="1.5"/>
  </r>
  <r>
    <x v="17"/>
    <d v="2025-08-12T00:00:00"/>
    <s v="الثلاثاء "/>
    <x v="13"/>
    <s v="اسلام مصطفى  "/>
    <s v="صيانة ctp"/>
    <s v="تم العمل"/>
    <d v="1899-12-30T14:00:00"/>
    <d v="1899-12-30T17:00:00"/>
    <n v="0.125"/>
    <x v="3"/>
    <n v="3"/>
  </r>
  <r>
    <x v="17"/>
    <d v="2025-08-12T00:00:00"/>
    <s v="الثلاثاء "/>
    <x v="13"/>
    <s v="محسن عبد الباسط  "/>
    <s v="لحام تسريب  للاحبار "/>
    <s v="تم العمل"/>
    <d v="1899-12-30T13:00:00"/>
    <d v="1899-12-30T17:00:00"/>
    <n v="0.16666666666666674"/>
    <x v="0"/>
    <n v="4.0000000000000018"/>
  </r>
  <r>
    <x v="17"/>
    <d v="2025-08-12T00:00:00"/>
    <s v="الثلاثاء "/>
    <x v="10"/>
    <s v="فرج محمد   "/>
    <s v="فرج الفراشة "/>
    <s v="تم العمل"/>
    <d v="1899-12-30T10:00:00"/>
    <d v="1899-12-30T12:00:00"/>
    <n v="8.3333333333333315E-2"/>
    <x v="0"/>
    <n v="1.9999999999999996"/>
  </r>
  <r>
    <x v="17"/>
    <d v="2025-08-12T00:00:00"/>
    <s v="الثلاثاء "/>
    <x v="5"/>
    <s v="ادم محمد  "/>
    <s v="اعمال تركيب انتر لك "/>
    <s v="تم العمل"/>
    <d v="1899-12-30T12:00:00"/>
    <d v="1899-12-30T17:00:00"/>
    <n v="0.20833333333333337"/>
    <x v="0"/>
    <n v="5.0000000000000009"/>
  </r>
  <r>
    <x v="17"/>
    <d v="2025-08-13T00:00:00"/>
    <s v="الاربعاء "/>
    <x v="13"/>
    <s v="محسن عبد الباسط  "/>
    <s v="لحام تنك  للاحبار "/>
    <s v="تم العمل"/>
    <d v="1899-12-30T14:00:00"/>
    <d v="1899-12-30T17:00:00"/>
    <n v="0.125"/>
    <x v="0"/>
    <n v="3"/>
  </r>
  <r>
    <x v="17"/>
    <d v="2025-08-14T00:00:00"/>
    <s v="الخميس "/>
    <x v="75"/>
    <s v="احمد محمد "/>
    <s v="تركيبات "/>
    <s v="تم العمل"/>
    <d v="1899-12-30T12:00:00"/>
    <d v="1899-12-30T18:00:00"/>
    <n v="0.25"/>
    <x v="2"/>
    <n v="6"/>
  </r>
  <r>
    <x v="17"/>
    <d v="2025-08-14T00:00:00"/>
    <s v="الخميس "/>
    <x v="13"/>
    <s v="محسن عبد الباسط  "/>
    <s v="لحام تنك  للاحبار "/>
    <s v="تم العمل"/>
    <d v="1899-12-30T13:00:00"/>
    <d v="1899-12-30T17:00:00"/>
    <n v="0.16666666666666674"/>
    <x v="0"/>
    <n v="4.0000000000000018"/>
  </r>
  <r>
    <x v="17"/>
    <d v="2025-08-16T00:00:00"/>
    <s v="السبت "/>
    <x v="3"/>
    <s v="امير حجازى "/>
    <s v="تركيب خط الفايبر "/>
    <s v="تم العمل"/>
    <d v="1899-12-30T10:00:00"/>
    <d v="1899-12-30T17:00:00"/>
    <n v="0.29166666666666669"/>
    <x v="3"/>
    <n v="7"/>
  </r>
  <r>
    <x v="17"/>
    <d v="2025-08-16T00:00:00"/>
    <s v="السبت "/>
    <x v="75"/>
    <s v="احمد محمد "/>
    <s v="تركيبات "/>
    <s v="تم العمل"/>
    <d v="1899-12-30T11:00:00"/>
    <d v="1899-12-30T18:00:00"/>
    <n v="0.29166666666666669"/>
    <x v="2"/>
    <n v="7"/>
  </r>
  <r>
    <x v="17"/>
    <d v="2025-08-16T00:00:00"/>
    <s v="السبت "/>
    <x v="0"/>
    <s v="يحيى طه "/>
    <s v="تركيبات "/>
    <s v="تم العمل"/>
    <d v="1899-12-30T11:00:00"/>
    <d v="1899-12-30T18:00:00"/>
    <n v="0.29166666666666669"/>
    <x v="2"/>
    <n v="7"/>
  </r>
  <r>
    <x v="17"/>
    <d v="2025-08-17T00:00:00"/>
    <s v="الاحد "/>
    <x v="3"/>
    <s v="امير حجازى "/>
    <s v="استكمال تركيب خط الفايبر "/>
    <s v="تم العمل"/>
    <d v="1899-12-30T10:30:00"/>
    <d v="1899-12-30T17:00:00"/>
    <n v="0.27083333333333337"/>
    <x v="3"/>
    <n v="6.5000000000000009"/>
  </r>
  <r>
    <x v="17"/>
    <d v="2025-08-17T00:00:00"/>
    <s v="الاحد "/>
    <x v="5"/>
    <s v="احمد سعيد  "/>
    <s v="عمل صرف للتكيفات "/>
    <s v="تم العمل"/>
    <d v="1899-12-30T14:00:00"/>
    <d v="1899-12-30T17:00:00"/>
    <n v="0.125"/>
    <x v="3"/>
    <n v="3"/>
  </r>
  <r>
    <x v="17"/>
    <d v="2025-08-17T00:00:00"/>
    <s v="الاحد "/>
    <x v="6"/>
    <s v="صابر ابراهيم "/>
    <s v="صيانة ابواب العنابر "/>
    <s v="تم العمل"/>
    <d v="1899-12-30T11:00:00"/>
    <d v="1899-12-30T16:00:00"/>
    <n v="0.20833333333333331"/>
    <x v="3"/>
    <n v="5"/>
  </r>
  <r>
    <x v="17"/>
    <d v="2025-08-18T00:00:00"/>
    <s v="الاثنين "/>
    <x v="6"/>
    <s v="محمود الدروى"/>
    <s v="صيانة تكييف ويب 11"/>
    <s v="تم العمل"/>
    <d v="1899-12-30T10:00:00"/>
    <d v="1899-12-30T15:00:00"/>
    <n v="0.20833333333333331"/>
    <x v="3"/>
    <n v="5"/>
  </r>
  <r>
    <x v="17"/>
    <d v="2025-08-18T00:00:00"/>
    <s v="الاثنين "/>
    <x v="5"/>
    <s v="محمد نقيب "/>
    <s v="عمل صيانة كهرباء بالعنابر"/>
    <s v="تم العمل"/>
    <d v="1899-12-30T11:00:00"/>
    <d v="1899-12-30T17:00:00"/>
    <n v="0.25000000000000006"/>
    <x v="3"/>
    <n v="6.0000000000000018"/>
  </r>
  <r>
    <x v="17"/>
    <d v="2025-08-18T00:00:00"/>
    <s v="الاثنين "/>
    <x v="5"/>
    <s v="أحمد سعيد "/>
    <s v="اعمال سباكة "/>
    <s v="تم العمل"/>
    <d v="1899-12-30T14:00:00"/>
    <d v="1899-12-30T15:00:00"/>
    <n v="4.166666666666663E-2"/>
    <x v="1"/>
    <n v="0.99999999999999911"/>
  </r>
  <r>
    <x v="17"/>
    <d v="2025-08-18T00:00:00"/>
    <s v="الاثنين "/>
    <x v="5"/>
    <s v="محمد نقيب "/>
    <s v=" صيانة كهرباء "/>
    <s v="تم العمل"/>
    <d v="1899-12-30T10:00:00"/>
    <d v="1899-12-30T11:00:00"/>
    <n v="4.166666666666663E-2"/>
    <x v="1"/>
    <n v="0.99999999999999911"/>
  </r>
  <r>
    <x v="17"/>
    <d v="2025-08-18T00:00:00"/>
    <s v="الاثنين "/>
    <x v="13"/>
    <s v="محسن عبد الباسط  "/>
    <s v="لحام تسريب  تنك  للاحبار "/>
    <s v="تم العمل"/>
    <d v="1899-12-30T14:00:00"/>
    <d v="1899-12-30T17:00:00"/>
    <n v="0.125"/>
    <x v="0"/>
    <n v="3"/>
  </r>
  <r>
    <x v="17"/>
    <d v="2025-08-18T00:00:00"/>
    <s v="الاثنين "/>
    <x v="5"/>
    <s v="احمد سعيد  "/>
    <s v="استكمال عمل صرف للتكيفات "/>
    <s v="تم العمل"/>
    <d v="1899-12-30T14:00:00"/>
    <d v="1899-12-30T17:00:00"/>
    <n v="0.125"/>
    <x v="0"/>
    <n v="3"/>
  </r>
  <r>
    <x v="17"/>
    <d v="2025-08-18T00:00:00"/>
    <s v="الاثنين "/>
    <x v="7"/>
    <s v="كامل جمعة     "/>
    <s v="الزيارة الشهرية لمكافحة القوارض والحشرات "/>
    <s v="تم العمل"/>
    <d v="1899-12-30T12:00:00"/>
    <d v="1899-12-30T17:00:00"/>
    <n v="0.20833333333333337"/>
    <x v="0"/>
    <n v="5.0000000000000009"/>
  </r>
  <r>
    <x v="17"/>
    <d v="2025-08-18T00:00:00"/>
    <s v="الاثنين "/>
    <x v="6"/>
    <s v="صابر ابراهيم      "/>
    <s v="عمل تنده لخزان السولار  للماكينة الديزل"/>
    <s v="تم العمل"/>
    <d v="1899-12-30T11:00:00"/>
    <d v="1899-12-30T17:00:00"/>
    <n v="0.25000000000000006"/>
    <x v="1"/>
    <n v="6.0000000000000018"/>
  </r>
  <r>
    <x v="17"/>
    <d v="2025-08-18T00:00:00"/>
    <s v="الاثنين "/>
    <x v="7"/>
    <s v="كامل جمعة     "/>
    <s v="الزيارة الشهرية لمكافحة القوارض والحشرات "/>
    <s v="تم العمل"/>
    <d v="1899-12-30T14:00:00"/>
    <d v="1899-12-30T15:00:00"/>
    <n v="4.166666666666663E-2"/>
    <x v="1"/>
    <n v="0.99999999999999911"/>
  </r>
  <r>
    <x v="17"/>
    <d v="2025-08-19T00:00:00"/>
    <s v="الثلاثاء "/>
    <x v="6"/>
    <s v="أحمد ابوزيد    "/>
    <s v="لحام وقطع فى باب  طوارىء بجوار ويب 2"/>
    <s v="تم العمل"/>
    <d v="1899-12-30T15:30:00"/>
    <d v="1899-12-30T16:30:00"/>
    <n v="4.166666666666663E-2"/>
    <x v="3"/>
    <n v="0.99999999999999911"/>
  </r>
  <r>
    <x v="17"/>
    <d v="2025-08-19T00:00:00"/>
    <s v="الثلاثاء "/>
    <x v="10"/>
    <s v="فرج محمد   "/>
    <s v="فرج الفراشة "/>
    <s v="تم العمل"/>
    <d v="1899-12-30T11:00:00"/>
    <d v="1899-12-30T17:00:00"/>
    <n v="0.25000000000000006"/>
    <x v="0"/>
    <n v="6.0000000000000018"/>
  </r>
  <r>
    <x v="17"/>
    <d v="2025-08-20T00:00:00"/>
    <s v="الاربعاء "/>
    <x v="5"/>
    <s v="محمود عويس  "/>
    <s v="صيانة الثلاجة "/>
    <s v="تم العمل"/>
    <d v="1899-12-30T13:00:00"/>
    <d v="1899-12-30T15:00:00"/>
    <n v="8.333333333333337E-2"/>
    <x v="1"/>
    <n v="2.0000000000000009"/>
  </r>
  <r>
    <x v="17"/>
    <d v="2025-08-20T00:00:00"/>
    <s v="الاربعاء "/>
    <x v="66"/>
    <s v="مصطفى سليم  "/>
    <s v="تركيبات "/>
    <s v="تم العمل"/>
    <d v="1899-12-30T10:00:00"/>
    <d v="1899-12-30T20:00:00"/>
    <n v="0.41666666666666669"/>
    <x v="2"/>
    <n v="10"/>
  </r>
  <r>
    <x v="17"/>
    <d v="2025-08-20T00:00:00"/>
    <s v="الاربعاء "/>
    <x v="38"/>
    <s v="اسلام  مليجى "/>
    <s v="تغيير فلتر "/>
    <s v="تم العمل"/>
    <d v="1899-12-30T13:00:00"/>
    <d v="1899-12-30T15:00:00"/>
    <n v="8.333333333333337E-2"/>
    <x v="1"/>
    <n v="2.0000000000000009"/>
  </r>
  <r>
    <x v="17"/>
    <d v="2025-08-20T00:00:00"/>
    <s v="الاربعاء "/>
    <x v="13"/>
    <s v="محسن عبد الباسط  "/>
    <s v="لحام تسريب  تنك  للاحبار "/>
    <s v="تم العمل"/>
    <d v="1899-12-30T14:00:00"/>
    <d v="1899-12-30T17:00:00"/>
    <n v="0.125"/>
    <x v="0"/>
    <n v="3"/>
  </r>
  <r>
    <x v="17"/>
    <d v="2025-08-20T00:00:00"/>
    <s v="الاربعاء "/>
    <x v="5"/>
    <s v="أحمد سعيد "/>
    <s v="عمل صرف للتكيفات "/>
    <s v="تم العمل"/>
    <d v="1899-12-30T11:00:00"/>
    <d v="1899-12-30T17:00:00"/>
    <n v="0.25000000000000006"/>
    <x v="0"/>
    <n v="6.0000000000000018"/>
  </r>
  <r>
    <x v="17"/>
    <d v="2025-08-21T00:00:00"/>
    <s v="الخميس "/>
    <x v="3"/>
    <s v="مصطغى  عماد "/>
    <s v=" تركيب خط الفايبر  فى غرفة السيرفر"/>
    <s v="تم العمل"/>
    <d v="1899-12-30T12:00:00"/>
    <d v="1899-12-30T15:00:00"/>
    <n v="0.125"/>
    <x v="3"/>
    <n v="3"/>
  </r>
  <r>
    <x v="17"/>
    <d v="2025-08-21T00:00:00"/>
    <s v="الخميس "/>
    <x v="5"/>
    <s v="أحمد سعيد "/>
    <s v="عمل صرف للتكيفات "/>
    <s v="تم العمل"/>
    <d v="1899-12-30T10:00:00"/>
    <d v="1899-12-30T17:00:00"/>
    <n v="0.29166666666666669"/>
    <x v="0"/>
    <n v="7"/>
  </r>
  <r>
    <x v="17"/>
    <d v="2025-08-21T00:00:00"/>
    <s v="الخميس "/>
    <x v="13"/>
    <s v="محسن عبد الباسط  "/>
    <s v="صيانة تنكات الاحبار "/>
    <s v="تم العمل"/>
    <d v="1899-12-30T15:00:00"/>
    <d v="1899-12-30T17:00:00"/>
    <n v="8.333333333333337E-2"/>
    <x v="0"/>
    <n v="2.0000000000000009"/>
  </r>
  <r>
    <x v="17"/>
    <d v="2025-08-21T00:00:00"/>
    <s v="الخميس "/>
    <x v="5"/>
    <s v="محمود الدروى"/>
    <s v="صيانة تكييف "/>
    <s v="تم العمل"/>
    <d v="1899-12-30T13:00:00"/>
    <d v="1899-12-30T16:00:00"/>
    <n v="0.125"/>
    <x v="0"/>
    <n v="3"/>
  </r>
  <r>
    <x v="17"/>
    <d v="2025-08-21T00:00:00"/>
    <s v="الخميس "/>
    <x v="7"/>
    <s v="محمد ماهر    "/>
    <s v="الزيارة الشهرية لمكافحة القوارض والحشرات "/>
    <s v="تم العمل"/>
    <d v="1899-12-30T16:30:00"/>
    <d v="1899-12-30T17:30:00"/>
    <n v="4.166666666666663E-2"/>
    <x v="6"/>
    <n v="0.99999999999999911"/>
  </r>
  <r>
    <x v="17"/>
    <d v="2025-08-21T00:00:00"/>
    <s v="الخميس "/>
    <x v="3"/>
    <s v="سيد ممدوح  "/>
    <s v="صيانة اجهزة التكييف فى المبنى الادارى  "/>
    <s v="تم العمل"/>
    <d v="1899-12-30T13:30:00"/>
    <d v="1899-12-30T15:00:00"/>
    <n v="6.25E-2"/>
    <x v="6"/>
    <n v="1.5"/>
  </r>
  <r>
    <x v="17"/>
    <d v="2025-08-21T00:00:00"/>
    <s v="الخميس "/>
    <x v="3"/>
    <s v="على الشحات  "/>
    <s v="الزيارة الشهرية لشركة الكريم شبكة الانزار "/>
    <s v="تم العمل"/>
    <d v="1899-12-30T13:30:00"/>
    <d v="1899-12-30T23:30:00"/>
    <n v="0.41666666666666663"/>
    <x v="6"/>
    <n v="10"/>
  </r>
  <r>
    <x v="17"/>
    <d v="2025-08-23T00:00:00"/>
    <s v="السبت "/>
    <x v="66"/>
    <s v="مصطفى سليم  "/>
    <s v="تركيبات "/>
    <s v="تم العمل"/>
    <d v="1899-12-30T12:00:00"/>
    <d v="1899-12-30T18:00:00"/>
    <n v="0.25"/>
    <x v="2"/>
    <n v="6"/>
  </r>
  <r>
    <x v="17"/>
    <d v="2025-08-23T00:00:00"/>
    <s v="السبت "/>
    <x v="0"/>
    <s v="مصطفى سليم  "/>
    <s v="تركيبات "/>
    <s v="تم العمل"/>
    <d v="1899-12-30T15:00:00"/>
    <d v="1899-12-30T18:00:00"/>
    <n v="0.125"/>
    <x v="2"/>
    <n v="3"/>
  </r>
  <r>
    <x v="17"/>
    <d v="2025-08-23T00:00:00"/>
    <s v="السبت "/>
    <x v="5"/>
    <s v="ياسر روبى  "/>
    <s v="اعمال تركيب انتر لك "/>
    <s v="تم العمل"/>
    <d v="1899-12-30T10:00:00"/>
    <d v="1899-12-30T16:00:00"/>
    <n v="0.24999999999999994"/>
    <x v="1"/>
    <n v="5.9999999999999982"/>
  </r>
  <r>
    <x v="17"/>
    <d v="2025-08-24T00:00:00"/>
    <s v="الاحد "/>
    <x v="13"/>
    <s v="ايمن محمد كامل   "/>
    <s v="لحام تسريب  تنك  للاحبار "/>
    <s v="تم العمل"/>
    <d v="1899-12-30T14:00:00"/>
    <d v="1899-12-30T17:00:00"/>
    <n v="0.125"/>
    <x v="0"/>
    <n v="3"/>
  </r>
  <r>
    <x v="17"/>
    <d v="2025-08-25T00:00:00"/>
    <s v="الاثنين "/>
    <x v="14"/>
    <s v="محمد عابد    "/>
    <s v="صيانة الاسانسير  "/>
    <s v="تم العمل"/>
    <d v="1899-12-30T11:00:00"/>
    <d v="1899-12-30T12:00:00"/>
    <n v="4.1666666666666685E-2"/>
    <x v="3"/>
    <n v="1.0000000000000004"/>
  </r>
  <r>
    <x v="17"/>
    <d v="2025-08-25T00:00:00"/>
    <s v="الاثنين "/>
    <x v="13"/>
    <s v="اسلام مصطفى  "/>
    <s v="صيانة ماكينة CTB"/>
    <s v="تم العمل"/>
    <d v="1899-12-30T13:00:00"/>
    <d v="1899-12-30T16:00:00"/>
    <n v="0.125"/>
    <x v="3"/>
    <n v="3"/>
  </r>
  <r>
    <x v="17"/>
    <d v="2025-08-25T00:00:00"/>
    <s v="الاثنين "/>
    <x v="0"/>
    <s v="عبد الفتاح خضير  "/>
    <s v="سقى بلاط المطبخ "/>
    <s v="تم العمل"/>
    <d v="1899-12-30T17:30:00"/>
    <d v="1899-12-30T22:00:00"/>
    <n v="0.1875"/>
    <x v="3"/>
    <n v="4.5"/>
  </r>
  <r>
    <x v="17"/>
    <d v="2025-08-25T00:00:00"/>
    <s v="الاثنين "/>
    <x v="13"/>
    <s v="محسن عبد الباسط  "/>
    <s v="لحام تسريب  تنك  للاحبار "/>
    <s v="تم العمل"/>
    <d v="1899-12-30T10:00:00"/>
    <d v="1899-12-30T17:00:00"/>
    <n v="0.29166666666666669"/>
    <x v="0"/>
    <n v="7"/>
  </r>
  <r>
    <x v="17"/>
    <d v="2025-08-25T00:00:00"/>
    <s v="الاثنين "/>
    <x v="7"/>
    <s v="كامل  جمعة    "/>
    <s v="الزيارة الشهرية لمكافحة القوارض والحشرات "/>
    <s v="تم العمل"/>
    <d v="1899-12-30T15:00:00"/>
    <d v="1899-12-30T17:00:00"/>
    <n v="8.333333333333337E-2"/>
    <x v="3"/>
    <n v="2.0000000000000009"/>
  </r>
  <r>
    <x v="17"/>
    <d v="2025-08-25T00:00:00"/>
    <s v="الاثنين "/>
    <x v="70"/>
    <s v="اجمد فتحى "/>
    <s v="صيانة الاساسنسير "/>
    <s v="تم العمل"/>
    <d v="1899-12-30T14:00:00"/>
    <d v="1899-12-30T14:30:00"/>
    <n v="2.0833333333333259E-2"/>
    <x v="6"/>
    <n v="0.49999999999999822"/>
  </r>
  <r>
    <x v="17"/>
    <d v="2025-08-26T00:00:00"/>
    <s v="الثلاثاء "/>
    <x v="5"/>
    <s v="محمود عويس  "/>
    <s v="صيانة تكييف ماكينة ATM "/>
    <s v="تم العمل"/>
    <d v="1899-12-30T13:00:00"/>
    <d v="1899-12-30T15:00:00"/>
    <n v="8.333333333333337E-2"/>
    <x v="3"/>
    <n v="2.0000000000000009"/>
  </r>
  <r>
    <x v="17"/>
    <d v="2025-08-26T00:00:00"/>
    <s v="الثلاثاء "/>
    <x v="13"/>
    <s v="محسن عبد الباسط  "/>
    <s v="لحام تسريب  تنك  للاحبار "/>
    <s v="تم العمل"/>
    <d v="1899-12-30T16:00:00"/>
    <d v="1899-12-30T17:00:00"/>
    <n v="4.1666666666666741E-2"/>
    <x v="0"/>
    <n v="1.0000000000000018"/>
  </r>
  <r>
    <x v="17"/>
    <d v="2025-08-31T00:00:00"/>
    <s v="الاحد "/>
    <x v="81"/>
    <s v="احمد حسين "/>
    <s v="صيانة سقف عنبر 2"/>
    <s v="تم العمل"/>
    <d v="1899-12-30T11:00:00"/>
    <d v="1899-12-30T15:30:00"/>
    <n v="0.18750000000000006"/>
    <x v="5"/>
    <n v="4.5000000000000018"/>
  </r>
  <r>
    <x v="17"/>
    <d v="2025-08-31T00:00:00"/>
    <s v="الاحد "/>
    <x v="82"/>
    <s v="محمود ابوشادي"/>
    <s v="دهان طرقة المسجد"/>
    <s v="تم العمل"/>
    <d v="1899-12-30T11:30:00"/>
    <d v="1899-12-30T16:00:00"/>
    <n v="0.18749999999999994"/>
    <x v="3"/>
    <n v="4.4999999999999982"/>
  </r>
  <r>
    <x v="17"/>
    <d v="2025-08-31T00:00:00"/>
    <s v="الاحد "/>
    <x v="83"/>
    <s v="محسن عبد الباسط  "/>
    <s v="لحام تسريب  تانك الاحبار"/>
    <s v="تم العمل"/>
    <d v="1899-12-30T16:00:00"/>
    <d v="1899-12-30T21:00:00"/>
    <n v="0.20833333333333337"/>
    <x v="0"/>
    <n v="5.0000000000000009"/>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8">
  <r>
    <x v="0"/>
    <d v="2024-01-01T00:00:00"/>
    <s v="الاثنين "/>
    <x v="0"/>
    <s v="محمد زقل  جاد "/>
    <s v="تركيب سيراميك حمامات "/>
    <s v="تم العمل"/>
    <d v="1899-12-30T10:30:00"/>
    <d v="1899-12-30T17:00:00"/>
    <n v="0.27083333333333337"/>
    <x v="0"/>
    <n v="6.5000000000000009"/>
  </r>
  <r>
    <x v="0"/>
    <d v="2024-01-01T00:00:00"/>
    <s v="الاثنين "/>
    <x v="1"/>
    <s v="محمود سعيد "/>
    <s v="تركيب خط الحريق  "/>
    <s v="تم العمل"/>
    <d v="1899-12-30T10:00:00"/>
    <d v="1899-12-30T16:00:00"/>
    <n v="0.24999999999999994"/>
    <x v="1"/>
    <n v="5.9999999999999982"/>
  </r>
  <r>
    <x v="0"/>
    <d v="2024-01-01T00:00:00"/>
    <s v="الاثنين "/>
    <x v="0"/>
    <s v="مراد صالح"/>
    <s v="اعمال بناء "/>
    <s v="تم العمل"/>
    <d v="1899-12-30T10:00:00"/>
    <d v="1899-12-30T17:00:00"/>
    <n v="0.29166666666666669"/>
    <x v="0"/>
    <n v="7"/>
  </r>
  <r>
    <x v="0"/>
    <d v="2024-01-02T00:00:00"/>
    <s v="الثلاثاء "/>
    <x v="2"/>
    <s v="محمد رجب  "/>
    <s v="تركيبات  "/>
    <s v="تم العمل"/>
    <d v="1899-12-30T09:30:00"/>
    <d v="1899-12-30T18:00:00"/>
    <n v="0.35416666666666669"/>
    <x v="2"/>
    <n v="8.5"/>
  </r>
  <r>
    <x v="0"/>
    <d v="2024-01-02T00:00:00"/>
    <s v="الثلاثاء "/>
    <x v="3"/>
    <s v="محمود ربيع  "/>
    <s v="تركيبات  "/>
    <s v="تم العمل"/>
    <d v="1899-12-30T10:00:00"/>
    <d v="1899-12-30T17:00:00"/>
    <n v="0.29166666666666669"/>
    <x v="2"/>
    <n v="7"/>
  </r>
  <r>
    <x v="0"/>
    <d v="2024-01-02T00:00:00"/>
    <s v="الثلاثاء "/>
    <x v="0"/>
    <s v="مراد صالح"/>
    <s v="نظافة العنبر "/>
    <s v="تم العمل"/>
    <d v="1899-12-30T09:00:00"/>
    <d v="1899-12-30T15:00:00"/>
    <n v="0.25"/>
    <x v="0"/>
    <n v="6"/>
  </r>
  <r>
    <x v="0"/>
    <d v="2024-01-02T00:00:00"/>
    <s v="الثلاثاء "/>
    <x v="1"/>
    <s v="سعداوى "/>
    <s v="تركيب كهرباء وعمل دهان "/>
    <s v="تم العمل"/>
    <d v="1899-12-30T10:00:00"/>
    <d v="1899-12-30T17:00:00"/>
    <n v="0.29166666666666669"/>
    <x v="1"/>
    <n v="7"/>
  </r>
  <r>
    <x v="0"/>
    <d v="2024-01-02T00:00:00"/>
    <s v="الثلاثاء "/>
    <x v="0"/>
    <s v="محمد زقل  جاد "/>
    <s v="تركيب سيراميك حمامات "/>
    <s v="تم العمل"/>
    <d v="1899-12-30T12:30:00"/>
    <d v="1899-12-30T17:00:00"/>
    <n v="0.1875"/>
    <x v="0"/>
    <n v="4.5"/>
  </r>
  <r>
    <x v="0"/>
    <d v="2024-01-03T00:00:00"/>
    <s v="الاربعاء "/>
    <x v="0"/>
    <s v="مراد صالح"/>
    <s v="نظافة العنبر "/>
    <s v="تم العمل"/>
    <d v="1899-12-30T11:00:00"/>
    <d v="1899-12-30T16:00:00"/>
    <n v="0.20833333333333331"/>
    <x v="0"/>
    <n v="5"/>
  </r>
  <r>
    <x v="0"/>
    <d v="2024-01-03T00:00:00"/>
    <s v="الاربعاء "/>
    <x v="4"/>
    <s v="محمد رجب "/>
    <s v="تركيبات  "/>
    <s v="تم العمل"/>
    <d v="1899-12-30T09:00:00"/>
    <d v="1899-12-30T18:00:00"/>
    <n v="0.375"/>
    <x v="2"/>
    <n v="9"/>
  </r>
  <r>
    <x v="0"/>
    <d v="2024-01-03T00:00:00"/>
    <s v="الاربعاء "/>
    <x v="3"/>
    <s v="محمود ربيع  "/>
    <s v="تركيبات  "/>
    <s v="تم العمل"/>
    <d v="1899-12-30T09:00:00"/>
    <d v="1899-12-30T18:00:00"/>
    <n v="0.375"/>
    <x v="2"/>
    <n v="9"/>
  </r>
  <r>
    <x v="0"/>
    <d v="2024-01-03T00:00:00"/>
    <s v="الاربعاء "/>
    <x v="1"/>
    <s v="محمود سعيد "/>
    <s v="تركيب الفاير "/>
    <s v="تم العمل"/>
    <d v="1899-12-30T10:00:00"/>
    <d v="1899-12-30T16:00:00"/>
    <n v="0.24999999999999994"/>
    <x v="1"/>
    <n v="5.9999999999999982"/>
  </r>
  <r>
    <x v="0"/>
    <d v="2024-01-03T00:00:00"/>
    <s v="الاربعاء "/>
    <x v="5"/>
    <s v="محمد خليل النقيب "/>
    <s v="تركيب مروحة سقف فى مبيت الامن "/>
    <s v="تم العمل"/>
    <d v="1899-12-30T09:30:00"/>
    <d v="1899-12-30T12:00:00"/>
    <n v="0.10416666666666669"/>
    <x v="0"/>
    <n v="0.99999999999999911"/>
  </r>
  <r>
    <x v="0"/>
    <d v="2024-01-03T00:00:00"/>
    <s v="الاربعاء "/>
    <x v="0"/>
    <s v="محمد زقل  جاد "/>
    <s v="تركيب سيراميك حمامات "/>
    <s v="تم العمل"/>
    <d v="1899-12-30T10:00:00"/>
    <d v="1899-12-30T17:00:00"/>
    <n v="0.29166666666666669"/>
    <x v="0"/>
    <n v="7"/>
  </r>
  <r>
    <x v="0"/>
    <d v="2024-01-04T00:00:00"/>
    <s v="الخميس "/>
    <x v="6"/>
    <s v="صابر ابراهيم"/>
    <s v="اعمال لحام "/>
    <s v="تم العمل"/>
    <d v="1899-12-30T11:00:00"/>
    <d v="1899-12-30T13:00:00"/>
    <n v="8.3333333333333315E-2"/>
    <x v="3"/>
    <n v="1.9999999999999996"/>
  </r>
  <r>
    <x v="0"/>
    <d v="2024-01-04T00:00:00"/>
    <s v="الخميس "/>
    <x v="7"/>
    <s v="زياد "/>
    <s v="الزيارة الشهرية ومكافحة حشرات "/>
    <s v="تم العمل"/>
    <d v="1899-12-30T11:00:00"/>
    <d v="1899-12-30T16:00:00"/>
    <n v="0.20833333333333331"/>
    <x v="3"/>
    <n v="5"/>
  </r>
  <r>
    <x v="0"/>
    <d v="2024-01-04T00:00:00"/>
    <s v="الخميس "/>
    <x v="8"/>
    <s v="    ممدوح عبد التواب     "/>
    <s v=" الزيارة الشهرية والمرور على لوح انزار غرف الكهرباء "/>
    <s v="تم العمل"/>
    <d v="1899-12-30T10:30:00"/>
    <d v="1899-12-30T14:00:00"/>
    <n v="0.14583333333333337"/>
    <x v="3"/>
    <n v="3.5000000000000009"/>
  </r>
  <r>
    <x v="0"/>
    <d v="2024-01-04T00:00:00"/>
    <s v="الخميس "/>
    <x v="1"/>
    <s v="محمود سعيد "/>
    <s v="سعداوى رياض "/>
    <s v="تم العمل"/>
    <d v="1899-12-30T10:00:00"/>
    <d v="1899-12-30T16:30:00"/>
    <n v="0.27083333333333331"/>
    <x v="1"/>
    <n v="6.5"/>
  </r>
  <r>
    <x v="0"/>
    <d v="2024-01-04T00:00:00"/>
    <s v="الخميس "/>
    <x v="0"/>
    <s v="محمد زقل  جاد "/>
    <s v="تركيب كهرباء المبنى الادارى "/>
    <s v="تم العمل"/>
    <d v="1899-12-30T10:00:00"/>
    <d v="1899-12-30T17:00:00"/>
    <n v="0.29166666666666669"/>
    <x v="0"/>
    <n v="7"/>
  </r>
  <r>
    <x v="0"/>
    <d v="2024-01-04T00:00:00"/>
    <s v="الخميس "/>
    <x v="0"/>
    <s v="محمد زقل  جاد "/>
    <s v="تركيب سيراميك الحمامات "/>
    <s v="تم العمل"/>
    <d v="1899-12-30T10:30:00"/>
    <d v="1899-12-30T17:00:00"/>
    <n v="0.29166666666666669"/>
    <x v="0"/>
    <n v="7"/>
  </r>
  <r>
    <x v="0"/>
    <d v="2024-01-05T00:00:00"/>
    <s v="الجمعة "/>
    <x v="1"/>
    <s v="سعداوى  رياض "/>
    <s v="تجميع وتركيب تريهات الكهرباء "/>
    <s v="تم العمل"/>
    <d v="1899-12-30T10:00:00"/>
    <d v="1899-12-30T17:30:00"/>
    <n v="0.31249999999999994"/>
    <x v="1"/>
    <n v="7.4999999999999982"/>
  </r>
  <r>
    <x v="0"/>
    <d v="2024-01-06T00:00:00"/>
    <s v="السبت "/>
    <x v="0"/>
    <s v="مراد صالح  "/>
    <s v="تركيب سيراميك مكتب د/ احمد "/>
    <s v="تم العمل"/>
    <d v="1899-12-30T11:30:00"/>
    <d v="1899-12-30T17:00:00"/>
    <n v="0.22916666666666669"/>
    <x v="0"/>
    <n v="5.5"/>
  </r>
  <r>
    <x v="0"/>
    <d v="2024-01-06T00:00:00"/>
    <s v="السبت "/>
    <x v="1"/>
    <s v="سعداوى  رياض "/>
    <s v="تجميع وتركيب تريهات الكهرباء "/>
    <s v="تم العمل"/>
    <d v="1899-12-30T10:00:00"/>
    <d v="1899-12-30T16:00:00"/>
    <n v="0.24999999999999994"/>
    <x v="1"/>
    <n v="5.9999999999999982"/>
  </r>
  <r>
    <x v="0"/>
    <d v="2024-01-06T00:00:00"/>
    <s v="السبت "/>
    <x v="1"/>
    <s v="سعداوى  رياض "/>
    <s v="تركيب شبكة الحريق "/>
    <s v="تم العمل"/>
    <d v="1899-12-30T09:30:00"/>
    <d v="1899-12-30T16:00:00"/>
    <n v="0.27083333333333331"/>
    <x v="1"/>
    <n v="6.5"/>
  </r>
  <r>
    <x v="0"/>
    <d v="2024-01-06T00:00:00"/>
    <s v="السبت "/>
    <x v="9"/>
    <s v="سامى شعبان  "/>
    <s v="تركيب عفشة لكلارك 29 "/>
    <s v="تم العمل"/>
    <d v="1899-12-30T10:00:00"/>
    <d v="1899-12-30T14:00:00"/>
    <n v="0.16666666666666669"/>
    <x v="0"/>
    <n v="4"/>
  </r>
  <r>
    <x v="0"/>
    <d v="2024-01-07T00:00:00"/>
    <s v="الاحد "/>
    <x v="7"/>
    <s v="محمد ماهر "/>
    <s v="مكافحة حشرات "/>
    <s v="تم العمل"/>
    <d v="1899-12-30T10:00:00"/>
    <d v="1899-12-30T14:00:00"/>
    <n v="0.16666666666666669"/>
    <x v="3"/>
    <n v="4"/>
  </r>
  <r>
    <x v="0"/>
    <d v="2024-01-07T00:00:00"/>
    <s v="الاحد "/>
    <x v="6"/>
    <s v="صابر ابراهيم"/>
    <s v="اعمال لحام "/>
    <s v="تم العمل"/>
    <d v="1899-12-30T09:30:00"/>
    <d v="1899-12-30T11:00:00"/>
    <n v="6.25E-2"/>
    <x v="3"/>
    <n v="1.5"/>
  </r>
  <r>
    <x v="0"/>
    <d v="2024-01-07T00:00:00"/>
    <s v="الاحد "/>
    <x v="5"/>
    <s v="ياسر روبى  "/>
    <s v=" تركيب سيراميك غرفة شؤون الطلبة  الاكادمية "/>
    <s v="تم العمل"/>
    <d v="1899-12-30T12:00:00"/>
    <d v="1899-12-30T17:00:00"/>
    <n v="0.20833333333333337"/>
    <x v="3"/>
    <n v="0.99999999999999911"/>
  </r>
  <r>
    <x v="0"/>
    <d v="2024-01-07T00:00:00"/>
    <s v="الاحد "/>
    <x v="1"/>
    <s v="احمد على فؤاد "/>
    <s v="تجميع وتركيب تريهات الكهرباء "/>
    <s v="تم العمل"/>
    <d v="1899-12-30T10:00:00"/>
    <d v="1899-12-30T17:30:00"/>
    <n v="0.31249999999999994"/>
    <x v="1"/>
    <n v="7.4999999999999982"/>
  </r>
  <r>
    <x v="0"/>
    <d v="2024-01-07T00:00:00"/>
    <s v="الاحد "/>
    <x v="10"/>
    <s v="فرج محمد "/>
    <s v="فك الفراشة الموجودة فى الشوارع الخارجية "/>
    <s v="تم العمل"/>
    <d v="1899-12-30T10:00:00"/>
    <d v="1899-12-30T17:00:00"/>
    <n v="0.27079999999999999"/>
    <x v="0"/>
    <n v="6.5"/>
  </r>
  <r>
    <x v="0"/>
    <d v="2024-01-07T00:00:00"/>
    <s v="الاحد "/>
    <x v="5"/>
    <s v="مصطفى محمود "/>
    <s v="دهان تندة خزانات المياه والطلمبة الاحتياطى  "/>
    <s v="تم العمل"/>
    <d v="1899-12-30T15:00:00"/>
    <d v="1899-12-30T16:00:00"/>
    <n v="4.166666666666663E-2"/>
    <x v="0"/>
    <n v="0.99999999999999911"/>
  </r>
  <r>
    <x v="0"/>
    <d v="2024-01-08T00:00:00"/>
    <s v="الاثنين "/>
    <x v="1"/>
    <s v="صفوت شفيق "/>
    <s v="تجميع وتركيب تريهات الكهرباء "/>
    <s v="تم العمل"/>
    <d v="1899-12-30T09:30:00"/>
    <d v="1899-12-30T17:00:00"/>
    <n v="0.31250000000000006"/>
    <x v="1"/>
    <n v="7.5000000000000018"/>
  </r>
  <r>
    <x v="0"/>
    <d v="2024-01-08T00:00:00"/>
    <s v="الاثنين "/>
    <x v="10"/>
    <s v="فرج محمد "/>
    <s v="فك الفراشة الموجودة فى الشوارع الخارجية "/>
    <s v="تم العمل"/>
    <d v="1899-12-30T10:30:00"/>
    <d v="1899-12-30T17:00:00"/>
    <n v="0.27079999999999999"/>
    <x v="0"/>
    <n v="6.5"/>
  </r>
  <r>
    <x v="0"/>
    <d v="2024-01-08T00:00:00"/>
    <s v="الاثنين "/>
    <x v="0"/>
    <s v="محمد زقل  جاد "/>
    <s v="تركيب كهرباء المبنى الادارى "/>
    <s v="تم العمل"/>
    <d v="1899-12-30T10:00:00"/>
    <d v="1899-12-30T17:00:00"/>
    <n v="0.29166666666666669"/>
    <x v="0"/>
    <n v="7"/>
  </r>
  <r>
    <x v="0"/>
    <d v="2024-01-08T00:00:00"/>
    <s v="الاثنين "/>
    <x v="6"/>
    <s v="صابر ابراهيم"/>
    <s v="لحام باب الامن  وباب عنبر رقم د"/>
    <s v="تم العمل"/>
    <d v="1899-12-30T12:00:00"/>
    <d v="1899-12-30T17:00:00"/>
    <n v="0.20833333333333337"/>
    <x v="3"/>
    <n v="5.0000000000000009"/>
  </r>
  <r>
    <x v="0"/>
    <d v="2024-01-08T00:00:00"/>
    <s v="الاثنين "/>
    <x v="11"/>
    <s v="محمد رمضان   "/>
    <s v="تركيب عفشة لكلارك 29 "/>
    <s v="تم العمل"/>
    <d v="1899-12-30T10:00:00"/>
    <d v="1899-12-30T14:00:00"/>
    <n v="0.16666666666666669"/>
    <x v="3"/>
    <n v="4"/>
  </r>
  <r>
    <x v="0"/>
    <d v="2024-01-08T00:00:00"/>
    <s v="الاثنين "/>
    <x v="0"/>
    <s v="محمود ربيع  "/>
    <s v="تركيبات  "/>
    <s v="تم العمل"/>
    <d v="1899-12-30T09:30:00"/>
    <d v="1899-12-30T18:00:00"/>
    <n v="0.35416666666666669"/>
    <x v="2"/>
    <n v="8.5"/>
  </r>
  <r>
    <x v="0"/>
    <d v="2024-01-09T00:00:00"/>
    <s v="الثلاثاء "/>
    <x v="11"/>
    <s v="محمد رمضان   "/>
    <s v="صيانة الكلاركات "/>
    <s v="تم العمل"/>
    <d v="1899-12-30T10:00:00"/>
    <d v="1899-12-30T16:00:00"/>
    <n v="0.24999999999999994"/>
    <x v="3"/>
    <n v="5.9999999999999982"/>
  </r>
  <r>
    <x v="0"/>
    <d v="2024-01-09T00:00:00"/>
    <s v="الثلاثاء "/>
    <x v="1"/>
    <s v="صفوت شفيق "/>
    <s v="تجميع وتركيب تريهات الكهرباء "/>
    <s v="تم العمل"/>
    <d v="1899-12-30T09:30:00"/>
    <d v="1899-12-30T12:30:00"/>
    <n v="0.12500000000000006"/>
    <x v="1"/>
    <n v="3.0000000000000013"/>
  </r>
  <r>
    <x v="0"/>
    <d v="2024-01-09T00:00:00"/>
    <s v="الثلاثاء "/>
    <x v="10"/>
    <s v="فرج محمد "/>
    <s v="فك الفراشة الموجودة فى الشوارع الخارجية "/>
    <s v="تم العمل"/>
    <d v="1899-12-30T10:00:00"/>
    <d v="1899-12-30T17:00:00"/>
    <n v="0.27079999999999999"/>
    <x v="0"/>
    <n v="6.5"/>
  </r>
  <r>
    <x v="0"/>
    <d v="2024-01-09T00:00:00"/>
    <s v="الثلاثاء "/>
    <x v="0"/>
    <s v="مراد صالح  "/>
    <s v="استكمال تركيب كهرباء المبنى الادارى "/>
    <s v="تم العمل"/>
    <d v="1899-12-30T11:00:00"/>
    <d v="1899-12-30T17:00:00"/>
    <n v="0.27079999999999999"/>
    <x v="3"/>
    <n v="6.5"/>
  </r>
  <r>
    <x v="0"/>
    <d v="2024-01-09T00:00:00"/>
    <s v="الثلاثاء "/>
    <x v="0"/>
    <s v="مراد صالح  "/>
    <s v="استكمال اعمال السباكة المبنى الادارى "/>
    <s v="تم العمل"/>
    <d v="1899-12-30T11:00:00"/>
    <d v="1899-12-30T17:00:00"/>
    <n v="0.27079999999999999"/>
    <x v="0"/>
    <n v="6.5"/>
  </r>
  <r>
    <x v="0"/>
    <d v="2024-01-09T00:00:00"/>
    <s v="الثلاثاء "/>
    <x v="12"/>
    <s v="رامى "/>
    <s v="تركيب شباك المونتال فى حمام الادارى "/>
    <s v="تم العمل"/>
    <d v="1899-12-30T16:30:00"/>
    <d v="1899-12-30T17:00:00"/>
    <n v="0.27079999999999999"/>
    <x v="0"/>
    <n v="6.5"/>
  </r>
  <r>
    <x v="0"/>
    <d v="2024-01-10T00:00:00"/>
    <s v="الاربعاء "/>
    <x v="0"/>
    <s v="عمرو الجندى "/>
    <s v="انشائات  "/>
    <s v="تم العمل"/>
    <d v="1899-12-30T09:00:00"/>
    <d v="1899-12-30T18:00:00"/>
    <n v="0.375"/>
    <x v="2"/>
    <n v="9"/>
  </r>
  <r>
    <x v="0"/>
    <d v="2024-01-10T00:00:00"/>
    <s v="الاربعاء "/>
    <x v="7"/>
    <s v="محمد ماهر "/>
    <s v="الزيارة الشهرية و مكافحة حشرات "/>
    <s v="تم العمل"/>
    <d v="1899-12-30T11:00:00"/>
    <d v="1899-12-30T12:30:00"/>
    <n v="6.2500000000000056E-2"/>
    <x v="1"/>
    <n v="1.5000000000000013"/>
  </r>
  <r>
    <x v="0"/>
    <d v="2024-01-10T00:00:00"/>
    <s v="الاربعاء "/>
    <x v="0"/>
    <s v="عمرو الجندى "/>
    <s v="انشائات  "/>
    <s v="تم العمل"/>
    <d v="1899-12-30T09:00:00"/>
    <d v="1899-12-30T15:30:00"/>
    <n v="0.27083333333333337"/>
    <x v="2"/>
    <n v="6.5000000000000009"/>
  </r>
  <r>
    <x v="0"/>
    <d v="2024-01-10T00:00:00"/>
    <s v="الاربعاء "/>
    <x v="5"/>
    <s v="مصطفى  احمد "/>
    <s v="تغير السقف المعلق بالاكادمية    "/>
    <s v="تم العمل"/>
    <d v="1899-12-30T10:00:00"/>
    <d v="1899-12-30T17:00:00"/>
    <n v="0.29166666666666669"/>
    <x v="3"/>
    <n v="0.99999999999999911"/>
  </r>
  <r>
    <x v="0"/>
    <d v="2024-01-10T00:00:00"/>
    <s v="الاربعاء "/>
    <x v="0"/>
    <s v="احمد عامر "/>
    <s v="انشائات  "/>
    <s v="تم العمل"/>
    <d v="1899-12-30T09:00:00"/>
    <d v="1899-12-30T18:00:00"/>
    <n v="0.375"/>
    <x v="3"/>
    <n v="9"/>
  </r>
  <r>
    <x v="0"/>
    <d v="2024-01-10T00:00:00"/>
    <s v="الاربعاء "/>
    <x v="7"/>
    <s v="محمد ماهر "/>
    <s v="الزيارة الشهرية ومكافحة حشرات "/>
    <s v="تم العمل"/>
    <d v="1899-12-30T14:00:00"/>
    <d v="1899-12-30T15:00:00"/>
    <n v="4.166666666666663E-2"/>
    <x v="0"/>
    <n v="0.99999999999999911"/>
  </r>
  <r>
    <x v="0"/>
    <d v="2024-01-10T00:00:00"/>
    <s v="الاربعاء "/>
    <x v="5"/>
    <s v="محمد جابر "/>
    <s v="تركيب  شفاط الكهرباء فى غرفة تغيير الملابس   "/>
    <s v="تم العمل"/>
    <d v="1899-12-30T11:00:00"/>
    <d v="1899-12-30T17:00:00"/>
    <n v="0.25000000000000006"/>
    <x v="3"/>
    <n v="0.99999999999999911"/>
  </r>
  <r>
    <x v="0"/>
    <d v="2024-01-10T00:00:00"/>
    <s v="الاربعاء "/>
    <x v="1"/>
    <s v="صفوت شفيق "/>
    <s v="تجميع وتركيب تريهات الكهرباء "/>
    <s v="تم العمل"/>
    <d v="1899-12-30T09:30:00"/>
    <d v="1899-12-30T11:30:00"/>
    <n v="8.333333333333337E-2"/>
    <x v="1"/>
    <n v="2.0000000000000009"/>
  </r>
  <r>
    <x v="0"/>
    <d v="2024-01-10T00:00:00"/>
    <s v="الاربعاء "/>
    <x v="6"/>
    <s v="صابر ابراهيم "/>
    <s v="عمل تقوية لحوامل خط الحريق "/>
    <s v="تم العمل"/>
    <d v="1899-12-30T11:30:00"/>
    <d v="1899-12-30T16:30:00"/>
    <n v="0.20833333333333331"/>
    <x v="1"/>
    <n v="5"/>
  </r>
  <r>
    <x v="0"/>
    <d v="2024-01-10T00:00:00"/>
    <s v="الاربعاء "/>
    <x v="7"/>
    <s v="محمد ماهر "/>
    <s v="الزيارة الشهرية ومكافحة حشرات "/>
    <s v="تم العمل"/>
    <d v="1899-12-30T11:00:00"/>
    <d v="1899-12-30T12:30:00"/>
    <n v="6.2500000000000056E-2"/>
    <x v="4"/>
    <n v="1.5000000000000013"/>
  </r>
  <r>
    <x v="0"/>
    <d v="2024-01-10T00:00:00"/>
    <s v="الاربعاء "/>
    <x v="10"/>
    <s v="فرج محمد "/>
    <s v="فك الفراشة الموجودة فى الشوارع الخارجية "/>
    <s v="تم العمل"/>
    <d v="1899-12-30T10:00:00"/>
    <d v="1899-12-30T17:00:00"/>
    <n v="0.27079999999999999"/>
    <x v="0"/>
    <n v="6.5"/>
  </r>
  <r>
    <x v="0"/>
    <d v="2024-01-11T00:00:00"/>
    <s v="الخميس "/>
    <x v="10"/>
    <s v="فرج محمد "/>
    <s v="فك الفراشة الموجودة فى الشوارع الخارجية "/>
    <s v="تم العمل"/>
    <d v="1899-12-30T09:30:00"/>
    <d v="1899-12-30T17:00:00"/>
    <n v="0.27079999999999999"/>
    <x v="0"/>
    <n v="6.5"/>
  </r>
  <r>
    <x v="0"/>
    <d v="2024-01-11T00:00:00"/>
    <s v="الخميس "/>
    <x v="0"/>
    <s v="محمد زقل  جاد "/>
    <s v="عمل نجارة ابواب الخشب  فى المبنى الادارى "/>
    <s v="تم العمل"/>
    <d v="1899-12-30T11:00:00"/>
    <d v="1899-12-30T17:00:00"/>
    <n v="0.25000000000000006"/>
    <x v="0"/>
    <n v="6.0000000000000018"/>
  </r>
  <r>
    <x v="0"/>
    <d v="2024-01-11T00:00:00"/>
    <s v="الخميس "/>
    <x v="6"/>
    <s v="صابر ابراهيم "/>
    <s v="عمل تقوية لحوامل خط الحريق "/>
    <s v="تم العمل"/>
    <d v="1899-12-30T11:30:00"/>
    <d v="1899-12-30T17:00:00"/>
    <n v="0.22916666666666669"/>
    <x v="1"/>
    <n v="5.5"/>
  </r>
  <r>
    <x v="0"/>
    <d v="2024-01-12T00:00:00"/>
    <s v="الجمعة "/>
    <x v="1"/>
    <s v="سعداوى رياض "/>
    <s v="تجميع وتركيب شبكة الحريق "/>
    <s v="تم العمل"/>
    <d v="1899-12-30T09:30:00"/>
    <d v="1899-12-30T17:30:00"/>
    <n v="0.33333333333333331"/>
    <x v="1"/>
    <n v="8"/>
  </r>
  <r>
    <x v="0"/>
    <d v="2024-01-12T00:00:00"/>
    <s v="الجمعة "/>
    <x v="1"/>
    <s v="سعداوى رياض "/>
    <s v="تركيبات  "/>
    <s v="تم العمل"/>
    <d v="1899-12-30T09:30:00"/>
    <d v="1899-12-30T17:30:00"/>
    <n v="0.33333333333333331"/>
    <x v="1"/>
    <n v="8"/>
  </r>
  <r>
    <x v="0"/>
    <d v="2024-01-13T00:00:00"/>
    <s v="السبت "/>
    <x v="8"/>
    <s v="حامد  ابو المحاميد    "/>
    <s v="الزيارة الشهرية وصيانة خط الحريق "/>
    <s v="تم العمل"/>
    <d v="1899-12-30T08:00:00"/>
    <d v="1899-12-30T09:30:00"/>
    <n v="6.25E-2"/>
    <x v="3"/>
    <n v="1.5"/>
  </r>
  <r>
    <x v="0"/>
    <d v="2024-01-13T00:00:00"/>
    <s v="السبت "/>
    <x v="1"/>
    <s v="سعداوى رياض "/>
    <s v="تجميع وتركيب شبكة الحريق "/>
    <s v="تم العمل"/>
    <d v="1899-12-30T09:30:00"/>
    <d v="1899-12-30T21:00:00"/>
    <n v="0.47916666666666669"/>
    <x v="1"/>
    <n v="11.5"/>
  </r>
  <r>
    <x v="0"/>
    <d v="2024-01-14T00:00:00"/>
    <s v="الاحد "/>
    <x v="1"/>
    <s v="سعداوى رياض "/>
    <s v="تجميع وتركيب شبكة الحريق "/>
    <s v="تم العمل"/>
    <d v="1899-12-30T09:30:00"/>
    <d v="1899-12-30T17:30:00"/>
    <n v="0.33333333333333331"/>
    <x v="1"/>
    <n v="8"/>
  </r>
  <r>
    <x v="0"/>
    <d v="2024-01-14T00:00:00"/>
    <s v="الاحد "/>
    <x v="0"/>
    <s v="مراد صالح  "/>
    <s v="عمل نقاشة فى مكتب  د/ احمد"/>
    <s v="تم العمل"/>
    <d v="1899-12-30T10:00:00"/>
    <d v="1899-12-30T17:00:00"/>
    <n v="0.27079999999999999"/>
    <x v="3"/>
    <n v="6.5"/>
  </r>
  <r>
    <x v="0"/>
    <d v="2024-01-14T00:00:00"/>
    <s v="الاحد "/>
    <x v="8"/>
    <s v="مصطفى عاشور       "/>
    <s v="صيانة الطلمبة جوكى "/>
    <s v="تم العمل"/>
    <d v="1899-12-30T13:00:00"/>
    <d v="1899-12-30T17:00:00"/>
    <n v="0.16666666666666674"/>
    <x v="0"/>
    <n v="4.0000000000000018"/>
  </r>
  <r>
    <x v="0"/>
    <d v="2024-01-15T00:00:00"/>
    <s v="الاثنين "/>
    <x v="6"/>
    <s v="صابر ابراهيم "/>
    <s v="تركيب تندة حديد لخزان المياه "/>
    <s v="تم العمل"/>
    <d v="1899-12-30T11:30:00"/>
    <d v="1899-12-30T17:00:00"/>
    <n v="0.22916666666666669"/>
    <x v="0"/>
    <n v="5.5"/>
  </r>
  <r>
    <x v="0"/>
    <d v="2024-01-15T00:00:00"/>
    <s v="الاثنين "/>
    <x v="0"/>
    <s v="مراد صالح  "/>
    <s v="عمل نقاشة فى مكتب  د/ احمد"/>
    <s v="تم العمل"/>
    <d v="1899-12-30T10:00:00"/>
    <d v="1899-12-30T17:00:00"/>
    <n v="0.27079999999999999"/>
    <x v="0"/>
    <n v="6.5"/>
  </r>
  <r>
    <x v="0"/>
    <d v="2024-01-15T00:00:00"/>
    <s v="الاثنين "/>
    <x v="9"/>
    <s v="سامى شعبان  "/>
    <s v="صيانة كلارك "/>
    <s v="تم العمل"/>
    <d v="1899-12-30T13:00:00"/>
    <d v="1899-12-30T16:00:00"/>
    <n v="0.125"/>
    <x v="3"/>
    <n v="3"/>
  </r>
  <r>
    <x v="0"/>
    <d v="2024-01-16T00:00:00"/>
    <s v="الثلاثاء "/>
    <x v="9"/>
    <s v="سامى شعبان  "/>
    <s v="صيانة كلارك "/>
    <s v="تم العمل"/>
    <d v="1899-12-30T14:00:00"/>
    <d v="1899-12-30T16:00:00"/>
    <n v="8.3333333333333259E-2"/>
    <x v="0"/>
    <n v="1.9999999999999982"/>
  </r>
  <r>
    <x v="0"/>
    <d v="2024-01-16T00:00:00"/>
    <s v="الثلاثاء "/>
    <x v="1"/>
    <s v="سعداوى رياض "/>
    <s v="تجميع وتركيب شبكة الحريق "/>
    <s v="تم العمل"/>
    <d v="1899-12-30T09:30:00"/>
    <d v="1899-12-30T11:30:00"/>
    <n v="8.333333333333337E-2"/>
    <x v="1"/>
    <n v="2.0000000000000009"/>
  </r>
  <r>
    <x v="0"/>
    <d v="2024-01-16T00:00:00"/>
    <s v="الثلاثاء "/>
    <x v="1"/>
    <s v="سعداوى رياض "/>
    <s v="تجميع وتركيب شبكة الحريق "/>
    <s v="تم العمل"/>
    <d v="1899-12-30T09:30:00"/>
    <d v="1899-12-30T15:00:00"/>
    <n v="0.22916666666666669"/>
    <x v="1"/>
    <n v="5.5"/>
  </r>
  <r>
    <x v="0"/>
    <d v="2024-01-16T00:00:00"/>
    <s v="الثلاثاء "/>
    <x v="5"/>
    <s v="محمد خليل النقيب "/>
    <s v="تركيب كشاف على المبنى الادارى من الخارج    "/>
    <s v="تم العمل"/>
    <d v="1899-12-30T14:30:00"/>
    <d v="1899-12-30T17:00:00"/>
    <n v="0.10416666666666674"/>
    <x v="0"/>
    <n v="0.99999999999999911"/>
  </r>
  <r>
    <x v="0"/>
    <d v="2024-01-16T00:00:00"/>
    <s v="الثلاثاء "/>
    <x v="0"/>
    <s v="مراد صالح  "/>
    <s v="استكمال اعمال  نقاشة فى مكتب  د/ احمد"/>
    <s v="تم العمل"/>
    <d v="1899-12-30T10:00:00"/>
    <d v="1899-12-30T17:00:00"/>
    <n v="0.27079999999999999"/>
    <x v="0"/>
    <n v="6.5"/>
  </r>
  <r>
    <x v="0"/>
    <d v="2024-01-16T00:00:00"/>
    <s v="الثلاثاء "/>
    <x v="8"/>
    <s v=" على الشنوبى     "/>
    <s v="الزيارة الشهرية و صيانة للوح الانزار "/>
    <s v="تم العمل"/>
    <d v="1899-12-30T12:30:00"/>
    <d v="1899-12-30T13:30:00"/>
    <n v="4.166666666666663E-2"/>
    <x v="1"/>
    <n v="0.99999999999999911"/>
  </r>
  <r>
    <x v="0"/>
    <d v="2024-01-16T00:00:00"/>
    <s v="الثلاثاء "/>
    <x v="8"/>
    <s v=" على الشنوبى     "/>
    <s v="المرور على لوح انزار غرف الكهرباء "/>
    <s v="تم العمل"/>
    <d v="1899-12-30T12:00:00"/>
    <d v="1899-12-30T13:00:00"/>
    <n v="4.166666666666663E-2"/>
    <x v="0"/>
    <n v="0.99999999999999911"/>
  </r>
  <r>
    <x v="0"/>
    <d v="2024-01-16T00:00:00"/>
    <s v="الثلاثاء "/>
    <x v="0"/>
    <s v="مراد صالح  "/>
    <s v="دهان تندة خزانات المياه والطلمبة الاحتياطى  "/>
    <s v="تم العمل"/>
    <d v="1899-12-30T10:00:00"/>
    <d v="1899-12-30T17:00:00"/>
    <n v="0.27079999999999999"/>
    <x v="0"/>
    <n v="6.5"/>
  </r>
  <r>
    <x v="0"/>
    <d v="2024-01-17T00:00:00"/>
    <s v="الاربعاء "/>
    <x v="1"/>
    <s v="سعداوى رياض "/>
    <s v="تجميع وتركيب شبكة الحريق "/>
    <s v="تم العمل"/>
    <d v="1899-12-30T09:30:00"/>
    <d v="1899-12-30T11:30:00"/>
    <n v="8.333333333333337E-2"/>
    <x v="3"/>
    <n v="2.0000000000000009"/>
  </r>
  <r>
    <x v="0"/>
    <d v="2024-01-17T00:00:00"/>
    <s v="الاربعاء "/>
    <x v="6"/>
    <s v="صابر ابراهيم "/>
    <s v=" استكمال تركيب تندة حديد لخزان المياه "/>
    <s v="تم العمل"/>
    <d v="1899-12-30T11:00:00"/>
    <d v="1899-12-30T17:00:00"/>
    <n v="0.27079999999999999"/>
    <x v="0"/>
    <n v="6.5"/>
  </r>
  <r>
    <x v="0"/>
    <d v="2024-01-17T00:00:00"/>
    <s v="الاربعاء "/>
    <x v="6"/>
    <s v="حسام جناد "/>
    <s v="تركيب لوحة ويب 9"/>
    <s v="تم العمل"/>
    <d v="1899-12-30T15:00:00"/>
    <d v="1899-12-30T16:00:00"/>
    <n v="4.166666666666663E-2"/>
    <x v="3"/>
    <n v="0.99999999999999911"/>
  </r>
  <r>
    <x v="0"/>
    <d v="2024-01-17T00:00:00"/>
    <s v="الاربعاء "/>
    <x v="13"/>
    <s v="اسلام مصطفى  "/>
    <s v="عمل صيانة الكنترول  CTB"/>
    <s v="تم العمل"/>
    <d v="1899-12-30T14:00:00"/>
    <d v="1899-12-30T17:00:00"/>
    <n v="0.125"/>
    <x v="3"/>
    <n v="3"/>
  </r>
  <r>
    <x v="0"/>
    <d v="2024-01-17T00:00:00"/>
    <s v="الاربعاء "/>
    <x v="14"/>
    <s v="محمد عادل  "/>
    <s v="صيانة المصاعد    "/>
    <s v="تم العمل"/>
    <d v="1899-12-30T10:00:00"/>
    <d v="1899-12-30T12:00:00"/>
    <n v="2.0799999999999999E-2"/>
    <x v="1"/>
    <n v="1"/>
  </r>
  <r>
    <x v="0"/>
    <d v="2024-01-18T00:00:00"/>
    <s v="الخميس "/>
    <x v="1"/>
    <s v="سعداوى رياض "/>
    <s v="تجميع وتركيب شبكة الحريق "/>
    <s v="تم العمل"/>
    <d v="1899-12-30T09:30:00"/>
    <d v="1899-12-30T15:00:00"/>
    <n v="0.22916666666666669"/>
    <x v="1"/>
    <n v="5.5"/>
  </r>
  <r>
    <x v="0"/>
    <d v="2024-01-18T00:00:00"/>
    <s v="الخميس "/>
    <x v="8"/>
    <s v="    ممدوح عبد التواب     "/>
    <s v="نظام الانزار "/>
    <s v="تم العمل"/>
    <d v="1899-12-30T12:00:00"/>
    <d v="1899-12-30T14:00:00"/>
    <n v="8.333333333333337E-2"/>
    <x v="3"/>
    <n v="2.0000000000000009"/>
  </r>
  <r>
    <x v="0"/>
    <d v="2024-01-18T00:00:00"/>
    <s v="الخميس "/>
    <x v="8"/>
    <s v="حامد ابو المحاميد   "/>
    <s v="فك الطلمبة الجوكى واصلاحها  وعمل صيانة "/>
    <s v="تم العمل"/>
    <d v="1899-12-30T11:30:00"/>
    <d v="1899-12-30T17:00:00"/>
    <n v="0.22916666666666669"/>
    <x v="0"/>
    <n v="5.5"/>
  </r>
  <r>
    <x v="0"/>
    <d v="2024-01-18T00:00:00"/>
    <s v="الخميس "/>
    <x v="5"/>
    <s v="احمد سعيد  "/>
    <s v="تركيب مواسير صرف الامطار العنابر     "/>
    <s v="تم العمل"/>
    <d v="1899-12-30T13:00:00"/>
    <d v="1899-12-30T17:00:00"/>
    <n v="0.16666666666666674"/>
    <x v="3"/>
    <n v="0.99999999999999911"/>
  </r>
  <r>
    <x v="0"/>
    <d v="2024-01-18T00:00:00"/>
    <s v="الخميس "/>
    <x v="1"/>
    <s v="سعداوى رياض "/>
    <s v="تجميع وتركيب شبكة الحريق "/>
    <s v="تم العمل"/>
    <d v="1899-12-30T09:30:00"/>
    <d v="1899-12-30T15:00:00"/>
    <n v="0.22916666666666669"/>
    <x v="1"/>
    <n v="5.5"/>
  </r>
  <r>
    <x v="0"/>
    <d v="2024-01-20T00:00:00"/>
    <s v="السبت "/>
    <x v="5"/>
    <s v="احمد سعيد  "/>
    <s v="تركيب مواسير صرف الامطارفى  العنابر     "/>
    <s v="تم العمل"/>
    <d v="1899-12-30T10:00:00"/>
    <d v="1899-12-30T17:00:00"/>
    <n v="0.29166666666666669"/>
    <x v="3"/>
    <n v="0.99999999999999911"/>
  </r>
  <r>
    <x v="0"/>
    <d v="2024-01-20T00:00:00"/>
    <s v="السبت "/>
    <x v="1"/>
    <s v="سعداوى رياض "/>
    <s v="تجميع وتركيب شبكة الحريق والكهرباء "/>
    <s v="تم العمل"/>
    <d v="1899-12-30T09:30:00"/>
    <d v="1899-12-30T17:00:00"/>
    <n v="0.31250000000000006"/>
    <x v="1"/>
    <n v="7.5000000000000018"/>
  </r>
  <r>
    <x v="0"/>
    <d v="2024-01-20T00:00:00"/>
    <s v="السبت "/>
    <x v="5"/>
    <s v="ياسر ابراهيم  "/>
    <s v="تركيب رخام المطبخ فى المبنى الادارى      "/>
    <s v="تم العمل"/>
    <d v="1899-12-30T14:30:00"/>
    <d v="1899-12-30T17:00:00"/>
    <n v="0.10416666666666674"/>
    <x v="3"/>
    <n v="0.99999999999999911"/>
  </r>
  <r>
    <x v="0"/>
    <d v="2024-01-20T00:00:00"/>
    <s v="السبت "/>
    <x v="0"/>
    <s v="مراد صالح  "/>
    <s v="استكمال اعمال النجارة فى ابواب الخشب المبنى  "/>
    <s v="تم العمل"/>
    <d v="1899-12-30T14:30:00"/>
    <d v="1899-12-30T17:00:00"/>
    <n v="0.10416666666666674"/>
    <x v="0"/>
    <n v="0.99999999999999911"/>
  </r>
  <r>
    <x v="0"/>
    <d v="2024-01-21T00:00:00"/>
    <s v="الاحد "/>
    <x v="11"/>
    <s v="محمد رمضان   "/>
    <s v="صيانة الكلاركات "/>
    <s v="تم العمل"/>
    <d v="1899-12-30T10:00:00"/>
    <d v="1899-12-30T13:00:00"/>
    <n v="0.12499999999999994"/>
    <x v="3"/>
    <n v="2.9999999999999987"/>
  </r>
  <r>
    <x v="0"/>
    <d v="2024-01-21T00:00:00"/>
    <s v="الاحد "/>
    <x v="1"/>
    <s v="سعداوى رياض "/>
    <s v="تجميع وتركيب شبكة الحريق والكهرباء "/>
    <s v="تم العمل"/>
    <d v="1899-12-30T09:30:00"/>
    <d v="1899-12-30T17:00:00"/>
    <n v="0.31250000000000006"/>
    <x v="1"/>
    <n v="7.5000000000000018"/>
  </r>
  <r>
    <x v="0"/>
    <d v="2024-01-21T00:00:00"/>
    <s v="الاحد "/>
    <x v="7"/>
    <s v="محمد ماهر "/>
    <s v=" الزيارة الشهرية و مكافحة حشرات "/>
    <s v="تم العمل"/>
    <d v="1899-12-30T12:00:00"/>
    <d v="1899-12-30T15:00:00"/>
    <n v="0.125"/>
    <x v="3"/>
    <n v="3"/>
  </r>
  <r>
    <x v="0"/>
    <d v="2024-01-22T00:00:00"/>
    <s v="الاثنين "/>
    <x v="1"/>
    <s v="سعداوى رياض "/>
    <s v="تجميع وتركيب شبكة الحريق والكهرباء "/>
    <s v="تم العمل"/>
    <d v="1899-12-30T09:30:00"/>
    <d v="1899-12-30T17:00:00"/>
    <n v="0.31250000000000006"/>
    <x v="1"/>
    <n v="7.5000000000000018"/>
  </r>
  <r>
    <x v="0"/>
    <d v="2024-01-22T00:00:00"/>
    <s v="الاثنين "/>
    <x v="0"/>
    <s v="عمرو الجندى "/>
    <s v="انشائات  "/>
    <s v="تم العمل"/>
    <d v="1899-12-30T09:30:00"/>
    <d v="1899-12-30T18:00:00"/>
    <n v="0.35416666666666669"/>
    <x v="2"/>
    <n v="8.5"/>
  </r>
  <r>
    <x v="0"/>
    <d v="2024-01-23T00:00:00"/>
    <s v="الثلاثاء "/>
    <x v="1"/>
    <s v="سعداوى رياض "/>
    <s v="تجميع وتركيب شبكة الحريق والكهرباء "/>
    <s v="تم العمل"/>
    <d v="1899-12-30T09:30:00"/>
    <d v="1899-12-30T20:30:00"/>
    <n v="0.45833333333333331"/>
    <x v="1"/>
    <n v="11"/>
  </r>
  <r>
    <x v="0"/>
    <d v="2024-01-23T00:00:00"/>
    <s v="الثلاثاء "/>
    <x v="8"/>
    <s v="حامد عطوان   "/>
    <s v="الزيارة الشهرية و اختبار صناديق الحريق  1.5 بوصة "/>
    <s v="تم العمل"/>
    <d v="1899-12-30T11:30:00"/>
    <d v="1899-12-30T13:30:00"/>
    <n v="8.3333333333333315E-2"/>
    <x v="1"/>
    <n v="1.9999999999999996"/>
  </r>
  <r>
    <x v="0"/>
    <d v="2024-01-23T00:00:00"/>
    <s v="الثلاثاء "/>
    <x v="8"/>
    <s v=" على الشحات "/>
    <s v="تركيب انزار المبنى الادارى  "/>
    <s v="تم العمل"/>
    <d v="1899-12-30T10:00:00"/>
    <d v="1899-12-30T11:30:00"/>
    <n v="6.25E-2"/>
    <x v="0"/>
    <n v="1.5"/>
  </r>
  <r>
    <x v="0"/>
    <d v="2024-01-24T00:00:00"/>
    <s v="الاربعاء "/>
    <x v="9"/>
    <s v="سامى شعبان  "/>
    <s v="صيانة كلارك "/>
    <s v="تم العمل"/>
    <d v="1899-12-30T13:00:00"/>
    <d v="1899-12-30T17:00:00"/>
    <n v="0.16666666666666674"/>
    <x v="3"/>
    <n v="4.0000000000000018"/>
  </r>
  <r>
    <x v="0"/>
    <d v="2024-01-24T00:00:00"/>
    <s v="الاربعاء "/>
    <x v="0"/>
    <s v="مراد صالح  "/>
    <s v="تركيب كوالين  الابواب الخشب  وعمل نجارة "/>
    <s v="تم العمل"/>
    <d v="1899-12-30T14:30:00"/>
    <d v="1899-12-30T17:00:00"/>
    <n v="0.10416666666666674"/>
    <x v="0"/>
    <n v="0.99999999999999911"/>
  </r>
  <r>
    <x v="0"/>
    <d v="2024-01-24T00:00:00"/>
    <s v="الاربعاء "/>
    <x v="1"/>
    <s v="سعداوى رياض "/>
    <s v="تجميع وتركيب شبكة الحريق والكهرباء "/>
    <s v="تم العمل"/>
    <d v="1899-12-30T09:30:00"/>
    <d v="1899-12-30T20:30:00"/>
    <n v="0.45833333333333331"/>
    <x v="3"/>
    <n v="11"/>
  </r>
  <r>
    <x v="0"/>
    <d v="2024-01-25T00:00:00"/>
    <s v="الخميس "/>
    <x v="5"/>
    <s v="ادم محمد   "/>
    <s v="صيانة  ماسورة  صرف الامطارفى عنبر  ويب 2     "/>
    <s v="تم العمل"/>
    <d v="1899-12-30T11:00:00"/>
    <d v="1899-12-30T13:00:00"/>
    <n v="8.3333333333333315E-2"/>
    <x v="3"/>
    <n v="0.99999999999999911"/>
  </r>
  <r>
    <x v="0"/>
    <d v="2024-01-25T00:00:00"/>
    <s v="الخميس "/>
    <x v="8"/>
    <s v="    ممدوح عبد التواب     "/>
    <s v="الزيارة الشهرية وتركيب لوحات انزار غرف الكهرباء  "/>
    <s v="تم العمل"/>
    <d v="1899-12-30T10:00:00"/>
    <d v="1899-12-30T16:00:00"/>
    <n v="0.24999999999999994"/>
    <x v="3"/>
    <n v="5.9999999999999982"/>
  </r>
  <r>
    <x v="0"/>
    <d v="2024-01-25T00:00:00"/>
    <s v="الخميس "/>
    <x v="1"/>
    <s v="سعداوى رياض "/>
    <s v="تجميع وتركيب شبكة الحريق والكهرباء "/>
    <s v="تم العمل"/>
    <d v="1899-12-30T09:30:00"/>
    <d v="1899-12-30T17:30:00"/>
    <n v="0.33333333333333331"/>
    <x v="1"/>
    <n v="8"/>
  </r>
  <r>
    <x v="0"/>
    <d v="2024-01-26T00:00:00"/>
    <s v="الجمعة "/>
    <x v="1"/>
    <s v="سعداوى رياض "/>
    <s v="تجميع وتركيب شبكة الحريق والكهرباء "/>
    <s v="تم العمل"/>
    <d v="1899-12-30T11:00:00"/>
    <d v="1899-12-30T15:00:00"/>
    <n v="0.16666666666666669"/>
    <x v="1"/>
    <n v="4"/>
  </r>
  <r>
    <x v="0"/>
    <d v="2024-01-26T00:00:00"/>
    <s v="الجمعة "/>
    <x v="1"/>
    <s v="احمد على فؤاد "/>
    <s v="تركيبات ولحام  "/>
    <s v="تم العمل"/>
    <d v="1899-12-30T09:30:00"/>
    <d v="1899-12-30T17:30:00"/>
    <n v="0.33333333333333331"/>
    <x v="1"/>
    <n v="8"/>
  </r>
  <r>
    <x v="0"/>
    <d v="2024-01-27T00:00:00"/>
    <s v="السبت "/>
    <x v="1"/>
    <s v="سعداوى رياض "/>
    <s v="تجميع وتركيب شبكة  والكهرباء "/>
    <s v="تم العمل"/>
    <d v="1899-12-30T09:30:00"/>
    <d v="1899-12-30T20:30:00"/>
    <n v="0.45833333333333331"/>
    <x v="1"/>
    <n v="11"/>
  </r>
  <r>
    <x v="0"/>
    <d v="2024-01-27T00:00:00"/>
    <s v="السبت "/>
    <x v="1"/>
    <s v="سعداوى رياض "/>
    <s v="تجميع وتركيب شبكةا لحريق "/>
    <s v="تم العمل"/>
    <d v="1899-12-30T09:30:00"/>
    <d v="1899-12-30T15:00:00"/>
    <n v="0.22916666666666669"/>
    <x v="1"/>
    <n v="5.5"/>
  </r>
  <r>
    <x v="0"/>
    <d v="2024-01-28T00:00:00"/>
    <s v="الاحد "/>
    <x v="9"/>
    <s v="سامى شعبان  "/>
    <s v="صيانة كلارك "/>
    <s v="تم العمل"/>
    <d v="1899-12-30T15:00:00"/>
    <d v="1899-12-30T18:00:00"/>
    <n v="0.125"/>
    <x v="3"/>
    <n v="3"/>
  </r>
  <r>
    <x v="0"/>
    <d v="2024-01-28T00:00:00"/>
    <s v="الاحد "/>
    <x v="1"/>
    <s v="سعداوى رياض "/>
    <s v="تجميع وتركيب شبكة الحريق والكهرباء "/>
    <s v="تم العمل"/>
    <d v="1899-12-30T09:30:00"/>
    <d v="1899-12-30T17:30:00"/>
    <n v="0.33333333333333331"/>
    <x v="1"/>
    <n v="8"/>
  </r>
  <r>
    <x v="0"/>
    <d v="2024-01-28T00:00:00"/>
    <s v="الاحد "/>
    <x v="7"/>
    <s v="محمد ماهر "/>
    <s v=" الزيارة الشهرية و مكافحة حشرات "/>
    <s v="تم العمل"/>
    <d v="1899-12-30T13:00:00"/>
    <d v="1899-12-30T14:00:00"/>
    <n v="4.1666666666666741E-2"/>
    <x v="0"/>
    <n v="1.0000000000000018"/>
  </r>
  <r>
    <x v="0"/>
    <d v="2024-01-28T00:00:00"/>
    <s v="الاحد "/>
    <x v="7"/>
    <s v="محمد ماهر "/>
    <s v=" الزيارة الشهرية و مكافحة حشرات "/>
    <s v="تم العمل"/>
    <d v="1899-12-30T10:00:00"/>
    <d v="1899-12-30T11:30:00"/>
    <n v="6.25E-2"/>
    <x v="1"/>
    <n v="1.5"/>
  </r>
  <r>
    <x v="0"/>
    <d v="2024-01-29T00:00:00"/>
    <s v="الاثنين "/>
    <x v="5"/>
    <s v="مصطفى رشاد    "/>
    <s v="دهان حوائط الكفتريا      "/>
    <s v="تم العمل"/>
    <d v="1899-12-30T13:00:00"/>
    <d v="1899-12-30T15:00:00"/>
    <n v="8.333333333333337E-2"/>
    <x v="3"/>
    <n v="0.99999999999999911"/>
  </r>
  <r>
    <x v="0"/>
    <d v="2024-01-29T00:00:00"/>
    <s v="الاثنين "/>
    <x v="1"/>
    <s v="سعداوى رياض "/>
    <s v="تجميع وتركيب شبكة الحريق والكهرباء "/>
    <s v="تم العمل"/>
    <d v="1899-12-30T09:30:00"/>
    <d v="1899-12-30T17:30:00"/>
    <n v="0.33333333333333331"/>
    <x v="1"/>
    <n v="8"/>
  </r>
  <r>
    <x v="0"/>
    <d v="2024-01-29T00:00:00"/>
    <s v="الاثنين "/>
    <x v="9"/>
    <s v="سامى شعبان  "/>
    <s v="صيانة كلارك "/>
    <s v="تم العمل"/>
    <d v="1899-12-30T13:30:00"/>
    <d v="1899-12-30T17:00:00"/>
    <n v="0.14583333333333337"/>
    <x v="3"/>
    <n v="3.5000000000000009"/>
  </r>
  <r>
    <x v="0"/>
    <d v="2024-01-30T00:00:00"/>
    <s v="الثلاثاء "/>
    <x v="11"/>
    <s v="محمد رمضان   "/>
    <s v="صيانة الكلاركات "/>
    <s v="تم العمل"/>
    <d v="1899-12-30T13:00:00"/>
    <d v="1899-12-30T15:30:00"/>
    <n v="0.10416666666666674"/>
    <x v="3"/>
    <n v="2.5000000000000018"/>
  </r>
  <r>
    <x v="0"/>
    <d v="2024-01-30T00:00:00"/>
    <s v="الثلاثاء "/>
    <x v="6"/>
    <s v="صابر ابراهيم "/>
    <s v="تقطيع بالصاروخ "/>
    <s v="تم العمل"/>
    <d v="1899-12-30T15:00:00"/>
    <d v="1899-12-30T16:30:00"/>
    <n v="0.27079999999999999"/>
    <x v="3"/>
    <n v="6.5"/>
  </r>
  <r>
    <x v="0"/>
    <d v="2024-01-30T00:00:00"/>
    <s v="الثلاثاء "/>
    <x v="1"/>
    <s v="سعداوى رياض "/>
    <s v="تجميع وتركيب شبكة الحريق والكهرباء "/>
    <s v="تم العمل"/>
    <d v="1899-12-30T09:30:00"/>
    <d v="1899-12-30T17:30:00"/>
    <n v="0.33333333333333331"/>
    <x v="1"/>
    <n v="8"/>
  </r>
  <r>
    <x v="0"/>
    <d v="2024-01-30T00:00:00"/>
    <s v="الثلاثاء "/>
    <x v="15"/>
    <s v="ياسر ابراهيم  "/>
    <s v="تصليح باب مخزن الوزارة "/>
    <s v="تم العمل"/>
    <d v="1899-12-30T11:30:00"/>
    <d v="1899-12-30T15:00:00"/>
    <n v="0.14583333333333331"/>
    <x v="3"/>
    <n v="3.4999999999999996"/>
  </r>
  <r>
    <x v="0"/>
    <d v="2024-01-31T00:00:00"/>
    <s v="الاربعاء "/>
    <x v="1"/>
    <s v="سعداوى رياض "/>
    <s v="تجميع وتركيب شبكة الكهرباء "/>
    <s v="تم العمل"/>
    <d v="1899-12-30T09:30:00"/>
    <d v="1899-12-30T17:30:00"/>
    <n v="0.33333333333333331"/>
    <x v="1"/>
    <n v="8"/>
  </r>
  <r>
    <x v="0"/>
    <d v="2024-01-31T00:00:00"/>
    <s v="الاربعاء "/>
    <x v="1"/>
    <s v="سعداوى رياض "/>
    <s v="تجميع وتركيب شبكة الحريق"/>
    <s v="تم العمل"/>
    <d v="1899-12-30T09:30:00"/>
    <d v="1899-12-30T17:30:00"/>
    <n v="0.33333333333333331"/>
    <x v="1"/>
    <n v="8"/>
  </r>
  <r>
    <x v="1"/>
    <d v="2024-02-01T00:00:00"/>
    <s v="الخميس "/>
    <x v="1"/>
    <s v="سعداوى رياض "/>
    <s v="تجميع وتركيب شبكة الحريق والكهرباء "/>
    <s v="تم العمل"/>
    <d v="1899-12-30T09:30:00"/>
    <d v="1899-12-30T16:00:00"/>
    <n v="0.27083333333333331"/>
    <x v="1"/>
    <n v="6.5"/>
  </r>
  <r>
    <x v="1"/>
    <d v="2024-02-03T00:00:00"/>
    <s v="السبت "/>
    <x v="1"/>
    <s v="سعداوى رياض "/>
    <s v="تجميع وتركيب شبكة الحريق والكهرباء "/>
    <s v="تم العمل"/>
    <d v="1899-12-30T09:30:00"/>
    <d v="1899-12-30T17:30:00"/>
    <n v="0.33333333333333331"/>
    <x v="1"/>
    <n v="8"/>
  </r>
  <r>
    <x v="1"/>
    <d v="2024-02-04T00:00:00"/>
    <s v="الاحد "/>
    <x v="6"/>
    <s v="صابر ابراهيم "/>
    <s v="لحام مجرى الباب الرئيسى "/>
    <s v="تم العمل"/>
    <d v="1899-12-30T13:00:00"/>
    <d v="1899-12-30T14:00:00"/>
    <n v="0.27079999999999999"/>
    <x v="3"/>
    <n v="6.5"/>
  </r>
  <r>
    <x v="1"/>
    <d v="2024-02-04T00:00:00"/>
    <s v="الاحد "/>
    <x v="6"/>
    <s v="صابر ابراهيم "/>
    <s v="لحام حوامل الطفايات "/>
    <s v="تم العمل"/>
    <d v="1899-12-30T14:00:00"/>
    <d v="1899-12-30T15:00:00"/>
    <n v="0.27079999999999999"/>
    <x v="3"/>
    <n v="6.5"/>
  </r>
  <r>
    <x v="1"/>
    <d v="2024-02-04T00:00:00"/>
    <s v="الاحد "/>
    <x v="16"/>
    <s v="فارس خليل "/>
    <s v="لحام حوامل الطفايات "/>
    <s v="تم العمل"/>
    <d v="1899-12-30T09:30:00"/>
    <d v="1899-12-30T17:00:00"/>
    <n v="0.27079999999999999"/>
    <x v="3"/>
    <n v="6.5"/>
  </r>
  <r>
    <x v="1"/>
    <d v="2024-02-04T00:00:00"/>
    <s v="الاحد "/>
    <x v="1"/>
    <s v="سعداوى رياض "/>
    <s v="تجميع وتركيب شبكة الحريق والكهرباء "/>
    <s v="تم العمل"/>
    <d v="1899-12-30T09:30:00"/>
    <d v="1899-12-30T17:30:00"/>
    <n v="0.33333333333333331"/>
    <x v="1"/>
    <n v="8"/>
  </r>
  <r>
    <x v="1"/>
    <d v="2024-02-05T00:00:00"/>
    <s v="الاثنين "/>
    <x v="1"/>
    <s v="سعداوى رياض "/>
    <s v="تجميع وتركيب شبكة الحريق والكهرباء "/>
    <s v="تم العمل"/>
    <d v="1899-12-30T09:30:00"/>
    <d v="1899-12-30T17:00:00"/>
    <n v="0.31250000000000006"/>
    <x v="1"/>
    <n v="7.5000000000000018"/>
  </r>
  <r>
    <x v="1"/>
    <d v="2024-02-05T00:00:00"/>
    <s v="الاثنين "/>
    <x v="16"/>
    <s v="فارس خليل "/>
    <s v="تجميع وتركيب سلم الطوارىء"/>
    <s v="تم العمل"/>
    <d v="1899-12-30T11:00:00"/>
    <d v="1899-12-30T17:00:00"/>
    <n v="0.27079999999999999"/>
    <x v="5"/>
    <n v="6.5"/>
  </r>
  <r>
    <x v="1"/>
    <d v="2024-02-05T00:00:00"/>
    <s v="الاثنين "/>
    <x v="16"/>
    <s v="مصطفى عبد الله "/>
    <s v="صيانة كلارك "/>
    <s v="تم العمل"/>
    <d v="1899-12-30T14:00:00"/>
    <d v="1899-12-30T17:00:00"/>
    <n v="0.27079999999999999"/>
    <x v="3"/>
    <n v="6.4992000000000001"/>
  </r>
  <r>
    <x v="1"/>
    <d v="2024-02-05T00:00:00"/>
    <s v="الاثنين "/>
    <x v="9"/>
    <s v="سامى شعبان  "/>
    <s v="صيانة كلارك "/>
    <s v="تم العمل"/>
    <d v="1899-12-30T13:00:00"/>
    <d v="1899-12-30T15:00:00"/>
    <n v="8.333333333333337E-2"/>
    <x v="3"/>
    <n v="2.0000000000000009"/>
  </r>
  <r>
    <x v="1"/>
    <d v="2024-02-06T00:00:00"/>
    <s v="الثلاثاء "/>
    <x v="12"/>
    <s v="رامى محمد  "/>
    <s v="تركيب قواطع الالمونتال"/>
    <s v="تم العمل"/>
    <d v="1899-12-30T14:00:00"/>
    <d v="1899-12-30T16:00:00"/>
    <n v="8.3333333333333259E-2"/>
    <x v="3"/>
    <n v="1.9999999999999982"/>
  </r>
  <r>
    <x v="1"/>
    <d v="2024-02-06T00:00:00"/>
    <s v="الثلاثاء "/>
    <x v="17"/>
    <s v="فارس خليل "/>
    <s v="تجميع وتركيب سلم الطوارىء"/>
    <s v="تم العمل"/>
    <d v="1899-12-30T11:00:00"/>
    <d v="1899-12-30T15:00:00"/>
    <n v="0.27079999999999999"/>
    <x v="5"/>
    <n v="6.5"/>
  </r>
  <r>
    <x v="1"/>
    <d v="2024-02-06T00:00:00"/>
    <s v="الثلاثاء "/>
    <x v="1"/>
    <s v="أحمد مخيمر  "/>
    <s v="تجميع وتركيب شبكة الحريق والكهرباء "/>
    <s v="تم العمل"/>
    <d v="1899-12-30T09:30:00"/>
    <d v="1899-12-30T17:00:00"/>
    <n v="0.31250000000000006"/>
    <x v="3"/>
    <n v="7.5000000000000018"/>
  </r>
  <r>
    <x v="1"/>
    <d v="2024-02-06T00:00:00"/>
    <s v="الثلاثاء "/>
    <x v="9"/>
    <s v="سامى محمود "/>
    <s v="صيانة كلارك "/>
    <s v="تم العمل"/>
    <d v="1899-12-30T11:00:00"/>
    <d v="1899-12-30T17:00:00"/>
    <n v="0.25000000000000006"/>
    <x v="3"/>
    <n v="6.0000000000000018"/>
  </r>
  <r>
    <x v="1"/>
    <d v="2024-02-07T00:00:00"/>
    <s v="الاربعاء "/>
    <x v="7"/>
    <s v="زياد على "/>
    <s v="مكافحة حشرات "/>
    <s v="تم العمل"/>
    <d v="1899-12-30T10:00:00"/>
    <d v="1899-12-30T16:00:00"/>
    <n v="0.24999999999999994"/>
    <x v="3"/>
    <n v="5.9999999999999982"/>
  </r>
  <r>
    <x v="1"/>
    <d v="2024-02-07T00:00:00"/>
    <s v="الاربعاء "/>
    <x v="1"/>
    <s v="أحمد مخيمر  "/>
    <s v="تجميع وتركيب شبكة الحريق والكهرباء "/>
    <s v="تم العمل"/>
    <d v="1899-12-30T09:30:00"/>
    <d v="1899-12-30T17:00:00"/>
    <n v="0.31250000000000006"/>
    <x v="1"/>
    <n v="7.5000000000000018"/>
  </r>
  <r>
    <x v="1"/>
    <d v="2024-02-07T00:00:00"/>
    <s v="الاربعاء "/>
    <x v="18"/>
    <s v="فيكتور     "/>
    <s v="صيانة الديزل وشبكة الحريق "/>
    <s v="تم العمل"/>
    <d v="1899-12-30T14:00:00"/>
    <d v="1899-12-30T16:00:00"/>
    <n v="8.3333333333333259E-2"/>
    <x v="3"/>
    <n v="1.9999999999999982"/>
  </r>
  <r>
    <x v="1"/>
    <d v="2024-02-08T00:00:00"/>
    <s v="الخميس "/>
    <x v="1"/>
    <s v="أحمد مخيمر  "/>
    <s v="تجميع وتركيب شبكة الحريق والانزار "/>
    <s v="تم العمل"/>
    <d v="1899-12-30T09:30:00"/>
    <d v="1899-12-30T17:30:00"/>
    <n v="0.33333333333333331"/>
    <x v="1"/>
    <n v="8"/>
  </r>
  <r>
    <x v="1"/>
    <d v="2024-02-10T00:00:00"/>
    <s v="السبت "/>
    <x v="1"/>
    <s v="أحمد مخيمر  "/>
    <s v="تجميع وتركيب شبكة الحريق والانزار "/>
    <s v="تم العمل"/>
    <d v="1899-12-30T09:30:00"/>
    <d v="1899-12-30T11:00:00"/>
    <n v="6.25E-2"/>
    <x v="1"/>
    <n v="1.5"/>
  </r>
  <r>
    <x v="1"/>
    <d v="2024-02-10T00:00:00"/>
    <s v="السبت "/>
    <x v="1"/>
    <s v="أحمد مخيمر  "/>
    <s v="تجميع وتركيب شبكة الحريق والانزار "/>
    <s v="تم العمل"/>
    <d v="1899-12-30T09:30:00"/>
    <d v="1899-12-30T17:30:00"/>
    <n v="0.33333333333333331"/>
    <x v="1"/>
    <n v="8"/>
  </r>
  <r>
    <x v="1"/>
    <d v="2024-02-11T00:00:00"/>
    <s v="الاحد "/>
    <x v="8"/>
    <s v="عصام شرف      "/>
    <s v="تركيب الطلمبة الجوكى "/>
    <s v="تم العمل"/>
    <d v="1899-12-30T16:30:00"/>
    <d v="1899-12-30T17:30:00"/>
    <n v="4.166666666666663E-2"/>
    <x v="0"/>
    <n v="0.99999999999999911"/>
  </r>
  <r>
    <x v="1"/>
    <d v="2024-02-11T00:00:00"/>
    <s v="الاحد "/>
    <x v="1"/>
    <s v="أحمد مخيمر  "/>
    <s v="تجميع وتركيب شبكة الحريق والكهرباء "/>
    <s v="تم العمل"/>
    <d v="1899-12-30T09:30:00"/>
    <d v="1899-12-30T17:30:00"/>
    <n v="0.33333333333333331"/>
    <x v="1"/>
    <n v="8"/>
  </r>
  <r>
    <x v="1"/>
    <d v="2024-02-11T00:00:00"/>
    <s v="الاحد "/>
    <x v="17"/>
    <s v="محمود طلعت "/>
    <s v="تجميع وتركيب سلم الطوارىء"/>
    <s v="تم العمل"/>
    <d v="1899-12-30T09:30:00"/>
    <d v="1899-12-30T17:30:00"/>
    <n v="0.27079999999999999"/>
    <x v="1"/>
    <n v="6.5"/>
  </r>
  <r>
    <x v="1"/>
    <d v="2024-02-11T00:00:00"/>
    <s v="الاحد "/>
    <x v="9"/>
    <s v="سامى شعبان  "/>
    <s v="صيانة كلارك "/>
    <s v="تم العمل"/>
    <d v="1899-12-30T22:30:00"/>
    <d v="1899-12-30T17:00:00"/>
    <n v="0.22916666666666663"/>
    <x v="3"/>
    <n v="5.4999999999999991"/>
  </r>
  <r>
    <x v="1"/>
    <d v="2024-02-11T00:00:00"/>
    <s v="الاحد "/>
    <x v="19"/>
    <s v="حازم عبد الرحيم "/>
    <s v="صب ارضيات الشوارع "/>
    <s v="تم العمل"/>
    <d v="1899-12-30T09:30:00"/>
    <d v="1899-12-30T17:00:00"/>
    <n v="0.27079999999999999"/>
    <x v="0"/>
    <n v="6.5"/>
  </r>
  <r>
    <x v="1"/>
    <d v="2024-02-11T00:00:00"/>
    <s v="الاحد "/>
    <x v="13"/>
    <s v="انس اسماعيل "/>
    <s v="تركيب ستاير  مكتب مدير المخازن  "/>
    <s v="تم العمل"/>
    <d v="1899-12-30T14:00:00"/>
    <d v="1899-12-30T16:00:00"/>
    <n v="0.27079999999999999"/>
    <x v="0"/>
    <n v="6.5"/>
  </r>
  <r>
    <x v="1"/>
    <d v="2024-02-11T00:00:00"/>
    <s v="الاحد "/>
    <x v="5"/>
    <s v="محمد خليل النقيب "/>
    <s v="صيانة كهرباء المسجد "/>
    <s v="تم العمل"/>
    <d v="1899-12-30T13:30:00"/>
    <d v="1899-12-30T15:30:00"/>
    <n v="8.333333333333337E-2"/>
    <x v="3"/>
    <n v="0.99999999999999911"/>
  </r>
  <r>
    <x v="1"/>
    <d v="2024-02-12T00:00:00"/>
    <s v="الاثنين "/>
    <x v="18"/>
    <s v="فيكتور     "/>
    <s v="تركيب خرطوم الديزل "/>
    <s v="تم العمل"/>
    <d v="1899-12-30T14:00:00"/>
    <d v="1899-12-30T15:00:00"/>
    <n v="4.166666666666663E-2"/>
    <x v="4"/>
    <n v="0.99999999999999911"/>
  </r>
  <r>
    <x v="1"/>
    <d v="2024-02-12T00:00:00"/>
    <s v="الاثنين "/>
    <x v="17"/>
    <s v="محمود طلعت "/>
    <s v="تجميع وتركيب سلم الطوارىء"/>
    <s v="تم العمل"/>
    <d v="1899-12-30T09:30:00"/>
    <d v="1899-12-30T15:00:00"/>
    <n v="0.27079999999999999"/>
    <x v="5"/>
    <n v="6.5"/>
  </r>
  <r>
    <x v="1"/>
    <d v="2024-02-12T00:00:00"/>
    <s v="الاثنين "/>
    <x v="1"/>
    <s v="أحمد مخيمر  "/>
    <s v="تجميع وتركيب شبكة الحريق والكهرباء "/>
    <s v="تم العمل"/>
    <d v="1899-12-30T09:30:00"/>
    <d v="1899-12-30T17:30:00"/>
    <n v="0.33333333333333331"/>
    <x v="1"/>
    <n v="8"/>
  </r>
  <r>
    <x v="1"/>
    <d v="2024-02-12T00:00:00"/>
    <s v="الاثنين "/>
    <x v="19"/>
    <s v="حازم عبد الرحيم "/>
    <s v="صب ارضيات الشوارع "/>
    <s v="تم العمل"/>
    <d v="1899-12-30T09:30:00"/>
    <d v="1899-12-30T17:00:00"/>
    <n v="0.27079999999999999"/>
    <x v="0"/>
    <n v="6.5"/>
  </r>
  <r>
    <x v="1"/>
    <d v="2024-02-12T00:00:00"/>
    <s v="الاثنين "/>
    <x v="9"/>
    <s v="سامى شعبان  "/>
    <s v="صيانة كلارك "/>
    <s v="تم العمل"/>
    <d v="1899-12-30T11:00:00"/>
    <d v="1899-12-30T17:00:00"/>
    <n v="0.25000000000000006"/>
    <x v="3"/>
    <n v="6.0000000000000018"/>
  </r>
  <r>
    <x v="1"/>
    <d v="2024-02-12T00:00:00"/>
    <s v="الاثنين "/>
    <x v="6"/>
    <s v="حسن "/>
    <s v="توصيل الطلمبة الجوكى "/>
    <s v="تم العمل"/>
    <d v="1899-12-30T09:30:00"/>
    <d v="1899-12-30T14:00:00"/>
    <n v="0.27079999999999999"/>
    <x v="0"/>
    <n v="6.5"/>
  </r>
  <r>
    <x v="1"/>
    <d v="2024-02-13T00:00:00"/>
    <s v="الثلاثاء "/>
    <x v="4"/>
    <s v="محمد حسن "/>
    <s v="تركيبات على ارتفعات "/>
    <s v="تم العمل"/>
    <d v="1899-12-30T11:00:00"/>
    <d v="1899-12-30T17:00:00"/>
    <n v="0.25000000000000006"/>
    <x v="2"/>
    <n v="6.0000000000000018"/>
  </r>
  <r>
    <x v="1"/>
    <d v="2024-02-13T00:00:00"/>
    <s v="الثلاثاء "/>
    <x v="19"/>
    <s v="حازم عبد الرحيم "/>
    <s v="صب ارضيات الشوارع "/>
    <s v="تم العمل"/>
    <d v="1899-12-30T09:30:00"/>
    <d v="1899-12-30T17:00:00"/>
    <n v="0.27079999999999999"/>
    <x v="0"/>
    <n v="6.5"/>
  </r>
  <r>
    <x v="1"/>
    <d v="2024-02-13T00:00:00"/>
    <s v="الثلاثاء "/>
    <x v="8"/>
    <s v="عصام شرف      "/>
    <s v="صيانة طلمبة الجوكى "/>
    <s v="تم العمل"/>
    <d v="1899-12-30T11:00:00"/>
    <d v="1899-12-30T13:00:00"/>
    <n v="8.3333333333333315E-2"/>
    <x v="0"/>
    <n v="1.9999999999999996"/>
  </r>
  <r>
    <x v="1"/>
    <d v="2024-02-13T00:00:00"/>
    <s v="الثلاثاء "/>
    <x v="8"/>
    <s v="علاء الشابورى   "/>
    <s v="الزيارة الشهرية صيانة نظام الانزار  "/>
    <s v="تم العمل"/>
    <d v="1899-12-30T11:00:00"/>
    <d v="1899-12-30T12:00:00"/>
    <n v="4.1666666666666685E-2"/>
    <x v="3"/>
    <n v="1.0000000000000004"/>
  </r>
  <r>
    <x v="1"/>
    <d v="2024-02-13T00:00:00"/>
    <s v="الثلاثاء "/>
    <x v="17"/>
    <s v="محمود طلعت "/>
    <s v="تجميع وتركيب سلم الطوارىء"/>
    <s v="تم العمل"/>
    <d v="1899-12-30T09:30:00"/>
    <d v="1899-12-30T15:00:00"/>
    <n v="0.27079999999999999"/>
    <x v="1"/>
    <n v="6.5"/>
  </r>
  <r>
    <x v="1"/>
    <d v="2024-02-13T00:00:00"/>
    <s v="الثلاثاء "/>
    <x v="1"/>
    <s v="أحمد مخيمر  "/>
    <s v="تجميع وتركيب شبكة الحريق والكهرباء "/>
    <s v="تم العمل"/>
    <d v="1899-12-30T09:30:00"/>
    <d v="1899-12-30T17:30:00"/>
    <n v="0.33333333333333331"/>
    <x v="3"/>
    <n v="8"/>
  </r>
  <r>
    <x v="1"/>
    <d v="2024-02-14T00:00:00"/>
    <s v="الاربعاء "/>
    <x v="20"/>
    <s v="مينا محروس "/>
    <s v="لحام وتريكبات "/>
    <s v="تم العمل"/>
    <d v="1899-12-30T17:00:00"/>
    <d v="1899-12-30T13:00:00"/>
    <n v="0.16666666666666674"/>
    <x v="2"/>
    <n v="4.0000000000000018"/>
  </r>
  <r>
    <x v="1"/>
    <d v="2024-02-14T00:00:00"/>
    <s v="الاربعاء "/>
    <x v="6"/>
    <s v="سيد معوض "/>
    <s v="صيانة كلارك "/>
    <s v="تم العمل"/>
    <d v="1899-12-30T16:00:00"/>
    <d v="1899-12-30T17:00:00"/>
    <n v="4.1666666666666741E-2"/>
    <x v="3"/>
    <n v="1.0000000000000018"/>
  </r>
  <r>
    <x v="1"/>
    <d v="2024-02-14T00:00:00"/>
    <s v="الاربعاء "/>
    <x v="6"/>
    <s v="حسن عبد العظيم "/>
    <s v="صيانة كشافات العنابر "/>
    <s v="تم العمل"/>
    <d v="1899-12-30T12:00:00"/>
    <d v="1899-12-30T17:00:00"/>
    <n v="0.20833333333333337"/>
    <x v="3"/>
    <n v="5.0000000000000009"/>
  </r>
  <r>
    <x v="1"/>
    <d v="2024-02-14T00:00:00"/>
    <s v="الاربعاء "/>
    <x v="8"/>
    <s v="عصام شرف      "/>
    <s v="تركيب الطلمبة الجوكى "/>
    <s v="تم العمل"/>
    <d v="1899-12-30T16:30:00"/>
    <d v="1899-12-30T17:30:00"/>
    <n v="4.166666666666663E-2"/>
    <x v="0"/>
    <n v="0.99999999999999911"/>
  </r>
  <r>
    <x v="1"/>
    <d v="2024-02-14T00:00:00"/>
    <s v="الاربعاء "/>
    <x v="1"/>
    <s v="أحمد مخيمر  "/>
    <s v="تجميع وتركيب شبكة الحريق والكهرباء "/>
    <s v="تم العمل"/>
    <d v="1899-12-30T09:30:00"/>
    <d v="1899-12-30T17:30:00"/>
    <n v="0.33333333333333331"/>
    <x v="1"/>
    <n v="8"/>
  </r>
  <r>
    <x v="1"/>
    <d v="2024-02-14T00:00:00"/>
    <s v="الاربعاء "/>
    <x v="7"/>
    <s v="محمد ماهر "/>
    <s v="مكافحة حشرات "/>
    <s v="تم العمل"/>
    <d v="1899-12-30T10:30:00"/>
    <d v="1899-12-30T11:30:00"/>
    <n v="4.1666666666666685E-2"/>
    <x v="1"/>
    <n v="1.0000000000000004"/>
  </r>
  <r>
    <x v="1"/>
    <d v="2024-02-14T00:00:00"/>
    <s v="الاربعاء "/>
    <x v="19"/>
    <s v="حازم عبد الرحيم "/>
    <s v="صب ارضيات الشوارع "/>
    <s v="تم العمل"/>
    <d v="1899-12-30T09:30:00"/>
    <d v="1899-12-30T17:00:00"/>
    <n v="0.27079999999999999"/>
    <x v="0"/>
    <n v="6.5"/>
  </r>
  <r>
    <x v="1"/>
    <d v="2024-02-14T00:00:00"/>
    <s v="الاربعاء "/>
    <x v="7"/>
    <s v="محمد ماهر "/>
    <s v="مكافحة حشرات "/>
    <s v="تم العمل"/>
    <d v="1899-12-30T11:00:00"/>
    <d v="1899-12-30T15:00:00"/>
    <n v="0.16666666666666669"/>
    <x v="0"/>
    <n v="4"/>
  </r>
  <r>
    <x v="1"/>
    <d v="2024-02-14T00:00:00"/>
    <s v="الاربعاء "/>
    <x v="5"/>
    <s v="محمد خليل النقيب "/>
    <s v="توصيل وتركيب  كهرباء "/>
    <s v="تم العمل"/>
    <d v="1899-12-30T13:00:00"/>
    <d v="1899-12-30T17:00:00"/>
    <n v="0.16666666666666674"/>
    <x v="3"/>
    <n v="0.99999999999999911"/>
  </r>
  <r>
    <x v="1"/>
    <d v="2024-02-15T00:00:00"/>
    <s v="الخميس "/>
    <x v="17"/>
    <s v="اشرف عبد العاطى "/>
    <s v="لحام قواعد حديد ماكينة حقن الامونيوم"/>
    <s v="تم العمل"/>
    <d v="1899-12-30T22:00:00"/>
    <d v="1899-12-30T17:00:00"/>
    <n v="0.27079999999999999"/>
    <x v="5"/>
    <n v="6.5"/>
  </r>
  <r>
    <x v="1"/>
    <d v="2024-02-15T00:00:00"/>
    <s v="الخميس "/>
    <x v="19"/>
    <s v="حازم عبد الرحيم "/>
    <s v="صب ارضيات الشوارع "/>
    <s v="تم العمل"/>
    <d v="1899-12-30T09:30:00"/>
    <d v="1899-12-30T17:00:00"/>
    <n v="0.27079999999999999"/>
    <x v="0"/>
    <n v="6.5"/>
  </r>
  <r>
    <x v="1"/>
    <d v="2024-02-15T00:00:00"/>
    <s v="الخميس "/>
    <x v="1"/>
    <s v="أحمد مخيمر  "/>
    <s v="تجميع وتركيب شبكة الحريق والكهرباء "/>
    <s v="تم العمل"/>
    <d v="1899-12-30T09:30:00"/>
    <d v="1899-12-30T17:30:00"/>
    <n v="0.33333333333333331"/>
    <x v="1"/>
    <n v="8"/>
  </r>
  <r>
    <x v="1"/>
    <d v="2024-02-17T00:00:00"/>
    <s v="السبت "/>
    <x v="17"/>
    <s v="افارس خليل  "/>
    <s v="لحام قواعد حديد ماكينة حقن الامونيوم"/>
    <s v="تم العمل"/>
    <d v="1899-12-30T09:30:00"/>
    <d v="1899-12-30T17:00:00"/>
    <n v="0.27079999999999999"/>
    <x v="5"/>
    <n v="6.5"/>
  </r>
  <r>
    <x v="1"/>
    <d v="2024-02-17T00:00:00"/>
    <s v="السبت "/>
    <x v="3"/>
    <s v="علاء احمد "/>
    <s v="تريكبات "/>
    <s v="تم العمل"/>
    <d v="1899-12-30T09:30:00"/>
    <d v="1899-12-30T11:00:00"/>
    <n v="6.25E-2"/>
    <x v="2"/>
    <n v="1.5"/>
  </r>
  <r>
    <x v="1"/>
    <d v="2024-02-17T00:00:00"/>
    <s v="السبت "/>
    <x v="3"/>
    <s v="علاء احمد "/>
    <s v="تريكبات "/>
    <s v="تم العمل"/>
    <d v="1899-12-30T13:00:00"/>
    <d v="1899-12-30T15:00:00"/>
    <n v="8.333333333333337E-2"/>
    <x v="2"/>
    <n v="2.0000000000000009"/>
  </r>
  <r>
    <x v="1"/>
    <d v="2024-02-17T00:00:00"/>
    <s v="السبت "/>
    <x v="21"/>
    <s v="طارق رجب "/>
    <s v=" صيانة سقف عنبر  المعدنى ومجر صرف "/>
    <s v="تم العمل"/>
    <d v="1899-12-30T09:30:00"/>
    <d v="1899-12-30T17:00:00"/>
    <n v="0.27079999999999999"/>
    <x v="5"/>
    <n v="6.5"/>
  </r>
  <r>
    <x v="1"/>
    <d v="2024-02-17T00:00:00"/>
    <s v="السبت "/>
    <x v="19"/>
    <s v="حازم عبد الرحيم "/>
    <s v="صب ارضيات الشوارع "/>
    <s v="تم العمل"/>
    <d v="1899-12-30T09:30:00"/>
    <d v="1899-12-30T17:00:00"/>
    <n v="0.27079999999999999"/>
    <x v="0"/>
    <n v="6.5"/>
  </r>
  <r>
    <x v="1"/>
    <d v="2024-02-18T00:00:00"/>
    <s v="الاحد "/>
    <x v="19"/>
    <s v="حازم عبد الرحيم "/>
    <s v="صب ارضيات الشوارع "/>
    <s v="تم العمل"/>
    <d v="1899-12-30T09:30:00"/>
    <d v="1899-12-30T17:00:00"/>
    <n v="0.27079999999999999"/>
    <x v="0"/>
    <n v="6.5"/>
  </r>
  <r>
    <x v="1"/>
    <d v="2024-02-18T00:00:00"/>
    <s v="الاحد "/>
    <x v="21"/>
    <s v="طارق رجب "/>
    <s v=" صيانة سقف عنبر  المعدنى ومجر صرف "/>
    <s v="تم العمل"/>
    <d v="1899-12-30T22:00:00"/>
    <d v="1899-12-30T14:00:00"/>
    <n v="0.27079999999999999"/>
    <x v="5"/>
    <n v="6.5"/>
  </r>
  <r>
    <x v="1"/>
    <d v="2024-02-18T00:00:00"/>
    <s v="الاحد "/>
    <x v="17"/>
    <s v="افارس خليل  "/>
    <s v="لحام قواعد حديد ماكينة حقن الامونيوم"/>
    <s v="تم العمل"/>
    <d v="1899-12-30T22:00:00"/>
    <d v="1899-12-30T15:00:00"/>
    <n v="0.27079999999999999"/>
    <x v="5"/>
    <n v="6.5"/>
  </r>
  <r>
    <x v="1"/>
    <d v="2024-02-18T00:00:00"/>
    <s v="الاحد "/>
    <x v="0"/>
    <s v="م/ رمضان  "/>
    <s v="تركيب حديد على عمدان الجمالون "/>
    <s v="تم العمل"/>
    <d v="1899-12-30T22:00:00"/>
    <d v="1899-12-30T16:00:00"/>
    <n v="0.27079999999999999"/>
    <x v="5"/>
    <n v="6.5"/>
  </r>
  <r>
    <x v="1"/>
    <d v="2024-02-18T00:00:00"/>
    <s v="الاحد "/>
    <x v="1"/>
    <s v="أحمد مخيمر  "/>
    <s v="تجميع وتركيب شبكة الحريق والكهرباء "/>
    <s v="تم العمل"/>
    <d v="1899-12-30T09:30:00"/>
    <d v="1899-12-30T17:30:00"/>
    <n v="0.33333333333333331"/>
    <x v="1"/>
    <n v="8"/>
  </r>
  <r>
    <x v="1"/>
    <d v="2024-02-18T00:00:00"/>
    <s v="الاحد "/>
    <x v="17"/>
    <s v="محمود طلعت "/>
    <s v="تجميع وتركيب سلم الطوارىء"/>
    <s v="تم العمل"/>
    <d v="1899-12-30T09:30:00"/>
    <d v="1899-12-30T15:00:00"/>
    <n v="0.27079999999999999"/>
    <x v="1"/>
    <n v="6.5"/>
  </r>
  <r>
    <x v="1"/>
    <d v="2024-02-19T00:00:00"/>
    <s v="الاثنين "/>
    <x v="19"/>
    <s v="حازم عبد الرحيم "/>
    <s v="صب ارضيات الشوارع "/>
    <s v="تم العمل"/>
    <d v="1899-12-30T09:30:00"/>
    <d v="1899-12-30T17:00:00"/>
    <n v="0.27079999999999999"/>
    <x v="0"/>
    <n v="6.5"/>
  </r>
  <r>
    <x v="1"/>
    <d v="2024-02-20T00:00:00"/>
    <s v="الثلاثاء "/>
    <x v="21"/>
    <s v="طارق رجب "/>
    <s v=" صيانة سقف عنبر  المعدنى ومجر صرف "/>
    <s v="تم العمل"/>
    <d v="1899-12-30T22:00:00"/>
    <d v="1899-12-30T17:00:00"/>
    <n v="0.27079999999999999"/>
    <x v="5"/>
    <n v="6.5"/>
  </r>
  <r>
    <x v="1"/>
    <d v="2024-02-20T00:00:00"/>
    <s v="الثلاثاء "/>
    <x v="22"/>
    <s v="محمود الدروى "/>
    <s v="صيانة تكيفات "/>
    <s v="تم العمل"/>
    <d v="1899-12-30T14:00:00"/>
    <d v="1899-12-30T15:00:00"/>
    <n v="0.27079999999999999"/>
    <x v="3"/>
    <n v="6.5"/>
  </r>
  <r>
    <x v="1"/>
    <d v="2024-02-20T00:00:00"/>
    <s v="الثلاثاء "/>
    <x v="23"/>
    <s v="محمد عبد الرحمن"/>
    <s v="تغير سير ماكينة كولبس 2"/>
    <s v="تم العمل"/>
    <d v="1899-12-30T12:00:00"/>
    <d v="1899-12-30T15:00:00"/>
    <n v="0.27079999999999999"/>
    <x v="3"/>
    <n v="6.5"/>
  </r>
  <r>
    <x v="1"/>
    <d v="2024-02-20T00:00:00"/>
    <s v="الثلاثاء "/>
    <x v="19"/>
    <s v="حازم عبد الرحيم "/>
    <s v="صب ارضيات الشوارع "/>
    <s v="تم العمل"/>
    <d v="1899-12-30T09:30:00"/>
    <d v="1899-12-30T17:00:00"/>
    <n v="0.27079999999999999"/>
    <x v="0"/>
    <n v="6.5"/>
  </r>
  <r>
    <x v="1"/>
    <d v="2024-02-20T00:00:00"/>
    <s v="الثلاثاء "/>
    <x v="1"/>
    <s v="أحمد مخيمر  "/>
    <s v="تجميع وتركيب شبكة الحريق والكهرباء "/>
    <s v="تم العمل"/>
    <d v="1899-12-30T09:30:00"/>
    <d v="1899-12-30T17:30:00"/>
    <n v="0.33333333333333331"/>
    <x v="1"/>
    <n v="8"/>
  </r>
  <r>
    <x v="1"/>
    <d v="2024-02-20T00:00:00"/>
    <s v="الثلاثاء "/>
    <x v="17"/>
    <s v="ايمن رمضان "/>
    <s v="تجميع ودهان  سلم الطوارىء"/>
    <s v="تم العمل"/>
    <d v="1899-12-30T09:30:00"/>
    <d v="1899-12-30T13:00:00"/>
    <n v="0.27079999999999999"/>
    <x v="1"/>
    <n v="6.5"/>
  </r>
  <r>
    <x v="1"/>
    <d v="2024-02-20T00:00:00"/>
    <s v="الثلاثاء "/>
    <x v="5"/>
    <s v="احمد سعيد  "/>
    <s v="توصيل  ماسورة المياة للطلمبة الجوكى  "/>
    <s v="تم العمل"/>
    <d v="1899-12-30T11:00:00"/>
    <d v="1899-12-30T16:00:00"/>
    <n v="0.20833333333333331"/>
    <x v="0"/>
    <n v="0.99999999999999911"/>
  </r>
  <r>
    <x v="1"/>
    <d v="2024-02-20T00:00:00"/>
    <s v="الثلاثاء "/>
    <x v="24"/>
    <s v="حسين حجاج "/>
    <s v="توصيل  ماسورة المياة للطلمبة الجوكى  "/>
    <s v="تم العمل"/>
    <d v="1899-12-30T12:00:00"/>
    <d v="1899-12-30T16:00:00"/>
    <n v="0.16666666666666663"/>
    <x v="0"/>
    <n v="0.99999999999999911"/>
  </r>
  <r>
    <x v="1"/>
    <d v="2024-02-21T00:00:00"/>
    <s v="الاربعاء "/>
    <x v="7"/>
    <s v="احمد مظهر  "/>
    <s v="مكافحة حشرات "/>
    <s v="تم العمل"/>
    <d v="1899-12-30T11:30:00"/>
    <d v="1899-12-30T15:00:00"/>
    <n v="0.14583333333333331"/>
    <x v="3"/>
    <n v="3.4999999999999996"/>
  </r>
  <r>
    <x v="1"/>
    <d v="2024-02-21T00:00:00"/>
    <s v="الاربعاء "/>
    <x v="25"/>
    <s v="صلاح خميس "/>
    <s v="اعمال لحام ارجون  ويب "/>
    <s v="تم العمل"/>
    <d v="1899-12-30T10:30:00"/>
    <d v="1899-12-30T13:00:00"/>
    <n v="0.10416666666666663"/>
    <x v="3"/>
    <n v="2.4999999999999991"/>
  </r>
  <r>
    <x v="1"/>
    <d v="2024-02-21T00:00:00"/>
    <s v="الاربعاء "/>
    <x v="7"/>
    <s v="زياد عادل "/>
    <s v="مكافحة حشرات "/>
    <s v="تم العمل"/>
    <d v="1899-12-30T10:30:00"/>
    <d v="1899-12-30T11:30:00"/>
    <n v="4.1666666666666685E-2"/>
    <x v="3"/>
    <n v="1.0000000000000004"/>
  </r>
  <r>
    <x v="1"/>
    <d v="2024-02-21T00:00:00"/>
    <s v="الاربعاء "/>
    <x v="19"/>
    <s v="حازم عبد الرحيم "/>
    <s v="رصف  ارضيات الشوارع "/>
    <s v="تم العمل"/>
    <d v="1899-12-30T09:30:00"/>
    <d v="1899-12-30T17:00:00"/>
    <n v="0.27079999999999999"/>
    <x v="0"/>
    <n v="6.5"/>
  </r>
  <r>
    <x v="1"/>
    <d v="2024-02-22T00:00:00"/>
    <s v="الخميس "/>
    <x v="19"/>
    <s v="حازم عبد الرحيم "/>
    <s v="رصف ارضيات الشوارع "/>
    <s v="تم العمل"/>
    <d v="1899-12-30T09:30:00"/>
    <d v="1899-12-30T17:00:00"/>
    <n v="0.27079999999999999"/>
    <x v="0"/>
    <n v="6.5"/>
  </r>
  <r>
    <x v="1"/>
    <d v="2024-02-22T00:00:00"/>
    <s v="الخميس "/>
    <x v="8"/>
    <s v="حامد  عطوان    "/>
    <s v="زيارة شركة كريم  للصيانة  الدورية "/>
    <s v="تم العمل"/>
    <d v="1899-12-30T13:00:00"/>
    <d v="1899-12-30T15:30:00"/>
    <n v="0.10416666666666674"/>
    <x v="1"/>
    <n v="2.5000000000000018"/>
  </r>
  <r>
    <x v="1"/>
    <d v="2024-02-23T00:00:00"/>
    <s v="الجمعة "/>
    <x v="21"/>
    <s v="طارق رجب "/>
    <s v=" صيانة سقف عنبر  المعدنى ومجر صرف "/>
    <s v="تم العمل"/>
    <d v="1899-12-30T10:30:00"/>
    <d v="1899-12-30T16:00:00"/>
    <n v="0.27079999999999999"/>
    <x v="5"/>
    <n v="6.5"/>
  </r>
  <r>
    <x v="1"/>
    <d v="2024-02-24T00:00:00"/>
    <s v="السبت "/>
    <x v="21"/>
    <s v="طارق رجب "/>
    <s v=" صيانة سقف عنبر  المعدنى ومجر صرف "/>
    <s v="تم العمل"/>
    <d v="1899-12-30T22:00:00"/>
    <d v="1899-12-30T16:00:00"/>
    <n v="0.27079999999999999"/>
    <x v="5"/>
    <n v="6.5"/>
  </r>
  <r>
    <x v="1"/>
    <d v="2024-02-24T00:00:00"/>
    <s v="السبت "/>
    <x v="17"/>
    <s v="محمود طلعت "/>
    <s v="عمل صنفرة ودهانات "/>
    <s v="تم العمل"/>
    <d v="1899-12-30T22:00:00"/>
    <d v="1899-12-30T16:00:00"/>
    <n v="0.27079999999999999"/>
    <x v="1"/>
    <n v="6.5"/>
  </r>
  <r>
    <x v="1"/>
    <d v="2024-02-24T00:00:00"/>
    <s v="السبت "/>
    <x v="19"/>
    <s v="حازم عبد الرحيم "/>
    <s v="رصف ارضيات الشوارع "/>
    <s v="تم العمل"/>
    <d v="1899-12-30T22:00:00"/>
    <d v="1899-12-30T17:00:00"/>
    <n v="0.27079999999999999"/>
    <x v="0"/>
    <n v="6.5"/>
  </r>
  <r>
    <x v="1"/>
    <d v="2024-02-25T00:00:00"/>
    <s v="الاحد "/>
    <x v="19"/>
    <s v="حازم عبد الرحيم "/>
    <s v="رصف ارضيات الشوارع "/>
    <s v="تم العمل"/>
    <d v="1899-12-30T09:30:00"/>
    <d v="1899-12-30T17:00:00"/>
    <n v="0.27079999999999999"/>
    <x v="0"/>
    <n v="6.5"/>
  </r>
  <r>
    <x v="1"/>
    <d v="2024-02-25T00:00:00"/>
    <s v="الاحد "/>
    <x v="0"/>
    <s v="مراد صالح  "/>
    <s v="تكسير الحمام الخاص بالعاملين للتجديدة "/>
    <s v="تم العمل"/>
    <d v="1899-12-30T22:00:00"/>
    <d v="1899-12-30T17:00:00"/>
    <n v="0.27079999999999999"/>
    <x v="0"/>
    <n v="6.5"/>
  </r>
  <r>
    <x v="1"/>
    <d v="2024-02-25T00:00:00"/>
    <s v="الاثنين "/>
    <x v="11"/>
    <s v="محمد رمضان   "/>
    <s v="صيانة الكلاركات "/>
    <s v="تم العمل"/>
    <d v="1899-12-30T10:00:00"/>
    <d v="1899-12-30T15:00:00"/>
    <n v="0.20833333333333331"/>
    <x v="3"/>
    <n v="5"/>
  </r>
  <r>
    <x v="1"/>
    <d v="2024-02-25T00:00:00"/>
    <s v="الاثنين "/>
    <x v="26"/>
    <s v="محمد حسنى   "/>
    <s v="صيانة دورية لغرف ومحابس الغاز     "/>
    <s v="تم العمل"/>
    <d v="1899-12-30T12:30:00"/>
    <d v="1899-12-30T13:30:00"/>
    <n v="4.166666666666663E-2"/>
    <x v="3"/>
    <n v="0.99999999999999911"/>
  </r>
  <r>
    <x v="1"/>
    <d v="2024-02-26T00:00:00"/>
    <s v="الاثنين "/>
    <x v="19"/>
    <s v="حازم عبد الرحيم "/>
    <s v="رصف ارضيات الشوارع "/>
    <s v="تم العمل"/>
    <d v="1899-12-30T22:00:00"/>
    <d v="1899-12-30T17:00:00"/>
    <n v="0.27079999999999999"/>
    <x v="0"/>
    <n v="6.5"/>
  </r>
  <r>
    <x v="1"/>
    <d v="2024-02-26T00:00:00"/>
    <s v="الاثنين "/>
    <x v="21"/>
    <s v="طارق رجب "/>
    <s v=" صيانة سقف عنبر  المعدنى ومجر صرف "/>
    <s v="تم العمل"/>
    <d v="1899-12-30T09:00:00"/>
    <d v="1899-12-30T17:00:00"/>
    <n v="0.27079999999999999"/>
    <x v="5"/>
    <n v="6.5"/>
  </r>
  <r>
    <x v="1"/>
    <d v="2024-02-27T00:00:00"/>
    <s v="الثلاثاء "/>
    <x v="21"/>
    <s v="طارق رجب "/>
    <s v=" صيانة سقف عنبر  المعدنى ومجر صرف "/>
    <s v="تم العمل"/>
    <d v="1899-12-30T09:00:00"/>
    <d v="1899-12-30T17:00:00"/>
    <n v="0.27079999999999999"/>
    <x v="5"/>
    <n v="6.5"/>
  </r>
  <r>
    <x v="1"/>
    <d v="2024-02-27T00:00:00"/>
    <s v="الثلاثاء "/>
    <x v="27"/>
    <s v="احمد صلاح  "/>
    <s v="صيانة الدور العاشر "/>
    <s v="تم العمل"/>
    <d v="1899-12-30T15:00:00"/>
    <d v="1899-12-30T18:00:00"/>
    <n v="0.125"/>
    <x v="2"/>
    <n v="3"/>
  </r>
  <r>
    <x v="1"/>
    <d v="2024-02-27T00:00:00"/>
    <s v="الثلاثاء "/>
    <x v="19"/>
    <s v="حازم عبد الرحيم "/>
    <s v="رصف ارضيات الشوارع "/>
    <s v="تم العمل"/>
    <d v="1899-12-30T09:30:00"/>
    <d v="1899-12-30T17:00:00"/>
    <n v="0.27079999999999999"/>
    <x v="5"/>
    <n v="6.5"/>
  </r>
  <r>
    <x v="1"/>
    <d v="2024-02-27T00:00:00"/>
    <s v="الثلاثاء "/>
    <x v="0"/>
    <s v="مراد صالح  "/>
    <s v="استكمال اعمال تجديد حمام العاملين بالمخازن "/>
    <s v="تم العمل"/>
    <d v="1899-12-30T22:00:00"/>
    <d v="1899-12-30T17:00:00"/>
    <n v="0.27079999999999999"/>
    <x v="0"/>
    <n v="6.5"/>
  </r>
  <r>
    <x v="1"/>
    <d v="2024-02-27T00:00:00"/>
    <s v="الثلاثاء "/>
    <x v="1"/>
    <s v="أحمد مخيمر  "/>
    <s v="تجميع وتركيب شبكة الحريق والكهرباء "/>
    <s v="تم العمل"/>
    <d v="1899-12-30T09:30:00"/>
    <d v="1899-12-30T16:00:00"/>
    <n v="0.27083333333333331"/>
    <x v="1"/>
    <n v="6.5"/>
  </r>
  <r>
    <x v="1"/>
    <d v="2024-02-27T00:00:00"/>
    <s v="الثلاثاء "/>
    <x v="27"/>
    <s v="شريف حسن "/>
    <s v="صيانة وتركيبات الدور العاشر "/>
    <s v="تم العمل"/>
    <d v="1899-12-30T12:30:00"/>
    <d v="1899-12-30T14:00:00"/>
    <n v="6.25E-2"/>
    <x v="2"/>
    <n v="1.5"/>
  </r>
  <r>
    <x v="1"/>
    <d v="2024-02-28T00:00:00"/>
    <s v="الاربعاء "/>
    <x v="19"/>
    <s v="حازم عبد الرحيم "/>
    <s v="رصف ارضيات الشوارع "/>
    <s v="تم العمل"/>
    <d v="1899-12-30T09:30:00"/>
    <d v="1899-12-30T17:00:00"/>
    <n v="0.27079999999999999"/>
    <x v="0"/>
    <n v="6.5"/>
  </r>
  <r>
    <x v="1"/>
    <d v="2024-02-28T00:00:00"/>
    <s v="الاربعاء "/>
    <x v="9"/>
    <s v="سامى شعبان  "/>
    <s v="صيانة الكلاركات الهونداى "/>
    <s v="تم العمل"/>
    <d v="1899-12-30T10:00:00"/>
    <d v="1899-12-30T17:00:00"/>
    <n v="0.29166666666666669"/>
    <x v="0"/>
    <n v="7"/>
  </r>
  <r>
    <x v="1"/>
    <d v="2024-02-28T00:00:00"/>
    <s v="الاربعاء "/>
    <x v="21"/>
    <s v="طارق رجب "/>
    <s v=" صيانة سقف عنبر  المعدنى ومجر صرف "/>
    <s v="تم العمل"/>
    <d v="1899-12-30T09:00:00"/>
    <d v="1899-12-30T16:00:00"/>
    <n v="0.27079999999999999"/>
    <x v="5"/>
    <n v="6.5"/>
  </r>
  <r>
    <x v="1"/>
    <d v="2024-02-28T00:00:00"/>
    <s v="الاربعاء "/>
    <x v="7"/>
    <s v="محمد ماهر "/>
    <s v="مكافحة حشرات "/>
    <s v="تم العمل"/>
    <d v="1899-12-30T12:00:00"/>
    <d v="1899-12-30T17:00:00"/>
    <n v="0.20833333333333337"/>
    <x v="0"/>
    <n v="5.0000000000000009"/>
  </r>
  <r>
    <x v="1"/>
    <d v="2024-02-28T00:00:00"/>
    <s v="الاربعاء "/>
    <x v="5"/>
    <s v="محمود ابو شادى "/>
    <s v="انشاء حمام بديل حمام العمال  يتم تجديدة  "/>
    <s v="تم العمل"/>
    <d v="1899-12-30T11:00:00"/>
    <d v="1899-12-30T17:00:00"/>
    <n v="0.25000000000000006"/>
    <x v="0"/>
    <n v="0.99999999999999911"/>
  </r>
  <r>
    <x v="1"/>
    <d v="2024-02-28T00:00:00"/>
    <s v="الاربعاء "/>
    <x v="0"/>
    <s v="مراد صالح  "/>
    <s v="استكمال اعمال تجديد حمام العاملين بالمخازن "/>
    <s v="تم العمل"/>
    <d v="1899-12-30T10:00:00"/>
    <d v="1899-12-30T17:00:00"/>
    <n v="0.27079999999999999"/>
    <x v="0"/>
    <n v="6.5"/>
  </r>
  <r>
    <x v="1"/>
    <d v="2024-02-28T00:00:00"/>
    <s v="الاربعاء "/>
    <x v="7"/>
    <s v="محمد ماهر "/>
    <s v="مكافحة حشرات "/>
    <s v="تم العمل"/>
    <d v="1899-12-30T10:30:00"/>
    <d v="1899-12-30T11:30:00"/>
    <n v="4.1666666666666685E-2"/>
    <x v="1"/>
    <n v="1.0000000000000004"/>
  </r>
  <r>
    <x v="1"/>
    <d v="2024-02-28T00:00:00"/>
    <s v="الاربعاء "/>
    <x v="19"/>
    <s v="عبد الله السيد عباس "/>
    <s v="اعمال شق وتكسير بالرامب "/>
    <s v="تم العمل"/>
    <d v="1899-12-30T11:00:00"/>
    <d v="1899-12-30T13:30:00"/>
    <n v="0.27079999999999999"/>
    <x v="1"/>
    <n v="6.5"/>
  </r>
  <r>
    <x v="1"/>
    <d v="2024-02-29T00:00:00"/>
    <s v="الاربعاء "/>
    <x v="1"/>
    <s v="أحمد مخيمر  "/>
    <s v="تجميع وتركيب شبكة الحريق والكهرباء "/>
    <s v="تم العمل"/>
    <d v="1899-12-30T10:00:00"/>
    <d v="1899-12-30T16:00:00"/>
    <n v="0.24999999999999994"/>
    <x v="1"/>
    <n v="5.9999999999999982"/>
  </r>
  <r>
    <x v="1"/>
    <d v="2024-02-28T00:00:00"/>
    <s v="الخميس "/>
    <x v="21"/>
    <s v="طارق رجب "/>
    <s v=" صيانة سقف عنبر  المعدنى ومجر صرف "/>
    <s v="تم العمل"/>
    <d v="1899-12-30T09:00:00"/>
    <d v="1899-12-30T16:00:00"/>
    <n v="0.27079999999999999"/>
    <x v="5"/>
    <n v="6.5"/>
  </r>
  <r>
    <x v="1"/>
    <d v="2024-02-29T00:00:00"/>
    <s v="الخميس "/>
    <x v="19"/>
    <s v="عبد الله السيد عباس "/>
    <s v="اعمال شق وتكسير بالرامب "/>
    <s v="تم العمل"/>
    <d v="1899-12-30T10:00:00"/>
    <d v="1899-12-30T15:30:00"/>
    <n v="0.27079999999999999"/>
    <x v="1"/>
    <n v="6.5"/>
  </r>
  <r>
    <x v="1"/>
    <d v="2024-02-29T00:00:00"/>
    <s v="الخميس "/>
    <x v="19"/>
    <s v="حازم عبد الرحيم "/>
    <s v="رصف ارضيات الشوارع "/>
    <s v="تم العمل"/>
    <d v="1899-12-30T09:30:00"/>
    <d v="1899-12-30T16:00:00"/>
    <n v="0.27079999999999999"/>
    <x v="0"/>
    <n v="6.5"/>
  </r>
  <r>
    <x v="2"/>
    <d v="2024-03-01T00:00:00"/>
    <s v="الجمعة "/>
    <x v="21"/>
    <s v="اكرم  رجب "/>
    <s v=" صيانة سقف عنبر  المعدنى ومجر صرف "/>
    <s v="تم العمل"/>
    <d v="1899-12-30T09:30:00"/>
    <d v="1899-12-30T17:00:00"/>
    <n v="0.27079999999999999"/>
    <x v="5"/>
    <n v="6.5"/>
  </r>
  <r>
    <x v="2"/>
    <d v="2024-03-02T00:00:00"/>
    <s v="السبت "/>
    <x v="9"/>
    <s v="سامى شعبان  "/>
    <s v="صيانة الكلاركات الهونداى "/>
    <s v="تم العمل"/>
    <d v="1899-12-30T15:00:00"/>
    <d v="1899-12-30T17:00:00"/>
    <n v="8.333333333333337E-2"/>
    <x v="3"/>
    <n v="2.0000000000000009"/>
  </r>
  <r>
    <x v="2"/>
    <d v="2024-03-02T00:00:00"/>
    <s v="السبت "/>
    <x v="21"/>
    <s v="طارق رجب "/>
    <s v=" صيانة سقف عنبر  المعدنى ومجر صرف "/>
    <s v="تم العمل"/>
    <d v="1899-12-30T09:30:00"/>
    <d v="1899-12-30T17:00:00"/>
    <n v="0.27079999999999999"/>
    <x v="5"/>
    <n v="6.5"/>
  </r>
  <r>
    <x v="2"/>
    <d v="2024-03-02T00:00:00"/>
    <s v="السبت "/>
    <x v="19"/>
    <s v="حازم عبد الرحيم "/>
    <s v="رصف ارضيات الشوارع "/>
    <s v="تم العمل"/>
    <d v="1899-12-30T09:30:00"/>
    <d v="1899-12-30T17:00:00"/>
    <n v="0.27079999999999999"/>
    <x v="0"/>
    <n v="6.5"/>
  </r>
  <r>
    <x v="2"/>
    <d v="2024-03-02T00:00:00"/>
    <s v="السبت "/>
    <x v="0"/>
    <s v="مراد صالح  "/>
    <s v="استكمال اعمال تجديد حمام العاملين بالمخازن "/>
    <s v="تم العمل"/>
    <d v="1899-12-30T10:00:00"/>
    <d v="1899-12-30T17:00:00"/>
    <n v="0.27079999999999999"/>
    <x v="0"/>
    <n v="6.5"/>
  </r>
  <r>
    <x v="2"/>
    <d v="2024-03-02T00:00:00"/>
    <s v="السبت "/>
    <x v="19"/>
    <s v="عبد الله السيد عباس "/>
    <s v="اعمال شق وتكسير بالرامب "/>
    <s v="تم العمل"/>
    <d v="1899-12-30T10:00:00"/>
    <d v="1899-12-30T17:00:00"/>
    <n v="0.27079999999999999"/>
    <x v="1"/>
    <n v="6.5"/>
  </r>
  <r>
    <x v="2"/>
    <d v="2024-03-03T00:00:00"/>
    <s v="الاحد "/>
    <x v="0"/>
    <s v="عبد الحميد "/>
    <s v="عمل قوائم خرسانة للجمالون  "/>
    <s v="تم العمل"/>
    <d v="1899-12-30T09:00:00"/>
    <d v="1899-12-30T17:00:00"/>
    <n v="0.27079999999999999"/>
    <x v="5"/>
    <n v="6.5"/>
  </r>
  <r>
    <x v="2"/>
    <d v="2024-03-03T00:00:00"/>
    <s v="الاحد "/>
    <x v="8"/>
    <s v="ممدوح عبد التواب "/>
    <s v="تغيير  واستبدال حساسات التجليد "/>
    <s v="تم العمل"/>
    <d v="1899-12-30T09:30:00"/>
    <d v="1899-12-30T17:00:00"/>
    <n v="0.31250000000000006"/>
    <x v="3"/>
    <n v="7.5000000000000018"/>
  </r>
  <r>
    <x v="2"/>
    <d v="2024-03-03T00:00:00"/>
    <s v="الاحد "/>
    <x v="17"/>
    <s v="فارس خليل  "/>
    <s v="لحامات فى الجمالون "/>
    <s v="تم العمل"/>
    <d v="1899-12-30T09:00:00"/>
    <d v="1899-12-30T16:00:00"/>
    <n v="0.27079999999999999"/>
    <x v="5"/>
    <n v="6.5"/>
  </r>
  <r>
    <x v="2"/>
    <d v="2024-03-03T00:00:00"/>
    <s v="الاحد "/>
    <x v="21"/>
    <s v="طارق رجب "/>
    <s v="احلا ل وتجديد سقف جمالون دويتش  "/>
    <s v="تم العمل"/>
    <d v="1899-12-30T09:00:00"/>
    <d v="1899-12-30T16:00:00"/>
    <n v="0.27079999999999999"/>
    <x v="5"/>
    <n v="6.5"/>
  </r>
  <r>
    <x v="2"/>
    <d v="2024-03-03T00:00:00"/>
    <s v="الاحد "/>
    <x v="0"/>
    <s v="مراد صالح  "/>
    <s v="استكمال اعمال تجديد حمام العاملين بالمخازن "/>
    <s v="تم العمل"/>
    <d v="1899-12-30T11:30:00"/>
    <d v="1899-12-30T17:00:00"/>
    <n v="0.27079999999999999"/>
    <x v="0"/>
    <n v="6.5"/>
  </r>
  <r>
    <x v="2"/>
    <d v="2024-03-03T00:00:00"/>
    <s v="الاحد "/>
    <x v="1"/>
    <s v="أحمد مخيمر  "/>
    <s v="تجميع وتركيب شبكة الحريق والكهرباء "/>
    <s v="تم العمل"/>
    <d v="1899-12-30T10:30:00"/>
    <d v="1899-12-30T17:30:00"/>
    <n v="0.29166666666666663"/>
    <x v="1"/>
    <n v="6.9999999999999991"/>
  </r>
  <r>
    <x v="2"/>
    <d v="2024-03-03T00:00:00"/>
    <s v="الاحد "/>
    <x v="19"/>
    <s v="حازم عبد الرحيم "/>
    <s v="رصف ارضيات الشوارع "/>
    <s v="تم العمل"/>
    <d v="1899-12-30T09:30:00"/>
    <d v="1899-12-30T17:00:00"/>
    <n v="0.27079999999999999"/>
    <x v="0"/>
    <n v="6.5"/>
  </r>
  <r>
    <x v="2"/>
    <d v="2024-03-04T00:00:00"/>
    <s v="الاثنين "/>
    <x v="0"/>
    <s v="مراد صالح  "/>
    <s v="استكمال اعمال تجديد حمام العاملين بالمخازن "/>
    <s v="تم العمل"/>
    <d v="1899-12-30T11:30:00"/>
    <d v="1899-12-30T17:00:00"/>
    <n v="0.27079999999999999"/>
    <x v="0"/>
    <n v="6.5"/>
  </r>
  <r>
    <x v="2"/>
    <d v="2024-03-04T00:00:00"/>
    <s v="الاثنين "/>
    <x v="17"/>
    <s v="فارس خليل  "/>
    <s v="لحامات فى الجمالون "/>
    <s v="تم العمل"/>
    <d v="1899-12-30T09:00:00"/>
    <d v="1899-12-30T16:00:00"/>
    <n v="0.27079999999999999"/>
    <x v="5"/>
    <n v="6.5"/>
  </r>
  <r>
    <x v="2"/>
    <d v="2024-03-04T00:00:00"/>
    <s v="الاثنين "/>
    <x v="21"/>
    <s v="طارق رجب "/>
    <s v="احلا ل وتجديد سقف جمالون دويتش  "/>
    <s v="تم العمل"/>
    <d v="1899-12-30T09:00:00"/>
    <d v="1899-12-30T16:00:00"/>
    <n v="0.27079999999999999"/>
    <x v="5"/>
    <n v="6.5"/>
  </r>
  <r>
    <x v="2"/>
    <d v="2024-03-04T00:00:00"/>
    <s v="الاثنين "/>
    <x v="5"/>
    <s v="خميس محمد ع الحليم"/>
    <s v="هدم وتكسير سلم العاملين   "/>
    <s v="تم العمل"/>
    <d v="1899-12-30T09:00:00"/>
    <d v="1899-12-30T16:00:00"/>
    <n v="0.29166666666666663"/>
    <x v="3"/>
    <n v="0.99999999999999911"/>
  </r>
  <r>
    <x v="2"/>
    <d v="2024-03-04T00:00:00"/>
    <s v="الاثنين "/>
    <x v="19"/>
    <s v="حازم عبد الرحيم "/>
    <s v="رصف ارضيات الشوارع "/>
    <s v="تم العمل"/>
    <d v="1899-12-30T09:30:00"/>
    <d v="1899-12-30T17:00:00"/>
    <n v="0.27079999999999999"/>
    <x v="0"/>
    <n v="6.5"/>
  </r>
  <r>
    <x v="2"/>
    <d v="2024-03-04T00:00:00"/>
    <s v="الاثنين "/>
    <x v="8"/>
    <s v="ممدوح عبد التواب "/>
    <s v="تغيير  واستبدال حساسات التجليد "/>
    <s v="تم العمل"/>
    <d v="1899-12-30T09:30:00"/>
    <d v="1899-12-30T17:00:00"/>
    <n v="0.31250000000000006"/>
    <x v="3"/>
    <n v="7.5000000000000018"/>
  </r>
  <r>
    <x v="2"/>
    <d v="2024-03-05T00:00:00"/>
    <s v="الثلاثاء "/>
    <x v="19"/>
    <s v="حازم عبد الرحيم "/>
    <s v="رصف ارضيات الشوارع "/>
    <s v="تم العمل"/>
    <d v="1899-12-30T09:30:00"/>
    <d v="1899-12-30T17:00:00"/>
    <n v="0.27079999999999999"/>
    <x v="0"/>
    <n v="6.5"/>
  </r>
  <r>
    <x v="2"/>
    <d v="2024-03-05T00:00:00"/>
    <s v="الثلاثاء "/>
    <x v="8"/>
    <s v="علاء الشابورى   "/>
    <s v="صيانة شبكة الانزار "/>
    <s v="تم العمل"/>
    <d v="1899-12-30T12:30:00"/>
    <d v="1899-12-30T14:00:00"/>
    <n v="6.25E-2"/>
    <x v="3"/>
    <n v="1.5"/>
  </r>
  <r>
    <x v="2"/>
    <d v="2024-03-05T00:00:00"/>
    <s v="الثلاثاء "/>
    <x v="8"/>
    <s v="ممدوح عبد التواب "/>
    <s v="تغيير  واستبدال حساسات التجليد "/>
    <s v="تم العمل"/>
    <d v="1899-12-30T09:30:00"/>
    <d v="1899-12-30T17:00:00"/>
    <n v="0.31250000000000006"/>
    <x v="3"/>
    <n v="7.5000000000000018"/>
  </r>
  <r>
    <x v="2"/>
    <d v="2024-03-05T00:00:00"/>
    <s v="الثلاثاء "/>
    <x v="5"/>
    <s v="عبد الرحمان محمد "/>
    <s v="تركيب رخام سلم العاملين  "/>
    <s v="تم العمل"/>
    <d v="1899-12-30T10:00:00"/>
    <d v="1899-12-30T21:30:00"/>
    <n v="0.47916666666666669"/>
    <x v="3"/>
    <n v="0.99999999999999911"/>
  </r>
  <r>
    <x v="2"/>
    <d v="2024-03-05T00:00:00"/>
    <s v="الثلاثاء "/>
    <x v="1"/>
    <s v="أحمد مخيمر  "/>
    <s v="تجميع وتركيب شبكة الحريق والكهرباء "/>
    <s v="تم العمل"/>
    <d v="1899-12-30T10:30:00"/>
    <d v="1899-12-30T17:30:00"/>
    <n v="0.29166666666666663"/>
    <x v="1"/>
    <n v="6.9999999999999991"/>
  </r>
  <r>
    <x v="2"/>
    <d v="2024-03-05T00:00:00"/>
    <s v="الثلاثاء "/>
    <x v="19"/>
    <s v="عبد الله السيد عباس "/>
    <s v="التعديل بالرامب "/>
    <s v="تم العمل"/>
    <d v="1899-12-30T00:00:00"/>
    <d v="1899-12-30T15:30:00"/>
    <n v="0.27079999999999999"/>
    <x v="1"/>
    <n v="6.5"/>
  </r>
  <r>
    <x v="2"/>
    <d v="2024-03-05T00:00:00"/>
    <s v="الثلاثاء "/>
    <x v="8"/>
    <s v="علاء الشابورى   "/>
    <s v="صيانة شبكة الانزار "/>
    <s v="تم العمل"/>
    <d v="1899-12-30T10:00:00"/>
    <d v="1899-12-30T10:30:00"/>
    <n v="2.0833333333333315E-2"/>
    <x v="3"/>
    <n v="0.49999999999999956"/>
  </r>
  <r>
    <x v="1"/>
    <d v="2024-03-06T00:00:00"/>
    <s v="الاربعاء "/>
    <x v="6"/>
    <s v="حسن  عبد العظيم "/>
    <s v="توصيل كونتا كتور الخاص بالطلمبة الجوكى "/>
    <s v="تم العمل"/>
    <d v="1899-12-30T15:30:00"/>
    <d v="1899-12-30T16:00:00"/>
    <n v="0.27079999999999999"/>
    <x v="1"/>
    <n v="6.5"/>
  </r>
  <r>
    <x v="2"/>
    <d v="2024-03-06T00:00:00"/>
    <s v="الاربعاء "/>
    <x v="19"/>
    <s v="عبد الله السيد عباس "/>
    <s v="التعديل بالرامب "/>
    <s v="تم العمل"/>
    <d v="1899-12-30T10:00:00"/>
    <d v="1899-12-30T15:00:00"/>
    <n v="0.27079999999999999"/>
    <x v="3"/>
    <n v="6.5"/>
  </r>
  <r>
    <x v="2"/>
    <d v="2024-03-06T00:00:00"/>
    <s v="الاربعاء "/>
    <x v="1"/>
    <s v="أحمد مخيمر  "/>
    <s v="تجميع وتركيب شبكة الحريق والكهرباء "/>
    <s v="تم العمل"/>
    <d v="1899-12-30T10:00:00"/>
    <d v="1899-12-30T17:30:00"/>
    <n v="0.31249999999999994"/>
    <x v="1"/>
    <n v="7.4999999999999982"/>
  </r>
  <r>
    <x v="2"/>
    <d v="2024-03-06T00:00:00"/>
    <s v="الاربعاء "/>
    <x v="5"/>
    <s v="محمد خليل "/>
    <s v="توصيل ماتور رفع المياة فى المبنى الادالرى  "/>
    <s v="تم العمل"/>
    <d v="1899-12-30T10:30:00"/>
    <d v="1899-12-30T15:30:00"/>
    <n v="0.20833333333333337"/>
    <x v="3"/>
    <n v="0.99999999999999911"/>
  </r>
  <r>
    <x v="2"/>
    <d v="2024-03-06T00:00:00"/>
    <s v="الاربعاء "/>
    <x v="19"/>
    <s v="حازم عبد الرحيم "/>
    <s v="رصف ارضيات الشوارع "/>
    <s v="تم العمل"/>
    <d v="1899-12-30T09:30:00"/>
    <d v="1899-12-30T17:00:00"/>
    <n v="0.27079999999999999"/>
    <x v="0"/>
    <n v="6.5"/>
  </r>
  <r>
    <x v="2"/>
    <d v="2024-03-06T00:00:00"/>
    <s v="الاربعاء "/>
    <x v="8"/>
    <s v="ممدوح عبد التواب "/>
    <s v="تغيير  واستبدال حساسات التجليد "/>
    <s v="تم العمل"/>
    <d v="1899-12-30T10:00:00"/>
    <d v="1899-12-30T18:00:00"/>
    <n v="0.33333333333333331"/>
    <x v="3"/>
    <n v="8"/>
  </r>
  <r>
    <x v="2"/>
    <d v="2024-03-06T00:00:00"/>
    <s v="الاربعاء "/>
    <x v="0"/>
    <s v="مراد صالح  "/>
    <s v=" تجديد حمام العاملين بالمخازن "/>
    <s v="تم العمل"/>
    <d v="1899-12-30T10:00:00"/>
    <d v="1899-12-30T17:00:00"/>
    <n v="0.27079999999999999"/>
    <x v="0"/>
    <n v="6.5"/>
  </r>
  <r>
    <x v="2"/>
    <d v="2024-03-07T00:00:00"/>
    <s v="الخميس "/>
    <x v="1"/>
    <s v="أحمد مخيمر  "/>
    <s v="تجميع وتركيب شبكة الحريق والكهرباء "/>
    <s v="تم العمل"/>
    <d v="1899-12-30T10:00:00"/>
    <d v="1899-12-30T17:00:00"/>
    <n v="0.29166666666666669"/>
    <x v="3"/>
    <n v="7"/>
  </r>
  <r>
    <x v="2"/>
    <d v="2024-03-07T00:00:00"/>
    <s v="الخميس "/>
    <x v="19"/>
    <s v="حازم عبد الرحيم "/>
    <s v="رصف ارضيات الشوارع "/>
    <s v="تم العمل"/>
    <d v="1899-12-30T09:30:00"/>
    <d v="1899-12-30T17:00:00"/>
    <n v="0.27079999999999999"/>
    <x v="0"/>
    <n v="6.5"/>
  </r>
  <r>
    <x v="2"/>
    <d v="2024-03-07T00:00:00"/>
    <s v="الخميس "/>
    <x v="5"/>
    <s v="احمد عبد النبى  "/>
    <s v="تركيب رخام سلم العاملين  "/>
    <s v="تم العمل"/>
    <d v="1899-12-30T10:00:00"/>
    <d v="1899-12-30T21:30:00"/>
    <n v="0.47916666666666669"/>
    <x v="3"/>
    <n v="0.99999999999999911"/>
  </r>
  <r>
    <x v="2"/>
    <d v="2024-03-07T00:00:00"/>
    <s v="الخميس "/>
    <x v="8"/>
    <s v="ممدوح عبد التواب "/>
    <s v="تغيير  واستبدال حساسات التجليد "/>
    <s v="تم العمل"/>
    <d v="1899-12-30T10:00:00"/>
    <d v="1899-12-30T17:00:00"/>
    <n v="0.29166666666666669"/>
    <x v="3"/>
    <n v="7"/>
  </r>
  <r>
    <x v="2"/>
    <d v="2024-03-07T00:00:00"/>
    <s v="الخميس "/>
    <x v="0"/>
    <s v="محمد حسنى  "/>
    <s v="عمل شدة خشبية  عمدان العنبر الجديد"/>
    <s v="تم العمل"/>
    <d v="1899-12-30T09:00:00"/>
    <d v="1899-12-30T16:00:00"/>
    <n v="0.27079999999999999"/>
    <x v="1"/>
    <n v="6.5"/>
  </r>
  <r>
    <x v="2"/>
    <d v="2024-03-08T00:00:00"/>
    <s v="الجمعة "/>
    <x v="5"/>
    <s v="ياسر روبى  "/>
    <s v="تركيب رخام لحمام استراحة المهندسين "/>
    <s v="تم العمل"/>
    <d v="1899-12-30T01:00:00"/>
    <d v="1899-12-30T17:00:00"/>
    <n v="0.66666666666666674"/>
    <x v="3"/>
    <n v="0.99999999999999911"/>
  </r>
  <r>
    <x v="2"/>
    <d v="2024-03-09T00:00:00"/>
    <s v="السبت "/>
    <x v="1"/>
    <s v="أحمد مخيمر  "/>
    <s v="تجميع وتركيب شبكة الحريق والكهرباء "/>
    <s v="تم العمل"/>
    <d v="1899-12-30T10:00:00"/>
    <d v="1899-12-30T16:00:00"/>
    <n v="0.24999999999999994"/>
    <x v="1"/>
    <n v="5.9999999999999982"/>
  </r>
  <r>
    <x v="2"/>
    <d v="2024-03-09T00:00:00"/>
    <s v="السبت "/>
    <x v="19"/>
    <s v="عبد الله السيد عباس "/>
    <s v="التعديل بالرامب "/>
    <s v="تم العمل"/>
    <d v="1899-12-30T10:00:00"/>
    <d v="1899-12-30T15:30:00"/>
    <n v="0.27079999999999999"/>
    <x v="1"/>
    <n v="6.5"/>
  </r>
  <r>
    <x v="2"/>
    <d v="2024-03-09T00:00:00"/>
    <s v="السبت "/>
    <x v="19"/>
    <s v="حازم عبد الرحيم "/>
    <s v="رصف ارضيات الشوارع "/>
    <s v="تم العمل"/>
    <d v="1899-12-30T09:30:00"/>
    <d v="1899-12-30T17:00:00"/>
    <n v="0.27079999999999999"/>
    <x v="0"/>
    <n v="6.5"/>
  </r>
  <r>
    <x v="2"/>
    <d v="2024-03-09T00:00:00"/>
    <s v="السبت "/>
    <x v="0"/>
    <s v="مراد صالح  "/>
    <s v=" تجديد حمام العاملين بالمخازن "/>
    <s v="تم العمل"/>
    <d v="1899-12-30T10:00:00"/>
    <d v="1899-12-30T16:00:00"/>
    <n v="0.27079999999999999"/>
    <x v="0"/>
    <n v="6.5"/>
  </r>
  <r>
    <x v="2"/>
    <d v="2024-03-09T00:00:00"/>
    <s v="السبت "/>
    <x v="8"/>
    <s v="ممدوح عبد التواب "/>
    <s v="تغيير  واستبدال حساسات التجليد "/>
    <s v="تم العمل"/>
    <d v="1899-12-30T10:00:00"/>
    <d v="1899-12-30T17:00:00"/>
    <n v="0.29166666666666669"/>
    <x v="3"/>
    <n v="7"/>
  </r>
  <r>
    <x v="2"/>
    <d v="2024-03-09T00:00:00"/>
    <s v="السبت "/>
    <x v="21"/>
    <s v="اكرم طارق  "/>
    <s v="احلا ل وتجديد سقف جمالون دويتش  "/>
    <s v="تم العمل"/>
    <d v="1899-12-30T09:00:00"/>
    <d v="1899-12-30T16:00:00"/>
    <n v="0.27079999999999999"/>
    <x v="5"/>
    <n v="6.5"/>
  </r>
  <r>
    <x v="2"/>
    <d v="2024-03-10T00:00:00"/>
    <s v="الاحد "/>
    <x v="21"/>
    <s v="طارق رجب   "/>
    <s v="احلا ل وتجديد سقف جمالون دويتش  "/>
    <s v="تم العمل"/>
    <d v="1899-12-30T10:00:00"/>
    <d v="1899-12-30T16:00:00"/>
    <n v="0.27079999999999999"/>
    <x v="5"/>
    <n v="6.5"/>
  </r>
  <r>
    <x v="2"/>
    <d v="2024-03-10T00:00:00"/>
    <s v="الاحد "/>
    <x v="8"/>
    <s v="ممدوح عبد التواب "/>
    <s v="تغيير  واستبدال حساسات التجليد "/>
    <s v="تم العمل"/>
    <d v="1899-12-30T10:00:00"/>
    <d v="1899-12-30T17:30:00"/>
    <n v="0.31249999999999994"/>
    <x v="3"/>
    <n v="7.4999999999999982"/>
  </r>
  <r>
    <x v="2"/>
    <d v="2024-03-10T00:00:00"/>
    <s v="الاحد "/>
    <x v="1"/>
    <s v="أحمد مخيمر  "/>
    <s v="تجميع وتركيب  والكهرباء "/>
    <s v="تم العمل"/>
    <d v="1899-12-30T10:00:00"/>
    <d v="1899-12-30T16:00:00"/>
    <n v="0.24999999999999994"/>
    <x v="1"/>
    <n v="5.9999999999999982"/>
  </r>
  <r>
    <x v="2"/>
    <d v="2024-03-10T00:00:00"/>
    <s v="الاحد "/>
    <x v="8"/>
    <s v="حامد المحاميد"/>
    <s v="دهان ماسورة فى غرفة الطرمبات "/>
    <s v="تم العمل"/>
    <d v="1899-12-30T14:30:00"/>
    <d v="1899-12-30T15:30:00"/>
    <n v="4.1666666666666741E-2"/>
    <x v="1"/>
    <n v="1.0000000000000018"/>
  </r>
  <r>
    <x v="2"/>
    <d v="2024-03-10T00:00:00"/>
    <s v="الاحد "/>
    <x v="0"/>
    <s v="مراد صالح  "/>
    <s v=" تجديد حمام العاملين بالمخازن "/>
    <s v="تم العمل"/>
    <d v="1899-12-30T10:00:00"/>
    <d v="1899-12-30T17:00:00"/>
    <n v="0.27079999999999999"/>
    <x v="0"/>
    <n v="6.5"/>
  </r>
  <r>
    <x v="2"/>
    <d v="2024-03-10T00:00:00"/>
    <s v="الاحد "/>
    <x v="19"/>
    <s v="عبد الله السيد عباس "/>
    <s v="رصف ارضيات الشوارع "/>
    <s v="تم العمل"/>
    <d v="1899-12-30T10:00:00"/>
    <d v="1899-12-30T19:00:00"/>
    <n v="0.27079999999999999"/>
    <x v="0"/>
    <n v="6.5"/>
  </r>
  <r>
    <x v="2"/>
    <d v="2024-03-12T00:00:00"/>
    <s v="الثلاثاء "/>
    <x v="1"/>
    <s v="أحمد مخيمر  "/>
    <s v="تجميع وتركيب  والكهرباء "/>
    <s v="تم العمل"/>
    <d v="1899-12-30T10:30:00"/>
    <d v="1899-12-30T15:30:00"/>
    <n v="0.20833333333333337"/>
    <x v="3"/>
    <n v="5.0000000000000009"/>
  </r>
  <r>
    <x v="2"/>
    <d v="2024-03-12T00:00:00"/>
    <s v="الثلاثاء "/>
    <x v="19"/>
    <s v="عبد الله السيد عباس "/>
    <s v="رصف ارضيات الشوارع "/>
    <s v="تم العمل"/>
    <d v="1899-12-30T10:00:00"/>
    <d v="1899-12-30T17:00:00"/>
    <n v="0.27079999999999999"/>
    <x v="0"/>
    <n v="6.5"/>
  </r>
  <r>
    <x v="2"/>
    <d v="2024-03-12T00:00:00"/>
    <s v="الثلاثاء "/>
    <x v="0"/>
    <s v="مراد صالح  "/>
    <s v=" تجديد حمام العاملين بالمخازن "/>
    <s v="تم العمل"/>
    <d v="1899-12-30T10:00:00"/>
    <d v="1899-12-30T17:00:00"/>
    <n v="0.27079999999999999"/>
    <x v="0"/>
    <n v="6.5"/>
  </r>
  <r>
    <x v="1"/>
    <d v="2024-03-12T00:00:00"/>
    <s v="الثلاثاء "/>
    <x v="6"/>
    <s v="كمال مرسى "/>
    <s v="ازالة بلاور  الويب القديم "/>
    <s v="تم العمل"/>
    <d v="1899-12-30T11:00:00"/>
    <d v="1899-12-30T00:00:00"/>
    <n v="0.27079999999999999"/>
    <x v="3"/>
    <n v="6.5"/>
  </r>
  <r>
    <x v="2"/>
    <d v="2024-03-12T00:00:00"/>
    <s v="الثلاثاء "/>
    <x v="8"/>
    <s v="ممدوح عبد التواب "/>
    <s v="تغيير  واستبدال حساسات التجليد "/>
    <s v="تم العمل"/>
    <d v="1899-12-30T09:30:00"/>
    <d v="1899-12-30T17:00:00"/>
    <n v="0.31250000000000006"/>
    <x v="3"/>
    <n v="7.5000000000000018"/>
  </r>
  <r>
    <x v="1"/>
    <d v="2024-03-12T00:00:00"/>
    <s v="الثلاثاء "/>
    <x v="6"/>
    <s v="صابر ابراهيم "/>
    <s v="تجهيز لحامات "/>
    <s v="تم العمل"/>
    <d v="1899-12-30T11:00:00"/>
    <d v="1899-12-30T15:00:00"/>
    <n v="0.27079999999999999"/>
    <x v="3"/>
    <n v="6.5"/>
  </r>
  <r>
    <x v="2"/>
    <d v="2024-03-13T00:00:00"/>
    <s v="الاربعاء "/>
    <x v="8"/>
    <s v="حامد المحاميد"/>
    <s v="مرور شهرى على خط  الاطفاء "/>
    <s v="تم العمل"/>
    <d v="1899-12-30T10:00:00"/>
    <d v="1899-12-30T12:00:00"/>
    <n v="8.3333333333333315E-2"/>
    <x v="3"/>
    <n v="1.9999999999999996"/>
  </r>
  <r>
    <x v="1"/>
    <d v="2024-03-13T00:00:00"/>
    <s v="الاربعاء "/>
    <x v="6"/>
    <s v="صابر ابراهيم "/>
    <s v="تقطيع ولحام "/>
    <s v="تم العمل"/>
    <d v="1899-12-30T10:00:00"/>
    <d v="1899-12-30T15:00:00"/>
    <n v="0.27079999999999999"/>
    <x v="3"/>
    <n v="6.5"/>
  </r>
  <r>
    <x v="2"/>
    <d v="2024-03-13T00:00:00"/>
    <s v="الاربعاء "/>
    <x v="21"/>
    <s v="طارق رجب   "/>
    <s v="احلا ل وتجديد سقف جمالون دويتش  "/>
    <s v="تم العمل"/>
    <d v="1899-12-30T10:00:00"/>
    <d v="1899-12-30T16:00:00"/>
    <n v="0.27079999999999999"/>
    <x v="5"/>
    <n v="6.5"/>
  </r>
  <r>
    <x v="2"/>
    <d v="2024-03-13T00:00:00"/>
    <s v="الاربعاء "/>
    <x v="8"/>
    <s v="ممدوح عبد التواب "/>
    <s v="تغيير  واستبدال حساسات التجليد "/>
    <s v="تم العمل"/>
    <d v="1899-12-30T10:00:00"/>
    <d v="1899-12-30T16:00:00"/>
    <n v="0.24999999999999994"/>
    <x v="3"/>
    <n v="5.9999999999999982"/>
  </r>
  <r>
    <x v="2"/>
    <d v="2024-03-13T00:00:00"/>
    <s v="الاربعاء "/>
    <x v="1"/>
    <s v="أحمد مخيمر  "/>
    <s v="تجميع وتركيب  والكهرباء "/>
    <s v="تم العمل"/>
    <d v="1899-12-30T10:00:00"/>
    <d v="1899-12-30T15:30:00"/>
    <n v="0.22916666666666669"/>
    <x v="1"/>
    <n v="5.5"/>
  </r>
  <r>
    <x v="2"/>
    <d v="2024-03-13T00:00:00"/>
    <s v="الاربعاء "/>
    <x v="19"/>
    <s v="عبد الله السيد عباس "/>
    <s v="التعديل بالرامب "/>
    <s v="تم العمل"/>
    <d v="1899-12-30T00:30:00"/>
    <d v="1899-12-30T14:30:00"/>
    <n v="0.27079999999999999"/>
    <x v="1"/>
    <n v="6.5"/>
  </r>
  <r>
    <x v="1"/>
    <d v="2024-03-13T00:00:00"/>
    <s v="الاربعاء "/>
    <x v="7"/>
    <s v="محمد ماهر "/>
    <s v="مكافحة حشرات "/>
    <s v="تم العمل"/>
    <d v="1899-12-30T10:30:00"/>
    <d v="1899-12-30T11:30:00"/>
    <n v="4.1666666666666685E-2"/>
    <x v="1"/>
    <n v="1.0000000000000004"/>
  </r>
  <r>
    <x v="2"/>
    <d v="2024-03-13T00:00:00"/>
    <s v="الاربعاء "/>
    <x v="19"/>
    <s v="عبد الله السيد عباس "/>
    <s v="رصف ارضيات الشوارع "/>
    <s v="تم العمل"/>
    <d v="1899-12-30T10:00:00"/>
    <d v="1899-12-30T15:30:00"/>
    <n v="0.27079999999999999"/>
    <x v="0"/>
    <n v="6.5"/>
  </r>
  <r>
    <x v="2"/>
    <d v="2024-03-13T00:00:00"/>
    <s v="الاربعاء "/>
    <x v="0"/>
    <s v="مراد صالح  "/>
    <s v="تركيب السيراميك فى الحمام  العاملين "/>
    <s v="تم العمل"/>
    <d v="1899-12-30T10:00:00"/>
    <d v="1899-12-30T15:30:00"/>
    <n v="0.27079999999999999"/>
    <x v="0"/>
    <n v="6.5"/>
  </r>
  <r>
    <x v="2"/>
    <d v="2024-03-14T00:00:00"/>
    <s v="الخميس "/>
    <x v="8"/>
    <s v="ممدوح عبد التواب "/>
    <s v="تغيير  واستبدال حساسات التجليد "/>
    <s v="تم العمل"/>
    <d v="1899-12-30T10:00:00"/>
    <d v="1899-12-30T16:00:00"/>
    <n v="0.24999999999999994"/>
    <x v="3"/>
    <n v="5.9999999999999982"/>
  </r>
  <r>
    <x v="2"/>
    <d v="2024-03-14T00:00:00"/>
    <s v="الخميس "/>
    <x v="3"/>
    <s v="علاء احمد "/>
    <s v="تريكبات وصيانة  "/>
    <s v="تم العمل"/>
    <d v="1899-12-30T11:00:00"/>
    <d v="1899-12-30T13:00:00"/>
    <n v="8.3333333333333315E-2"/>
    <x v="2"/>
    <n v="1.9999999999999996"/>
  </r>
  <r>
    <x v="2"/>
    <d v="2024-03-14T00:00:00"/>
    <s v="الخميس "/>
    <x v="19"/>
    <s v="حازم عبد الرحيم  "/>
    <s v="رصف ارضيات الشوارع "/>
    <s v="تم العمل"/>
    <d v="1899-12-30T09:30:00"/>
    <d v="1899-12-30T14:00:00"/>
    <n v="0.27079999999999999"/>
    <x v="0"/>
    <n v="6.5"/>
  </r>
  <r>
    <x v="2"/>
    <d v="2024-03-14T00:00:00"/>
    <s v="الخميس "/>
    <x v="1"/>
    <s v="أحمد مخيمر  "/>
    <s v="تجميع وتركيب  والكهرباء "/>
    <s v="تم العمل"/>
    <d v="1899-12-30T10:00:00"/>
    <d v="1899-12-30T15:30:00"/>
    <n v="0.22916666666666669"/>
    <x v="0"/>
    <n v="5.5"/>
  </r>
  <r>
    <x v="2"/>
    <d v="2024-03-16T00:00:00"/>
    <s v="السبت "/>
    <x v="19"/>
    <s v="حازم عبد الرحيم  "/>
    <s v="رصف ارضيات الشوارع "/>
    <s v="تم العمل"/>
    <d v="1899-12-30T10:00:00"/>
    <d v="1899-12-30T15:00:00"/>
    <n v="0.27079999999999999"/>
    <x v="0"/>
    <n v="6.5"/>
  </r>
  <r>
    <x v="2"/>
    <d v="2024-03-16T00:00:00"/>
    <s v="السبت "/>
    <x v="1"/>
    <s v="أحمد مخيمر  "/>
    <s v="تجميع وتركيب  والكهرباء "/>
    <s v="تم العمل"/>
    <d v="1899-12-30T10:00:00"/>
    <d v="1899-12-30T15:00:00"/>
    <n v="0.20833333333333331"/>
    <x v="1"/>
    <n v="5"/>
  </r>
  <r>
    <x v="2"/>
    <d v="2024-03-17T00:00:00"/>
    <s v="الاحد "/>
    <x v="19"/>
    <s v="حازم عبد الرحيم  "/>
    <s v="رصف ارضيات الشوارع "/>
    <s v="تم العمل"/>
    <d v="1899-12-30T09:30:00"/>
    <d v="1899-12-30T16:00:00"/>
    <n v="0.27079999999999999"/>
    <x v="0"/>
    <n v="6.5"/>
  </r>
  <r>
    <x v="2"/>
    <d v="2024-03-17T00:00:00"/>
    <s v="الاحد "/>
    <x v="8"/>
    <s v="ممدوح عبد التواب "/>
    <s v="تغيير  واستبدال حساسات التجليد "/>
    <s v="تم العمل"/>
    <d v="1899-12-30T09:30:00"/>
    <d v="1899-12-30T16:00:00"/>
    <n v="0.27083333333333331"/>
    <x v="3"/>
    <n v="6.5"/>
  </r>
  <r>
    <x v="2"/>
    <d v="2024-03-18T00:00:00"/>
    <s v="الاثنين "/>
    <x v="6"/>
    <s v="محمد النقيب "/>
    <s v="تركيب وصيانة كشافات العنابر "/>
    <s v="تم العمل"/>
    <d v="1899-12-30T14:00:00"/>
    <d v="1899-12-30T16:00:00"/>
    <n v="0.27079999999999999"/>
    <x v="3"/>
    <n v="6.5"/>
  </r>
  <r>
    <x v="2"/>
    <d v="2024-03-18T00:00:00"/>
    <s v="الاثنين "/>
    <x v="6"/>
    <s v="صابر ابراهيم "/>
    <s v="لحام زاويه حديدفى تنكات الاحبار "/>
    <s v="تم العمل"/>
    <d v="1899-12-30T13:00:00"/>
    <d v="1899-12-30T13:30:00"/>
    <n v="0.27079999999999999"/>
    <x v="3"/>
    <n v="6.5"/>
  </r>
  <r>
    <x v="2"/>
    <d v="2024-03-18T00:00:00"/>
    <s v="الاثنين "/>
    <x v="14"/>
    <s v="محمد عادل  "/>
    <s v="صيانة المصاعد    "/>
    <s v="تم العمل"/>
    <d v="1899-12-30T00:30:00"/>
    <d v="1899-12-30T13:30:00"/>
    <n v="2.0799999999999999E-2"/>
    <x v="1"/>
    <n v="1"/>
  </r>
  <r>
    <x v="2"/>
    <d v="2024-03-18T00:00:00"/>
    <s v="الاثنين "/>
    <x v="19"/>
    <s v="عبد الله السيد عباس "/>
    <s v="رصف ارضيات الشوارع "/>
    <s v="تم العمل"/>
    <d v="1899-12-30T08:30:00"/>
    <d v="1899-12-30T15:30:00"/>
    <n v="0.27079999999999999"/>
    <x v="0"/>
    <n v="6.5"/>
  </r>
  <r>
    <x v="2"/>
    <d v="2024-03-18T00:00:00"/>
    <s v="الثلاثاء "/>
    <x v="8"/>
    <s v="ممدوح عبد التواب "/>
    <s v="تغيير  واستبدال حساسات التجليد "/>
    <s v="تم العمل"/>
    <d v="1899-12-30T09:30:00"/>
    <d v="1899-12-30T16:00:00"/>
    <n v="0.27083333333333331"/>
    <x v="3"/>
    <n v="6.5"/>
  </r>
  <r>
    <x v="2"/>
    <d v="2024-03-19T00:00:00"/>
    <s v="الثلاثاء "/>
    <x v="19"/>
    <s v="عبد الله السيد عباس "/>
    <s v="رصف ارضيات الشوارع "/>
    <s v="تم العمل"/>
    <d v="1899-12-30T08:30:00"/>
    <d v="1899-12-30T15:00:00"/>
    <n v="0.27079999999999999"/>
    <x v="0"/>
    <n v="6.5"/>
  </r>
  <r>
    <x v="2"/>
    <d v="2024-03-19T00:00:00"/>
    <s v="الثلاثاء "/>
    <x v="0"/>
    <s v="مراد صالح  "/>
    <s v="تجديد الحمام  "/>
    <s v="تم العمل"/>
    <d v="1899-12-30T10:00:00"/>
    <d v="1899-12-30T15:00:00"/>
    <n v="0.27079999999999999"/>
    <x v="0"/>
    <n v="6.5"/>
  </r>
  <r>
    <x v="2"/>
    <d v="2024-03-20T00:00:00"/>
    <s v="الاربعاء "/>
    <x v="8"/>
    <s v="ممدوح عبد التواب "/>
    <s v="تغيير  واستبدال حساسات التجليد "/>
    <s v="تم العمل"/>
    <d v="1899-12-30T09:30:00"/>
    <d v="1899-12-30T16:00:00"/>
    <n v="0.27083333333333331"/>
    <x v="3"/>
    <n v="6.5"/>
  </r>
  <r>
    <x v="2"/>
    <d v="2024-03-20T00:00:00"/>
    <s v="الاربعاء "/>
    <x v="4"/>
    <s v="شامخ سيد "/>
    <s v="صيانة شبكة فودافون "/>
    <s v="تم العمل"/>
    <d v="1899-12-30T10:00:00"/>
    <d v="1899-12-30T15:00:00"/>
    <n v="0.20833333333333331"/>
    <x v="2"/>
    <n v="5"/>
  </r>
  <r>
    <x v="2"/>
    <d v="2024-03-20T00:00:00"/>
    <s v="الاربعاء "/>
    <x v="19"/>
    <s v="عبد الله السيد عباس "/>
    <s v="رصف ارضيات الشوارع "/>
    <s v="تم العمل"/>
    <d v="1899-12-30T08:00:00"/>
    <d v="1899-12-30T15:00:00"/>
    <n v="0.27079999999999999"/>
    <x v="0"/>
    <n v="6.5"/>
  </r>
  <r>
    <x v="2"/>
    <d v="2024-03-20T00:00:00"/>
    <s v="الاربعاء "/>
    <x v="0"/>
    <s v="مراد صالح  "/>
    <s v="تجديد الحمام  "/>
    <s v="تم العمل"/>
    <d v="1899-12-30T10:00:00"/>
    <d v="1899-12-30T15:00:00"/>
    <n v="0.27079999999999999"/>
    <x v="0"/>
    <n v="6.5"/>
  </r>
  <r>
    <x v="2"/>
    <d v="2024-03-23T00:00:00"/>
    <s v="السبت "/>
    <x v="19"/>
    <s v="حازم عبد الرحيم  "/>
    <s v="رصف ارضيات الشوارع "/>
    <s v="تم العمل"/>
    <d v="1899-12-30T08:00:00"/>
    <d v="1899-12-30T14:30:00"/>
    <n v="0.27079999999999999"/>
    <x v="0"/>
    <n v="6.5"/>
  </r>
  <r>
    <x v="2"/>
    <d v="2024-03-23T00:00:00"/>
    <s v="السبت "/>
    <x v="0"/>
    <s v="مراد صالح  "/>
    <s v="تجديد الحمام  "/>
    <s v="تم العمل"/>
    <d v="1899-12-30T08:00:00"/>
    <d v="1899-12-30T16:00:00"/>
    <n v="0.27079999999999999"/>
    <x v="0"/>
    <n v="6.5"/>
  </r>
  <r>
    <x v="2"/>
    <d v="2024-03-24T00:00:00"/>
    <s v="الاحد "/>
    <x v="8"/>
    <s v="ممدوح عبد التواب "/>
    <s v="تغيير  واستبدال حساسات التجليد "/>
    <s v="تم العمل"/>
    <d v="1899-12-30T09:30:00"/>
    <d v="1899-12-30T16:00:00"/>
    <n v="0.27083333333333331"/>
    <x v="3"/>
    <n v="6.5"/>
  </r>
  <r>
    <x v="2"/>
    <d v="2024-03-24T00:00:00"/>
    <s v="الاحد "/>
    <x v="8"/>
    <s v="حامد عطوان "/>
    <s v="زيارة شركة الصيانة  "/>
    <s v="تم العمل"/>
    <d v="1899-12-30T10:30:00"/>
    <d v="1899-12-30T11:30:00"/>
    <n v="4.1666666666666685E-2"/>
    <x v="3"/>
    <n v="1.0000000000000004"/>
  </r>
  <r>
    <x v="2"/>
    <d v="2024-03-24T00:00:00"/>
    <s v="الاحد "/>
    <x v="0"/>
    <s v="مراد صالح  "/>
    <s v="تجديد الحمام  "/>
    <s v="تم العمل"/>
    <d v="1899-12-30T09:00:00"/>
    <d v="1899-12-30T14:00:00"/>
    <n v="0.27079999999999999"/>
    <x v="0"/>
    <n v="6.5"/>
  </r>
  <r>
    <x v="2"/>
    <d v="2024-03-24T00:00:00"/>
    <s v="الاحد "/>
    <x v="5"/>
    <s v="محمد خليل   "/>
    <s v="توصيل  كهرباء انارة وسخان "/>
    <s v="تم العمل"/>
    <d v="1899-12-30T10:30:00"/>
    <d v="1899-12-30T13:00:00"/>
    <n v="0.10416666666666663"/>
    <x v="3"/>
    <n v="0.99999999999999911"/>
  </r>
  <r>
    <x v="2"/>
    <d v="2024-03-24T00:00:00"/>
    <s v="الاحد "/>
    <x v="19"/>
    <s v="حازم عبد الرحيم  "/>
    <s v="رصف ارضيات الشوارع "/>
    <s v="تم العمل"/>
    <d v="1899-12-30T08:00:00"/>
    <d v="1899-12-30T14:30:00"/>
    <n v="0.27079999999999999"/>
    <x v="0"/>
    <n v="6.5"/>
  </r>
  <r>
    <x v="2"/>
    <d v="2024-03-25T00:00:00"/>
    <s v="الاثنين "/>
    <x v="9"/>
    <s v="سامى شعبان  "/>
    <s v="صيانة الكلاركات "/>
    <s v="تم العمل"/>
    <d v="1899-12-30T10:00:00"/>
    <d v="1899-12-30T11:00:00"/>
    <n v="4.166666666666663E-2"/>
    <x v="3"/>
    <n v="0.99999999999999911"/>
  </r>
  <r>
    <x v="2"/>
    <d v="2024-03-25T00:00:00"/>
    <s v="الاثنين "/>
    <x v="4"/>
    <s v="احمد نوفل "/>
    <s v="صيانة شبكة فودافون "/>
    <s v="تم العمل"/>
    <d v="1899-12-30T10:00:00"/>
    <d v="1899-12-30T15:00:00"/>
    <n v="0.20833333333333331"/>
    <x v="2"/>
    <n v="5"/>
  </r>
  <r>
    <x v="2"/>
    <d v="2024-03-25T00:00:00"/>
    <s v="الاثنين "/>
    <x v="19"/>
    <s v="حازم عبد الرحيم  "/>
    <s v="رصف ارضيات الشوارع "/>
    <s v="تم العمل"/>
    <d v="1899-12-30T08:00:00"/>
    <d v="1899-12-30T15:00:00"/>
    <n v="0.27079999999999999"/>
    <x v="0"/>
    <n v="6.5"/>
  </r>
  <r>
    <x v="2"/>
    <d v="2024-03-25T00:00:00"/>
    <s v="الاثنين "/>
    <x v="8"/>
    <s v="ممدوح عبد التواب "/>
    <s v="تغيير  واستبدال حساسات التجليد "/>
    <s v="تم العمل"/>
    <d v="1899-12-30T09:30:00"/>
    <d v="1899-12-30T16:00:00"/>
    <n v="0.27083333333333331"/>
    <x v="3"/>
    <n v="6.5"/>
  </r>
  <r>
    <x v="2"/>
    <d v="2024-03-25T00:00:00"/>
    <s v="الاثنين "/>
    <x v="5"/>
    <s v="ياسر روبى  "/>
    <s v="تركيب حوض حمام "/>
    <s v="تم العمل"/>
    <d v="1899-12-30T08:00:00"/>
    <d v="1899-12-30T00:00:00"/>
    <n v="-0.33333333333333331"/>
    <x v="3"/>
    <n v="0.99999999999999911"/>
  </r>
  <r>
    <x v="2"/>
    <d v="2024-03-26T00:00:00"/>
    <s v="الثلاثاء "/>
    <x v="8"/>
    <s v="ممدوح عبد التواب "/>
    <s v="تغيير  واستبدال حساسات التجليد "/>
    <s v="تم العمل"/>
    <d v="1899-12-30T09:00:00"/>
    <d v="1899-12-30T14:00:00"/>
    <n v="0.20833333333333337"/>
    <x v="3"/>
    <n v="5.0000000000000009"/>
  </r>
  <r>
    <x v="2"/>
    <d v="2024-03-26T00:00:00"/>
    <s v="الثلاثاء "/>
    <x v="19"/>
    <s v="حازم عبد الرحيم  "/>
    <s v="اعمال ردم خرسانة "/>
    <s v="تم العمل"/>
    <d v="1899-12-30T14:00:00"/>
    <d v="1899-12-30T15:00:00"/>
    <n v="0.27079999999999999"/>
    <x v="0"/>
    <n v="6.5"/>
  </r>
  <r>
    <x v="2"/>
    <d v="2024-03-26T00:00:00"/>
    <s v="الثلاثاء "/>
    <x v="6"/>
    <s v="صابر ابراهيم "/>
    <s v="تركيب بلور "/>
    <s v="تم العمل"/>
    <d v="1899-12-30T10:00:00"/>
    <d v="1899-12-30T00:00:00"/>
    <n v="0.27079999999999999"/>
    <x v="3"/>
    <n v="6.5"/>
  </r>
  <r>
    <x v="2"/>
    <d v="2024-03-27T00:00:00"/>
    <s v="الاربعاء "/>
    <x v="19"/>
    <s v="حازم عبد الرحيم  "/>
    <s v="اعمال ردم خرسانة "/>
    <s v="تم العمل"/>
    <d v="1899-12-30T10:00:00"/>
    <d v="1899-12-30T15:00:00"/>
    <n v="0.27079999999999999"/>
    <x v="0"/>
    <n v="6.5"/>
  </r>
  <r>
    <x v="2"/>
    <d v="2024-03-27T00:00:00"/>
    <s v="الاربعاء "/>
    <x v="3"/>
    <s v="علاء احمد "/>
    <s v="تركيب كابل نت   "/>
    <s v="تم العمل"/>
    <d v="1899-12-30T09:00:00"/>
    <d v="1899-12-30T12:00:00"/>
    <n v="0.125"/>
    <x v="2"/>
    <n v="3"/>
  </r>
  <r>
    <x v="2"/>
    <d v="2024-03-27T00:00:00"/>
    <s v="الاربعاء "/>
    <x v="8"/>
    <s v="ممدوح عبد التواب "/>
    <s v="تغيير  واستبدال حساسات التجليد "/>
    <s v="تم العمل"/>
    <d v="1899-12-30T09:00:00"/>
    <d v="1899-12-30T14:00:00"/>
    <n v="0.20833333333333337"/>
    <x v="3"/>
    <n v="5.0000000000000009"/>
  </r>
  <r>
    <x v="2"/>
    <d v="2024-03-27T00:00:00"/>
    <s v="الاربعاء "/>
    <x v="7"/>
    <s v="محمد ماهر "/>
    <s v="مكافحة حشرات "/>
    <s v="تم العمل"/>
    <d v="1899-12-30T12:00:00"/>
    <d v="1899-12-30T13:00:00"/>
    <n v="4.166666666666663E-2"/>
    <x v="1"/>
    <n v="0.99999999999999911"/>
  </r>
  <r>
    <x v="2"/>
    <d v="2024-03-27T00:00:00"/>
    <s v="الاربعاء "/>
    <x v="19"/>
    <s v="حازم عبد الرحيم  "/>
    <s v="رصف ارضيات الشوارع "/>
    <s v="تم العمل"/>
    <d v="1899-12-30T08:00:00"/>
    <d v="1899-12-30T15:00:00"/>
    <n v="0.27079999999999999"/>
    <x v="0"/>
    <n v="6.4992000000000001"/>
  </r>
  <r>
    <x v="2"/>
    <d v="2024-03-28T00:00:00"/>
    <s v="الخميس "/>
    <x v="5"/>
    <s v="محمد خليل   "/>
    <s v="تركيب كابل تكيف "/>
    <s v="تم العمل"/>
    <d v="1899-12-30T10:30:00"/>
    <d v="1899-12-30T14:00:00"/>
    <n v="0.14583333333333337"/>
    <x v="2"/>
    <n v="3.5000000000000009"/>
  </r>
  <r>
    <x v="2"/>
    <d v="2024-03-28T00:00:00"/>
    <s v="الخميس "/>
    <x v="6"/>
    <s v="احمد سلامة "/>
    <s v="عمل لحام  تنكات الاحبار "/>
    <s v="تم العمل"/>
    <d v="1899-12-30T11:00:00"/>
    <d v="1899-12-30T00:00:00"/>
    <n v="0.27079999999999999"/>
    <x v="3"/>
    <n v="6.4992000000000001"/>
  </r>
  <r>
    <x v="2"/>
    <d v="2024-03-28T00:00:00"/>
    <s v="الخميس "/>
    <x v="19"/>
    <s v="حازم عبد الرحيم  "/>
    <s v="رصف ارضيات الشوارع "/>
    <s v="تم العمل"/>
    <d v="1899-12-30T08:00:00"/>
    <d v="1899-12-30T15:00:00"/>
    <n v="0.27079999999999999"/>
    <x v="0"/>
    <n v="6.4992000000000001"/>
  </r>
  <r>
    <x v="2"/>
    <d v="2024-03-28T00:00:00"/>
    <s v="الخميس "/>
    <x v="0"/>
    <s v="مراد صالح  "/>
    <s v="اعمال نقاشة   "/>
    <s v="تم العمل"/>
    <d v="1899-12-30T10:00:00"/>
    <d v="1899-12-30T13:00:00"/>
    <n v="0.27079999999999999"/>
    <x v="0"/>
    <n v="6.4992000000000001"/>
  </r>
  <r>
    <x v="2"/>
    <d v="2024-03-30T00:00:00"/>
    <s v="السبت "/>
    <x v="18"/>
    <s v="فيكتور     "/>
    <s v="صيانة طلمبات الحريق "/>
    <s v="تم العمل"/>
    <d v="1899-12-30T11:30:00"/>
    <d v="1899-12-30T15:30:00"/>
    <n v="0.16666666666666669"/>
    <x v="4"/>
    <n v="4"/>
  </r>
  <r>
    <x v="2"/>
    <d v="2024-03-30T00:00:00"/>
    <s v="السبت "/>
    <x v="18"/>
    <s v="فيكتور     "/>
    <s v="تركيب كاميرات "/>
    <s v="تم العمل"/>
    <d v="1899-12-30T10:00:00"/>
    <d v="1899-12-30T16:00:00"/>
    <n v="0.24999999999999994"/>
    <x v="4"/>
    <n v="5.9999999999999982"/>
  </r>
  <r>
    <x v="2"/>
    <d v="2024-03-30T00:00:00"/>
    <s v="السبت "/>
    <x v="18"/>
    <s v="فيكتور     "/>
    <s v="لحام صيانة باب المخزن "/>
    <s v="تم العمل"/>
    <d v="1899-12-30T10:30:00"/>
    <d v="1899-12-30T15:30:00"/>
    <n v="0.20833333333333337"/>
    <x v="3"/>
    <n v="5.0000000000000009"/>
  </r>
  <r>
    <x v="2"/>
    <d v="2024-03-31T00:00:00"/>
    <s v="الاحد "/>
    <x v="5"/>
    <s v="مجدى كرم  "/>
    <s v="تغير السقف المعلق "/>
    <s v="تم العمل"/>
    <d v="1899-12-30T10:00:00"/>
    <d v="1899-12-30T13:00:00"/>
    <n v="0.12499999999999994"/>
    <x v="6"/>
    <n v="2.9999999999999987"/>
  </r>
  <r>
    <x v="2"/>
    <d v="2024-03-31T00:00:00"/>
    <s v="الاحد "/>
    <x v="19"/>
    <s v="حازم عبد الرحيم  "/>
    <s v="فك خشب"/>
    <s v="تم العمل"/>
    <d v="1899-12-30T11:00:00"/>
    <d v="1899-12-30T13:00:00"/>
    <n v="8.3333333333333315E-2"/>
    <x v="0"/>
    <n v="1.9999999999999996"/>
  </r>
  <r>
    <x v="2"/>
    <d v="2024-03-31T00:00:00"/>
    <s v="الاحد "/>
    <x v="6"/>
    <s v="صابر ابراهيم "/>
    <s v="تعديل ولحام شاسيه"/>
    <s v="تم العمل"/>
    <d v="1899-12-30T12:00:00"/>
    <d v="1899-12-30T15:00:00"/>
    <n v="0.125"/>
    <x v="3"/>
    <n v="3"/>
  </r>
  <r>
    <x v="2"/>
    <d v="2024-03-31T00:00:00"/>
    <s v="الاحد "/>
    <x v="19"/>
    <s v="حازم عبد الرحيم  "/>
    <s v="رصف ارضيات الشوارع "/>
    <s v="تم العمل"/>
    <d v="1899-12-30T08:00:00"/>
    <d v="1899-12-30T14:00:00"/>
    <n v="0.25000000000000006"/>
    <x v="0"/>
    <n v="6.0000000000000018"/>
  </r>
  <r>
    <x v="3"/>
    <d v="2024-04-01T00:00:00"/>
    <s v="الاثنين "/>
    <x v="8"/>
    <s v="عادل شحات"/>
    <s v="الزيارة الشهرية المرور علي لوحات الانزار"/>
    <s v="تم العمل"/>
    <d v="1899-12-30T11:00:00"/>
    <d v="1899-12-30T00:00:00"/>
    <n v="0.27079999999999999"/>
    <x v="1"/>
    <n v="6.4992000000000001"/>
  </r>
  <r>
    <x v="3"/>
    <d v="2024-04-02T00:00:00"/>
    <s v="الاثنين "/>
    <x v="5"/>
    <s v="وائل انور  "/>
    <s v="فك وتغيير وتركيب  السقف المعلق "/>
    <s v="تم العمل"/>
    <d v="1899-12-30T15:00:00"/>
    <d v="1899-12-30T21:00:00"/>
    <n v="0.25"/>
    <x v="3"/>
    <n v="6"/>
  </r>
  <r>
    <x v="3"/>
    <d v="2024-04-01T00:00:00"/>
    <s v="الاثنين "/>
    <x v="19"/>
    <s v="حازم عبد الرحيم  "/>
    <s v="تسوية الارضيه"/>
    <s v="تم العمل"/>
    <d v="1899-12-30T14:00:00"/>
    <d v="1899-12-30T15:00:00"/>
    <n v="4.166666666666663E-2"/>
    <x v="0"/>
    <n v="0.99999999999999911"/>
  </r>
  <r>
    <x v="3"/>
    <d v="2024-04-01T00:00:00"/>
    <s v="الاثنين "/>
    <x v="6"/>
    <s v="احمد بدوي"/>
    <s v="تركيب كاميرات "/>
    <s v="تم العمل"/>
    <d v="1899-12-30T15:45:00"/>
    <d v="1899-12-30T12:00:00"/>
    <n v="0.15625"/>
    <x v="3"/>
    <n v="3.75"/>
  </r>
  <r>
    <x v="3"/>
    <d v="2024-04-01T00:00:00"/>
    <s v="الاثنين "/>
    <x v="8"/>
    <s v="على الشابوري"/>
    <s v="تركيب حساسات"/>
    <s v="تم العمل"/>
    <d v="1899-12-30T10:30:00"/>
    <d v="1899-12-30T13:30:00"/>
    <n v="0.125"/>
    <x v="3"/>
    <n v="0"/>
  </r>
  <r>
    <x v="3"/>
    <d v="2024-04-02T00:00:00"/>
    <s v="الثلاثاء "/>
    <x v="22"/>
    <s v="محمود الدروى "/>
    <s v="صيانة تكييفات"/>
    <s v="تم العمل"/>
    <d v="1899-12-30T10:30:00"/>
    <d v="1899-12-30T13:30:00"/>
    <n v="0.125"/>
    <x v="3"/>
    <n v="3"/>
  </r>
  <r>
    <x v="3"/>
    <d v="2024-04-02T00:00:00"/>
    <s v="الثلاثاء "/>
    <x v="19"/>
    <s v="حازم عبد الرحيم  "/>
    <s v="رصف ارضيات الشوارع "/>
    <s v="تم العمل"/>
    <d v="1899-12-30T09:30:00"/>
    <d v="1899-12-30T15:30:00"/>
    <n v="0.25000000000000006"/>
    <x v="0"/>
    <n v="6.0000000000000018"/>
  </r>
  <r>
    <x v="3"/>
    <d v="2024-04-02T00:00:00"/>
    <s v="الثلاثاء "/>
    <x v="5"/>
    <s v="مجدى كرم  "/>
    <s v="تركيب  السقف المعلق "/>
    <s v="تم العمل"/>
    <d v="1899-12-30T15:00:00"/>
    <d v="1899-12-30T21:00:00"/>
    <n v="0.25"/>
    <x v="6"/>
    <n v="6"/>
  </r>
  <r>
    <x v="3"/>
    <d v="2024-04-03T00:00:00"/>
    <s v="الاربعاء "/>
    <x v="5"/>
    <s v="ادم"/>
    <s v="رصف مدخل بوابة 2"/>
    <s v="تم العمل"/>
    <d v="1899-12-30T11:00:00"/>
    <d v="1899-12-30T12:30:00"/>
    <n v="6.2500000000000056E-2"/>
    <x v="3"/>
    <n v="1.5000000000000013"/>
  </r>
  <r>
    <x v="3"/>
    <d v="2024-04-03T00:00:00"/>
    <s v="الاربعاء "/>
    <x v="7"/>
    <s v="احمد مظهر  "/>
    <s v="الزيارة الدورية للمكافحة الحشرات "/>
    <s v="تم العمل"/>
    <d v="1899-12-30T12:30:00"/>
    <d v="1899-12-30T15:00:00"/>
    <n v="0.10416666666666663"/>
    <x v="3"/>
    <n v="2.4999999999999991"/>
  </r>
  <r>
    <x v="3"/>
    <d v="2024-04-03T00:00:00"/>
    <s v="الاربعاء "/>
    <x v="19"/>
    <s v="حازم عبد الرحيم  "/>
    <s v="استكمال العمل فى رصف ارضيات الشوارع "/>
    <s v="تم العمل"/>
    <d v="1899-12-30T08:00:00"/>
    <d v="1899-12-30T15:00:00"/>
    <n v="0.29166666666666669"/>
    <x v="0"/>
    <n v="7"/>
  </r>
  <r>
    <x v="3"/>
    <d v="2024-04-03T00:00:00"/>
    <s v="الاربعاء "/>
    <x v="28"/>
    <s v="صابر احمد السيد "/>
    <s v="تركيب تشيلر حديد ولحام "/>
    <s v="تم العمل"/>
    <d v="1899-12-30T09:00:00"/>
    <d v="1899-12-30T16:00:00"/>
    <n v="0.29166666666666663"/>
    <x v="3"/>
    <n v="6.9999999999999991"/>
  </r>
  <r>
    <x v="3"/>
    <d v="2024-04-04T00:00:00"/>
    <s v="الخميس "/>
    <x v="28"/>
    <s v="صابر احمد السيد "/>
    <s v="تركيب تشيلر حديد ولحام "/>
    <s v="تم العمل"/>
    <d v="1899-12-30T09:30:00"/>
    <d v="1899-12-30T13:00:00"/>
    <n v="0.14583333333333331"/>
    <x v="3"/>
    <n v="3.4999999999999996"/>
  </r>
  <r>
    <x v="3"/>
    <d v="2024-04-04T00:00:00"/>
    <s v="الخميس "/>
    <x v="19"/>
    <s v="حازم عبد الرحيم  "/>
    <s v="استكمال العمل فى رصف ارضيات الشوارع "/>
    <s v="تم العمل"/>
    <d v="1899-12-30T08:00:00"/>
    <d v="1899-12-30T15:00:00"/>
    <n v="0.29166666666666669"/>
    <x v="0"/>
    <n v="7"/>
  </r>
  <r>
    <x v="3"/>
    <d v="2024-04-06T00:00:00"/>
    <s v="السبت "/>
    <x v="8"/>
    <s v="ممدوح عبد التواب "/>
    <s v="تركيب حساسات"/>
    <s v="تم العمل"/>
    <d v="1899-12-30T10:00:00"/>
    <d v="1899-12-30T17:00:00"/>
    <n v="0.29166666666666669"/>
    <x v="3"/>
    <n v="0"/>
  </r>
  <r>
    <x v="3"/>
    <d v="2024-04-06T00:00:00"/>
    <s v="السبت "/>
    <x v="19"/>
    <s v="عبد الله السعيد "/>
    <s v="استكمال العمل فى رصف ارضيات الشوارع "/>
    <s v="تم العمل"/>
    <d v="1899-12-30T09:00:00"/>
    <d v="1899-12-30T14:00:00"/>
    <n v="0.20833333333333337"/>
    <x v="0"/>
    <n v="5.0000000000000009"/>
  </r>
  <r>
    <x v="3"/>
    <d v="2024-04-06T00:00:00"/>
    <s v="السبت "/>
    <x v="5"/>
    <s v="احمد حسن   "/>
    <s v="دهان المبنى الادارى "/>
    <s v="تم العمل"/>
    <d v="1899-12-30T00:00:00"/>
    <d v="1899-12-30T07:00:00"/>
    <n v="0.29166666666666669"/>
    <x v="6"/>
    <n v="7"/>
  </r>
  <r>
    <x v="3"/>
    <d v="2024-04-07T00:00:00"/>
    <s v="الاحد "/>
    <x v="5"/>
    <s v="احمد حسن   "/>
    <s v="دهان المبنى الادارى "/>
    <s v="تم العمل"/>
    <d v="1899-12-30T09:00:00"/>
    <d v="1899-12-30T21:00:00"/>
    <n v="0.5"/>
    <x v="6"/>
    <n v="12"/>
  </r>
  <r>
    <x v="3"/>
    <d v="2024-04-07T00:00:00"/>
    <s v="الاحد "/>
    <x v="6"/>
    <s v="حسن عبد العظيم    "/>
    <s v="تركيب وصيانة كشافات العنابر "/>
    <s v="تم العمل"/>
    <d v="1899-12-30T13:00:00"/>
    <d v="1899-12-30T16:00:00"/>
    <n v="0.125"/>
    <x v="3"/>
    <n v="3"/>
  </r>
  <r>
    <x v="3"/>
    <d v="2024-04-14T00:00:00"/>
    <s v="الاحد "/>
    <x v="6"/>
    <s v="صابر ابراهيم "/>
    <s v="لحام وتجليخ "/>
    <s v="تم العمل"/>
    <d v="1899-12-30T10:30:00"/>
    <d v="1899-12-30T11:30:00"/>
    <n v="4.1666666666666685E-2"/>
    <x v="3"/>
    <n v="1.0000000000000004"/>
  </r>
  <r>
    <x v="3"/>
    <d v="2024-04-15T00:00:00"/>
    <s v="الاثنين "/>
    <x v="9"/>
    <s v="سامى شعبان  "/>
    <s v="صيانة الكلاركات "/>
    <s v="تم العمل"/>
    <d v="1899-12-30T12:00:00"/>
    <d v="1899-12-30T14:00:00"/>
    <n v="8.333333333333337E-2"/>
    <x v="3"/>
    <n v="2.0000000000000009"/>
  </r>
  <r>
    <x v="3"/>
    <d v="2024-04-16T00:00:00"/>
    <s v="الثلاثاء "/>
    <x v="9"/>
    <s v="سامى شعبان  "/>
    <s v="صيانة الكلاركات "/>
    <s v="تم العمل"/>
    <d v="1899-12-30T12:00:00"/>
    <d v="1899-12-30T15:00:00"/>
    <n v="0.125"/>
    <x v="3"/>
    <n v="3"/>
  </r>
  <r>
    <x v="3"/>
    <d v="2024-04-16T00:00:00"/>
    <s v="الثلاثاء "/>
    <x v="5"/>
    <s v="محمود ابو شادى "/>
    <s v="صبانة حمام الامن بالمبنى الادارى "/>
    <s v="تم العمل"/>
    <d v="1899-12-30T12:00:00"/>
    <d v="1899-12-30T15:00:00"/>
    <n v="0.125"/>
    <x v="0"/>
    <n v="3"/>
  </r>
  <r>
    <x v="3"/>
    <d v="2024-04-16T00:00:00"/>
    <s v="الثلاثاء "/>
    <x v="25"/>
    <s v="فارس خليل "/>
    <s v="اعمال لحام ودهان اعمدة جمالون دويتش  "/>
    <s v="تم العمل"/>
    <d v="1899-12-30T10:00:00"/>
    <d v="1899-12-30T17:00:00"/>
    <n v="0.27079999999999999"/>
    <x v="5"/>
    <n v="6.4992000000000001"/>
  </r>
  <r>
    <x v="3"/>
    <d v="2024-04-16T00:00:00"/>
    <s v="الثلاثاء "/>
    <x v="6"/>
    <s v="صابر ابراهيم "/>
    <s v="ولحام وتجليح بمجرى الدنسر "/>
    <s v="تم العمل"/>
    <d v="1899-12-30T13:00:00"/>
    <d v="1899-12-30T16:00:00"/>
    <n v="0.125"/>
    <x v="3"/>
    <n v="3"/>
  </r>
  <r>
    <x v="3"/>
    <d v="2024-04-17T00:00:00"/>
    <s v="الاربعاء "/>
    <x v="9"/>
    <s v="سامى شعبان  "/>
    <s v="صيانة الكلاركات "/>
    <s v="تم العمل"/>
    <d v="1899-12-30T11:00:00"/>
    <d v="1899-12-30T15:00:00"/>
    <n v="0.16666666666666669"/>
    <x v="3"/>
    <n v="4"/>
  </r>
  <r>
    <x v="3"/>
    <d v="2024-04-17T00:00:00"/>
    <s v="الاربعاء "/>
    <x v="25"/>
    <s v="فارس خليل "/>
    <s v="اعمال لحام ودهان اعمدة جمالون دويتش  "/>
    <s v="تم العمل"/>
    <d v="1899-12-30T10:00:00"/>
    <d v="1899-12-30T17:00:00"/>
    <n v="0.27079999999999999"/>
    <x v="5"/>
    <n v="6.4992000000000001"/>
  </r>
  <r>
    <x v="3"/>
    <d v="2024-04-17T00:00:00"/>
    <s v="الاربعاء "/>
    <x v="5"/>
    <s v="محمد عادل  "/>
    <s v="صيانة كراسى "/>
    <s v="تم العمل"/>
    <d v="1899-12-30T13:00:00"/>
    <d v="1899-12-30T14:00:00"/>
    <n v="4.1666666666666741E-2"/>
    <x v="3"/>
    <n v="1.0000000000000018"/>
  </r>
  <r>
    <x v="3"/>
    <d v="2024-04-17T00:00:00"/>
    <s v="الاربعاء "/>
    <x v="6"/>
    <s v="صابر ابراهيم "/>
    <s v="ولحام وتجليح بمجرى الدنسر "/>
    <s v="تم العمل"/>
    <d v="1899-12-30T13:00:00"/>
    <d v="1899-12-30T16:00:00"/>
    <n v="0.125"/>
    <x v="3"/>
    <n v="3"/>
  </r>
  <r>
    <x v="3"/>
    <d v="2024-04-17T00:00:00"/>
    <s v="الاربعاء "/>
    <x v="7"/>
    <s v="محمد ماهر   "/>
    <s v="الزيارة الدورية للمكافحة الحشرات "/>
    <s v="تم العمل"/>
    <d v="1899-12-30T13:00:00"/>
    <d v="1899-12-30T14:00:00"/>
    <n v="4.1666666666666741E-2"/>
    <x v="4"/>
    <n v="1.0000000000000018"/>
  </r>
  <r>
    <x v="3"/>
    <d v="2024-04-17T00:00:00"/>
    <s v="الاربعاء "/>
    <x v="7"/>
    <s v="محمد ماهر   "/>
    <s v="الزيارة الدورية للمكافحة الحشرات "/>
    <s v="تم العمل"/>
    <d v="1899-12-30T12:00:00"/>
    <d v="1899-12-30T13:00:00"/>
    <n v="4.166666666666663E-2"/>
    <x v="1"/>
    <n v="0.99999999999999911"/>
  </r>
  <r>
    <x v="3"/>
    <d v="2024-04-17T00:00:00"/>
    <s v="الاربعاء "/>
    <x v="29"/>
    <s v="محمد سعيد  "/>
    <s v="دهانات المقاعد بالكفتريا "/>
    <s v="تم العمل"/>
    <d v="1899-12-30T12:30:00"/>
    <d v="1899-12-30T17:00:00"/>
    <n v="0.1875"/>
    <x v="3"/>
    <n v="4.5"/>
  </r>
  <r>
    <x v="3"/>
    <d v="2024-04-17T00:00:00"/>
    <s v="الاربعاء "/>
    <x v="5"/>
    <s v="محمد النقيب "/>
    <s v="عمل صيانة الكهرباء بالعنابر "/>
    <s v="تم العمل"/>
    <d v="1899-12-30T16:00:00"/>
    <d v="1899-12-30T21:00:00"/>
    <n v="0.20833333333333337"/>
    <x v="3"/>
    <n v="5.0000000000000009"/>
  </r>
  <r>
    <x v="3"/>
    <d v="2024-04-17T00:00:00"/>
    <s v="الاربعاء "/>
    <x v="7"/>
    <s v="احمد مظهر  "/>
    <s v="الزيارة الدورية للمكافحة الحشرات "/>
    <s v="تم العمل"/>
    <d v="1899-12-30T12:00:00"/>
    <d v="1899-12-30T15:00:00"/>
    <n v="0.125"/>
    <x v="0"/>
    <n v="3"/>
  </r>
  <r>
    <x v="3"/>
    <d v="2024-04-18T00:00:00"/>
    <s v="الخميس "/>
    <x v="25"/>
    <s v="فارس خليل "/>
    <s v="اعمال لحام ودهان اعمدة جمالون دويتش  "/>
    <s v="تم العمل"/>
    <d v="1899-12-30T10:00:00"/>
    <d v="1899-12-30T17:00:00"/>
    <n v="0.27079999999999999"/>
    <x v="5"/>
    <n v="6.4992000000000001"/>
  </r>
  <r>
    <x v="3"/>
    <d v="2024-04-18T00:00:00"/>
    <s v="الخميس "/>
    <x v="5"/>
    <s v="ياسر  روبى "/>
    <s v="تركيب انتر لوك "/>
    <s v="تم العمل"/>
    <d v="1899-12-30T13:00:00"/>
    <d v="1899-12-30T17:00:00"/>
    <n v="0.16666666666666674"/>
    <x v="3"/>
    <n v="4.0000000000000018"/>
  </r>
  <r>
    <x v="3"/>
    <d v="2024-04-18T00:00:00"/>
    <s v="الخميس "/>
    <x v="13"/>
    <s v="اسلام مصطفى  "/>
    <s v="صيانة ماكينة CTP"/>
    <s v="تم العمل"/>
    <d v="1899-12-30T00:00:00"/>
    <d v="1899-12-30T05:00:00"/>
    <n v="0.20833333333333334"/>
    <x v="3"/>
    <n v="5"/>
  </r>
  <r>
    <x v="3"/>
    <d v="2024-04-18T00:00:00"/>
    <s v="الخميس "/>
    <x v="11"/>
    <s v="محمد رمضان   "/>
    <s v="صيانة الكلاركات "/>
    <s v="تم العمل"/>
    <d v="1899-12-30T10:00:00"/>
    <d v="1899-12-30T16:30:00"/>
    <n v="0.27083333333333331"/>
    <x v="3"/>
    <n v="6.5"/>
  </r>
  <r>
    <x v="3"/>
    <d v="2024-04-18T00:00:00"/>
    <s v="الخميس "/>
    <x v="22"/>
    <s v="محمود عويس "/>
    <s v="صيانة تكييف "/>
    <s v="تم العمل"/>
    <d v="1899-12-30T11:30:00"/>
    <d v="1899-12-30T13:30:00"/>
    <n v="8.3333333333333315E-2"/>
    <x v="3"/>
    <n v="1.9999999999999996"/>
  </r>
  <r>
    <x v="3"/>
    <d v="2024-04-18T00:00:00"/>
    <s v="الخميس "/>
    <x v="5"/>
    <s v="رامى محمد  "/>
    <s v="تركيب فايبر على الشبابيك "/>
    <s v="تم العمل"/>
    <d v="1899-12-30T17:00:00"/>
    <d v="1899-12-30T18:00:00"/>
    <n v="4.166666666666663E-2"/>
    <x v="3"/>
    <n v="0.99999999999999911"/>
  </r>
  <r>
    <x v="3"/>
    <d v="2024-04-18T00:00:00"/>
    <s v="الخميس "/>
    <x v="6"/>
    <s v="محمد مدنى "/>
    <s v="لحام استندات "/>
    <s v="تم العمل"/>
    <d v="1899-12-30T11:00:00"/>
    <d v="1899-12-30T15:00:00"/>
    <n v="0.16666666666666669"/>
    <x v="3"/>
    <n v="4"/>
  </r>
  <r>
    <x v="3"/>
    <d v="2024-04-18T00:00:00"/>
    <s v="الخميس "/>
    <x v="5"/>
    <s v="محمد النقيب "/>
    <s v="عمل صيانة الكهرباء بالعنابر "/>
    <s v="تم العمل"/>
    <d v="1899-12-30T10:00:00"/>
    <d v="1899-12-30T14:00:00"/>
    <n v="0.16666666666666669"/>
    <x v="3"/>
    <n v="4"/>
  </r>
  <r>
    <x v="3"/>
    <d v="2024-04-20T00:00:00"/>
    <s v="السبت "/>
    <x v="25"/>
    <s v="فارس خليل "/>
    <s v="تركيب سلم الطوارىء "/>
    <s v="تم العمل"/>
    <d v="1899-12-30T11:00:00"/>
    <d v="1899-12-30T15:00:00"/>
    <n v="0.27079999999999999"/>
    <x v="1"/>
    <n v="6.4992000000000001"/>
  </r>
  <r>
    <x v="3"/>
    <d v="2024-04-20T00:00:00"/>
    <s v="السبت "/>
    <x v="19"/>
    <s v="حازم عبد الرحيم  "/>
    <s v="عمل معجون بكمر ورصيف السور  "/>
    <s v="تم العمل"/>
    <d v="1899-12-30T11:30:00"/>
    <d v="1899-12-30T16:30:00"/>
    <n v="0.20833333333333331"/>
    <x v="0"/>
    <n v="5"/>
  </r>
  <r>
    <x v="3"/>
    <d v="2024-04-21T00:00:00"/>
    <s v="الاحد "/>
    <x v="16"/>
    <s v="امير رضا  "/>
    <s v="صيانة الكلاركات "/>
    <s v="تم العمل"/>
    <d v="1899-12-30T13:30:00"/>
    <d v="1899-12-30T14:30:00"/>
    <n v="4.166666666666663E-2"/>
    <x v="3"/>
    <n v="0.99999999999999911"/>
  </r>
  <r>
    <x v="3"/>
    <d v="2024-04-21T00:00:00"/>
    <s v="الاحد "/>
    <x v="11"/>
    <s v="محمد رمضان   "/>
    <s v="صيانة الكلاركات "/>
    <s v="تم العمل"/>
    <d v="1899-12-30T15:00:00"/>
    <d v="1899-12-30T18:00:00"/>
    <n v="0.125"/>
    <x v="3"/>
    <n v="3"/>
  </r>
  <r>
    <x v="3"/>
    <d v="2024-04-21T00:00:00"/>
    <s v="الاحد "/>
    <x v="22"/>
    <s v="محمود عويس "/>
    <s v="صيانة تكييف "/>
    <s v="تم العمل"/>
    <d v="1899-12-30T13:00:00"/>
    <d v="1899-12-30T16:00:00"/>
    <n v="0.125"/>
    <x v="3"/>
    <n v="3"/>
  </r>
  <r>
    <x v="3"/>
    <d v="2024-04-21T00:00:00"/>
    <s v="الاحد "/>
    <x v="25"/>
    <s v="فارس خليل "/>
    <s v="تركيب سلم الطوارىء "/>
    <s v="تم العمل"/>
    <d v="1899-12-30T10:00:00"/>
    <d v="1899-12-30T16:00:00"/>
    <n v="0.27079999999999999"/>
    <x v="1"/>
    <n v="6.4992000000000001"/>
  </r>
  <r>
    <x v="3"/>
    <d v="2024-04-21T00:00:00"/>
    <s v="الاحد "/>
    <x v="19"/>
    <s v="حازم عبد الرحيم  "/>
    <s v="فرش طبقة ناعمة على الاسفلت   "/>
    <s v="تم العمل"/>
    <d v="1899-12-30T10:00:00"/>
    <d v="1899-12-30T19:00:00"/>
    <n v="0.37499999999999994"/>
    <x v="1"/>
    <n v="8.9999999999999982"/>
  </r>
  <r>
    <x v="3"/>
    <d v="2024-04-21T00:00:00"/>
    <s v="الاحد "/>
    <x v="16"/>
    <s v="امير رضا  "/>
    <s v="صيانة الكلاركات "/>
    <s v="تم العمل"/>
    <d v="1899-12-30T15:00:00"/>
    <d v="1899-12-30T16:00:00"/>
    <n v="4.166666666666663E-2"/>
    <x v="3"/>
    <n v="0.99999999999999911"/>
  </r>
  <r>
    <x v="3"/>
    <d v="2024-04-21T00:00:00"/>
    <s v="الاحد "/>
    <x v="5"/>
    <s v="محمد النقيب "/>
    <s v="عمل حماية للكبسات التكيف "/>
    <s v="تم العمل"/>
    <d v="1899-12-30T14:00:00"/>
    <d v="1899-12-30T15:00:00"/>
    <n v="4.166666666666663E-2"/>
    <x v="3"/>
    <n v="0.99999999999999911"/>
  </r>
  <r>
    <x v="3"/>
    <d v="2024-04-22T00:00:00"/>
    <s v="الاثنين "/>
    <x v="19"/>
    <s v="حازم عبد الرحيم  "/>
    <s v="دهانات رصيف السور  "/>
    <s v="تم العمل"/>
    <d v="1899-12-30T10:00:00"/>
    <d v="1899-12-30T16:30:00"/>
    <n v="0.27083333333333331"/>
    <x v="1"/>
    <n v="6.5"/>
  </r>
  <r>
    <x v="3"/>
    <d v="2024-04-22T00:00:00"/>
    <s v="الاثنين "/>
    <x v="30"/>
    <s v="معروف محمد "/>
    <s v="صيانة الكمبروسر "/>
    <s v="تم العمل"/>
    <d v="1899-12-30T16:30:00"/>
    <d v="1899-12-30T17:30:00"/>
    <n v="4.166666666666663E-2"/>
    <x v="3"/>
    <n v="0.99999999999999911"/>
  </r>
  <r>
    <x v="3"/>
    <d v="2024-04-22T00:00:00"/>
    <s v="الاثنين "/>
    <x v="22"/>
    <s v="محمود الدروى  "/>
    <s v="صيانة تكييف "/>
    <s v="تم العمل"/>
    <d v="1899-12-30T10:30:00"/>
    <d v="1899-12-30T15:00:00"/>
    <n v="0.1875"/>
    <x v="3"/>
    <n v="4.5"/>
  </r>
  <r>
    <x v="3"/>
    <d v="2024-04-22T00:00:00"/>
    <s v="الاثنين "/>
    <x v="13"/>
    <s v="اسلام مصطفى  "/>
    <s v="صيانةماكينات CTB"/>
    <s v="تم العمل"/>
    <d v="1899-12-30T11:00:00"/>
    <d v="1899-12-30T16:00:00"/>
    <n v="0.20833333333333331"/>
    <x v="3"/>
    <n v="5"/>
  </r>
  <r>
    <x v="3"/>
    <d v="2024-04-22T00:00:00"/>
    <s v="الاثنين "/>
    <x v="6"/>
    <s v="شريف عيد "/>
    <s v="صيانة كشافات الكهرباء "/>
    <s v="تم العمل"/>
    <d v="1899-12-30T10:00:00"/>
    <d v="1899-12-30T16:00:00"/>
    <n v="0.24999999999999994"/>
    <x v="3"/>
    <n v="5.9999999999999982"/>
  </r>
  <r>
    <x v="3"/>
    <d v="2024-04-23T00:00:00"/>
    <s v="الثلاثاء "/>
    <x v="8"/>
    <s v="على  الشابورى "/>
    <s v="تركيب حساسات "/>
    <s v="تم العمل"/>
    <d v="1899-12-30T11:30:00"/>
    <d v="1899-12-30T12:30:00"/>
    <n v="0.27079999999999999"/>
    <x v="3"/>
    <n v="6.4992000000000001"/>
  </r>
  <r>
    <x v="3"/>
    <d v="2024-04-23T00:00:00"/>
    <s v="الثلاثاء "/>
    <x v="31"/>
    <s v="اكرم عياد "/>
    <s v="تركيب يافطة على بوابة المبنى الادارى "/>
    <s v="تم العمل"/>
    <d v="1899-12-30T00:00:00"/>
    <d v="1899-12-30T14:00:00"/>
    <n v="0.27079999999999999"/>
    <x v="3"/>
    <n v="6.4992000000000001"/>
  </r>
  <r>
    <x v="3"/>
    <d v="2024-04-22T00:00:00"/>
    <s v="الثلاثاء "/>
    <x v="19"/>
    <s v="محمد حمزة "/>
    <s v="تثبيت الرامب "/>
    <s v="تم العمل"/>
    <d v="1899-12-30T11:00:00"/>
    <d v="1899-12-30T14:00:00"/>
    <n v="0.12500000000000006"/>
    <x v="1"/>
    <n v="3.0000000000000013"/>
  </r>
  <r>
    <x v="3"/>
    <d v="2024-04-23T00:00:00"/>
    <s v="الثلاثاء "/>
    <x v="25"/>
    <s v="فارس خليل "/>
    <s v="تركيب سلم الطوارىء "/>
    <s v="تم العمل"/>
    <d v="1899-12-30T10:00:00"/>
    <d v="1899-12-30T16:00:00"/>
    <n v="0.27079999999999999"/>
    <x v="1"/>
    <n v="6.4992000000000001"/>
  </r>
  <r>
    <x v="3"/>
    <d v="2024-04-23T00:00:00"/>
    <s v="الثلاثاء "/>
    <x v="11"/>
    <s v="محمد رمضان   "/>
    <s v="صيانة الكلاركات "/>
    <s v="تم العمل"/>
    <d v="1899-12-30T10:00:00"/>
    <d v="1899-12-30T13:00:00"/>
    <n v="0.12499999999999994"/>
    <x v="3"/>
    <n v="2.9999999999999987"/>
  </r>
  <r>
    <x v="3"/>
    <d v="2024-04-23T00:00:00"/>
    <s v="الثلاثاء "/>
    <x v="19"/>
    <s v="حازم عبد الرحيم  "/>
    <s v="دهانات رصيف السور  "/>
    <s v="تم العمل"/>
    <d v="1899-12-30T10:00:00"/>
    <d v="1899-12-30T17:00:00"/>
    <n v="0.29166666666666669"/>
    <x v="0"/>
    <n v="7"/>
  </r>
  <r>
    <x v="3"/>
    <d v="2024-04-24T00:00:00"/>
    <s v="الاربعاء "/>
    <x v="13"/>
    <s v="اسلام مصطفى  "/>
    <s v="صيانةماكينات CTB"/>
    <s v="تم العمل"/>
    <d v="1899-12-30T12:00:00"/>
    <d v="1899-12-30T17:00:00"/>
    <n v="0.20833333333333337"/>
    <x v="3"/>
    <n v="5.0000000000000009"/>
  </r>
  <r>
    <x v="3"/>
    <d v="2024-04-24T00:00:00"/>
    <s v="الاربعاء "/>
    <x v="6"/>
    <s v="حسن عبد العظيم  "/>
    <s v="تغيير كابل الخاص  ايروشر الهواء "/>
    <s v="تم العمل"/>
    <d v="1899-12-30T16:30:00"/>
    <d v="1899-12-30T17:00:00"/>
    <n v="2.083333333333337E-2"/>
    <x v="3"/>
    <n v="0.50000000000000089"/>
  </r>
  <r>
    <x v="3"/>
    <d v="2024-04-24T00:00:00"/>
    <s v="الاربعاء "/>
    <x v="7"/>
    <s v="عمرو مسعد "/>
    <s v="اصطياد قطط بالمطابع "/>
    <s v="تم العمل"/>
    <d v="1899-12-30T19:00:00"/>
    <d v="1899-12-30T22:30:00"/>
    <n v="0.14583333333333337"/>
    <x v="3"/>
    <n v="3.5000000000000009"/>
  </r>
  <r>
    <x v="3"/>
    <d v="2024-04-24T00:00:00"/>
    <s v="الاربعاء "/>
    <x v="7"/>
    <s v="زياد عادل "/>
    <s v="الزيارة الدورية للمكافحة الحشرات "/>
    <s v="تم العمل"/>
    <d v="1899-12-30T11:00:00"/>
    <d v="1899-12-30T17:00:00"/>
    <n v="0.25000000000000006"/>
    <x v="3"/>
    <n v="6.0000000000000018"/>
  </r>
  <r>
    <x v="3"/>
    <d v="2024-04-24T00:00:00"/>
    <s v="الاربعاء "/>
    <x v="25"/>
    <s v="فارس خليل "/>
    <s v="تركيب سلم الطوارىء "/>
    <s v="تم العمل"/>
    <d v="1899-12-30T10:00:00"/>
    <d v="1899-12-30T15:00:00"/>
    <n v="0.27079999999999999"/>
    <x v="1"/>
    <n v="6.4992000000000001"/>
  </r>
  <r>
    <x v="3"/>
    <d v="2024-04-24T00:00:00"/>
    <s v="الاربعاء "/>
    <x v="19"/>
    <s v="حازم عبد الرحيم  "/>
    <s v="تشطيب دهانات رصيف السور  "/>
    <s v="تم العمل"/>
    <d v="1899-12-30T10:00:00"/>
    <d v="1899-12-30T17:00:00"/>
    <n v="0.29166666666666669"/>
    <x v="0"/>
    <n v="7"/>
  </r>
  <r>
    <x v="3"/>
    <d v="2024-04-24T00:00:00"/>
    <s v="الاربعاء "/>
    <x v="5"/>
    <s v="محمد النقيب "/>
    <s v="صيانة الكهرباء بالعنابر "/>
    <s v="تم العمل"/>
    <d v="1899-12-30T16:30:00"/>
    <d v="1899-12-30T20:30:00"/>
    <n v="0.16666666666666663"/>
    <x v="3"/>
    <n v="3.9999999999999991"/>
  </r>
  <r>
    <x v="3"/>
    <d v="2024-04-25T00:00:00"/>
    <s v="الخميس "/>
    <x v="7"/>
    <s v="زياد عادل "/>
    <s v="الزيارة الدورية للمكافحة الحشرات "/>
    <s v="تم العمل"/>
    <d v="1899-12-30T12:00:00"/>
    <d v="1899-12-30T16:00:00"/>
    <n v="0.16666666666666663"/>
    <x v="3"/>
    <n v="3.9999999999999991"/>
  </r>
  <r>
    <x v="3"/>
    <d v="2024-04-25T00:00:00"/>
    <s v="الخميس "/>
    <x v="5"/>
    <s v="محمد كمالى  "/>
    <s v="عمل تشحيم اجهزة التكيف "/>
    <s v="تم العمل"/>
    <d v="1899-12-30T14:30:00"/>
    <d v="1899-12-30T16:00:00"/>
    <n v="6.25E-2"/>
    <x v="3"/>
    <n v="1.5"/>
  </r>
  <r>
    <x v="3"/>
    <d v="2024-04-25T00:00:00"/>
    <s v="الخميس "/>
    <x v="5"/>
    <s v="محمد النقيب "/>
    <s v="صيانة التكيف بغرفة السلفر  "/>
    <s v="تم العمل"/>
    <d v="1899-12-30T10:00:00"/>
    <d v="1899-12-30T11:00:00"/>
    <n v="4.166666666666663E-2"/>
    <x v="3"/>
    <n v="0.99999999999999911"/>
  </r>
  <r>
    <x v="3"/>
    <d v="2024-04-27T00:00:00"/>
    <s v="السبت "/>
    <x v="25"/>
    <s v="فارس خليل "/>
    <s v="تركيب سلم الطوارىء "/>
    <s v="تم العمل"/>
    <d v="1899-12-30T09:30:00"/>
    <d v="1899-12-30T15:00:00"/>
    <n v="0.27079999999999999"/>
    <x v="1"/>
    <n v="6.4992000000000001"/>
  </r>
  <r>
    <x v="3"/>
    <d v="2024-04-27T00:00:00"/>
    <s v="السبت "/>
    <x v="7"/>
    <s v="زياد عادل "/>
    <s v="الزيارة الدورية للمكافحة الحشرات "/>
    <s v="تم العمل"/>
    <d v="1899-12-30T09:30:00"/>
    <d v="1899-12-30T17:00:00"/>
    <n v="0.31250000000000006"/>
    <x v="3"/>
    <n v="7.5000000000000018"/>
  </r>
  <r>
    <x v="3"/>
    <d v="2024-04-28T00:00:00"/>
    <s v="الاحد "/>
    <x v="32"/>
    <s v="ياسر ابراهيم  "/>
    <s v="دهانات الاستندات  بالمخازن"/>
    <s v="تم العمل"/>
    <d v="1899-12-30T12:00:00"/>
    <d v="1899-12-30T17:00:00"/>
    <n v="0.20833333333333337"/>
    <x v="0"/>
    <n v="5.0000000000000009"/>
  </r>
  <r>
    <x v="3"/>
    <d v="2024-04-28T00:00:00"/>
    <s v="الاحد "/>
    <x v="19"/>
    <s v="حازم عبد الرحيم  "/>
    <s v="تشطيب دهانات رصيف السور  "/>
    <s v="تم العمل"/>
    <d v="1899-12-30T10:00:00"/>
    <d v="1899-12-30T16:00:00"/>
    <n v="0.24999999999999994"/>
    <x v="0"/>
    <n v="5.9999999999999982"/>
  </r>
  <r>
    <x v="3"/>
    <d v="2024-04-29T00:00:00"/>
    <s v="الاثنين "/>
    <x v="8"/>
    <s v="ممدوح عبد التواب "/>
    <s v="الزيارة الشهريةعمل صيانة  الحساسات "/>
    <s v="تم العمل"/>
    <d v="1899-12-30T10:00:00"/>
    <d v="1899-12-30T23:30:00"/>
    <n v="0.27079999999999999"/>
    <x v="3"/>
    <n v="6.4992000000000001"/>
  </r>
  <r>
    <x v="3"/>
    <d v="2024-04-29T00:00:00"/>
    <s v="الاثنين "/>
    <x v="32"/>
    <s v="ياسر ابراهيم  "/>
    <s v="دهانات الاستندات  بالمخازن"/>
    <s v="تم العمل"/>
    <d v="1899-12-30T10:00:00"/>
    <d v="1899-12-30T17:00:00"/>
    <n v="0.29166666666666669"/>
    <x v="1"/>
    <n v="7"/>
  </r>
  <r>
    <x v="3"/>
    <d v="2024-04-29T00:00:00"/>
    <s v="الاثنين "/>
    <x v="7"/>
    <s v="محمد ماهر "/>
    <s v="الزيارة الدورية للمكافحة الحشرات "/>
    <s v="تم العمل"/>
    <d v="1899-12-30T10:00:00"/>
    <d v="1899-12-30T11:00:00"/>
    <n v="4.166666666666663E-2"/>
    <x v="1"/>
    <n v="0.99999999999999911"/>
  </r>
  <r>
    <x v="3"/>
    <d v="2024-04-29T00:00:00"/>
    <s v="الاثنين "/>
    <x v="7"/>
    <s v="محمد ماهر "/>
    <s v="الزيارة الدورية للمكافحة الحشرات "/>
    <s v="تم العمل"/>
    <d v="1899-12-30T12:00:00"/>
    <d v="1899-12-30T13:00:00"/>
    <n v="4.166666666666663E-2"/>
    <x v="4"/>
    <n v="0.99999999999999911"/>
  </r>
  <r>
    <x v="3"/>
    <d v="2024-04-30T00:00:00"/>
    <s v="الثلاثاء "/>
    <x v="5"/>
    <s v="محمد النقيب "/>
    <s v="تركيب دكت  اسلاك "/>
    <s v="تم العمل"/>
    <d v="1899-12-30T15:00:00"/>
    <d v="1899-12-30T17:00:00"/>
    <n v="8.333333333333337E-2"/>
    <x v="3"/>
    <n v="2.0000000000000009"/>
  </r>
  <r>
    <x v="3"/>
    <d v="2024-04-30T00:00:00"/>
    <s v="الثلاثاء "/>
    <x v="9"/>
    <s v="سامى شعبان  "/>
    <s v="صيانة الكلاركات "/>
    <s v="تم العمل"/>
    <d v="1899-12-30T11:00:00"/>
    <d v="1899-12-30T14:00:00"/>
    <n v="0.12500000000000006"/>
    <x v="3"/>
    <n v="3.0000000000000013"/>
  </r>
  <r>
    <x v="3"/>
    <d v="2024-04-30T00:00:00"/>
    <s v="الثلاثاء "/>
    <x v="32"/>
    <s v="ياسر ابراهيم  "/>
    <s v="دهانات الاستندات  بالمخازن"/>
    <s v="تم العمل"/>
    <d v="1899-12-30T13:30:00"/>
    <d v="1899-12-30T15:00:00"/>
    <n v="6.25E-2"/>
    <x v="0"/>
    <n v="1.5"/>
  </r>
  <r>
    <x v="3"/>
    <d v="2024-04-30T00:00:00"/>
    <s v="الثلاثاء "/>
    <x v="13"/>
    <s v="اسلام مصطفى  "/>
    <s v="صيانةماكينات CTB"/>
    <s v="تم العمل"/>
    <d v="1899-12-30T13:00:00"/>
    <d v="1899-12-30T17:30:00"/>
    <n v="0.1875"/>
    <x v="3"/>
    <n v="4.5"/>
  </r>
  <r>
    <x v="3"/>
    <d v="2024-04-30T00:00:00"/>
    <s v="الثلاثاء "/>
    <x v="6"/>
    <s v="صابر ابلراهيم "/>
    <s v="تثبيت الرامب "/>
    <s v="تم العمل"/>
    <d v="1899-12-30T11:30:00"/>
    <d v="1899-12-30T13:00:00"/>
    <n v="6.2499999999999944E-2"/>
    <x v="1"/>
    <n v="1.4999999999999987"/>
  </r>
  <r>
    <x v="3"/>
    <d v="2024-04-30T00:00:00"/>
    <s v="الثلاثاء "/>
    <x v="25"/>
    <s v="فارس خليل "/>
    <s v="تركيب سلم الطوارىء "/>
    <s v="تم العمل"/>
    <d v="1899-12-30T09:30:00"/>
    <d v="1899-12-30T15:30:00"/>
    <n v="0.27079999999999999"/>
    <x v="1"/>
    <n v="6.4992000000000001"/>
  </r>
  <r>
    <x v="3"/>
    <d v="2024-04-30T00:00:00"/>
    <s v="الثلاثاء "/>
    <x v="33"/>
    <s v="محمد  حمزة "/>
    <s v="تثبيت الرامب "/>
    <s v="تم العمل"/>
    <d v="1899-12-30T10:00:00"/>
    <d v="1899-12-30T12:00:00"/>
    <n v="8.3333333333333315E-2"/>
    <x v="1"/>
    <n v="1.9999999999999996"/>
  </r>
  <r>
    <x v="3"/>
    <d v="2024-04-30T00:00:00"/>
    <s v="الثلاثاء "/>
    <x v="22"/>
    <s v="محمودعويس   "/>
    <s v="صيانة تكييف "/>
    <s v="تم العمل"/>
    <d v="1899-12-30T10:30:00"/>
    <d v="1899-12-30T17:30:00"/>
    <n v="0.29166666666666663"/>
    <x v="3"/>
    <n v="6.9999999999999991"/>
  </r>
  <r>
    <x v="4"/>
    <d v="2024-05-01T00:00:00"/>
    <s v="الاربعاء "/>
    <x v="22"/>
    <s v="محمودالدروى    "/>
    <s v="صيانة تكييف "/>
    <s v="تم العمل"/>
    <d v="1899-12-30T11:00:00"/>
    <d v="1899-12-30T16:00:00"/>
    <n v="0.20833333333333331"/>
    <x v="3"/>
    <n v="5"/>
  </r>
  <r>
    <x v="4"/>
    <d v="2024-05-01T00:00:00"/>
    <s v="الاربعاء "/>
    <x v="31"/>
    <s v="مصطفى شاكر    "/>
    <s v="تركيب لوحة استلس "/>
    <s v="تم العمل"/>
    <d v="1899-12-30T11:00:00"/>
    <d v="1899-12-30T14:00:00"/>
    <n v="0.12500000000000006"/>
    <x v="3"/>
    <n v="3.0000000000000013"/>
  </r>
  <r>
    <x v="4"/>
    <d v="2024-05-01T00:00:00"/>
    <s v="الاربعاء "/>
    <x v="5"/>
    <s v="محمد النقيب "/>
    <s v="تركيب لمبات بيان فى الحمامات "/>
    <s v="تم العمل"/>
    <d v="1899-12-30T11:00:00"/>
    <d v="1899-12-30T15:00:00"/>
    <n v="0.16666666666666669"/>
    <x v="3"/>
    <n v="4"/>
  </r>
  <r>
    <x v="4"/>
    <d v="2024-05-01T00:00:00"/>
    <s v="الاربعاء "/>
    <x v="32"/>
    <s v="ياسر ابراهيم  "/>
    <s v="تثبيت  الاستندات  "/>
    <s v="تم العمل"/>
    <d v="1899-12-30T14:00:00"/>
    <d v="1899-12-30T17:00:00"/>
    <n v="0.125"/>
    <x v="0"/>
    <n v="3"/>
  </r>
  <r>
    <x v="4"/>
    <d v="2024-05-02T00:00:00"/>
    <s v="الخميس "/>
    <x v="16"/>
    <s v="امير رضا  "/>
    <s v="صيانة الكلاركات "/>
    <s v="تم العمل"/>
    <d v="1899-12-30T15:00:00"/>
    <d v="1899-12-30T16:00:00"/>
    <n v="4.166666666666663E-2"/>
    <x v="3"/>
    <n v="0.99999999999999911"/>
  </r>
  <r>
    <x v="4"/>
    <d v="2024-05-02T00:00:00"/>
    <s v="الخميس "/>
    <x v="18"/>
    <s v="فيكتور     "/>
    <s v="أختبار طلمبات الحريق "/>
    <s v="تم العمل"/>
    <d v="1899-12-30T12:00:00"/>
    <d v="1899-12-30T13:00:00"/>
    <n v="4.166666666666663E-2"/>
    <x v="4"/>
    <n v="0.99999999999999911"/>
  </r>
  <r>
    <x v="4"/>
    <d v="2024-05-02T00:00:00"/>
    <s v="الخميس "/>
    <x v="5"/>
    <s v="محمد النقيب "/>
    <s v="تركيب لمبات بيان فى الحمامات "/>
    <s v="تم العمل"/>
    <d v="1899-12-30T14:30:00"/>
    <d v="1899-12-30T16:00:00"/>
    <n v="6.25E-2"/>
    <x v="3"/>
    <n v="1.5"/>
  </r>
  <r>
    <x v="4"/>
    <d v="2024-05-02T00:00:00"/>
    <s v="الخميس "/>
    <x v="18"/>
    <s v="فيكتور     "/>
    <s v="المرور على الديزل والطلمبات "/>
    <s v="تم العمل"/>
    <d v="1899-12-30T11:00:00"/>
    <d v="1899-12-30T12:00:00"/>
    <n v="4.1666666666666685E-2"/>
    <x v="4"/>
    <n v="1.0000000000000004"/>
  </r>
  <r>
    <x v="4"/>
    <d v="2024-05-02T00:00:00"/>
    <s v="الخميس "/>
    <x v="34"/>
    <s v="وائل جودة   "/>
    <s v="احلال وتجديد السقف "/>
    <s v="تم العمل"/>
    <d v="1899-12-30T09:00:00"/>
    <d v="1899-12-30T14:00:00"/>
    <n v="0.20833333333333337"/>
    <x v="5"/>
    <n v="5.0000000000000009"/>
  </r>
  <r>
    <x v="4"/>
    <d v="2024-05-03T00:00:00"/>
    <s v="الجمعة "/>
    <x v="5"/>
    <s v="احمد حسن  "/>
    <s v="صيانة الابواب الامونتيال "/>
    <s v="تم العمل"/>
    <d v="1899-12-30T12:00:00"/>
    <d v="1899-12-30T23:30:00"/>
    <n v="0.47916666666666663"/>
    <x v="6"/>
    <n v="11.5"/>
  </r>
  <r>
    <x v="4"/>
    <d v="2024-05-04T00:00:00"/>
    <s v="السبت "/>
    <x v="25"/>
    <s v="فارس خليل "/>
    <s v="تركيب سلم الطوارىء "/>
    <s v="تم العمل"/>
    <d v="1899-12-30T10:00:00"/>
    <d v="1899-12-30T15:00:00"/>
    <n v="0.27079999999999999"/>
    <x v="1"/>
    <n v="6.4992000000000001"/>
  </r>
  <r>
    <x v="4"/>
    <d v="2024-05-05T00:00:00"/>
    <s v="الاحد "/>
    <x v="13"/>
    <s v="اسلام مصطفى  "/>
    <s v="صيانةماكينات CTB"/>
    <s v="تم العمل"/>
    <d v="1899-12-30T12:00:00"/>
    <d v="1899-12-30T17:00:00"/>
    <n v="0.20833333333333337"/>
    <x v="3"/>
    <n v="5.0000000000000009"/>
  </r>
  <r>
    <x v="4"/>
    <d v="2024-05-05T00:00:00"/>
    <s v="الاحد "/>
    <x v="35"/>
    <s v="السعيد متولى  "/>
    <s v="تركيب كمبروسون التبريد "/>
    <s v="تم العمل"/>
    <d v="1899-12-30T14:30:00"/>
    <d v="1899-12-30T17:30:00"/>
    <n v="0.125"/>
    <x v="3"/>
    <n v="3"/>
  </r>
  <r>
    <x v="4"/>
    <d v="2024-05-05T00:00:00"/>
    <s v="الاحد "/>
    <x v="0"/>
    <s v="فارس خليل "/>
    <s v="تركيب سلم الطوارىء "/>
    <s v="تم العمل"/>
    <d v="1899-12-30T09:30:00"/>
    <d v="1899-12-30T15:00:00"/>
    <n v="0.27079999999999999"/>
    <x v="1"/>
    <n v="6.4992000000000001"/>
  </r>
  <r>
    <x v="4"/>
    <d v="2024-05-07T00:00:00"/>
    <s v="الثلاثاء "/>
    <x v="22"/>
    <s v="محمودالدروى    "/>
    <s v="صيانة تكييف باعنبر الطباعة "/>
    <s v="تم العمل"/>
    <d v="1899-12-30T11:00:00"/>
    <d v="1899-12-30T14:00:00"/>
    <n v="0.12500000000000006"/>
    <x v="3"/>
    <n v="3.0000000000000013"/>
  </r>
  <r>
    <x v="4"/>
    <d v="2024-05-07T00:00:00"/>
    <s v="الثلاثاء "/>
    <x v="25"/>
    <s v="فارس خليل "/>
    <s v="تجميع كمر ودهان "/>
    <s v="تم العمل"/>
    <d v="1899-12-30T09:00:00"/>
    <d v="1899-12-30T15:00:00"/>
    <n v="0.27079999999999999"/>
    <x v="5"/>
    <n v="6.4992000000000001"/>
  </r>
  <r>
    <x v="4"/>
    <d v="2024-05-07T00:00:00"/>
    <s v="الثلاثاء "/>
    <x v="8"/>
    <s v="ابو المجد السورى "/>
    <s v="الزيارة الشهرية عمل صيانة  لخط الحريق "/>
    <s v="تم العمل"/>
    <d v="1899-12-30T10:00:00"/>
    <d v="1899-12-30T15:00:00"/>
    <n v="0.27079999999999999"/>
    <x v="1"/>
    <n v="6.4992000000000001"/>
  </r>
  <r>
    <x v="4"/>
    <d v="2024-05-07T00:00:00"/>
    <s v="الثلاثاء "/>
    <x v="5"/>
    <s v="محمد النقيب "/>
    <s v="صيانة الكهرباء بالشوارع "/>
    <s v="تم العمل"/>
    <d v="1899-12-30T11:00:00"/>
    <d v="1899-12-30T17:00:00"/>
    <n v="0.25000000000000006"/>
    <x v="3"/>
    <n v="6.0000000000000018"/>
  </r>
  <r>
    <x v="4"/>
    <d v="2024-05-07T00:00:00"/>
    <s v="الثلاثاء "/>
    <x v="29"/>
    <s v="محمد عبالعزيز "/>
    <s v="لحام طربيزات مطبخ الكفتريا "/>
    <s v="تم العمل"/>
    <d v="1899-12-30T16:30:00"/>
    <d v="1899-12-30T19:00:00"/>
    <n v="0.10416666666666663"/>
    <x v="3"/>
    <n v="2.4999999999999991"/>
  </r>
  <r>
    <x v="4"/>
    <d v="2024-05-08T00:00:00"/>
    <s v="الاربعاء "/>
    <x v="5"/>
    <s v="محمد النقيب "/>
    <s v="صيانة كشافات المخزن "/>
    <s v="تم العمل"/>
    <d v="1899-12-30T12:00:00"/>
    <d v="1899-12-30T17:00:00"/>
    <n v="0.20833333333333337"/>
    <x v="3"/>
    <n v="5.0000000000000009"/>
  </r>
  <r>
    <x v="4"/>
    <d v="2024-05-08T00:00:00"/>
    <s v="الاربعاء "/>
    <x v="25"/>
    <s v="فارس خليل "/>
    <s v="تركيب سلم الطوارىء "/>
    <s v="تم العمل"/>
    <d v="1899-12-30T10:00:00"/>
    <d v="1899-12-30T14:00:00"/>
    <n v="0.27079999999999999"/>
    <x v="1"/>
    <n v="6.4992000000000001"/>
  </r>
  <r>
    <x v="4"/>
    <d v="2024-05-08T00:00:00"/>
    <s v="الاربعاء "/>
    <x v="22"/>
    <s v="محمودالدروى    "/>
    <s v="صيانة تكييف باعنبر الطباعة "/>
    <s v="تم العمل"/>
    <d v="1899-12-30T11:30:00"/>
    <d v="1899-12-30T14:00:00"/>
    <n v="0.10416666666666669"/>
    <x v="3"/>
    <n v="2.5000000000000004"/>
  </r>
  <r>
    <x v="4"/>
    <d v="2024-05-08T00:00:00"/>
    <s v="الاربعاء "/>
    <x v="25"/>
    <s v="فارس خليل "/>
    <s v="صنفرة ودهان "/>
    <s v="تم العمل"/>
    <d v="1899-12-30T09:00:00"/>
    <d v="1899-12-30T17:00:00"/>
    <n v="0.27079999999999999"/>
    <x v="1"/>
    <n v="6.4992000000000001"/>
  </r>
  <r>
    <x v="4"/>
    <d v="2024-05-08T00:00:00"/>
    <s v="الاربعاء "/>
    <x v="5"/>
    <s v="مصطفى صلاح "/>
    <s v="صيانة واصلاح الكراسى الادارية "/>
    <s v="تم العمل"/>
    <d v="1899-12-30T10:30:00"/>
    <d v="1899-12-30T17:30:00"/>
    <n v="8.3299999999999999E-2"/>
    <x v="3"/>
    <n v="2"/>
  </r>
  <r>
    <x v="4"/>
    <d v="2024-05-09T00:00:00"/>
    <s v="الخميس "/>
    <x v="22"/>
    <s v="محمودالدروى    "/>
    <s v="صيانة تكييف "/>
    <s v="تم العمل"/>
    <d v="1899-12-30T11:30:00"/>
    <d v="1899-12-30T12:00:00"/>
    <n v="2.0833333333333315E-2"/>
    <x v="3"/>
    <n v="0.49999999999999956"/>
  </r>
  <r>
    <x v="4"/>
    <d v="2024-05-09T00:00:00"/>
    <s v="الخميس "/>
    <x v="25"/>
    <s v="فارس خليل "/>
    <s v="صنفرة ودهان "/>
    <s v="تم العمل"/>
    <d v="1899-12-30T09:00:00"/>
    <d v="1899-12-30T17:00:00"/>
    <n v="0.27079999999999999"/>
    <x v="1"/>
    <n v="6.4992000000000001"/>
  </r>
  <r>
    <x v="4"/>
    <d v="2024-05-09T00:00:00"/>
    <s v="الخميس "/>
    <x v="25"/>
    <s v="فارس خليل "/>
    <s v="تركيب سلم الطوارىء "/>
    <s v="تم العمل"/>
    <d v="1899-12-30T10:00:00"/>
    <d v="1899-12-30T15:00:00"/>
    <n v="0.27079999999999999"/>
    <x v="1"/>
    <n v="6.4992000000000001"/>
  </r>
  <r>
    <x v="4"/>
    <d v="2024-05-11T00:00:00"/>
    <s v="السبت "/>
    <x v="7"/>
    <s v="محمد ماهر "/>
    <s v="الزيارة الشهرية  ورش مبيت الامن "/>
    <s v="تم العمل"/>
    <d v="1899-12-30T11:30:00"/>
    <d v="1899-12-30T14:00:00"/>
    <n v="0.10416666666666669"/>
    <x v="3"/>
    <n v="2.5000000000000004"/>
  </r>
  <r>
    <x v="4"/>
    <d v="2024-05-11T00:00:00"/>
    <s v="السبت "/>
    <x v="22"/>
    <s v="محمودالدروى    "/>
    <s v="صيانة تكييف "/>
    <s v="تم العمل"/>
    <d v="1899-12-30T12:00:00"/>
    <d v="1899-12-30T17:30:00"/>
    <n v="0.22916666666666663"/>
    <x v="3"/>
    <n v="5.4999999999999991"/>
  </r>
  <r>
    <x v="4"/>
    <d v="2024-05-12T00:00:00"/>
    <s v="الاحد "/>
    <x v="32"/>
    <s v="محمد مدنى "/>
    <s v="تركيب عجل استندات  "/>
    <s v="تم العمل"/>
    <d v="1899-12-30T00:00:00"/>
    <d v="1899-12-30T15:00:00"/>
    <n v="0.27079999999999999"/>
    <x v="1"/>
    <n v="6.4992000000000001"/>
  </r>
  <r>
    <x v="4"/>
    <d v="2024-05-12T00:00:00"/>
    <s v="الاحد "/>
    <x v="25"/>
    <s v="فارس خليل "/>
    <s v="تركيب سلم الطوارىء "/>
    <s v="تم العمل"/>
    <d v="1899-12-30T10:00:00"/>
    <d v="1899-12-30T15:00:00"/>
    <n v="0.27079999999999999"/>
    <x v="1"/>
    <n v="6.4992000000000001"/>
  </r>
  <r>
    <x v="4"/>
    <d v="2024-05-12T00:00:00"/>
    <s v="الاحد "/>
    <x v="5"/>
    <s v="مجدى كرم  "/>
    <s v="دهانات المخزن المدرسى "/>
    <s v="تم العمل"/>
    <d v="1899-12-30T10:00:00"/>
    <d v="1899-12-30T20:00:00"/>
    <n v="0.41666666666666669"/>
    <x v="6"/>
    <n v="10"/>
  </r>
  <r>
    <x v="4"/>
    <d v="2024-05-12T00:00:00"/>
    <s v="الاحد "/>
    <x v="25"/>
    <s v="فارس خليل "/>
    <s v="صنفرة وتجليخ "/>
    <s v="تم العمل"/>
    <d v="1899-12-30T09:00:00"/>
    <d v="1899-12-30T16:00:00"/>
    <n v="0.27079999999999999"/>
    <x v="1"/>
    <n v="6.4992000000000001"/>
  </r>
  <r>
    <x v="4"/>
    <d v="2024-05-13T00:00:00"/>
    <s v="الاثنين "/>
    <x v="5"/>
    <s v="السيد عبد الله  "/>
    <s v="دهانات المخزن المدرسى "/>
    <s v="تم العمل"/>
    <d v="1899-12-30T10:00:00"/>
    <d v="1899-12-30T22:00:00"/>
    <n v="0.49999999999999994"/>
    <x v="3"/>
    <n v="11.999999999999998"/>
  </r>
  <r>
    <x v="4"/>
    <d v="2024-05-13T00:00:00"/>
    <s v="الاثنين "/>
    <x v="8"/>
    <s v="على الشحات "/>
    <s v="الزيارة الشهرية والمرور على لوحة الانزار "/>
    <s v="تم العمل"/>
    <d v="1899-12-30T00:00:00"/>
    <d v="1899-12-30T13:00:00"/>
    <n v="0.27079999999999999"/>
    <x v="1"/>
    <n v="6.4992000000000001"/>
  </r>
  <r>
    <x v="4"/>
    <d v="2024-05-13T00:00:00"/>
    <s v="الاثنين "/>
    <x v="25"/>
    <s v="فارس خليل "/>
    <s v="تركيب سلم الطوارىء "/>
    <s v="تم العمل"/>
    <d v="1899-12-30T10:00:00"/>
    <d v="1899-12-30T15:00:00"/>
    <n v="0.27079999999999999"/>
    <x v="1"/>
    <n v="6.4992000000000001"/>
  </r>
  <r>
    <x v="4"/>
    <d v="2024-05-13T00:00:00"/>
    <s v="الاثنين "/>
    <x v="8"/>
    <s v="على الشحات "/>
    <s v=" الزيارة الشهرية وتغيير بطاريات لوحات الانزار"/>
    <s v="تم العمل"/>
    <d v="1899-12-30T10:00:00"/>
    <d v="1899-12-30T13:00:00"/>
    <n v="0.27079999999999999"/>
    <x v="0"/>
    <n v="6.4992000000000001"/>
  </r>
  <r>
    <x v="4"/>
    <d v="2024-05-13T00:00:00"/>
    <s v="الاثنين "/>
    <x v="3"/>
    <s v="محمد احمد    "/>
    <s v="صيانة خط النت "/>
    <s v="تم العمل"/>
    <d v="1899-12-30T12:30:00"/>
    <d v="1899-12-30T15:00:00"/>
    <n v="0.10416666666666663"/>
    <x v="2"/>
    <n v="2.4999999999999991"/>
  </r>
  <r>
    <x v="4"/>
    <d v="2024-05-13T00:00:00"/>
    <s v="الاثنين "/>
    <x v="6"/>
    <s v="كمال مرسى "/>
    <s v="أعمال صيانة "/>
    <s v="تم العمل"/>
    <d v="1899-12-30T11:30:00"/>
    <d v="1899-12-30T13:30:00"/>
    <n v="8.3333333333333315E-2"/>
    <x v="3"/>
    <n v="1.9999999999999996"/>
  </r>
  <r>
    <x v="4"/>
    <d v="2024-05-14T00:00:00"/>
    <s v="الثلاثاء "/>
    <x v="6"/>
    <s v="صابر ابلراهيم "/>
    <s v="لحام سلم اشراف الويب "/>
    <s v="تم العمل"/>
    <d v="1899-12-30T11:30:00"/>
    <d v="1899-12-30T12:00:00"/>
    <n v="2.0833333333333315E-2"/>
    <x v="3"/>
    <n v="0.49999999999999956"/>
  </r>
  <r>
    <x v="4"/>
    <d v="2024-05-14T00:00:00"/>
    <s v="الثلاثاء "/>
    <x v="5"/>
    <s v="رامى محمد  "/>
    <s v="دهانات المخزن المدرسى "/>
    <s v="تم العمل"/>
    <d v="1899-12-30T10:30:00"/>
    <d v="1899-12-30T15:00:00"/>
    <n v="0.1875"/>
    <x v="0"/>
    <n v="4.5"/>
  </r>
  <r>
    <x v="4"/>
    <d v="2024-05-14T00:00:00"/>
    <s v="الثلاثاء "/>
    <x v="16"/>
    <s v="امير رضا  "/>
    <s v="صيانة الكلاركات "/>
    <s v="تم العمل"/>
    <d v="1899-12-30T13:00:00"/>
    <d v="1899-12-30T15:00:00"/>
    <n v="8.333333333333337E-2"/>
    <x v="3"/>
    <n v="2.0000000000000009"/>
  </r>
  <r>
    <x v="4"/>
    <d v="2024-05-14T00:00:00"/>
    <s v="الثلاثاء "/>
    <x v="25"/>
    <s v="فارس خليل "/>
    <s v="تركيب سلم الطوارىء "/>
    <s v="تم العمل"/>
    <d v="1899-12-30T10:00:00"/>
    <d v="1899-12-30T15:00:00"/>
    <n v="0.27079999999999999"/>
    <x v="1"/>
    <n v="6.4992000000000001"/>
  </r>
  <r>
    <x v="4"/>
    <d v="2024-05-14T00:00:00"/>
    <s v="الثلاثاء "/>
    <x v="5"/>
    <s v="السيد عبد الله  "/>
    <s v="دهانات المخزن المدرسى "/>
    <s v="تم العمل"/>
    <d v="1899-12-30T10:00:00"/>
    <d v="1899-12-30T22:00:00"/>
    <n v="0.49999999999999994"/>
    <x v="3"/>
    <n v="11.999999999999998"/>
  </r>
  <r>
    <x v="4"/>
    <d v="2024-05-14T00:00:00"/>
    <s v="الثلاثاء "/>
    <x v="5"/>
    <s v="تامر احمد   "/>
    <s v="اصلاح وصيانة الكولدير "/>
    <s v="تم العمل"/>
    <d v="1899-12-30T17:00:00"/>
    <d v="1899-12-30T18:00:00"/>
    <n v="4.166666666666663E-2"/>
    <x v="3"/>
    <n v="0.99999999999999911"/>
  </r>
  <r>
    <x v="4"/>
    <d v="2024-05-14T00:00:00"/>
    <s v="الثلاثاء "/>
    <x v="36"/>
    <s v="اسامة فتحى   "/>
    <s v="فك وتركيب صاج سقف  عنبر دويتش "/>
    <s v="تم العمل"/>
    <d v="1899-12-30T10:00:00"/>
    <d v="1899-12-30T20:00:00"/>
    <n v="0.41666666666666669"/>
    <x v="5"/>
    <n v="10"/>
  </r>
  <r>
    <x v="4"/>
    <d v="2024-05-14T00:00:00"/>
    <s v="الثلاثاء "/>
    <x v="10"/>
    <s v="احمد فرج    "/>
    <s v="تركيب فراشة بالشارع  "/>
    <s v="تم العمل"/>
    <d v="1899-12-30T11:00:00"/>
    <d v="1899-12-30T17:00:00"/>
    <n v="0.25000000000000006"/>
    <x v="0"/>
    <n v="6.0000000000000018"/>
  </r>
  <r>
    <x v="4"/>
    <d v="2024-05-15T00:00:00"/>
    <s v="الاربعاء "/>
    <x v="6"/>
    <s v="صابر ابلراهيم "/>
    <s v="لحام بجوار ويب  8"/>
    <s v="تم العمل"/>
    <d v="1899-12-30T12:30:00"/>
    <d v="1899-12-30T15:00:00"/>
    <n v="0.10416666666666663"/>
    <x v="3"/>
    <n v="2.4999999999999991"/>
  </r>
  <r>
    <x v="4"/>
    <d v="2024-05-15T00:00:00"/>
    <s v="الاربعاء "/>
    <x v="36"/>
    <s v="اسامة فتحى   "/>
    <s v="فك وتركيب صاج سقف  عنبر دويتش "/>
    <s v="رفض الأعمال"/>
    <d v="1899-12-30T10:00:00"/>
    <d v="1899-12-30T11:00:00"/>
    <n v="4.166666666666663E-2"/>
    <x v="5"/>
    <n v="0.9999999999999991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x v="0"/>
    <n v="204.3"/>
    <x v="0"/>
  </r>
  <r>
    <x v="1"/>
    <n v="151.30000000000001"/>
    <x v="0"/>
  </r>
  <r>
    <x v="2"/>
    <n v="5"/>
    <x v="0"/>
  </r>
  <r>
    <x v="3"/>
    <n v="99"/>
    <x v="0"/>
  </r>
  <r>
    <x v="4"/>
    <n v="218.35"/>
    <x v="0"/>
  </r>
  <r>
    <x v="5"/>
    <n v="44"/>
    <x v="0"/>
  </r>
  <r>
    <x v="6"/>
    <n v="81"/>
    <x v="0"/>
  </r>
  <r>
    <x v="7"/>
    <n v="62.3"/>
    <x v="0"/>
  </r>
  <r>
    <x v="1"/>
    <n v="76.45"/>
    <x v="1"/>
  </r>
  <r>
    <x v="2"/>
    <n v="67"/>
    <x v="1"/>
  </r>
  <r>
    <x v="3"/>
    <n v="51.4"/>
    <x v="1"/>
  </r>
  <r>
    <x v="4"/>
    <n v="70.3"/>
    <x v="1"/>
  </r>
  <r>
    <x v="5"/>
    <n v="9.3000000000000007"/>
    <x v="1"/>
  </r>
  <r>
    <x v="6"/>
    <n v="52"/>
    <x v="1"/>
  </r>
  <r>
    <x v="7"/>
    <n v="10.3"/>
    <x v="1"/>
  </r>
  <r>
    <x v="1"/>
    <n v="7.3"/>
    <x v="2"/>
  </r>
  <r>
    <x v="2"/>
    <n v="1"/>
    <x v="2"/>
  </r>
  <r>
    <x v="7"/>
    <n v="13.3"/>
    <x v="2"/>
  </r>
  <r>
    <x v="0"/>
    <n v="0"/>
    <x v="3"/>
  </r>
  <r>
    <x v="1"/>
    <n v="16"/>
    <x v="3"/>
  </r>
  <r>
    <x v="2"/>
    <n v="2.2999999999999998"/>
    <x v="3"/>
  </r>
  <r>
    <x v="3"/>
    <n v="60.3"/>
    <x v="3"/>
  </r>
  <r>
    <x v="4"/>
    <n v="7.3"/>
    <x v="3"/>
  </r>
  <r>
    <x v="5"/>
    <n v="0"/>
    <x v="3"/>
  </r>
  <r>
    <x v="6"/>
    <n v="51.3"/>
    <x v="3"/>
  </r>
  <r>
    <x v="7"/>
    <n v="16.3"/>
    <x v="3"/>
  </r>
  <r>
    <x v="2"/>
    <n v="4.3"/>
    <x v="4"/>
  </r>
  <r>
    <x v="4"/>
    <n v="6.3"/>
    <x v="4"/>
  </r>
  <r>
    <x v="8"/>
    <s v=" "/>
    <x v="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79">
  <r>
    <x v="0"/>
    <d v="2024-01-01T00:00:00"/>
    <s v="الاثنين "/>
    <x v="0"/>
    <s v="محمد زقل  جاد "/>
    <s v="تركيب سيراميك حمامات "/>
    <s v="تم العمل"/>
    <d v="1899-12-30T10:30:00"/>
    <d v="1899-12-30T17:00:00"/>
    <n v="0.27083333333333337"/>
    <x v="0"/>
    <n v="6.5000000000000009"/>
  </r>
  <r>
    <x v="0"/>
    <d v="2024-01-01T00:00:00"/>
    <s v="الاثنين "/>
    <x v="1"/>
    <s v="محمود سعيد "/>
    <s v="تركيب خط الحريق  "/>
    <s v="تم العمل"/>
    <d v="1899-12-30T10:00:00"/>
    <d v="1899-12-30T16:00:00"/>
    <n v="0.24999999999999994"/>
    <x v="1"/>
    <n v="5.9999999999999982"/>
  </r>
  <r>
    <x v="0"/>
    <d v="2024-01-01T00:00:00"/>
    <s v="الاثنين "/>
    <x v="0"/>
    <s v="مراد صالح"/>
    <s v="اعمال بناء "/>
    <s v="تم العمل"/>
    <d v="1899-12-30T10:00:00"/>
    <d v="1899-12-30T17:00:00"/>
    <n v="0.29166666666666669"/>
    <x v="0"/>
    <n v="7"/>
  </r>
  <r>
    <x v="0"/>
    <d v="2024-01-02T00:00:00"/>
    <s v="الثلاثاء "/>
    <x v="2"/>
    <s v="محمد رجب  "/>
    <s v="تركيبات  "/>
    <s v="تم العمل"/>
    <d v="1899-12-30T09:30:00"/>
    <d v="1899-12-30T18:00:00"/>
    <n v="0.35416666666666669"/>
    <x v="2"/>
    <n v="8.5"/>
  </r>
  <r>
    <x v="0"/>
    <d v="2024-01-02T00:00:00"/>
    <s v="الثلاثاء "/>
    <x v="3"/>
    <s v="محمود ربيع  "/>
    <s v="تركيبات  "/>
    <s v="تم العمل"/>
    <d v="1899-12-30T10:00:00"/>
    <d v="1899-12-30T17:00:00"/>
    <n v="0.29166666666666669"/>
    <x v="2"/>
    <n v="7"/>
  </r>
  <r>
    <x v="0"/>
    <d v="2024-01-02T00:00:00"/>
    <s v="الثلاثاء "/>
    <x v="0"/>
    <s v="مراد صالح"/>
    <s v="نظافة العنبر "/>
    <s v="تم العمل"/>
    <d v="1899-12-30T09:00:00"/>
    <d v="1899-12-30T15:00:00"/>
    <n v="0.25"/>
    <x v="0"/>
    <n v="6"/>
  </r>
  <r>
    <x v="0"/>
    <d v="2024-01-02T00:00:00"/>
    <s v="الثلاثاء "/>
    <x v="1"/>
    <s v="سعداوى "/>
    <s v="تركيب كهرباء وعمل دهان "/>
    <s v="تم العمل"/>
    <d v="1899-12-30T10:00:00"/>
    <d v="1899-12-30T17:00:00"/>
    <n v="0.29166666666666669"/>
    <x v="1"/>
    <n v="7"/>
  </r>
  <r>
    <x v="0"/>
    <d v="2024-01-02T00:00:00"/>
    <s v="الثلاثاء "/>
    <x v="0"/>
    <s v="محمد زقل  جاد "/>
    <s v="تركيب سيراميك حمامات "/>
    <s v="تم العمل"/>
    <d v="1899-12-30T12:30:00"/>
    <d v="1899-12-30T17:00:00"/>
    <n v="0.1875"/>
    <x v="0"/>
    <n v="4.5"/>
  </r>
  <r>
    <x v="0"/>
    <d v="2024-01-03T00:00:00"/>
    <s v="الاربعاء "/>
    <x v="0"/>
    <s v="مراد صالح"/>
    <s v="نظافة العنبر "/>
    <s v="تم العمل"/>
    <d v="1899-12-30T11:00:00"/>
    <d v="1899-12-30T16:00:00"/>
    <n v="0.20833333333333331"/>
    <x v="0"/>
    <n v="5"/>
  </r>
  <r>
    <x v="0"/>
    <d v="2024-01-03T00:00:00"/>
    <s v="الاربعاء "/>
    <x v="4"/>
    <s v="محمد رجب "/>
    <s v="تركيبات  "/>
    <s v="تم العمل"/>
    <d v="1899-12-30T09:00:00"/>
    <d v="1899-12-30T18:00:00"/>
    <n v="0.375"/>
    <x v="2"/>
    <n v="9"/>
  </r>
  <r>
    <x v="0"/>
    <d v="2024-01-03T00:00:00"/>
    <s v="الاربعاء "/>
    <x v="3"/>
    <s v="محمود ربيع  "/>
    <s v="تركيبات  "/>
    <s v="تم العمل"/>
    <d v="1899-12-30T09:00:00"/>
    <d v="1899-12-30T18:00:00"/>
    <n v="0.375"/>
    <x v="2"/>
    <n v="9"/>
  </r>
  <r>
    <x v="0"/>
    <d v="2024-01-03T00:00:00"/>
    <s v="الاربعاء "/>
    <x v="1"/>
    <s v="محمود سعيد "/>
    <s v="تركيب الفاير "/>
    <s v="تم العمل"/>
    <d v="1899-12-30T10:00:00"/>
    <d v="1899-12-30T16:00:00"/>
    <n v="0.24999999999999994"/>
    <x v="1"/>
    <n v="5.9999999999999982"/>
  </r>
  <r>
    <x v="0"/>
    <d v="2024-01-03T00:00:00"/>
    <s v="الاربعاء "/>
    <x v="5"/>
    <s v="محمد خليل النقيب "/>
    <s v="تركيب مروحة سقف فى مبيت الامن "/>
    <s v="تم العمل"/>
    <d v="1899-12-30T09:30:00"/>
    <d v="1899-12-30T12:00:00"/>
    <n v="0.10416666666666669"/>
    <x v="0"/>
    <n v="0.99999999999999911"/>
  </r>
  <r>
    <x v="0"/>
    <d v="2024-01-03T00:00:00"/>
    <s v="الاربعاء "/>
    <x v="0"/>
    <s v="محمد زقل  جاد "/>
    <s v="تركيب سيراميك حمامات "/>
    <s v="تم العمل"/>
    <d v="1899-12-30T10:00:00"/>
    <d v="1899-12-30T17:00:00"/>
    <n v="0.29166666666666669"/>
    <x v="0"/>
    <n v="7"/>
  </r>
  <r>
    <x v="0"/>
    <d v="2024-01-04T00:00:00"/>
    <s v="الخميس "/>
    <x v="6"/>
    <s v="صابر ابراهيم"/>
    <s v="اعمال لحام "/>
    <s v="تم العمل"/>
    <d v="1899-12-30T11:00:00"/>
    <d v="1899-12-30T13:00:00"/>
    <n v="8.3333333333333315E-2"/>
    <x v="3"/>
    <n v="1.9999999999999996"/>
  </r>
  <r>
    <x v="0"/>
    <d v="2024-01-04T00:00:00"/>
    <s v="الخميس "/>
    <x v="7"/>
    <s v="زياد "/>
    <s v="الزيارة الشهرية ومكافحة حشرات "/>
    <s v="تم العمل"/>
    <d v="1899-12-30T11:00:00"/>
    <d v="1899-12-30T16:00:00"/>
    <n v="0.20833333333333331"/>
    <x v="3"/>
    <n v="5"/>
  </r>
  <r>
    <x v="0"/>
    <d v="2024-01-04T00:00:00"/>
    <s v="الخميس "/>
    <x v="8"/>
    <s v="    ممدوح عبد التواب     "/>
    <s v=" الزيارة الشهرية والمرور على لوح انزار غرف الكهرباء "/>
    <s v="تم العمل"/>
    <d v="1899-12-30T10:30:00"/>
    <d v="1899-12-30T14:00:00"/>
    <n v="0.14583333333333337"/>
    <x v="3"/>
    <n v="3.5000000000000009"/>
  </r>
  <r>
    <x v="0"/>
    <d v="2024-01-04T00:00:00"/>
    <s v="الخميس "/>
    <x v="1"/>
    <s v="محمود سعيد "/>
    <s v="سعداوى رياض "/>
    <s v="تم العمل"/>
    <d v="1899-12-30T10:00:00"/>
    <d v="1899-12-30T16:30:00"/>
    <n v="0.27083333333333331"/>
    <x v="1"/>
    <n v="6.5"/>
  </r>
  <r>
    <x v="0"/>
    <d v="2024-01-04T00:00:00"/>
    <s v="الخميس "/>
    <x v="0"/>
    <s v="محمد زقل  جاد "/>
    <s v="تركيب كهرباء المبنى الادارى "/>
    <s v="تم العمل"/>
    <d v="1899-12-30T10:00:00"/>
    <d v="1899-12-30T17:00:00"/>
    <n v="0.29166666666666669"/>
    <x v="0"/>
    <n v="7"/>
  </r>
  <r>
    <x v="0"/>
    <d v="2024-01-04T00:00:00"/>
    <s v="الخميس "/>
    <x v="0"/>
    <s v="محمد زقل  جاد "/>
    <s v="تركيب سيراميك الحمامات "/>
    <s v="تم العمل"/>
    <d v="1899-12-30T10:30:00"/>
    <d v="1899-12-30T17:00:00"/>
    <n v="0.29166666666666669"/>
    <x v="0"/>
    <n v="7"/>
  </r>
  <r>
    <x v="0"/>
    <d v="2024-01-05T00:00:00"/>
    <s v="الجمعة "/>
    <x v="1"/>
    <s v="سعداوى  رياض "/>
    <s v="تجميع وتركيب تريهات الكهرباء "/>
    <s v="تم العمل"/>
    <d v="1899-12-30T10:00:00"/>
    <d v="1899-12-30T17:30:00"/>
    <n v="0.31249999999999994"/>
    <x v="1"/>
    <n v="7.4999999999999982"/>
  </r>
  <r>
    <x v="0"/>
    <d v="2024-01-06T00:00:00"/>
    <s v="السبت "/>
    <x v="0"/>
    <s v="مراد صالح  "/>
    <s v="تركيب سيراميك مكتب د/ احمد "/>
    <s v="تم العمل"/>
    <d v="1899-12-30T11:30:00"/>
    <d v="1899-12-30T17:00:00"/>
    <n v="0.22916666666666669"/>
    <x v="0"/>
    <n v="5.5"/>
  </r>
  <r>
    <x v="0"/>
    <d v="2024-01-06T00:00:00"/>
    <s v="السبت "/>
    <x v="1"/>
    <s v="سعداوى  رياض "/>
    <s v="تجميع وتركيب تريهات الكهرباء "/>
    <s v="تم العمل"/>
    <d v="1899-12-30T10:00:00"/>
    <d v="1899-12-30T16:00:00"/>
    <n v="0.24999999999999994"/>
    <x v="1"/>
    <n v="5.9999999999999982"/>
  </r>
  <r>
    <x v="0"/>
    <d v="2024-01-06T00:00:00"/>
    <s v="السبت "/>
    <x v="1"/>
    <s v="سعداوى  رياض "/>
    <s v="تركيب شبكة الحريق "/>
    <s v="تم العمل"/>
    <d v="1899-12-30T09:30:00"/>
    <d v="1899-12-30T16:00:00"/>
    <n v="0.27083333333333331"/>
    <x v="1"/>
    <n v="6.5"/>
  </r>
  <r>
    <x v="0"/>
    <d v="2024-01-06T00:00:00"/>
    <s v="السبت "/>
    <x v="9"/>
    <s v="سامى شعبان  "/>
    <s v="تركيب عفشة لكلارك 29 "/>
    <s v="تم العمل"/>
    <d v="1899-12-30T10:00:00"/>
    <d v="1899-12-30T14:00:00"/>
    <n v="0.16666666666666669"/>
    <x v="0"/>
    <n v="4"/>
  </r>
  <r>
    <x v="0"/>
    <d v="2024-01-07T00:00:00"/>
    <s v="الاحد "/>
    <x v="7"/>
    <s v="محمد ماهر "/>
    <s v="مكافحة حشرات "/>
    <s v="تم العمل"/>
    <d v="1899-12-30T10:00:00"/>
    <d v="1899-12-30T14:00:00"/>
    <n v="0.16666666666666669"/>
    <x v="3"/>
    <n v="4"/>
  </r>
  <r>
    <x v="0"/>
    <d v="2024-01-07T00:00:00"/>
    <s v="الاحد "/>
    <x v="6"/>
    <s v="صابر ابراهيم"/>
    <s v="اعمال لحام "/>
    <s v="تم العمل"/>
    <d v="1899-12-30T09:30:00"/>
    <d v="1899-12-30T11:00:00"/>
    <n v="6.25E-2"/>
    <x v="3"/>
    <n v="1.5"/>
  </r>
  <r>
    <x v="0"/>
    <d v="2024-01-07T00:00:00"/>
    <s v="الاحد "/>
    <x v="5"/>
    <s v="ياسر روبى  "/>
    <s v=" تركيب سيراميك غرفة شؤون الطلبة  الاكادمية "/>
    <s v="تم العمل"/>
    <d v="1899-12-30T12:00:00"/>
    <d v="1899-12-30T17:00:00"/>
    <n v="0.20833333333333337"/>
    <x v="3"/>
    <n v="0.99999999999999911"/>
  </r>
  <r>
    <x v="0"/>
    <d v="2024-01-07T00:00:00"/>
    <s v="الاحد "/>
    <x v="1"/>
    <s v="احمد على فؤاد "/>
    <s v="تجميع وتركيب تريهات الكهرباء "/>
    <s v="تم العمل"/>
    <d v="1899-12-30T10:00:00"/>
    <d v="1899-12-30T17:30:00"/>
    <n v="0.31249999999999994"/>
    <x v="1"/>
    <n v="7.4999999999999982"/>
  </r>
  <r>
    <x v="0"/>
    <d v="2024-01-07T00:00:00"/>
    <s v="الاحد "/>
    <x v="10"/>
    <s v="فرج محمد "/>
    <s v="فك الفراشة الموجودة فى الشوارع الخارجية "/>
    <s v="تم العمل"/>
    <d v="1899-12-30T10:00:00"/>
    <d v="1899-12-30T17:00:00"/>
    <n v="0.27079999999999999"/>
    <x v="0"/>
    <n v="6.5"/>
  </r>
  <r>
    <x v="0"/>
    <d v="2024-01-07T00:00:00"/>
    <s v="الاحد "/>
    <x v="5"/>
    <s v="مصطفى محمود "/>
    <s v="دهان تندة خزانات المياه والطلمبة الاحتياطى  "/>
    <s v="تم العمل"/>
    <d v="1899-12-30T15:00:00"/>
    <d v="1899-12-30T16:00:00"/>
    <n v="4.166666666666663E-2"/>
    <x v="0"/>
    <n v="0.99999999999999911"/>
  </r>
  <r>
    <x v="0"/>
    <d v="2024-01-08T00:00:00"/>
    <s v="الاثنين "/>
    <x v="1"/>
    <s v="صفوت شفيق "/>
    <s v="تجميع وتركيب تريهات الكهرباء "/>
    <s v="تم العمل"/>
    <d v="1899-12-30T09:30:00"/>
    <d v="1899-12-30T17:00:00"/>
    <n v="0.31250000000000006"/>
    <x v="1"/>
    <n v="7.5000000000000018"/>
  </r>
  <r>
    <x v="0"/>
    <d v="2024-01-08T00:00:00"/>
    <s v="الاثنين "/>
    <x v="10"/>
    <s v="فرج محمد "/>
    <s v="فك الفراشة الموجودة فى الشوارع الخارجية "/>
    <s v="تم العمل"/>
    <d v="1899-12-30T10:30:00"/>
    <d v="1899-12-30T17:00:00"/>
    <n v="0.27079999999999999"/>
    <x v="0"/>
    <n v="6.5"/>
  </r>
  <r>
    <x v="0"/>
    <d v="2024-01-08T00:00:00"/>
    <s v="الاثنين "/>
    <x v="0"/>
    <s v="محمد زقل  جاد "/>
    <s v="تركيب كهرباء المبنى الادارى "/>
    <s v="تم العمل"/>
    <d v="1899-12-30T10:00:00"/>
    <d v="1899-12-30T17:00:00"/>
    <n v="0.29166666666666669"/>
    <x v="0"/>
    <n v="7"/>
  </r>
  <r>
    <x v="0"/>
    <d v="2024-01-08T00:00:00"/>
    <s v="الاثنين "/>
    <x v="6"/>
    <s v="صابر ابراهيم"/>
    <s v="لحام باب الامن  وباب عنبر رقم د"/>
    <s v="تم العمل"/>
    <d v="1899-12-30T12:00:00"/>
    <d v="1899-12-30T17:00:00"/>
    <n v="0.20833333333333337"/>
    <x v="3"/>
    <n v="5.0000000000000009"/>
  </r>
  <r>
    <x v="0"/>
    <d v="2024-01-08T00:00:00"/>
    <s v="الاثنين "/>
    <x v="11"/>
    <s v="محمد رمضان   "/>
    <s v="تركيب عفشة لكلارك 29 "/>
    <s v="تم العمل"/>
    <d v="1899-12-30T10:00:00"/>
    <d v="1899-12-30T14:00:00"/>
    <n v="0.16666666666666669"/>
    <x v="3"/>
    <n v="4"/>
  </r>
  <r>
    <x v="0"/>
    <d v="2024-01-08T00:00:00"/>
    <s v="الاثنين "/>
    <x v="0"/>
    <s v="محمود ربيع  "/>
    <s v="تركيبات  "/>
    <s v="تم العمل"/>
    <d v="1899-12-30T09:30:00"/>
    <d v="1899-12-30T18:00:00"/>
    <n v="0.35416666666666669"/>
    <x v="2"/>
    <n v="8.5"/>
  </r>
  <r>
    <x v="0"/>
    <d v="2024-01-09T00:00:00"/>
    <s v="الثلاثاء "/>
    <x v="11"/>
    <s v="محمد رمضان   "/>
    <s v="صيانة الكلاركات "/>
    <s v="تم العمل"/>
    <d v="1899-12-30T10:00:00"/>
    <d v="1899-12-30T16:00:00"/>
    <n v="0.24999999999999994"/>
    <x v="3"/>
    <n v="5.9999999999999982"/>
  </r>
  <r>
    <x v="0"/>
    <d v="2024-01-09T00:00:00"/>
    <s v="الثلاثاء "/>
    <x v="1"/>
    <s v="صفوت شفيق "/>
    <s v="تجميع وتركيب تريهات الكهرباء "/>
    <s v="تم العمل"/>
    <d v="1899-12-30T09:30:00"/>
    <d v="1899-12-30T12:30:00"/>
    <n v="0.12500000000000006"/>
    <x v="1"/>
    <n v="3.0000000000000013"/>
  </r>
  <r>
    <x v="0"/>
    <d v="2024-01-09T00:00:00"/>
    <s v="الثلاثاء "/>
    <x v="10"/>
    <s v="فرج محمد "/>
    <s v="فك الفراشة الموجودة فى الشوارع الخارجية "/>
    <s v="تم العمل"/>
    <d v="1899-12-30T10:00:00"/>
    <d v="1899-12-30T17:00:00"/>
    <n v="0.27079999999999999"/>
    <x v="0"/>
    <n v="6.5"/>
  </r>
  <r>
    <x v="0"/>
    <d v="2024-01-09T00:00:00"/>
    <s v="الثلاثاء "/>
    <x v="0"/>
    <s v="مراد صالح  "/>
    <s v="استكمال تركيب كهرباء المبنى الادارى "/>
    <s v="تم العمل"/>
    <d v="1899-12-30T11:00:00"/>
    <d v="1899-12-30T17:00:00"/>
    <n v="0.27079999999999999"/>
    <x v="3"/>
    <n v="6.5"/>
  </r>
  <r>
    <x v="0"/>
    <d v="2024-01-09T00:00:00"/>
    <s v="الثلاثاء "/>
    <x v="0"/>
    <s v="مراد صالح  "/>
    <s v="استكمال اعمال السباكة المبنى الادارى "/>
    <s v="تم العمل"/>
    <d v="1899-12-30T11:00:00"/>
    <d v="1899-12-30T17:00:00"/>
    <n v="0.27079999999999999"/>
    <x v="0"/>
    <n v="6.5"/>
  </r>
  <r>
    <x v="0"/>
    <d v="2024-01-09T00:00:00"/>
    <s v="الثلاثاء "/>
    <x v="12"/>
    <s v="رامى "/>
    <s v="تركيب شباك المونتال فى حمام الادارى "/>
    <s v="تم العمل"/>
    <d v="1899-12-30T16:30:00"/>
    <d v="1899-12-30T17:00:00"/>
    <n v="0.27079999999999999"/>
    <x v="0"/>
    <n v="6.5"/>
  </r>
  <r>
    <x v="0"/>
    <d v="2024-01-10T00:00:00"/>
    <s v="الاربعاء "/>
    <x v="0"/>
    <s v="عمرو الجندى "/>
    <s v="انشائات  "/>
    <s v="تم العمل"/>
    <d v="1899-12-30T09:00:00"/>
    <d v="1899-12-30T18:00:00"/>
    <n v="0.375"/>
    <x v="2"/>
    <n v="9"/>
  </r>
  <r>
    <x v="0"/>
    <d v="2024-01-10T00:00:00"/>
    <s v="الاربعاء "/>
    <x v="7"/>
    <s v="محمد ماهر "/>
    <s v="الزيارة الشهرية و مكافحة حشرات "/>
    <s v="تم العمل"/>
    <d v="1899-12-30T11:00:00"/>
    <d v="1899-12-30T12:30:00"/>
    <n v="6.2500000000000056E-2"/>
    <x v="1"/>
    <n v="1.5000000000000013"/>
  </r>
  <r>
    <x v="0"/>
    <d v="2024-01-10T00:00:00"/>
    <s v="الاربعاء "/>
    <x v="0"/>
    <s v="عمرو الجندى "/>
    <s v="انشائات  "/>
    <s v="تم العمل"/>
    <d v="1899-12-30T09:00:00"/>
    <d v="1899-12-30T15:30:00"/>
    <n v="0.27083333333333337"/>
    <x v="2"/>
    <n v="6.5000000000000009"/>
  </r>
  <r>
    <x v="0"/>
    <d v="2024-01-10T00:00:00"/>
    <s v="الاربعاء "/>
    <x v="5"/>
    <s v="مصطفى  احمد "/>
    <s v="تغير السقف المعلق بالاكادمية    "/>
    <s v="تم العمل"/>
    <d v="1899-12-30T10:00:00"/>
    <d v="1899-12-30T17:00:00"/>
    <n v="0.29166666666666669"/>
    <x v="3"/>
    <n v="0.99999999999999911"/>
  </r>
  <r>
    <x v="0"/>
    <d v="2024-01-10T00:00:00"/>
    <s v="الاربعاء "/>
    <x v="0"/>
    <s v="احمد عامر "/>
    <s v="انشائات  "/>
    <s v="تم العمل"/>
    <d v="1899-12-30T09:00:00"/>
    <d v="1899-12-30T18:00:00"/>
    <n v="0.375"/>
    <x v="3"/>
    <n v="9"/>
  </r>
  <r>
    <x v="0"/>
    <d v="2024-01-10T00:00:00"/>
    <s v="الاربعاء "/>
    <x v="7"/>
    <s v="محمد ماهر "/>
    <s v="الزيارة الشهرية ومكافحة حشرات "/>
    <s v="تم العمل"/>
    <d v="1899-12-30T14:00:00"/>
    <d v="1899-12-30T15:00:00"/>
    <n v="4.166666666666663E-2"/>
    <x v="0"/>
    <n v="0.99999999999999911"/>
  </r>
  <r>
    <x v="0"/>
    <d v="2024-01-10T00:00:00"/>
    <s v="الاربعاء "/>
    <x v="5"/>
    <s v="محمد جابر "/>
    <s v="تركيب  شفاط الكهرباء فى غرفة تغيير الملابس   "/>
    <s v="تم العمل"/>
    <d v="1899-12-30T11:00:00"/>
    <d v="1899-12-30T17:00:00"/>
    <n v="0.25000000000000006"/>
    <x v="3"/>
    <n v="0.99999999999999911"/>
  </r>
  <r>
    <x v="0"/>
    <d v="2024-01-10T00:00:00"/>
    <s v="الاربعاء "/>
    <x v="1"/>
    <s v="صفوت شفيق "/>
    <s v="تجميع وتركيب تريهات الكهرباء "/>
    <s v="تم العمل"/>
    <d v="1899-12-30T09:30:00"/>
    <d v="1899-12-30T11:30:00"/>
    <n v="8.333333333333337E-2"/>
    <x v="1"/>
    <n v="2.0000000000000009"/>
  </r>
  <r>
    <x v="0"/>
    <d v="2024-01-10T00:00:00"/>
    <s v="الاربعاء "/>
    <x v="6"/>
    <s v="صابر ابراهيم "/>
    <s v="عمل تقوية لحوامل خط الحريق "/>
    <s v="تم العمل"/>
    <d v="1899-12-30T11:30:00"/>
    <d v="1899-12-30T16:30:00"/>
    <n v="0.20833333333333331"/>
    <x v="1"/>
    <n v="5"/>
  </r>
  <r>
    <x v="0"/>
    <d v="2024-01-10T00:00:00"/>
    <s v="الاربعاء "/>
    <x v="7"/>
    <s v="محمد ماهر "/>
    <s v="الزيارة الشهرية ومكافحة حشرات "/>
    <s v="تم العمل"/>
    <d v="1899-12-30T11:00:00"/>
    <d v="1899-12-30T12:30:00"/>
    <n v="6.2500000000000056E-2"/>
    <x v="4"/>
    <n v="1.5000000000000013"/>
  </r>
  <r>
    <x v="0"/>
    <d v="2024-01-10T00:00:00"/>
    <s v="الاربعاء "/>
    <x v="10"/>
    <s v="فرج محمد "/>
    <s v="فك الفراشة الموجودة فى الشوارع الخارجية "/>
    <s v="تم العمل"/>
    <d v="1899-12-30T10:00:00"/>
    <d v="1899-12-30T17:00:00"/>
    <n v="0.27079999999999999"/>
    <x v="0"/>
    <n v="6.5"/>
  </r>
  <r>
    <x v="0"/>
    <d v="2024-01-11T00:00:00"/>
    <s v="الخميس "/>
    <x v="10"/>
    <s v="فرج محمد "/>
    <s v="فك الفراشة الموجودة فى الشوارع الخارجية "/>
    <s v="تم العمل"/>
    <d v="1899-12-30T09:30:00"/>
    <d v="1899-12-30T17:00:00"/>
    <n v="0.27079999999999999"/>
    <x v="0"/>
    <n v="6.5"/>
  </r>
  <r>
    <x v="0"/>
    <d v="2024-01-11T00:00:00"/>
    <s v="الخميس "/>
    <x v="0"/>
    <s v="محمد زقل  جاد "/>
    <s v="عمل نجارة ابواب الخشب  فى المبنى الادارى "/>
    <s v="تم العمل"/>
    <d v="1899-12-30T11:00:00"/>
    <d v="1899-12-30T17:00:00"/>
    <n v="0.25000000000000006"/>
    <x v="0"/>
    <n v="6.0000000000000018"/>
  </r>
  <r>
    <x v="0"/>
    <d v="2024-01-11T00:00:00"/>
    <s v="الخميس "/>
    <x v="6"/>
    <s v="صابر ابراهيم "/>
    <s v="عمل تقوية لحوامل خط الحريق "/>
    <s v="تم العمل"/>
    <d v="1899-12-30T11:30:00"/>
    <d v="1899-12-30T17:00:00"/>
    <n v="0.22916666666666669"/>
    <x v="1"/>
    <n v="5.5"/>
  </r>
  <r>
    <x v="0"/>
    <d v="2024-01-12T00:00:00"/>
    <s v="الجمعة "/>
    <x v="1"/>
    <s v="سعداوى رياض "/>
    <s v="تجميع وتركيب شبكة الحريق "/>
    <s v="تم العمل"/>
    <d v="1899-12-30T09:30:00"/>
    <d v="1899-12-30T17:30:00"/>
    <n v="0.33333333333333331"/>
    <x v="1"/>
    <n v="8"/>
  </r>
  <r>
    <x v="0"/>
    <d v="2024-01-12T00:00:00"/>
    <s v="الجمعة "/>
    <x v="1"/>
    <s v="سعداوى رياض "/>
    <s v="تركيبات  "/>
    <s v="تم العمل"/>
    <d v="1899-12-30T09:30:00"/>
    <d v="1899-12-30T17:30:00"/>
    <n v="0.33333333333333331"/>
    <x v="1"/>
    <n v="8"/>
  </r>
  <r>
    <x v="0"/>
    <d v="2024-01-13T00:00:00"/>
    <s v="السبت "/>
    <x v="8"/>
    <s v="حامد  ابو المحاميد    "/>
    <s v="الزيارة الشهرية وصيانة خط الحريق "/>
    <s v="تم العمل"/>
    <d v="1899-12-30T08:00:00"/>
    <d v="1899-12-30T09:30:00"/>
    <n v="6.25E-2"/>
    <x v="3"/>
    <n v="1.5"/>
  </r>
  <r>
    <x v="0"/>
    <d v="2024-01-13T00:00:00"/>
    <s v="السبت "/>
    <x v="1"/>
    <s v="سعداوى رياض "/>
    <s v="تجميع وتركيب شبكة الحريق "/>
    <s v="تم العمل"/>
    <d v="1899-12-30T09:30:00"/>
    <d v="1899-12-30T21:00:00"/>
    <n v="0.47916666666666669"/>
    <x v="1"/>
    <n v="11.5"/>
  </r>
  <r>
    <x v="0"/>
    <d v="2024-01-14T00:00:00"/>
    <s v="الاحد "/>
    <x v="1"/>
    <s v="سعداوى رياض "/>
    <s v="تجميع وتركيب شبكة الحريق "/>
    <s v="تم العمل"/>
    <d v="1899-12-30T09:30:00"/>
    <d v="1899-12-30T17:30:00"/>
    <n v="0.33333333333333331"/>
    <x v="1"/>
    <n v="8"/>
  </r>
  <r>
    <x v="0"/>
    <d v="2024-01-14T00:00:00"/>
    <s v="الاحد "/>
    <x v="0"/>
    <s v="مراد صالح  "/>
    <s v="عمل نقاشة فى مكتب  د/ احمد"/>
    <s v="تم العمل"/>
    <d v="1899-12-30T10:00:00"/>
    <d v="1899-12-30T17:00:00"/>
    <n v="0.27079999999999999"/>
    <x v="3"/>
    <n v="6.5"/>
  </r>
  <r>
    <x v="0"/>
    <d v="2024-01-14T00:00:00"/>
    <s v="الاحد "/>
    <x v="8"/>
    <s v="مصطفى عاشور       "/>
    <s v="صيانة الطلمبة جوكى "/>
    <s v="تم العمل"/>
    <d v="1899-12-30T13:00:00"/>
    <d v="1899-12-30T17:00:00"/>
    <n v="0.16666666666666674"/>
    <x v="0"/>
    <n v="4.0000000000000018"/>
  </r>
  <r>
    <x v="0"/>
    <d v="2024-01-15T00:00:00"/>
    <s v="الاثنين "/>
    <x v="6"/>
    <s v="صابر ابراهيم "/>
    <s v="تركيب تندة حديد لخزان المياه "/>
    <s v="تم العمل"/>
    <d v="1899-12-30T11:30:00"/>
    <d v="1899-12-30T17:00:00"/>
    <n v="0.22916666666666669"/>
    <x v="0"/>
    <n v="5.5"/>
  </r>
  <r>
    <x v="0"/>
    <d v="2024-01-15T00:00:00"/>
    <s v="الاثنين "/>
    <x v="0"/>
    <s v="مراد صالح  "/>
    <s v="عمل نقاشة فى مكتب  د/ احمد"/>
    <s v="تم العمل"/>
    <d v="1899-12-30T10:00:00"/>
    <d v="1899-12-30T17:00:00"/>
    <n v="0.27079999999999999"/>
    <x v="0"/>
    <n v="6.5"/>
  </r>
  <r>
    <x v="0"/>
    <d v="2024-01-15T00:00:00"/>
    <s v="الاثنين "/>
    <x v="9"/>
    <s v="سامى شعبان  "/>
    <s v="صيانة كلارك "/>
    <s v="تم العمل"/>
    <d v="1899-12-30T13:00:00"/>
    <d v="1899-12-30T16:00:00"/>
    <n v="0.125"/>
    <x v="3"/>
    <n v="3"/>
  </r>
  <r>
    <x v="0"/>
    <d v="2024-01-16T00:00:00"/>
    <s v="الثلاثاء "/>
    <x v="9"/>
    <s v="سامى شعبان  "/>
    <s v="صيانة كلارك "/>
    <s v="تم العمل"/>
    <d v="1899-12-30T14:00:00"/>
    <d v="1899-12-30T16:00:00"/>
    <n v="8.3333333333333259E-2"/>
    <x v="0"/>
    <n v="1.9999999999999982"/>
  </r>
  <r>
    <x v="0"/>
    <d v="2024-01-16T00:00:00"/>
    <s v="الثلاثاء "/>
    <x v="1"/>
    <s v="سعداوى رياض "/>
    <s v="تجميع وتركيب شبكة الحريق "/>
    <s v="تم العمل"/>
    <d v="1899-12-30T09:30:00"/>
    <d v="1899-12-30T11:30:00"/>
    <n v="8.333333333333337E-2"/>
    <x v="1"/>
    <n v="2.0000000000000009"/>
  </r>
  <r>
    <x v="0"/>
    <d v="2024-01-16T00:00:00"/>
    <s v="الثلاثاء "/>
    <x v="1"/>
    <s v="سعداوى رياض "/>
    <s v="تجميع وتركيب شبكة الحريق "/>
    <s v="تم العمل"/>
    <d v="1899-12-30T09:30:00"/>
    <d v="1899-12-30T15:00:00"/>
    <n v="0.22916666666666669"/>
    <x v="1"/>
    <n v="5.5"/>
  </r>
  <r>
    <x v="0"/>
    <d v="2024-01-16T00:00:00"/>
    <s v="الثلاثاء "/>
    <x v="5"/>
    <s v="محمد خليل النقيب "/>
    <s v="تركيب كشاف على المبنى الادارى من الخارج    "/>
    <s v="تم العمل"/>
    <d v="1899-12-30T14:30:00"/>
    <d v="1899-12-30T17:00:00"/>
    <n v="0.10416666666666674"/>
    <x v="0"/>
    <n v="0.99999999999999911"/>
  </r>
  <r>
    <x v="0"/>
    <d v="2024-01-16T00:00:00"/>
    <s v="الثلاثاء "/>
    <x v="0"/>
    <s v="مراد صالح  "/>
    <s v="استكمال اعمال  نقاشة فى مكتب  د/ احمد"/>
    <s v="تم العمل"/>
    <d v="1899-12-30T10:00:00"/>
    <d v="1899-12-30T17:00:00"/>
    <n v="0.27079999999999999"/>
    <x v="0"/>
    <n v="6.5"/>
  </r>
  <r>
    <x v="0"/>
    <d v="2024-01-16T00:00:00"/>
    <s v="الثلاثاء "/>
    <x v="8"/>
    <s v=" على الشنوبى     "/>
    <s v="الزيارة الشهرية و صيانة للوح الانزار "/>
    <s v="تم العمل"/>
    <d v="1899-12-30T12:30:00"/>
    <d v="1899-12-30T13:30:00"/>
    <n v="4.166666666666663E-2"/>
    <x v="1"/>
    <n v="0.99999999999999911"/>
  </r>
  <r>
    <x v="0"/>
    <d v="2024-01-16T00:00:00"/>
    <s v="الثلاثاء "/>
    <x v="8"/>
    <s v=" على الشنوبى     "/>
    <s v="المرور على لوح انزار غرف الكهرباء "/>
    <s v="تم العمل"/>
    <d v="1899-12-30T12:00:00"/>
    <d v="1899-12-30T13:00:00"/>
    <n v="4.166666666666663E-2"/>
    <x v="0"/>
    <n v="0.99999999999999911"/>
  </r>
  <r>
    <x v="0"/>
    <d v="2024-01-16T00:00:00"/>
    <s v="الثلاثاء "/>
    <x v="0"/>
    <s v="مراد صالح  "/>
    <s v="دهان تندة خزانات المياه والطلمبة الاحتياطى  "/>
    <s v="تم العمل"/>
    <d v="1899-12-30T10:00:00"/>
    <d v="1899-12-30T17:00:00"/>
    <n v="0.27079999999999999"/>
    <x v="0"/>
    <n v="6.5"/>
  </r>
  <r>
    <x v="0"/>
    <d v="2024-01-17T00:00:00"/>
    <s v="الاربعاء "/>
    <x v="1"/>
    <s v="سعداوى رياض "/>
    <s v="تجميع وتركيب شبكة الحريق "/>
    <s v="تم العمل"/>
    <d v="1899-12-30T09:30:00"/>
    <d v="1899-12-30T11:30:00"/>
    <n v="8.333333333333337E-2"/>
    <x v="3"/>
    <n v="2.0000000000000009"/>
  </r>
  <r>
    <x v="0"/>
    <d v="2024-01-17T00:00:00"/>
    <s v="الاربعاء "/>
    <x v="6"/>
    <s v="صابر ابراهيم "/>
    <s v=" استكمال تركيب تندة حديد لخزان المياه "/>
    <s v="تم العمل"/>
    <d v="1899-12-30T11:00:00"/>
    <d v="1899-12-30T17:00:00"/>
    <n v="0.27079999999999999"/>
    <x v="0"/>
    <n v="6.5"/>
  </r>
  <r>
    <x v="0"/>
    <d v="2024-01-17T00:00:00"/>
    <s v="الاربعاء "/>
    <x v="6"/>
    <s v="حسام جناد "/>
    <s v="تركيب لوحة ويب 9"/>
    <s v="تم العمل"/>
    <d v="1899-12-30T15:00:00"/>
    <d v="1899-12-30T16:00:00"/>
    <n v="4.166666666666663E-2"/>
    <x v="3"/>
    <n v="0.99999999999999911"/>
  </r>
  <r>
    <x v="0"/>
    <d v="2024-01-17T00:00:00"/>
    <s v="الاربعاء "/>
    <x v="13"/>
    <s v="اسلام مصطفى  "/>
    <s v="عمل صيانة الكنترول  CTB"/>
    <s v="تم العمل"/>
    <d v="1899-12-30T14:00:00"/>
    <d v="1899-12-30T17:00:00"/>
    <n v="0.125"/>
    <x v="3"/>
    <n v="3"/>
  </r>
  <r>
    <x v="0"/>
    <d v="2024-01-17T00:00:00"/>
    <s v="الاربعاء "/>
    <x v="14"/>
    <s v="محمد عادل  "/>
    <s v="صيانة المصاعد    "/>
    <s v="تم العمل"/>
    <d v="1899-12-30T10:00:00"/>
    <d v="1899-12-30T12:00:00"/>
    <n v="2.0799999999999999E-2"/>
    <x v="1"/>
    <n v="1"/>
  </r>
  <r>
    <x v="0"/>
    <d v="2024-01-18T00:00:00"/>
    <s v="الخميس "/>
    <x v="1"/>
    <s v="سعداوى رياض "/>
    <s v="تجميع وتركيب شبكة الحريق "/>
    <s v="تم العمل"/>
    <d v="1899-12-30T09:30:00"/>
    <d v="1899-12-30T15:00:00"/>
    <n v="0.22916666666666669"/>
    <x v="1"/>
    <n v="5.5"/>
  </r>
  <r>
    <x v="0"/>
    <d v="2024-01-18T00:00:00"/>
    <s v="الخميس "/>
    <x v="8"/>
    <s v="    ممدوح عبد التواب     "/>
    <s v="نظام الانزار "/>
    <s v="تم العمل"/>
    <d v="1899-12-30T12:00:00"/>
    <d v="1899-12-30T14:00:00"/>
    <n v="8.333333333333337E-2"/>
    <x v="3"/>
    <n v="2.0000000000000009"/>
  </r>
  <r>
    <x v="0"/>
    <d v="2024-01-18T00:00:00"/>
    <s v="الخميس "/>
    <x v="8"/>
    <s v="حامد ابو المحاميد   "/>
    <s v="فك الطلمبة الجوكى واصلاحها  وعمل صيانة "/>
    <s v="تم العمل"/>
    <d v="1899-12-30T11:30:00"/>
    <d v="1899-12-30T17:00:00"/>
    <n v="0.22916666666666669"/>
    <x v="0"/>
    <n v="5.5"/>
  </r>
  <r>
    <x v="0"/>
    <d v="2024-01-18T00:00:00"/>
    <s v="الخميس "/>
    <x v="5"/>
    <s v="احمد سعيد  "/>
    <s v="تركيب مواسير صرف الامطار العنابر     "/>
    <s v="تم العمل"/>
    <d v="1899-12-30T13:00:00"/>
    <d v="1899-12-30T17:00:00"/>
    <n v="0.16666666666666674"/>
    <x v="3"/>
    <n v="0.99999999999999911"/>
  </r>
  <r>
    <x v="0"/>
    <d v="2024-01-18T00:00:00"/>
    <s v="الخميس "/>
    <x v="1"/>
    <s v="سعداوى رياض "/>
    <s v="تجميع وتركيب شبكة الحريق "/>
    <s v="تم العمل"/>
    <d v="1899-12-30T09:30:00"/>
    <d v="1899-12-30T15:00:00"/>
    <n v="0.22916666666666669"/>
    <x v="1"/>
    <n v="5.5"/>
  </r>
  <r>
    <x v="0"/>
    <d v="2024-01-20T00:00:00"/>
    <s v="السبت "/>
    <x v="5"/>
    <s v="احمد سعيد  "/>
    <s v="تركيب مواسير صرف الامطارفى  العنابر     "/>
    <s v="تم العمل"/>
    <d v="1899-12-30T10:00:00"/>
    <d v="1899-12-30T17:00:00"/>
    <n v="0.29166666666666669"/>
    <x v="3"/>
    <n v="0.99999999999999911"/>
  </r>
  <r>
    <x v="0"/>
    <d v="2024-01-20T00:00:00"/>
    <s v="السبت "/>
    <x v="1"/>
    <s v="سعداوى رياض "/>
    <s v="تجميع وتركيب شبكة الحريق والكهرباء "/>
    <s v="تم العمل"/>
    <d v="1899-12-30T09:30:00"/>
    <d v="1899-12-30T17:00:00"/>
    <n v="0.31250000000000006"/>
    <x v="1"/>
    <n v="7.5000000000000018"/>
  </r>
  <r>
    <x v="0"/>
    <d v="2024-01-20T00:00:00"/>
    <s v="السبت "/>
    <x v="5"/>
    <s v="ياسر ابراهيم  "/>
    <s v="تركيب رخام المطبخ فى المبنى الادارى      "/>
    <s v="تم العمل"/>
    <d v="1899-12-30T14:30:00"/>
    <d v="1899-12-30T17:00:00"/>
    <n v="0.10416666666666674"/>
    <x v="3"/>
    <n v="0.99999999999999911"/>
  </r>
  <r>
    <x v="0"/>
    <d v="2024-01-20T00:00:00"/>
    <s v="السبت "/>
    <x v="0"/>
    <s v="مراد صالح  "/>
    <s v="استكمال اعمال النجارة فى ابواب الخشب المبنى  "/>
    <s v="تم العمل"/>
    <d v="1899-12-30T14:30:00"/>
    <d v="1899-12-30T17:00:00"/>
    <n v="0.10416666666666674"/>
    <x v="0"/>
    <n v="0.99999999999999911"/>
  </r>
  <r>
    <x v="0"/>
    <d v="2024-01-21T00:00:00"/>
    <s v="الاحد "/>
    <x v="11"/>
    <s v="محمد رمضان   "/>
    <s v="صيانة الكلاركات "/>
    <s v="تم العمل"/>
    <d v="1899-12-30T10:00:00"/>
    <d v="1899-12-30T13:00:00"/>
    <n v="0.12499999999999994"/>
    <x v="3"/>
    <n v="2.9999999999999987"/>
  </r>
  <r>
    <x v="0"/>
    <d v="2024-01-21T00:00:00"/>
    <s v="الاحد "/>
    <x v="1"/>
    <s v="سعداوى رياض "/>
    <s v="تجميع وتركيب شبكة الحريق والكهرباء "/>
    <s v="تم العمل"/>
    <d v="1899-12-30T09:30:00"/>
    <d v="1899-12-30T17:00:00"/>
    <n v="0.31250000000000006"/>
    <x v="1"/>
    <n v="7.5000000000000018"/>
  </r>
  <r>
    <x v="0"/>
    <d v="2024-01-21T00:00:00"/>
    <s v="الاحد "/>
    <x v="7"/>
    <s v="محمد ماهر "/>
    <s v=" الزيارة الشهرية و مكافحة حشرات "/>
    <s v="تم العمل"/>
    <d v="1899-12-30T12:00:00"/>
    <d v="1899-12-30T15:00:00"/>
    <n v="0.125"/>
    <x v="3"/>
    <n v="3"/>
  </r>
  <r>
    <x v="0"/>
    <d v="2024-01-22T00:00:00"/>
    <s v="الاثنين "/>
    <x v="1"/>
    <s v="سعداوى رياض "/>
    <s v="تجميع وتركيب شبكة الحريق والكهرباء "/>
    <s v="تم العمل"/>
    <d v="1899-12-30T09:30:00"/>
    <d v="1899-12-30T17:00:00"/>
    <n v="0.31250000000000006"/>
    <x v="1"/>
    <n v="7.5000000000000018"/>
  </r>
  <r>
    <x v="0"/>
    <d v="2024-01-22T00:00:00"/>
    <s v="الاثنين "/>
    <x v="0"/>
    <s v="عمرو الجندى "/>
    <s v="انشائات  "/>
    <s v="تم العمل"/>
    <d v="1899-12-30T09:30:00"/>
    <d v="1899-12-30T18:00:00"/>
    <n v="0.35416666666666669"/>
    <x v="2"/>
    <n v="8.5"/>
  </r>
  <r>
    <x v="0"/>
    <d v="2024-01-23T00:00:00"/>
    <s v="الثلاثاء "/>
    <x v="1"/>
    <s v="سعداوى رياض "/>
    <s v="تجميع وتركيب شبكة الحريق والكهرباء "/>
    <s v="تم العمل"/>
    <d v="1899-12-30T09:30:00"/>
    <d v="1899-12-30T20:30:00"/>
    <n v="0.45833333333333331"/>
    <x v="1"/>
    <n v="11"/>
  </r>
  <r>
    <x v="0"/>
    <d v="2024-01-23T00:00:00"/>
    <s v="الثلاثاء "/>
    <x v="8"/>
    <s v="حامد عطوان   "/>
    <s v="الزيارة الشهرية و اختبار صناديق الحريق  1.5 بوصة "/>
    <s v="تم العمل"/>
    <d v="1899-12-30T11:30:00"/>
    <d v="1899-12-30T13:30:00"/>
    <n v="8.3333333333333315E-2"/>
    <x v="1"/>
    <n v="1.9999999999999996"/>
  </r>
  <r>
    <x v="0"/>
    <d v="2024-01-23T00:00:00"/>
    <s v="الثلاثاء "/>
    <x v="8"/>
    <s v=" على الشحات "/>
    <s v="تركيب انزار المبنى الادارى  "/>
    <s v="تم العمل"/>
    <d v="1899-12-30T10:00:00"/>
    <d v="1899-12-30T11:30:00"/>
    <n v="6.25E-2"/>
    <x v="0"/>
    <n v="1.5"/>
  </r>
  <r>
    <x v="0"/>
    <d v="2024-01-24T00:00:00"/>
    <s v="الاربعاء "/>
    <x v="9"/>
    <s v="سامى شعبان  "/>
    <s v="صيانة كلارك "/>
    <s v="تم العمل"/>
    <d v="1899-12-30T13:00:00"/>
    <d v="1899-12-30T17:00:00"/>
    <n v="0.16666666666666674"/>
    <x v="3"/>
    <n v="4.0000000000000018"/>
  </r>
  <r>
    <x v="0"/>
    <d v="2024-01-24T00:00:00"/>
    <s v="الاربعاء "/>
    <x v="0"/>
    <s v="مراد صالح  "/>
    <s v="تركيب كوالين  الابواب الخشب  وعمل نجارة "/>
    <s v="تم العمل"/>
    <d v="1899-12-30T14:30:00"/>
    <d v="1899-12-30T17:00:00"/>
    <n v="0.10416666666666674"/>
    <x v="0"/>
    <n v="0.99999999999999911"/>
  </r>
  <r>
    <x v="0"/>
    <d v="2024-01-24T00:00:00"/>
    <s v="الاربعاء "/>
    <x v="1"/>
    <s v="سعداوى رياض "/>
    <s v="تجميع وتركيب شبكة الحريق والكهرباء "/>
    <s v="تم العمل"/>
    <d v="1899-12-30T09:30:00"/>
    <d v="1899-12-30T20:30:00"/>
    <n v="0.45833333333333331"/>
    <x v="3"/>
    <n v="11"/>
  </r>
  <r>
    <x v="0"/>
    <d v="2024-01-25T00:00:00"/>
    <s v="الخميس "/>
    <x v="5"/>
    <s v="ادم محمد   "/>
    <s v="صيانة  ماسورة  صرف الامطارفى عنبر  ويب 2     "/>
    <s v="تم العمل"/>
    <d v="1899-12-30T11:00:00"/>
    <d v="1899-12-30T13:00:00"/>
    <n v="8.3333333333333315E-2"/>
    <x v="3"/>
    <n v="0.99999999999999911"/>
  </r>
  <r>
    <x v="0"/>
    <d v="2024-01-25T00:00:00"/>
    <s v="الخميس "/>
    <x v="8"/>
    <s v="    ممدوح عبد التواب     "/>
    <s v="الزيارة الشهرية وتركيب لوحات انزار غرف الكهرباء  "/>
    <s v="تم العمل"/>
    <d v="1899-12-30T10:00:00"/>
    <d v="1899-12-30T16:00:00"/>
    <n v="0.24999999999999994"/>
    <x v="3"/>
    <n v="5.9999999999999982"/>
  </r>
  <r>
    <x v="0"/>
    <d v="2024-01-25T00:00:00"/>
    <s v="الخميس "/>
    <x v="1"/>
    <s v="سعداوى رياض "/>
    <s v="تجميع وتركيب شبكة الحريق والكهرباء "/>
    <s v="تم العمل"/>
    <d v="1899-12-30T09:30:00"/>
    <d v="1899-12-30T17:30:00"/>
    <n v="0.33333333333333331"/>
    <x v="1"/>
    <n v="8"/>
  </r>
  <r>
    <x v="0"/>
    <d v="2024-01-26T00:00:00"/>
    <s v="الجمعة "/>
    <x v="1"/>
    <s v="سعداوى رياض "/>
    <s v="تجميع وتركيب شبكة الحريق والكهرباء "/>
    <s v="تم العمل"/>
    <d v="1899-12-30T11:00:00"/>
    <d v="1899-12-30T15:00:00"/>
    <n v="0.16666666666666669"/>
    <x v="1"/>
    <n v="4"/>
  </r>
  <r>
    <x v="0"/>
    <d v="2024-01-26T00:00:00"/>
    <s v="الجمعة "/>
    <x v="1"/>
    <s v="احمد على فؤاد "/>
    <s v="تركيبات ولحام  "/>
    <s v="تم العمل"/>
    <d v="1899-12-30T09:30:00"/>
    <d v="1899-12-30T17:30:00"/>
    <n v="0.33333333333333331"/>
    <x v="1"/>
    <n v="8"/>
  </r>
  <r>
    <x v="0"/>
    <d v="2024-01-27T00:00:00"/>
    <s v="السبت "/>
    <x v="1"/>
    <s v="سعداوى رياض "/>
    <s v="تجميع وتركيب شبكة  والكهرباء "/>
    <s v="تم العمل"/>
    <d v="1899-12-30T09:30:00"/>
    <d v="1899-12-30T20:30:00"/>
    <n v="0.45833333333333331"/>
    <x v="1"/>
    <n v="11"/>
  </r>
  <r>
    <x v="0"/>
    <d v="2024-01-27T00:00:00"/>
    <s v="السبت "/>
    <x v="1"/>
    <s v="سعداوى رياض "/>
    <s v="تجميع وتركيب شبكةا لحريق "/>
    <s v="تم العمل"/>
    <d v="1899-12-30T09:30:00"/>
    <d v="1899-12-30T15:00:00"/>
    <n v="0.22916666666666669"/>
    <x v="1"/>
    <n v="5.5"/>
  </r>
  <r>
    <x v="0"/>
    <d v="2024-01-28T00:00:00"/>
    <s v="الاحد "/>
    <x v="9"/>
    <s v="سامى شعبان  "/>
    <s v="صيانة كلارك "/>
    <s v="تم العمل"/>
    <d v="1899-12-30T15:00:00"/>
    <d v="1899-12-30T18:00:00"/>
    <n v="0.125"/>
    <x v="3"/>
    <n v="3"/>
  </r>
  <r>
    <x v="0"/>
    <d v="2024-01-28T00:00:00"/>
    <s v="الاحد "/>
    <x v="1"/>
    <s v="سعداوى رياض "/>
    <s v="تجميع وتركيب شبكة الحريق والكهرباء "/>
    <s v="تم العمل"/>
    <d v="1899-12-30T09:30:00"/>
    <d v="1899-12-30T17:30:00"/>
    <n v="0.33333333333333331"/>
    <x v="1"/>
    <n v="8"/>
  </r>
  <r>
    <x v="0"/>
    <d v="2024-01-28T00:00:00"/>
    <s v="الاحد "/>
    <x v="7"/>
    <s v="محمد ماهر "/>
    <s v=" الزيارة الشهرية و مكافحة حشرات "/>
    <s v="تم العمل"/>
    <d v="1899-12-30T13:00:00"/>
    <d v="1899-12-30T14:00:00"/>
    <n v="4.1666666666666741E-2"/>
    <x v="0"/>
    <n v="1.0000000000000018"/>
  </r>
  <r>
    <x v="0"/>
    <d v="2024-01-28T00:00:00"/>
    <s v="الاحد "/>
    <x v="7"/>
    <s v="محمد ماهر "/>
    <s v=" الزيارة الشهرية و مكافحة حشرات "/>
    <s v="تم العمل"/>
    <d v="1899-12-30T10:00:00"/>
    <d v="1899-12-30T11:30:00"/>
    <n v="6.25E-2"/>
    <x v="1"/>
    <n v="1.5"/>
  </r>
  <r>
    <x v="0"/>
    <d v="2024-01-29T00:00:00"/>
    <s v="الاثنين "/>
    <x v="5"/>
    <s v="مصطفى رشاد    "/>
    <s v="دهان حوائط الكفتريا      "/>
    <s v="تم العمل"/>
    <d v="1899-12-30T13:00:00"/>
    <d v="1899-12-30T15:00:00"/>
    <n v="8.333333333333337E-2"/>
    <x v="3"/>
    <n v="0.99999999999999911"/>
  </r>
  <r>
    <x v="0"/>
    <d v="2024-01-29T00:00:00"/>
    <s v="الاثنين "/>
    <x v="1"/>
    <s v="سعداوى رياض "/>
    <s v="تجميع وتركيب شبكة الحريق والكهرباء "/>
    <s v="تم العمل"/>
    <d v="1899-12-30T09:30:00"/>
    <d v="1899-12-30T17:30:00"/>
    <n v="0.33333333333333331"/>
    <x v="1"/>
    <n v="8"/>
  </r>
  <r>
    <x v="0"/>
    <d v="2024-01-29T00:00:00"/>
    <s v="الاثنين "/>
    <x v="9"/>
    <s v="سامى شعبان  "/>
    <s v="صيانة كلارك "/>
    <s v="تم العمل"/>
    <d v="1899-12-30T13:30:00"/>
    <d v="1899-12-30T17:00:00"/>
    <n v="0.14583333333333337"/>
    <x v="3"/>
    <n v="3.5000000000000009"/>
  </r>
  <r>
    <x v="0"/>
    <d v="2024-01-30T00:00:00"/>
    <s v="الثلاثاء "/>
    <x v="11"/>
    <s v="محمد رمضان   "/>
    <s v="صيانة الكلاركات "/>
    <s v="تم العمل"/>
    <d v="1899-12-30T13:00:00"/>
    <d v="1899-12-30T15:30:00"/>
    <n v="0.10416666666666674"/>
    <x v="3"/>
    <n v="2.5000000000000018"/>
  </r>
  <r>
    <x v="0"/>
    <d v="2024-01-30T00:00:00"/>
    <s v="الثلاثاء "/>
    <x v="6"/>
    <s v="صابر ابراهيم "/>
    <s v="تقطيع بالصاروخ "/>
    <s v="تم العمل"/>
    <d v="1899-12-30T15:00:00"/>
    <d v="1899-12-30T16:30:00"/>
    <n v="0.27079999999999999"/>
    <x v="3"/>
    <n v="6.5"/>
  </r>
  <r>
    <x v="0"/>
    <d v="2024-01-30T00:00:00"/>
    <s v="الثلاثاء "/>
    <x v="1"/>
    <s v="سعداوى رياض "/>
    <s v="تجميع وتركيب شبكة الحريق والكهرباء "/>
    <s v="تم العمل"/>
    <d v="1899-12-30T09:30:00"/>
    <d v="1899-12-30T17:30:00"/>
    <n v="0.33333333333333331"/>
    <x v="1"/>
    <n v="8"/>
  </r>
  <r>
    <x v="0"/>
    <d v="2024-01-30T00:00:00"/>
    <s v="الثلاثاء "/>
    <x v="15"/>
    <s v="ياسر ابراهيم  "/>
    <s v="تصليح باب مخزن الوزارة "/>
    <s v="تم العمل"/>
    <d v="1899-12-30T11:30:00"/>
    <d v="1899-12-30T15:00:00"/>
    <n v="0.14583333333333331"/>
    <x v="3"/>
    <n v="3.4999999999999996"/>
  </r>
  <r>
    <x v="0"/>
    <d v="2024-01-31T00:00:00"/>
    <s v="الاربعاء "/>
    <x v="1"/>
    <s v="سعداوى رياض "/>
    <s v="تجميع وتركيب شبكة الكهرباء "/>
    <s v="تم العمل"/>
    <d v="1899-12-30T09:30:00"/>
    <d v="1899-12-30T17:30:00"/>
    <n v="0.33333333333333331"/>
    <x v="1"/>
    <n v="8"/>
  </r>
  <r>
    <x v="0"/>
    <d v="2024-01-31T00:00:00"/>
    <s v="الاربعاء "/>
    <x v="1"/>
    <s v="سعداوى رياض "/>
    <s v="تجميع وتركيب شبكة الحريق"/>
    <s v="تم العمل"/>
    <d v="1899-12-30T09:30:00"/>
    <d v="1899-12-30T17:30:00"/>
    <n v="0.33333333333333331"/>
    <x v="1"/>
    <n v="8"/>
  </r>
  <r>
    <x v="1"/>
    <d v="2024-02-01T00:00:00"/>
    <s v="الخميس "/>
    <x v="1"/>
    <s v="سعداوى رياض "/>
    <s v="تجميع وتركيب شبكة الحريق والكهرباء "/>
    <s v="تم العمل"/>
    <d v="1899-12-30T09:30:00"/>
    <d v="1899-12-30T16:00:00"/>
    <n v="0.27083333333333331"/>
    <x v="1"/>
    <n v="6.5"/>
  </r>
  <r>
    <x v="1"/>
    <d v="2024-02-03T00:00:00"/>
    <s v="السبت "/>
    <x v="1"/>
    <s v="سعداوى رياض "/>
    <s v="تجميع وتركيب شبكة الحريق والكهرباء "/>
    <s v="تم العمل"/>
    <d v="1899-12-30T09:30:00"/>
    <d v="1899-12-30T17:30:00"/>
    <n v="0.33333333333333331"/>
    <x v="1"/>
    <n v="8"/>
  </r>
  <r>
    <x v="1"/>
    <d v="2024-02-04T00:00:00"/>
    <s v="الاحد "/>
    <x v="6"/>
    <s v="صابر ابراهيم "/>
    <s v="لحام مجرى الباب الرئيسى "/>
    <s v="تم العمل"/>
    <d v="1899-12-30T13:00:00"/>
    <d v="1899-12-30T14:00:00"/>
    <n v="0.27079999999999999"/>
    <x v="3"/>
    <n v="6.5"/>
  </r>
  <r>
    <x v="1"/>
    <d v="2024-02-04T00:00:00"/>
    <s v="الاحد "/>
    <x v="6"/>
    <s v="صابر ابراهيم "/>
    <s v="لحام حوامل الطفايات "/>
    <s v="تم العمل"/>
    <d v="1899-12-30T14:00:00"/>
    <d v="1899-12-30T15:00:00"/>
    <n v="0.27079999999999999"/>
    <x v="3"/>
    <n v="6.5"/>
  </r>
  <r>
    <x v="1"/>
    <d v="2024-02-04T00:00:00"/>
    <s v="الاحد "/>
    <x v="16"/>
    <s v="فارس خليل "/>
    <s v="لحام حوامل الطفايات "/>
    <s v="تم العمل"/>
    <d v="1899-12-30T09:30:00"/>
    <d v="1899-12-30T17:00:00"/>
    <n v="0.27079999999999999"/>
    <x v="3"/>
    <n v="6.5"/>
  </r>
  <r>
    <x v="1"/>
    <d v="2024-02-04T00:00:00"/>
    <s v="الاحد "/>
    <x v="1"/>
    <s v="سعداوى رياض "/>
    <s v="تجميع وتركيب شبكة الحريق والكهرباء "/>
    <s v="تم العمل"/>
    <d v="1899-12-30T09:30:00"/>
    <d v="1899-12-30T17:30:00"/>
    <n v="0.33333333333333331"/>
    <x v="1"/>
    <n v="8"/>
  </r>
  <r>
    <x v="1"/>
    <d v="2024-02-05T00:00:00"/>
    <s v="الاثنين "/>
    <x v="1"/>
    <s v="سعداوى رياض "/>
    <s v="تجميع وتركيب شبكة الحريق والكهرباء "/>
    <s v="تم العمل"/>
    <d v="1899-12-30T09:30:00"/>
    <d v="1899-12-30T17:00:00"/>
    <n v="0.31250000000000006"/>
    <x v="1"/>
    <n v="7.5000000000000018"/>
  </r>
  <r>
    <x v="1"/>
    <d v="2024-02-05T00:00:00"/>
    <s v="الاثنين "/>
    <x v="16"/>
    <s v="فارس خليل "/>
    <s v="تجميع وتركيب سلم الطوارىء"/>
    <s v="تم العمل"/>
    <d v="1899-12-30T11:00:00"/>
    <d v="1899-12-30T17:00:00"/>
    <n v="0.27079999999999999"/>
    <x v="5"/>
    <n v="6.5"/>
  </r>
  <r>
    <x v="1"/>
    <d v="2024-02-05T00:00:00"/>
    <s v="الاثنين "/>
    <x v="16"/>
    <s v="مصطفى عبد الله "/>
    <s v="صيانة كلارك "/>
    <s v="تم العمل"/>
    <d v="1899-12-30T14:00:00"/>
    <d v="1899-12-30T17:00:00"/>
    <n v="0.27079999999999999"/>
    <x v="3"/>
    <n v="6.4992000000000001"/>
  </r>
  <r>
    <x v="1"/>
    <d v="2024-02-05T00:00:00"/>
    <s v="الاثنين "/>
    <x v="9"/>
    <s v="سامى شعبان  "/>
    <s v="صيانة كلارك "/>
    <s v="تم العمل"/>
    <d v="1899-12-30T13:00:00"/>
    <d v="1899-12-30T15:00:00"/>
    <n v="8.333333333333337E-2"/>
    <x v="3"/>
    <n v="2.0000000000000009"/>
  </r>
  <r>
    <x v="1"/>
    <d v="2024-02-06T00:00:00"/>
    <s v="الثلاثاء "/>
    <x v="12"/>
    <s v="رامى محمد  "/>
    <s v="تركيب قواطع الالمونتال"/>
    <s v="تم العمل"/>
    <d v="1899-12-30T14:00:00"/>
    <d v="1899-12-30T16:00:00"/>
    <n v="8.3333333333333259E-2"/>
    <x v="3"/>
    <n v="1.9999999999999982"/>
  </r>
  <r>
    <x v="1"/>
    <d v="2024-02-06T00:00:00"/>
    <s v="الثلاثاء "/>
    <x v="17"/>
    <s v="فارس خليل "/>
    <s v="تجميع وتركيب سلم الطوارىء"/>
    <s v="تم العمل"/>
    <d v="1899-12-30T11:00:00"/>
    <d v="1899-12-30T15:00:00"/>
    <n v="0.27079999999999999"/>
    <x v="5"/>
    <n v="6.5"/>
  </r>
  <r>
    <x v="1"/>
    <d v="2024-02-06T00:00:00"/>
    <s v="الثلاثاء "/>
    <x v="1"/>
    <s v="أحمد مخيمر  "/>
    <s v="تجميع وتركيب شبكة الحريق والكهرباء "/>
    <s v="تم العمل"/>
    <d v="1899-12-30T09:30:00"/>
    <d v="1899-12-30T17:00:00"/>
    <n v="0.31250000000000006"/>
    <x v="3"/>
    <n v="7.5000000000000018"/>
  </r>
  <r>
    <x v="1"/>
    <d v="2024-02-06T00:00:00"/>
    <s v="الثلاثاء "/>
    <x v="9"/>
    <s v="سامى محمود "/>
    <s v="صيانة كلارك "/>
    <s v="تم العمل"/>
    <d v="1899-12-30T11:00:00"/>
    <d v="1899-12-30T17:00:00"/>
    <n v="0.25000000000000006"/>
    <x v="3"/>
    <n v="6.0000000000000018"/>
  </r>
  <r>
    <x v="1"/>
    <d v="2024-02-07T00:00:00"/>
    <s v="الاربعاء "/>
    <x v="7"/>
    <s v="زياد على "/>
    <s v="مكافحة حشرات "/>
    <s v="تم العمل"/>
    <d v="1899-12-30T10:00:00"/>
    <d v="1899-12-30T16:00:00"/>
    <n v="0.24999999999999994"/>
    <x v="3"/>
    <n v="5.9999999999999982"/>
  </r>
  <r>
    <x v="1"/>
    <d v="2024-02-07T00:00:00"/>
    <s v="الاربعاء "/>
    <x v="1"/>
    <s v="أحمد مخيمر  "/>
    <s v="تجميع وتركيب شبكة الحريق والكهرباء "/>
    <s v="تم العمل"/>
    <d v="1899-12-30T09:30:00"/>
    <d v="1899-12-30T17:00:00"/>
    <n v="0.31250000000000006"/>
    <x v="1"/>
    <n v="7.5000000000000018"/>
  </r>
  <r>
    <x v="1"/>
    <d v="2024-02-07T00:00:00"/>
    <s v="الاربعاء "/>
    <x v="18"/>
    <s v="فيكتور     "/>
    <s v="صيانة الديزل وشبكة الحريق "/>
    <s v="تم العمل"/>
    <d v="1899-12-30T14:00:00"/>
    <d v="1899-12-30T16:00:00"/>
    <n v="8.3333333333333259E-2"/>
    <x v="3"/>
    <n v="1.9999999999999982"/>
  </r>
  <r>
    <x v="1"/>
    <d v="2024-02-08T00:00:00"/>
    <s v="الخميس "/>
    <x v="1"/>
    <s v="أحمد مخيمر  "/>
    <s v="تجميع وتركيب شبكة الحريق والانزار "/>
    <s v="تم العمل"/>
    <d v="1899-12-30T09:30:00"/>
    <d v="1899-12-30T17:30:00"/>
    <n v="0.33333333333333331"/>
    <x v="1"/>
    <n v="8"/>
  </r>
  <r>
    <x v="1"/>
    <d v="2024-02-10T00:00:00"/>
    <s v="السبت "/>
    <x v="1"/>
    <s v="أحمد مخيمر  "/>
    <s v="تجميع وتركيب شبكة الحريق والانزار "/>
    <s v="تم العمل"/>
    <d v="1899-12-30T09:30:00"/>
    <d v="1899-12-30T11:00:00"/>
    <n v="6.25E-2"/>
    <x v="1"/>
    <n v="1.5"/>
  </r>
  <r>
    <x v="1"/>
    <d v="2024-02-10T00:00:00"/>
    <s v="السبت "/>
    <x v="1"/>
    <s v="أحمد مخيمر  "/>
    <s v="تجميع وتركيب شبكة الحريق والانزار "/>
    <s v="تم العمل"/>
    <d v="1899-12-30T09:30:00"/>
    <d v="1899-12-30T17:30:00"/>
    <n v="0.33333333333333331"/>
    <x v="1"/>
    <n v="8"/>
  </r>
  <r>
    <x v="1"/>
    <d v="2024-02-11T00:00:00"/>
    <s v="الاحد "/>
    <x v="8"/>
    <s v="عصام شرف      "/>
    <s v="تركيب الطلمبة الجوكى "/>
    <s v="تم العمل"/>
    <d v="1899-12-30T16:30:00"/>
    <d v="1899-12-30T17:30:00"/>
    <n v="4.166666666666663E-2"/>
    <x v="0"/>
    <n v="0.99999999999999911"/>
  </r>
  <r>
    <x v="1"/>
    <d v="2024-02-11T00:00:00"/>
    <s v="الاحد "/>
    <x v="1"/>
    <s v="أحمد مخيمر  "/>
    <s v="تجميع وتركيب شبكة الحريق والكهرباء "/>
    <s v="تم العمل"/>
    <d v="1899-12-30T09:30:00"/>
    <d v="1899-12-30T17:30:00"/>
    <n v="0.33333333333333331"/>
    <x v="1"/>
    <n v="8"/>
  </r>
  <r>
    <x v="1"/>
    <d v="2024-02-11T00:00:00"/>
    <s v="الاحد "/>
    <x v="17"/>
    <s v="محمود طلعت "/>
    <s v="تجميع وتركيب سلم الطوارىء"/>
    <s v="تم العمل"/>
    <d v="1899-12-30T09:30:00"/>
    <d v="1899-12-30T17:30:00"/>
    <n v="0.27079999999999999"/>
    <x v="1"/>
    <n v="6.5"/>
  </r>
  <r>
    <x v="1"/>
    <d v="2024-02-11T00:00:00"/>
    <s v="الاحد "/>
    <x v="9"/>
    <s v="سامى شعبان  "/>
    <s v="صيانة كلارك "/>
    <s v="تم العمل"/>
    <d v="1899-12-30T22:30:00"/>
    <d v="1899-12-30T17:00:00"/>
    <n v="0.22916666666666663"/>
    <x v="3"/>
    <n v="5.4999999999999991"/>
  </r>
  <r>
    <x v="1"/>
    <d v="2024-02-11T00:00:00"/>
    <s v="الاحد "/>
    <x v="19"/>
    <s v="حازم عبد الرحيم "/>
    <s v="صب ارضيات الشوارع "/>
    <s v="تم العمل"/>
    <d v="1899-12-30T09:30:00"/>
    <d v="1899-12-30T17:00:00"/>
    <n v="0.27079999999999999"/>
    <x v="0"/>
    <n v="6.5"/>
  </r>
  <r>
    <x v="1"/>
    <d v="2024-02-11T00:00:00"/>
    <s v="الاحد "/>
    <x v="13"/>
    <s v="انس اسماعيل "/>
    <s v="تركيب ستاير  مكتب مدير المخازن  "/>
    <s v="تم العمل"/>
    <d v="1899-12-30T14:00:00"/>
    <d v="1899-12-30T16:00:00"/>
    <n v="0.27079999999999999"/>
    <x v="0"/>
    <n v="6.5"/>
  </r>
  <r>
    <x v="1"/>
    <d v="2024-02-11T00:00:00"/>
    <s v="الاحد "/>
    <x v="5"/>
    <s v="محمد خليل النقيب "/>
    <s v="صيانة كهرباء المسجد "/>
    <s v="تم العمل"/>
    <d v="1899-12-30T13:30:00"/>
    <d v="1899-12-30T15:30:00"/>
    <n v="8.333333333333337E-2"/>
    <x v="3"/>
    <n v="0.99999999999999911"/>
  </r>
  <r>
    <x v="1"/>
    <d v="2024-02-12T00:00:00"/>
    <s v="الاثنين "/>
    <x v="18"/>
    <s v="فيكتور     "/>
    <s v="تركيب خرطوم الديزل "/>
    <s v="تم العمل"/>
    <d v="1899-12-30T14:00:00"/>
    <d v="1899-12-30T15:00:00"/>
    <n v="4.166666666666663E-2"/>
    <x v="4"/>
    <n v="0.99999999999999911"/>
  </r>
  <r>
    <x v="1"/>
    <d v="2024-02-12T00:00:00"/>
    <s v="الاثنين "/>
    <x v="17"/>
    <s v="محمود طلعت "/>
    <s v="تجميع وتركيب سلم الطوارىء"/>
    <s v="تم العمل"/>
    <d v="1899-12-30T09:30:00"/>
    <d v="1899-12-30T15:00:00"/>
    <n v="0.27079999999999999"/>
    <x v="5"/>
    <n v="6.5"/>
  </r>
  <r>
    <x v="1"/>
    <d v="2024-02-12T00:00:00"/>
    <s v="الاثنين "/>
    <x v="1"/>
    <s v="أحمد مخيمر  "/>
    <s v="تجميع وتركيب شبكة الحريق والكهرباء "/>
    <s v="تم العمل"/>
    <d v="1899-12-30T09:30:00"/>
    <d v="1899-12-30T17:30:00"/>
    <n v="0.33333333333333331"/>
    <x v="1"/>
    <n v="8"/>
  </r>
  <r>
    <x v="1"/>
    <d v="2024-02-12T00:00:00"/>
    <s v="الاثنين "/>
    <x v="19"/>
    <s v="حازم عبد الرحيم "/>
    <s v="صب ارضيات الشوارع "/>
    <s v="تم العمل"/>
    <d v="1899-12-30T09:30:00"/>
    <d v="1899-12-30T17:00:00"/>
    <n v="0.27079999999999999"/>
    <x v="0"/>
    <n v="6.5"/>
  </r>
  <r>
    <x v="1"/>
    <d v="2024-02-12T00:00:00"/>
    <s v="الاثنين "/>
    <x v="9"/>
    <s v="سامى شعبان  "/>
    <s v="صيانة كلارك "/>
    <s v="تم العمل"/>
    <d v="1899-12-30T11:00:00"/>
    <d v="1899-12-30T17:00:00"/>
    <n v="0.25000000000000006"/>
    <x v="3"/>
    <n v="6.0000000000000018"/>
  </r>
  <r>
    <x v="1"/>
    <d v="2024-02-12T00:00:00"/>
    <s v="الاثنين "/>
    <x v="6"/>
    <s v="حسن "/>
    <s v="توصيل الطلمبة الجوكى "/>
    <s v="تم العمل"/>
    <d v="1899-12-30T09:30:00"/>
    <d v="1899-12-30T14:00:00"/>
    <n v="0.27079999999999999"/>
    <x v="0"/>
    <n v="6.5"/>
  </r>
  <r>
    <x v="1"/>
    <d v="2024-02-13T00:00:00"/>
    <s v="الثلاثاء "/>
    <x v="4"/>
    <s v="محمد حسن "/>
    <s v="تركيبات على ارتفعات "/>
    <s v="تم العمل"/>
    <d v="1899-12-30T11:00:00"/>
    <d v="1899-12-30T17:00:00"/>
    <n v="0.25000000000000006"/>
    <x v="2"/>
    <n v="6.0000000000000018"/>
  </r>
  <r>
    <x v="1"/>
    <d v="2024-02-13T00:00:00"/>
    <s v="الثلاثاء "/>
    <x v="19"/>
    <s v="حازم عبد الرحيم "/>
    <s v="صب ارضيات الشوارع "/>
    <s v="تم العمل"/>
    <d v="1899-12-30T09:30:00"/>
    <d v="1899-12-30T17:00:00"/>
    <n v="0.27079999999999999"/>
    <x v="0"/>
    <n v="6.5"/>
  </r>
  <r>
    <x v="1"/>
    <d v="2024-02-13T00:00:00"/>
    <s v="الثلاثاء "/>
    <x v="8"/>
    <s v="عصام شرف      "/>
    <s v="صيانة طلمبة الجوكى "/>
    <s v="تم العمل"/>
    <d v="1899-12-30T11:00:00"/>
    <d v="1899-12-30T13:00:00"/>
    <n v="8.3333333333333315E-2"/>
    <x v="0"/>
    <n v="1.9999999999999996"/>
  </r>
  <r>
    <x v="1"/>
    <d v="2024-02-13T00:00:00"/>
    <s v="الثلاثاء "/>
    <x v="8"/>
    <s v="علاء الشابورى   "/>
    <s v="الزيارة الشهرية صيانة نظام الانزار  "/>
    <s v="تم العمل"/>
    <d v="1899-12-30T11:00:00"/>
    <d v="1899-12-30T12:00:00"/>
    <n v="4.1666666666666685E-2"/>
    <x v="3"/>
    <n v="1.0000000000000004"/>
  </r>
  <r>
    <x v="1"/>
    <d v="2024-02-13T00:00:00"/>
    <s v="الثلاثاء "/>
    <x v="17"/>
    <s v="محمود طلعت "/>
    <s v="تجميع وتركيب سلم الطوارىء"/>
    <s v="تم العمل"/>
    <d v="1899-12-30T09:30:00"/>
    <d v="1899-12-30T15:00:00"/>
    <n v="0.27079999999999999"/>
    <x v="1"/>
    <n v="6.5"/>
  </r>
  <r>
    <x v="1"/>
    <d v="2024-02-13T00:00:00"/>
    <s v="الثلاثاء "/>
    <x v="1"/>
    <s v="أحمد مخيمر  "/>
    <s v="تجميع وتركيب شبكة الحريق والكهرباء "/>
    <s v="تم العمل"/>
    <d v="1899-12-30T09:30:00"/>
    <d v="1899-12-30T17:30:00"/>
    <n v="0.33333333333333331"/>
    <x v="3"/>
    <n v="8"/>
  </r>
  <r>
    <x v="1"/>
    <d v="2024-02-14T00:00:00"/>
    <s v="الاربعاء "/>
    <x v="20"/>
    <s v="مينا محروس "/>
    <s v="لحام وتريكبات "/>
    <s v="تم العمل"/>
    <d v="1899-12-30T17:00:00"/>
    <d v="1899-12-30T13:00:00"/>
    <n v="0.16666666666666674"/>
    <x v="2"/>
    <n v="4.0000000000000018"/>
  </r>
  <r>
    <x v="1"/>
    <d v="2024-02-14T00:00:00"/>
    <s v="الاربعاء "/>
    <x v="6"/>
    <s v="سيد معوض "/>
    <s v="صيانة كلارك "/>
    <s v="تم العمل"/>
    <d v="1899-12-30T16:00:00"/>
    <d v="1899-12-30T17:00:00"/>
    <n v="4.1666666666666741E-2"/>
    <x v="3"/>
    <n v="1.0000000000000018"/>
  </r>
  <r>
    <x v="1"/>
    <d v="2024-02-14T00:00:00"/>
    <s v="الاربعاء "/>
    <x v="6"/>
    <s v="حسن عبد العظيم "/>
    <s v="صيانة كشافات العنابر "/>
    <s v="تم العمل"/>
    <d v="1899-12-30T12:00:00"/>
    <d v="1899-12-30T17:00:00"/>
    <n v="0.20833333333333337"/>
    <x v="3"/>
    <n v="5.0000000000000009"/>
  </r>
  <r>
    <x v="1"/>
    <d v="2024-02-14T00:00:00"/>
    <s v="الاربعاء "/>
    <x v="8"/>
    <s v="عصام شرف      "/>
    <s v="تركيب الطلمبة الجوكى "/>
    <s v="تم العمل"/>
    <d v="1899-12-30T16:30:00"/>
    <d v="1899-12-30T17:30:00"/>
    <n v="4.166666666666663E-2"/>
    <x v="0"/>
    <n v="0.99999999999999911"/>
  </r>
  <r>
    <x v="1"/>
    <d v="2024-02-14T00:00:00"/>
    <s v="الاربعاء "/>
    <x v="1"/>
    <s v="أحمد مخيمر  "/>
    <s v="تجميع وتركيب شبكة الحريق والكهرباء "/>
    <s v="تم العمل"/>
    <d v="1899-12-30T09:30:00"/>
    <d v="1899-12-30T17:30:00"/>
    <n v="0.33333333333333331"/>
    <x v="1"/>
    <n v="8"/>
  </r>
  <r>
    <x v="1"/>
    <d v="2024-02-14T00:00:00"/>
    <s v="الاربعاء "/>
    <x v="7"/>
    <s v="محمد ماهر "/>
    <s v="مكافحة حشرات "/>
    <s v="تم العمل"/>
    <d v="1899-12-30T10:30:00"/>
    <d v="1899-12-30T11:30:00"/>
    <n v="4.1666666666666685E-2"/>
    <x v="1"/>
    <n v="1.0000000000000004"/>
  </r>
  <r>
    <x v="1"/>
    <d v="2024-02-14T00:00:00"/>
    <s v="الاربعاء "/>
    <x v="19"/>
    <s v="حازم عبد الرحيم "/>
    <s v="صب ارضيات الشوارع "/>
    <s v="تم العمل"/>
    <d v="1899-12-30T09:30:00"/>
    <d v="1899-12-30T17:00:00"/>
    <n v="0.27079999999999999"/>
    <x v="0"/>
    <n v="6.5"/>
  </r>
  <r>
    <x v="1"/>
    <d v="2024-02-14T00:00:00"/>
    <s v="الاربعاء "/>
    <x v="7"/>
    <s v="محمد ماهر "/>
    <s v="مكافحة حشرات "/>
    <s v="تم العمل"/>
    <d v="1899-12-30T11:00:00"/>
    <d v="1899-12-30T15:00:00"/>
    <n v="0.16666666666666669"/>
    <x v="0"/>
    <n v="4"/>
  </r>
  <r>
    <x v="1"/>
    <d v="2024-02-14T00:00:00"/>
    <s v="الاربعاء "/>
    <x v="5"/>
    <s v="محمد خليل النقيب "/>
    <s v="توصيل وتركيب  كهرباء "/>
    <s v="تم العمل"/>
    <d v="1899-12-30T13:00:00"/>
    <d v="1899-12-30T17:00:00"/>
    <n v="0.16666666666666674"/>
    <x v="3"/>
    <n v="0.99999999999999911"/>
  </r>
  <r>
    <x v="1"/>
    <d v="2024-02-15T00:00:00"/>
    <s v="الخميس "/>
    <x v="17"/>
    <s v="اشرف عبد العاطى "/>
    <s v="لحام قواعد حديد ماكينة حقن الامونيوم"/>
    <s v="تم العمل"/>
    <d v="1899-12-30T22:00:00"/>
    <d v="1899-12-30T17:00:00"/>
    <n v="0.27079999999999999"/>
    <x v="5"/>
    <n v="6.5"/>
  </r>
  <r>
    <x v="1"/>
    <d v="2024-02-15T00:00:00"/>
    <s v="الخميس "/>
    <x v="19"/>
    <s v="حازم عبد الرحيم "/>
    <s v="صب ارضيات الشوارع "/>
    <s v="تم العمل"/>
    <d v="1899-12-30T09:30:00"/>
    <d v="1899-12-30T17:00:00"/>
    <n v="0.27079999999999999"/>
    <x v="0"/>
    <n v="6.5"/>
  </r>
  <r>
    <x v="1"/>
    <d v="2024-02-15T00:00:00"/>
    <s v="الخميس "/>
    <x v="1"/>
    <s v="أحمد مخيمر  "/>
    <s v="تجميع وتركيب شبكة الحريق والكهرباء "/>
    <s v="تم العمل"/>
    <d v="1899-12-30T09:30:00"/>
    <d v="1899-12-30T17:30:00"/>
    <n v="0.33333333333333331"/>
    <x v="1"/>
    <n v="8"/>
  </r>
  <r>
    <x v="1"/>
    <d v="2024-02-17T00:00:00"/>
    <s v="السبت "/>
    <x v="17"/>
    <s v="افارس خليل  "/>
    <s v="لحام قواعد حديد ماكينة حقن الامونيوم"/>
    <s v="تم العمل"/>
    <d v="1899-12-30T09:30:00"/>
    <d v="1899-12-30T17:00:00"/>
    <n v="0.27079999999999999"/>
    <x v="5"/>
    <n v="6.5"/>
  </r>
  <r>
    <x v="1"/>
    <d v="2024-02-17T00:00:00"/>
    <s v="السبت "/>
    <x v="3"/>
    <s v="علاء احمد "/>
    <s v="تريكبات "/>
    <s v="تم العمل"/>
    <d v="1899-12-30T09:30:00"/>
    <d v="1899-12-30T11:00:00"/>
    <n v="6.25E-2"/>
    <x v="2"/>
    <n v="1.5"/>
  </r>
  <r>
    <x v="1"/>
    <d v="2024-02-17T00:00:00"/>
    <s v="السبت "/>
    <x v="3"/>
    <s v="علاء احمد "/>
    <s v="تريكبات "/>
    <s v="تم العمل"/>
    <d v="1899-12-30T13:00:00"/>
    <d v="1899-12-30T15:00:00"/>
    <n v="8.333333333333337E-2"/>
    <x v="2"/>
    <n v="2.0000000000000009"/>
  </r>
  <r>
    <x v="1"/>
    <d v="2024-02-17T00:00:00"/>
    <s v="السبت "/>
    <x v="21"/>
    <s v="طارق رجب "/>
    <s v=" صيانة سقف عنبر  المعدنى ومجر صرف "/>
    <s v="تم العمل"/>
    <d v="1899-12-30T09:30:00"/>
    <d v="1899-12-30T17:00:00"/>
    <n v="0.27079999999999999"/>
    <x v="5"/>
    <n v="6.5"/>
  </r>
  <r>
    <x v="1"/>
    <d v="2024-02-17T00:00:00"/>
    <s v="السبت "/>
    <x v="19"/>
    <s v="حازم عبد الرحيم "/>
    <s v="صب ارضيات الشوارع "/>
    <s v="تم العمل"/>
    <d v="1899-12-30T09:30:00"/>
    <d v="1899-12-30T17:00:00"/>
    <n v="0.27079999999999999"/>
    <x v="0"/>
    <n v="6.5"/>
  </r>
  <r>
    <x v="1"/>
    <d v="2024-02-18T00:00:00"/>
    <s v="الاحد "/>
    <x v="19"/>
    <s v="حازم عبد الرحيم "/>
    <s v="صب ارضيات الشوارع "/>
    <s v="تم العمل"/>
    <d v="1899-12-30T09:30:00"/>
    <d v="1899-12-30T17:00:00"/>
    <n v="0.27079999999999999"/>
    <x v="0"/>
    <n v="6.5"/>
  </r>
  <r>
    <x v="1"/>
    <d v="2024-02-18T00:00:00"/>
    <s v="الاحد "/>
    <x v="21"/>
    <s v="طارق رجب "/>
    <s v=" صيانة سقف عنبر  المعدنى ومجر صرف "/>
    <s v="تم العمل"/>
    <d v="1899-12-30T22:00:00"/>
    <d v="1899-12-30T14:00:00"/>
    <n v="0.27079999999999999"/>
    <x v="5"/>
    <n v="6.5"/>
  </r>
  <r>
    <x v="1"/>
    <d v="2024-02-18T00:00:00"/>
    <s v="الاحد "/>
    <x v="17"/>
    <s v="افارس خليل  "/>
    <s v="لحام قواعد حديد ماكينة حقن الامونيوم"/>
    <s v="تم العمل"/>
    <d v="1899-12-30T22:00:00"/>
    <d v="1899-12-30T15:00:00"/>
    <n v="0.27079999999999999"/>
    <x v="5"/>
    <n v="6.5"/>
  </r>
  <r>
    <x v="1"/>
    <d v="2024-02-18T00:00:00"/>
    <s v="الاحد "/>
    <x v="0"/>
    <s v="م/ رمضان  "/>
    <s v="تركيب حديد على عمدان الجمالون "/>
    <s v="تم العمل"/>
    <d v="1899-12-30T22:00:00"/>
    <d v="1899-12-30T16:00:00"/>
    <n v="0.27079999999999999"/>
    <x v="5"/>
    <n v="6.5"/>
  </r>
  <r>
    <x v="1"/>
    <d v="2024-02-18T00:00:00"/>
    <s v="الاحد "/>
    <x v="1"/>
    <s v="أحمد مخيمر  "/>
    <s v="تجميع وتركيب شبكة الحريق والكهرباء "/>
    <s v="تم العمل"/>
    <d v="1899-12-30T09:30:00"/>
    <d v="1899-12-30T17:30:00"/>
    <n v="0.33333333333333331"/>
    <x v="1"/>
    <n v="8"/>
  </r>
  <r>
    <x v="1"/>
    <d v="2024-02-18T00:00:00"/>
    <s v="الاحد "/>
    <x v="17"/>
    <s v="محمود طلعت "/>
    <s v="تجميع وتركيب سلم الطوارىء"/>
    <s v="تم العمل"/>
    <d v="1899-12-30T09:30:00"/>
    <d v="1899-12-30T15:00:00"/>
    <n v="0.27079999999999999"/>
    <x v="1"/>
    <n v="6.5"/>
  </r>
  <r>
    <x v="1"/>
    <d v="2024-02-19T00:00:00"/>
    <s v="الاثنين "/>
    <x v="19"/>
    <s v="حازم عبد الرحيم "/>
    <s v="صب ارضيات الشوارع "/>
    <s v="تم العمل"/>
    <d v="1899-12-30T09:30:00"/>
    <d v="1899-12-30T17:00:00"/>
    <n v="0.27079999999999999"/>
    <x v="0"/>
    <n v="6.5"/>
  </r>
  <r>
    <x v="1"/>
    <d v="2024-02-20T00:00:00"/>
    <s v="الثلاثاء "/>
    <x v="21"/>
    <s v="طارق رجب "/>
    <s v=" صيانة سقف عنبر  المعدنى ومجر صرف "/>
    <s v="تم العمل"/>
    <d v="1899-12-30T22:00:00"/>
    <d v="1899-12-30T17:00:00"/>
    <n v="0.27079999999999999"/>
    <x v="5"/>
    <n v="6.5"/>
  </r>
  <r>
    <x v="1"/>
    <d v="2024-02-20T00:00:00"/>
    <s v="الثلاثاء "/>
    <x v="22"/>
    <s v="محمود الدروى "/>
    <s v="صيانة تكيفات "/>
    <s v="تم العمل"/>
    <d v="1899-12-30T14:00:00"/>
    <d v="1899-12-30T15:00:00"/>
    <n v="0.27079999999999999"/>
    <x v="3"/>
    <n v="6.5"/>
  </r>
  <r>
    <x v="1"/>
    <d v="2024-02-20T00:00:00"/>
    <s v="الثلاثاء "/>
    <x v="23"/>
    <s v="محمد عبد الرحمن"/>
    <s v="تغير سير ماكينة كولبس 2"/>
    <s v="تم العمل"/>
    <d v="1899-12-30T12:00:00"/>
    <d v="1899-12-30T15:00:00"/>
    <n v="0.27079999999999999"/>
    <x v="3"/>
    <n v="6.5"/>
  </r>
  <r>
    <x v="1"/>
    <d v="2024-02-20T00:00:00"/>
    <s v="الثلاثاء "/>
    <x v="19"/>
    <s v="حازم عبد الرحيم "/>
    <s v="صب ارضيات الشوارع "/>
    <s v="تم العمل"/>
    <d v="1899-12-30T09:30:00"/>
    <d v="1899-12-30T17:00:00"/>
    <n v="0.27079999999999999"/>
    <x v="0"/>
    <n v="6.5"/>
  </r>
  <r>
    <x v="1"/>
    <d v="2024-02-20T00:00:00"/>
    <s v="الثلاثاء "/>
    <x v="1"/>
    <s v="أحمد مخيمر  "/>
    <s v="تجميع وتركيب شبكة الحريق والكهرباء "/>
    <s v="تم العمل"/>
    <d v="1899-12-30T09:30:00"/>
    <d v="1899-12-30T17:30:00"/>
    <n v="0.33333333333333331"/>
    <x v="1"/>
    <n v="8"/>
  </r>
  <r>
    <x v="1"/>
    <d v="2024-02-20T00:00:00"/>
    <s v="الثلاثاء "/>
    <x v="17"/>
    <s v="ايمن رمضان "/>
    <s v="تجميع ودهان  سلم الطوارىء"/>
    <s v="تم العمل"/>
    <d v="1899-12-30T09:30:00"/>
    <d v="1899-12-30T13:00:00"/>
    <n v="0.27079999999999999"/>
    <x v="1"/>
    <n v="6.5"/>
  </r>
  <r>
    <x v="1"/>
    <d v="2024-02-20T00:00:00"/>
    <s v="الثلاثاء "/>
    <x v="5"/>
    <s v="احمد سعيد  "/>
    <s v="توصيل  ماسورة المياة للطلمبة الجوكى  "/>
    <s v="تم العمل"/>
    <d v="1899-12-30T11:00:00"/>
    <d v="1899-12-30T16:00:00"/>
    <n v="0.20833333333333331"/>
    <x v="0"/>
    <n v="0.99999999999999911"/>
  </r>
  <r>
    <x v="1"/>
    <d v="2024-02-20T00:00:00"/>
    <s v="الثلاثاء "/>
    <x v="24"/>
    <s v="حسين حجاج "/>
    <s v="توصيل  ماسورة المياة للطلمبة الجوكى  "/>
    <s v="تم العمل"/>
    <d v="1899-12-30T12:00:00"/>
    <d v="1899-12-30T16:00:00"/>
    <n v="0.16666666666666663"/>
    <x v="0"/>
    <n v="0.99999999999999911"/>
  </r>
  <r>
    <x v="1"/>
    <d v="2024-02-21T00:00:00"/>
    <s v="الاربعاء "/>
    <x v="7"/>
    <s v="احمد مظهر  "/>
    <s v="مكافحة حشرات "/>
    <s v="تم العمل"/>
    <d v="1899-12-30T11:30:00"/>
    <d v="1899-12-30T15:00:00"/>
    <n v="0.14583333333333331"/>
    <x v="3"/>
    <n v="3.4999999999999996"/>
  </r>
  <r>
    <x v="1"/>
    <d v="2024-02-21T00:00:00"/>
    <s v="الاربعاء "/>
    <x v="25"/>
    <s v="صلاح خميس "/>
    <s v="اعمال لحام ارجون  ويب "/>
    <s v="تم العمل"/>
    <d v="1899-12-30T10:30:00"/>
    <d v="1899-12-30T13:00:00"/>
    <n v="0.10416666666666663"/>
    <x v="3"/>
    <n v="2.4999999999999991"/>
  </r>
  <r>
    <x v="1"/>
    <d v="2024-02-21T00:00:00"/>
    <s v="الاربعاء "/>
    <x v="7"/>
    <s v="زياد عادل "/>
    <s v="مكافحة حشرات "/>
    <s v="تم العمل"/>
    <d v="1899-12-30T10:30:00"/>
    <d v="1899-12-30T11:30:00"/>
    <n v="4.1666666666666685E-2"/>
    <x v="3"/>
    <n v="1.0000000000000004"/>
  </r>
  <r>
    <x v="1"/>
    <d v="2024-02-21T00:00:00"/>
    <s v="الاربعاء "/>
    <x v="19"/>
    <s v="حازم عبد الرحيم "/>
    <s v="رصف  ارضيات الشوارع "/>
    <s v="تم العمل"/>
    <d v="1899-12-30T09:30:00"/>
    <d v="1899-12-30T17:00:00"/>
    <n v="0.27079999999999999"/>
    <x v="0"/>
    <n v="6.5"/>
  </r>
  <r>
    <x v="1"/>
    <d v="2024-02-22T00:00:00"/>
    <s v="الخميس "/>
    <x v="19"/>
    <s v="حازم عبد الرحيم "/>
    <s v="رصف ارضيات الشوارع "/>
    <s v="تم العمل"/>
    <d v="1899-12-30T09:30:00"/>
    <d v="1899-12-30T17:00:00"/>
    <n v="0.27079999999999999"/>
    <x v="0"/>
    <n v="6.5"/>
  </r>
  <r>
    <x v="1"/>
    <d v="2024-02-22T00:00:00"/>
    <s v="الخميس "/>
    <x v="8"/>
    <s v="حامد  عطوان    "/>
    <s v="زيارة شركة كريم  للصيانة  الدورية "/>
    <s v="تم العمل"/>
    <d v="1899-12-30T13:00:00"/>
    <d v="1899-12-30T15:30:00"/>
    <n v="0.10416666666666674"/>
    <x v="1"/>
    <n v="2.5000000000000018"/>
  </r>
  <r>
    <x v="1"/>
    <d v="2024-02-23T00:00:00"/>
    <s v="الجمعة "/>
    <x v="21"/>
    <s v="طارق رجب "/>
    <s v=" صيانة سقف عنبر  المعدنى ومجر صرف "/>
    <s v="تم العمل"/>
    <d v="1899-12-30T10:30:00"/>
    <d v="1899-12-30T16:00:00"/>
    <n v="0.27079999999999999"/>
    <x v="5"/>
    <n v="6.5"/>
  </r>
  <r>
    <x v="1"/>
    <d v="2024-02-24T00:00:00"/>
    <s v="السبت "/>
    <x v="21"/>
    <s v="طارق رجب "/>
    <s v=" صيانة سقف عنبر  المعدنى ومجر صرف "/>
    <s v="تم العمل"/>
    <d v="1899-12-30T22:00:00"/>
    <d v="1899-12-30T16:00:00"/>
    <n v="0.27079999999999999"/>
    <x v="5"/>
    <n v="6.5"/>
  </r>
  <r>
    <x v="1"/>
    <d v="2024-02-24T00:00:00"/>
    <s v="السبت "/>
    <x v="17"/>
    <s v="محمود طلعت "/>
    <s v="عمل صنفرة ودهانات "/>
    <s v="تم العمل"/>
    <d v="1899-12-30T22:00:00"/>
    <d v="1899-12-30T16:00:00"/>
    <n v="0.27079999999999999"/>
    <x v="1"/>
    <n v="6.5"/>
  </r>
  <r>
    <x v="1"/>
    <d v="2024-02-24T00:00:00"/>
    <s v="السبت "/>
    <x v="19"/>
    <s v="حازم عبد الرحيم "/>
    <s v="رصف ارضيات الشوارع "/>
    <s v="تم العمل"/>
    <d v="1899-12-30T22:00:00"/>
    <d v="1899-12-30T17:00:00"/>
    <n v="0.27079999999999999"/>
    <x v="0"/>
    <n v="6.5"/>
  </r>
  <r>
    <x v="1"/>
    <d v="2024-02-25T00:00:00"/>
    <s v="الاحد "/>
    <x v="19"/>
    <s v="حازم عبد الرحيم "/>
    <s v="رصف ارضيات الشوارع "/>
    <s v="تم العمل"/>
    <d v="1899-12-30T09:30:00"/>
    <d v="1899-12-30T17:00:00"/>
    <n v="0.27079999999999999"/>
    <x v="0"/>
    <n v="6.5"/>
  </r>
  <r>
    <x v="1"/>
    <d v="2024-02-25T00:00:00"/>
    <s v="الاحد "/>
    <x v="0"/>
    <s v="مراد صالح  "/>
    <s v="تكسير الحمام الخاص بالعاملين للتجديدة "/>
    <s v="تم العمل"/>
    <d v="1899-12-30T22:00:00"/>
    <d v="1899-12-30T17:00:00"/>
    <n v="0.27079999999999999"/>
    <x v="0"/>
    <n v="6.5"/>
  </r>
  <r>
    <x v="1"/>
    <d v="2024-02-25T00:00:00"/>
    <s v="الاثنين "/>
    <x v="11"/>
    <s v="محمد رمضان   "/>
    <s v="صيانة الكلاركات "/>
    <s v="تم العمل"/>
    <d v="1899-12-30T10:00:00"/>
    <d v="1899-12-30T15:00:00"/>
    <n v="0.20833333333333331"/>
    <x v="3"/>
    <n v="5"/>
  </r>
  <r>
    <x v="1"/>
    <d v="2024-02-25T00:00:00"/>
    <s v="الاثنين "/>
    <x v="26"/>
    <s v="محمد حسنى   "/>
    <s v="صيانة دورية لغرف ومحابس الغاز     "/>
    <s v="تم العمل"/>
    <d v="1899-12-30T12:30:00"/>
    <d v="1899-12-30T13:30:00"/>
    <n v="4.166666666666663E-2"/>
    <x v="3"/>
    <n v="0.99999999999999911"/>
  </r>
  <r>
    <x v="1"/>
    <d v="2024-02-26T00:00:00"/>
    <s v="الاثنين "/>
    <x v="19"/>
    <s v="حازم عبد الرحيم "/>
    <s v="رصف ارضيات الشوارع "/>
    <s v="تم العمل"/>
    <d v="1899-12-30T22:00:00"/>
    <d v="1899-12-30T17:00:00"/>
    <n v="0.27079999999999999"/>
    <x v="0"/>
    <n v="6.5"/>
  </r>
  <r>
    <x v="1"/>
    <d v="2024-02-26T00:00:00"/>
    <s v="الاثنين "/>
    <x v="21"/>
    <s v="طارق رجب "/>
    <s v=" صيانة سقف عنبر  المعدنى ومجر صرف "/>
    <s v="تم العمل"/>
    <d v="1899-12-30T09:00:00"/>
    <d v="1899-12-30T17:00:00"/>
    <n v="0.27079999999999999"/>
    <x v="5"/>
    <n v="6.5"/>
  </r>
  <r>
    <x v="1"/>
    <d v="2024-02-27T00:00:00"/>
    <s v="الثلاثاء "/>
    <x v="21"/>
    <s v="طارق رجب "/>
    <s v=" صيانة سقف عنبر  المعدنى ومجر صرف "/>
    <s v="تم العمل"/>
    <d v="1899-12-30T09:00:00"/>
    <d v="1899-12-30T17:00:00"/>
    <n v="0.27079999999999999"/>
    <x v="5"/>
    <n v="6.5"/>
  </r>
  <r>
    <x v="1"/>
    <d v="2024-02-27T00:00:00"/>
    <s v="الثلاثاء "/>
    <x v="27"/>
    <s v="احمد صلاح  "/>
    <s v="صيانة الدور العاشر "/>
    <s v="تم العمل"/>
    <d v="1899-12-30T15:00:00"/>
    <d v="1899-12-30T18:00:00"/>
    <n v="0.125"/>
    <x v="2"/>
    <n v="3"/>
  </r>
  <r>
    <x v="1"/>
    <d v="2024-02-27T00:00:00"/>
    <s v="الثلاثاء "/>
    <x v="19"/>
    <s v="حازم عبد الرحيم "/>
    <s v="رصف ارضيات الشوارع "/>
    <s v="تم العمل"/>
    <d v="1899-12-30T09:30:00"/>
    <d v="1899-12-30T17:00:00"/>
    <n v="0.27079999999999999"/>
    <x v="5"/>
    <n v="6.5"/>
  </r>
  <r>
    <x v="1"/>
    <d v="2024-02-27T00:00:00"/>
    <s v="الثلاثاء "/>
    <x v="0"/>
    <s v="مراد صالح  "/>
    <s v="استكمال اعمال تجديد حمام العاملين بالمخازن "/>
    <s v="تم العمل"/>
    <d v="1899-12-30T22:00:00"/>
    <d v="1899-12-30T17:00:00"/>
    <n v="0.27079999999999999"/>
    <x v="0"/>
    <n v="6.5"/>
  </r>
  <r>
    <x v="1"/>
    <d v="2024-02-27T00:00:00"/>
    <s v="الثلاثاء "/>
    <x v="1"/>
    <s v="أحمد مخيمر  "/>
    <s v="تجميع وتركيب شبكة الحريق والكهرباء "/>
    <s v="تم العمل"/>
    <d v="1899-12-30T09:30:00"/>
    <d v="1899-12-30T16:00:00"/>
    <n v="0.27083333333333331"/>
    <x v="1"/>
    <n v="6.5"/>
  </r>
  <r>
    <x v="1"/>
    <d v="2024-02-27T00:00:00"/>
    <s v="الثلاثاء "/>
    <x v="27"/>
    <s v="شريف حسن "/>
    <s v="صيانة وتركيبات الدور العاشر "/>
    <s v="تم العمل"/>
    <d v="1899-12-30T12:30:00"/>
    <d v="1899-12-30T14:00:00"/>
    <n v="6.25E-2"/>
    <x v="2"/>
    <n v="1.5"/>
  </r>
  <r>
    <x v="1"/>
    <d v="2024-02-28T00:00:00"/>
    <s v="الاربعاء "/>
    <x v="19"/>
    <s v="حازم عبد الرحيم "/>
    <s v="رصف ارضيات الشوارع "/>
    <s v="تم العمل"/>
    <d v="1899-12-30T09:30:00"/>
    <d v="1899-12-30T17:00:00"/>
    <n v="0.27079999999999999"/>
    <x v="0"/>
    <n v="6.5"/>
  </r>
  <r>
    <x v="1"/>
    <d v="2024-02-28T00:00:00"/>
    <s v="الاربعاء "/>
    <x v="9"/>
    <s v="سامى شعبان  "/>
    <s v="صيانة الكلاركات الهونداى "/>
    <s v="تم العمل"/>
    <d v="1899-12-30T10:00:00"/>
    <d v="1899-12-30T17:00:00"/>
    <n v="0.29166666666666669"/>
    <x v="0"/>
    <n v="7"/>
  </r>
  <r>
    <x v="1"/>
    <d v="2024-02-28T00:00:00"/>
    <s v="الاربعاء "/>
    <x v="21"/>
    <s v="طارق رجب "/>
    <s v=" صيانة سقف عنبر  المعدنى ومجر صرف "/>
    <s v="تم العمل"/>
    <d v="1899-12-30T09:00:00"/>
    <d v="1899-12-30T16:00:00"/>
    <n v="0.27079999999999999"/>
    <x v="5"/>
    <n v="6.5"/>
  </r>
  <r>
    <x v="1"/>
    <d v="2024-02-28T00:00:00"/>
    <s v="الاربعاء "/>
    <x v="7"/>
    <s v="محمد ماهر "/>
    <s v="مكافحة حشرات "/>
    <s v="تم العمل"/>
    <d v="1899-12-30T12:00:00"/>
    <d v="1899-12-30T17:00:00"/>
    <n v="0.20833333333333337"/>
    <x v="0"/>
    <n v="5.0000000000000009"/>
  </r>
  <r>
    <x v="1"/>
    <d v="2024-02-28T00:00:00"/>
    <s v="الاربعاء "/>
    <x v="5"/>
    <s v="محمود ابو شادى "/>
    <s v="انشاء حمام بديل حمام العمال  يتم تجديدة  "/>
    <s v="تم العمل"/>
    <d v="1899-12-30T11:00:00"/>
    <d v="1899-12-30T17:00:00"/>
    <n v="0.25000000000000006"/>
    <x v="0"/>
    <n v="0.99999999999999911"/>
  </r>
  <r>
    <x v="1"/>
    <d v="2024-02-28T00:00:00"/>
    <s v="الاربعاء "/>
    <x v="0"/>
    <s v="مراد صالح  "/>
    <s v="استكمال اعمال تجديد حمام العاملين بالمخازن "/>
    <s v="تم العمل"/>
    <d v="1899-12-30T10:00:00"/>
    <d v="1899-12-30T17:00:00"/>
    <n v="0.27079999999999999"/>
    <x v="0"/>
    <n v="6.5"/>
  </r>
  <r>
    <x v="1"/>
    <d v="2024-02-28T00:00:00"/>
    <s v="الاربعاء "/>
    <x v="7"/>
    <s v="محمد ماهر "/>
    <s v="مكافحة حشرات "/>
    <s v="تم العمل"/>
    <d v="1899-12-30T10:30:00"/>
    <d v="1899-12-30T11:30:00"/>
    <n v="4.1666666666666685E-2"/>
    <x v="1"/>
    <n v="1.0000000000000004"/>
  </r>
  <r>
    <x v="1"/>
    <d v="2024-02-28T00:00:00"/>
    <s v="الاربعاء "/>
    <x v="19"/>
    <s v="عبد الله السيد عباس "/>
    <s v="اعمال شق وتكسير بالرامب "/>
    <s v="تم العمل"/>
    <d v="1899-12-30T11:00:00"/>
    <d v="1899-12-30T13:30:00"/>
    <n v="0.27079999999999999"/>
    <x v="1"/>
    <n v="6.5"/>
  </r>
  <r>
    <x v="1"/>
    <d v="2024-02-29T00:00:00"/>
    <s v="الاربعاء "/>
    <x v="1"/>
    <s v="أحمد مخيمر  "/>
    <s v="تجميع وتركيب شبكة الحريق والكهرباء "/>
    <s v="تم العمل"/>
    <d v="1899-12-30T10:00:00"/>
    <d v="1899-12-30T16:00:00"/>
    <n v="0.24999999999999994"/>
    <x v="1"/>
    <n v="5.9999999999999982"/>
  </r>
  <r>
    <x v="1"/>
    <d v="2024-02-28T00:00:00"/>
    <s v="الخميس "/>
    <x v="21"/>
    <s v="طارق رجب "/>
    <s v=" صيانة سقف عنبر  المعدنى ومجر صرف "/>
    <s v="تم العمل"/>
    <d v="1899-12-30T09:00:00"/>
    <d v="1899-12-30T16:00:00"/>
    <n v="0.27079999999999999"/>
    <x v="5"/>
    <n v="6.5"/>
  </r>
  <r>
    <x v="1"/>
    <d v="2024-02-29T00:00:00"/>
    <s v="الخميس "/>
    <x v="19"/>
    <s v="عبد الله السيد عباس "/>
    <s v="اعمال شق وتكسير بالرامب "/>
    <s v="تم العمل"/>
    <d v="1899-12-30T10:00:00"/>
    <d v="1899-12-30T15:30:00"/>
    <n v="0.27079999999999999"/>
    <x v="1"/>
    <n v="6.5"/>
  </r>
  <r>
    <x v="1"/>
    <d v="2024-02-29T00:00:00"/>
    <s v="الخميس "/>
    <x v="19"/>
    <s v="حازم عبد الرحيم "/>
    <s v="رصف ارضيات الشوارع "/>
    <s v="تم العمل"/>
    <d v="1899-12-30T09:30:00"/>
    <d v="1899-12-30T16:00:00"/>
    <n v="0.27079999999999999"/>
    <x v="0"/>
    <n v="6.5"/>
  </r>
  <r>
    <x v="2"/>
    <d v="2024-03-01T00:00:00"/>
    <s v="الجمعة "/>
    <x v="21"/>
    <s v="اكرم  رجب "/>
    <s v=" صيانة سقف عنبر  المعدنى ومجر صرف "/>
    <s v="تم العمل"/>
    <d v="1899-12-30T09:30:00"/>
    <d v="1899-12-30T17:00:00"/>
    <n v="0.27079999999999999"/>
    <x v="5"/>
    <n v="6.5"/>
  </r>
  <r>
    <x v="2"/>
    <d v="2024-03-02T00:00:00"/>
    <s v="السبت "/>
    <x v="9"/>
    <s v="سامى شعبان  "/>
    <s v="صيانة الكلاركات الهونداى "/>
    <s v="تم العمل"/>
    <d v="1899-12-30T15:00:00"/>
    <d v="1899-12-30T17:00:00"/>
    <n v="8.333333333333337E-2"/>
    <x v="3"/>
    <n v="2.0000000000000009"/>
  </r>
  <r>
    <x v="2"/>
    <d v="2024-03-02T00:00:00"/>
    <s v="السبت "/>
    <x v="21"/>
    <s v="طارق رجب "/>
    <s v=" صيانة سقف عنبر  المعدنى ومجر صرف "/>
    <s v="تم العمل"/>
    <d v="1899-12-30T09:30:00"/>
    <d v="1899-12-30T17:00:00"/>
    <n v="0.27079999999999999"/>
    <x v="5"/>
    <n v="6.5"/>
  </r>
  <r>
    <x v="2"/>
    <d v="2024-03-02T00:00:00"/>
    <s v="السبت "/>
    <x v="19"/>
    <s v="حازم عبد الرحيم "/>
    <s v="رصف ارضيات الشوارع "/>
    <s v="تم العمل"/>
    <d v="1899-12-30T09:30:00"/>
    <d v="1899-12-30T17:00:00"/>
    <n v="0.27079999999999999"/>
    <x v="0"/>
    <n v="6.5"/>
  </r>
  <r>
    <x v="2"/>
    <d v="2024-03-02T00:00:00"/>
    <s v="السبت "/>
    <x v="0"/>
    <s v="مراد صالح  "/>
    <s v="استكمال اعمال تجديد حمام العاملين بالمخازن "/>
    <s v="تم العمل"/>
    <d v="1899-12-30T10:00:00"/>
    <d v="1899-12-30T17:00:00"/>
    <n v="0.27079999999999999"/>
    <x v="0"/>
    <n v="6.5"/>
  </r>
  <r>
    <x v="2"/>
    <d v="2024-03-02T00:00:00"/>
    <s v="السبت "/>
    <x v="19"/>
    <s v="عبد الله السيد عباس "/>
    <s v="اعمال شق وتكسير بالرامب "/>
    <s v="تم العمل"/>
    <d v="1899-12-30T10:00:00"/>
    <d v="1899-12-30T17:00:00"/>
    <n v="0.27079999999999999"/>
    <x v="1"/>
    <n v="6.5"/>
  </r>
  <r>
    <x v="2"/>
    <d v="2024-03-03T00:00:00"/>
    <s v="الاحد "/>
    <x v="0"/>
    <s v="عبد الحميد "/>
    <s v="عمل قوائم خرسانة للجمالون  "/>
    <s v="تم العمل"/>
    <d v="1899-12-30T09:00:00"/>
    <d v="1899-12-30T17:00:00"/>
    <n v="0.27079999999999999"/>
    <x v="5"/>
    <n v="6.5"/>
  </r>
  <r>
    <x v="2"/>
    <d v="2024-03-03T00:00:00"/>
    <s v="الاحد "/>
    <x v="8"/>
    <s v="ممدوح عبد التواب "/>
    <s v="تغيير  واستبدال حساسات التجليد "/>
    <s v="تم العمل"/>
    <d v="1899-12-30T09:30:00"/>
    <d v="1899-12-30T17:00:00"/>
    <n v="0.31250000000000006"/>
    <x v="3"/>
    <n v="7.5000000000000018"/>
  </r>
  <r>
    <x v="2"/>
    <d v="2024-03-03T00:00:00"/>
    <s v="الاحد "/>
    <x v="17"/>
    <s v="فارس خليل  "/>
    <s v="لحامات فى الجمالون "/>
    <s v="تم العمل"/>
    <d v="1899-12-30T09:00:00"/>
    <d v="1899-12-30T16:00:00"/>
    <n v="0.27079999999999999"/>
    <x v="5"/>
    <n v="6.5"/>
  </r>
  <r>
    <x v="2"/>
    <d v="2024-03-03T00:00:00"/>
    <s v="الاحد "/>
    <x v="21"/>
    <s v="طارق رجب "/>
    <s v="احلا ل وتجديد سقف جمالون دويتش  "/>
    <s v="تم العمل"/>
    <d v="1899-12-30T09:00:00"/>
    <d v="1899-12-30T16:00:00"/>
    <n v="0.27079999999999999"/>
    <x v="5"/>
    <n v="6.5"/>
  </r>
  <r>
    <x v="2"/>
    <d v="2024-03-03T00:00:00"/>
    <s v="الاحد "/>
    <x v="0"/>
    <s v="مراد صالح  "/>
    <s v="استكمال اعمال تجديد حمام العاملين بالمخازن "/>
    <s v="تم العمل"/>
    <d v="1899-12-30T11:30:00"/>
    <d v="1899-12-30T17:00:00"/>
    <n v="0.27079999999999999"/>
    <x v="0"/>
    <n v="6.5"/>
  </r>
  <r>
    <x v="2"/>
    <d v="2024-03-03T00:00:00"/>
    <s v="الاحد "/>
    <x v="1"/>
    <s v="أحمد مخيمر  "/>
    <s v="تجميع وتركيب شبكة الحريق والكهرباء "/>
    <s v="تم العمل"/>
    <d v="1899-12-30T10:30:00"/>
    <d v="1899-12-30T17:30:00"/>
    <n v="0.29166666666666663"/>
    <x v="1"/>
    <n v="6.9999999999999991"/>
  </r>
  <r>
    <x v="2"/>
    <d v="2024-03-03T00:00:00"/>
    <s v="الاحد "/>
    <x v="19"/>
    <s v="حازم عبد الرحيم "/>
    <s v="رصف ارضيات الشوارع "/>
    <s v="تم العمل"/>
    <d v="1899-12-30T09:30:00"/>
    <d v="1899-12-30T17:00:00"/>
    <n v="0.27079999999999999"/>
    <x v="0"/>
    <n v="6.5"/>
  </r>
  <r>
    <x v="2"/>
    <d v="2024-03-04T00:00:00"/>
    <s v="الاثنين "/>
    <x v="0"/>
    <s v="مراد صالح  "/>
    <s v="استكمال اعمال تجديد حمام العاملين بالمخازن "/>
    <s v="تم العمل"/>
    <d v="1899-12-30T11:30:00"/>
    <d v="1899-12-30T17:00:00"/>
    <n v="0.27079999999999999"/>
    <x v="0"/>
    <n v="6.5"/>
  </r>
  <r>
    <x v="2"/>
    <d v="2024-03-04T00:00:00"/>
    <s v="الاثنين "/>
    <x v="17"/>
    <s v="فارس خليل  "/>
    <s v="لحامات فى الجمالون "/>
    <s v="تم العمل"/>
    <d v="1899-12-30T09:00:00"/>
    <d v="1899-12-30T16:00:00"/>
    <n v="0.27079999999999999"/>
    <x v="5"/>
    <n v="6.5"/>
  </r>
  <r>
    <x v="2"/>
    <d v="2024-03-04T00:00:00"/>
    <s v="الاثنين "/>
    <x v="21"/>
    <s v="طارق رجب "/>
    <s v="احلا ل وتجديد سقف جمالون دويتش  "/>
    <s v="تم العمل"/>
    <d v="1899-12-30T09:00:00"/>
    <d v="1899-12-30T16:00:00"/>
    <n v="0.27079999999999999"/>
    <x v="5"/>
    <n v="6.5"/>
  </r>
  <r>
    <x v="2"/>
    <d v="2024-03-04T00:00:00"/>
    <s v="الاثنين "/>
    <x v="5"/>
    <s v="خميس محمد ع الحليم"/>
    <s v="هدم وتكسير سلم العاملين   "/>
    <s v="تم العمل"/>
    <d v="1899-12-30T09:00:00"/>
    <d v="1899-12-30T16:00:00"/>
    <n v="0.29166666666666663"/>
    <x v="3"/>
    <n v="0.99999999999999911"/>
  </r>
  <r>
    <x v="2"/>
    <d v="2024-03-04T00:00:00"/>
    <s v="الاثنين "/>
    <x v="19"/>
    <s v="حازم عبد الرحيم "/>
    <s v="رصف ارضيات الشوارع "/>
    <s v="تم العمل"/>
    <d v="1899-12-30T09:30:00"/>
    <d v="1899-12-30T17:00:00"/>
    <n v="0.27079999999999999"/>
    <x v="0"/>
    <n v="6.5"/>
  </r>
  <r>
    <x v="2"/>
    <d v="2024-03-04T00:00:00"/>
    <s v="الاثنين "/>
    <x v="8"/>
    <s v="ممدوح عبد التواب "/>
    <s v="تغيير  واستبدال حساسات التجليد "/>
    <s v="تم العمل"/>
    <d v="1899-12-30T09:30:00"/>
    <d v="1899-12-30T17:00:00"/>
    <n v="0.31250000000000006"/>
    <x v="3"/>
    <n v="7.5000000000000018"/>
  </r>
  <r>
    <x v="2"/>
    <d v="2024-03-05T00:00:00"/>
    <s v="الثلاثاء "/>
    <x v="19"/>
    <s v="حازم عبد الرحيم "/>
    <s v="رصف ارضيات الشوارع "/>
    <s v="تم العمل"/>
    <d v="1899-12-30T09:30:00"/>
    <d v="1899-12-30T17:00:00"/>
    <n v="0.27079999999999999"/>
    <x v="0"/>
    <n v="6.5"/>
  </r>
  <r>
    <x v="2"/>
    <d v="2024-03-05T00:00:00"/>
    <s v="الثلاثاء "/>
    <x v="8"/>
    <s v="علاء الشابورى   "/>
    <s v="صيانة شبكة الانزار "/>
    <s v="تم العمل"/>
    <d v="1899-12-30T12:30:00"/>
    <d v="1899-12-30T14:00:00"/>
    <n v="6.25E-2"/>
    <x v="3"/>
    <n v="1.5"/>
  </r>
  <r>
    <x v="2"/>
    <d v="2024-03-05T00:00:00"/>
    <s v="الثلاثاء "/>
    <x v="8"/>
    <s v="ممدوح عبد التواب "/>
    <s v="تغيير  واستبدال حساسات التجليد "/>
    <s v="تم العمل"/>
    <d v="1899-12-30T09:30:00"/>
    <d v="1899-12-30T17:00:00"/>
    <n v="0.31250000000000006"/>
    <x v="3"/>
    <n v="7.5000000000000018"/>
  </r>
  <r>
    <x v="2"/>
    <d v="2024-03-05T00:00:00"/>
    <s v="الثلاثاء "/>
    <x v="5"/>
    <s v="عبد الرحمان محمد "/>
    <s v="تركيب رخام سلم العاملين  "/>
    <s v="تم العمل"/>
    <d v="1899-12-30T10:00:00"/>
    <d v="1899-12-30T21:30:00"/>
    <n v="0.47916666666666669"/>
    <x v="3"/>
    <n v="0.99999999999999911"/>
  </r>
  <r>
    <x v="2"/>
    <d v="2024-03-05T00:00:00"/>
    <s v="الثلاثاء "/>
    <x v="1"/>
    <s v="أحمد مخيمر  "/>
    <s v="تجميع وتركيب شبكة الحريق والكهرباء "/>
    <s v="تم العمل"/>
    <d v="1899-12-30T10:30:00"/>
    <d v="1899-12-30T17:30:00"/>
    <n v="0.29166666666666663"/>
    <x v="1"/>
    <n v="6.9999999999999991"/>
  </r>
  <r>
    <x v="2"/>
    <d v="2024-03-05T00:00:00"/>
    <s v="الثلاثاء "/>
    <x v="19"/>
    <s v="عبد الله السيد عباس "/>
    <s v="التعديل بالرامب "/>
    <s v="تم العمل"/>
    <d v="1899-12-30T00:00:00"/>
    <d v="1899-12-30T15:30:00"/>
    <n v="0.27079999999999999"/>
    <x v="1"/>
    <n v="6.5"/>
  </r>
  <r>
    <x v="2"/>
    <d v="2024-03-05T00:00:00"/>
    <s v="الثلاثاء "/>
    <x v="8"/>
    <s v="علاء الشابورى   "/>
    <s v="صيانة شبكة الانزار "/>
    <s v="تم العمل"/>
    <d v="1899-12-30T10:00:00"/>
    <d v="1899-12-30T10:30:00"/>
    <n v="2.0833333333333315E-2"/>
    <x v="3"/>
    <n v="0.49999999999999956"/>
  </r>
  <r>
    <x v="1"/>
    <d v="2024-03-06T00:00:00"/>
    <s v="الاربعاء "/>
    <x v="6"/>
    <s v="حسن  عبد العظيم "/>
    <s v="توصيل كونتا كتور الخاص بالطلمبة الجوكى "/>
    <s v="تم العمل"/>
    <d v="1899-12-30T15:30:00"/>
    <d v="1899-12-30T16:00:00"/>
    <n v="0.27079999999999999"/>
    <x v="1"/>
    <n v="6.5"/>
  </r>
  <r>
    <x v="2"/>
    <d v="2024-03-06T00:00:00"/>
    <s v="الاربعاء "/>
    <x v="19"/>
    <s v="عبد الله السيد عباس "/>
    <s v="التعديل بالرامب "/>
    <s v="تم العمل"/>
    <d v="1899-12-30T10:00:00"/>
    <d v="1899-12-30T15:00:00"/>
    <n v="0.27079999999999999"/>
    <x v="3"/>
    <n v="6.5"/>
  </r>
  <r>
    <x v="2"/>
    <d v="2024-03-06T00:00:00"/>
    <s v="الاربعاء "/>
    <x v="1"/>
    <s v="أحمد مخيمر  "/>
    <s v="تجميع وتركيب شبكة الحريق والكهرباء "/>
    <s v="تم العمل"/>
    <d v="1899-12-30T10:00:00"/>
    <d v="1899-12-30T17:30:00"/>
    <n v="0.31249999999999994"/>
    <x v="1"/>
    <n v="7.4999999999999982"/>
  </r>
  <r>
    <x v="2"/>
    <d v="2024-03-06T00:00:00"/>
    <s v="الاربعاء "/>
    <x v="5"/>
    <s v="محمد خليل "/>
    <s v="توصيل ماتور رفع المياة فى المبنى الادالرى  "/>
    <s v="تم العمل"/>
    <d v="1899-12-30T10:30:00"/>
    <d v="1899-12-30T15:30:00"/>
    <n v="0.20833333333333337"/>
    <x v="3"/>
    <n v="0.99999999999999911"/>
  </r>
  <r>
    <x v="2"/>
    <d v="2024-03-06T00:00:00"/>
    <s v="الاربعاء "/>
    <x v="19"/>
    <s v="حازم عبد الرحيم "/>
    <s v="رصف ارضيات الشوارع "/>
    <s v="تم العمل"/>
    <d v="1899-12-30T09:30:00"/>
    <d v="1899-12-30T17:00:00"/>
    <n v="0.27079999999999999"/>
    <x v="0"/>
    <n v="6.5"/>
  </r>
  <r>
    <x v="2"/>
    <d v="2024-03-06T00:00:00"/>
    <s v="الاربعاء "/>
    <x v="8"/>
    <s v="ممدوح عبد التواب "/>
    <s v="تغيير  واستبدال حساسات التجليد "/>
    <s v="تم العمل"/>
    <d v="1899-12-30T10:00:00"/>
    <d v="1899-12-30T18:00:00"/>
    <n v="0.33333333333333331"/>
    <x v="3"/>
    <n v="8"/>
  </r>
  <r>
    <x v="2"/>
    <d v="2024-03-06T00:00:00"/>
    <s v="الاربعاء "/>
    <x v="0"/>
    <s v="مراد صالح  "/>
    <s v=" تجديد حمام العاملين بالمخازن "/>
    <s v="تم العمل"/>
    <d v="1899-12-30T10:00:00"/>
    <d v="1899-12-30T17:00:00"/>
    <n v="0.27079999999999999"/>
    <x v="0"/>
    <n v="6.5"/>
  </r>
  <r>
    <x v="2"/>
    <d v="2024-03-07T00:00:00"/>
    <s v="الخميس "/>
    <x v="1"/>
    <s v="أحمد مخيمر  "/>
    <s v="تجميع وتركيب شبكة الحريق والكهرباء "/>
    <s v="تم العمل"/>
    <d v="1899-12-30T10:00:00"/>
    <d v="1899-12-30T17:00:00"/>
    <n v="0.29166666666666669"/>
    <x v="3"/>
    <n v="7"/>
  </r>
  <r>
    <x v="2"/>
    <d v="2024-03-07T00:00:00"/>
    <s v="الخميس "/>
    <x v="19"/>
    <s v="حازم عبد الرحيم "/>
    <s v="رصف ارضيات الشوارع "/>
    <s v="تم العمل"/>
    <d v="1899-12-30T09:30:00"/>
    <d v="1899-12-30T17:00:00"/>
    <n v="0.27079999999999999"/>
    <x v="0"/>
    <n v="6.5"/>
  </r>
  <r>
    <x v="2"/>
    <d v="2024-03-07T00:00:00"/>
    <s v="الخميس "/>
    <x v="5"/>
    <s v="احمد عبد النبى  "/>
    <s v="تركيب رخام سلم العاملين  "/>
    <s v="تم العمل"/>
    <d v="1899-12-30T10:00:00"/>
    <d v="1899-12-30T21:30:00"/>
    <n v="0.47916666666666669"/>
    <x v="3"/>
    <n v="0.99999999999999911"/>
  </r>
  <r>
    <x v="2"/>
    <d v="2024-03-07T00:00:00"/>
    <s v="الخميس "/>
    <x v="8"/>
    <s v="ممدوح عبد التواب "/>
    <s v="تغيير  واستبدال حساسات التجليد "/>
    <s v="تم العمل"/>
    <d v="1899-12-30T10:00:00"/>
    <d v="1899-12-30T17:00:00"/>
    <n v="0.29166666666666669"/>
    <x v="3"/>
    <n v="7"/>
  </r>
  <r>
    <x v="2"/>
    <d v="2024-03-07T00:00:00"/>
    <s v="الخميس "/>
    <x v="0"/>
    <s v="محمد حسنى  "/>
    <s v="عمل شدة خشبية  عمدان العنبر الجديد"/>
    <s v="تم العمل"/>
    <d v="1899-12-30T09:00:00"/>
    <d v="1899-12-30T16:00:00"/>
    <n v="0.27079999999999999"/>
    <x v="1"/>
    <n v="6.5"/>
  </r>
  <r>
    <x v="2"/>
    <d v="2024-03-08T00:00:00"/>
    <s v="الجمعة "/>
    <x v="5"/>
    <s v="ياسر روبى  "/>
    <s v="تركيب رخام لحمام استراحة المهندسين "/>
    <s v="تم العمل"/>
    <d v="1899-12-30T01:00:00"/>
    <d v="1899-12-30T17:00:00"/>
    <n v="0.66666666666666674"/>
    <x v="3"/>
    <n v="0.99999999999999911"/>
  </r>
  <r>
    <x v="2"/>
    <d v="2024-03-09T00:00:00"/>
    <s v="السبت "/>
    <x v="1"/>
    <s v="أحمد مخيمر  "/>
    <s v="تجميع وتركيب شبكة الحريق والكهرباء "/>
    <s v="تم العمل"/>
    <d v="1899-12-30T10:00:00"/>
    <d v="1899-12-30T16:00:00"/>
    <n v="0.24999999999999994"/>
    <x v="1"/>
    <n v="5.9999999999999982"/>
  </r>
  <r>
    <x v="2"/>
    <d v="2024-03-09T00:00:00"/>
    <s v="السبت "/>
    <x v="19"/>
    <s v="عبد الله السيد عباس "/>
    <s v="التعديل بالرامب "/>
    <s v="تم العمل"/>
    <d v="1899-12-30T10:00:00"/>
    <d v="1899-12-30T15:30:00"/>
    <n v="0.27079999999999999"/>
    <x v="1"/>
    <n v="6.5"/>
  </r>
  <r>
    <x v="2"/>
    <d v="2024-03-09T00:00:00"/>
    <s v="السبت "/>
    <x v="19"/>
    <s v="حازم عبد الرحيم "/>
    <s v="رصف ارضيات الشوارع "/>
    <s v="تم العمل"/>
    <d v="1899-12-30T09:30:00"/>
    <d v="1899-12-30T17:00:00"/>
    <n v="0.27079999999999999"/>
    <x v="0"/>
    <n v="6.5"/>
  </r>
  <r>
    <x v="2"/>
    <d v="2024-03-09T00:00:00"/>
    <s v="السبت "/>
    <x v="0"/>
    <s v="مراد صالح  "/>
    <s v=" تجديد حمام العاملين بالمخازن "/>
    <s v="تم العمل"/>
    <d v="1899-12-30T10:00:00"/>
    <d v="1899-12-30T16:00:00"/>
    <n v="0.27079999999999999"/>
    <x v="0"/>
    <n v="6.5"/>
  </r>
  <r>
    <x v="2"/>
    <d v="2024-03-09T00:00:00"/>
    <s v="السبت "/>
    <x v="8"/>
    <s v="ممدوح عبد التواب "/>
    <s v="تغيير  واستبدال حساسات التجليد "/>
    <s v="تم العمل"/>
    <d v="1899-12-30T10:00:00"/>
    <d v="1899-12-30T17:00:00"/>
    <n v="0.29166666666666669"/>
    <x v="3"/>
    <n v="7"/>
  </r>
  <r>
    <x v="2"/>
    <d v="2024-03-09T00:00:00"/>
    <s v="السبت "/>
    <x v="21"/>
    <s v="اكرم طارق  "/>
    <s v="احلا ل وتجديد سقف جمالون دويتش  "/>
    <s v="تم العمل"/>
    <d v="1899-12-30T09:00:00"/>
    <d v="1899-12-30T16:00:00"/>
    <n v="0.27079999999999999"/>
    <x v="5"/>
    <n v="6.5"/>
  </r>
  <r>
    <x v="2"/>
    <d v="2024-03-10T00:00:00"/>
    <s v="الاحد "/>
    <x v="21"/>
    <s v="طارق رجب   "/>
    <s v="احلا ل وتجديد سقف جمالون دويتش  "/>
    <s v="تم العمل"/>
    <d v="1899-12-30T10:00:00"/>
    <d v="1899-12-30T16:00:00"/>
    <n v="0.27079999999999999"/>
    <x v="5"/>
    <n v="6.5"/>
  </r>
  <r>
    <x v="2"/>
    <d v="2024-03-10T00:00:00"/>
    <s v="الاحد "/>
    <x v="8"/>
    <s v="ممدوح عبد التواب "/>
    <s v="تغيير  واستبدال حساسات التجليد "/>
    <s v="تم العمل"/>
    <d v="1899-12-30T10:00:00"/>
    <d v="1899-12-30T17:30:00"/>
    <n v="0.31249999999999994"/>
    <x v="3"/>
    <n v="7.4999999999999982"/>
  </r>
  <r>
    <x v="2"/>
    <d v="2024-03-10T00:00:00"/>
    <s v="الاحد "/>
    <x v="1"/>
    <s v="أحمد مخيمر  "/>
    <s v="تجميع وتركيب  والكهرباء "/>
    <s v="تم العمل"/>
    <d v="1899-12-30T10:00:00"/>
    <d v="1899-12-30T16:00:00"/>
    <n v="0.24999999999999994"/>
    <x v="1"/>
    <n v="5.9999999999999982"/>
  </r>
  <r>
    <x v="2"/>
    <d v="2024-03-10T00:00:00"/>
    <s v="الاحد "/>
    <x v="8"/>
    <s v="حامد المحاميد"/>
    <s v="دهان ماسورة فى غرفة الطرمبات "/>
    <s v="تم العمل"/>
    <d v="1899-12-30T14:30:00"/>
    <d v="1899-12-30T15:30:00"/>
    <n v="4.1666666666666741E-2"/>
    <x v="1"/>
    <n v="1.0000000000000018"/>
  </r>
  <r>
    <x v="2"/>
    <d v="2024-03-10T00:00:00"/>
    <s v="الاحد "/>
    <x v="0"/>
    <s v="مراد صالح  "/>
    <s v=" تجديد حمام العاملين بالمخازن "/>
    <s v="تم العمل"/>
    <d v="1899-12-30T10:00:00"/>
    <d v="1899-12-30T17:00:00"/>
    <n v="0.27079999999999999"/>
    <x v="0"/>
    <n v="6.5"/>
  </r>
  <r>
    <x v="2"/>
    <d v="2024-03-10T00:00:00"/>
    <s v="الاحد "/>
    <x v="19"/>
    <s v="عبد الله السيد عباس "/>
    <s v="رصف ارضيات الشوارع "/>
    <s v="تم العمل"/>
    <d v="1899-12-30T10:00:00"/>
    <d v="1899-12-30T19:00:00"/>
    <n v="0.27079999999999999"/>
    <x v="0"/>
    <n v="6.5"/>
  </r>
  <r>
    <x v="2"/>
    <d v="2024-03-12T00:00:00"/>
    <s v="الثلاثاء "/>
    <x v="1"/>
    <s v="أحمد مخيمر  "/>
    <s v="تجميع وتركيب  والكهرباء "/>
    <s v="تم العمل"/>
    <d v="1899-12-30T10:30:00"/>
    <d v="1899-12-30T15:30:00"/>
    <n v="0.20833333333333337"/>
    <x v="3"/>
    <n v="5.0000000000000009"/>
  </r>
  <r>
    <x v="2"/>
    <d v="2024-03-12T00:00:00"/>
    <s v="الثلاثاء "/>
    <x v="19"/>
    <s v="عبد الله السيد عباس "/>
    <s v="رصف ارضيات الشوارع "/>
    <s v="تم العمل"/>
    <d v="1899-12-30T10:00:00"/>
    <d v="1899-12-30T17:00:00"/>
    <n v="0.27079999999999999"/>
    <x v="0"/>
    <n v="6.5"/>
  </r>
  <r>
    <x v="2"/>
    <d v="2024-03-12T00:00:00"/>
    <s v="الثلاثاء "/>
    <x v="0"/>
    <s v="مراد صالح  "/>
    <s v=" تجديد حمام العاملين بالمخازن "/>
    <s v="تم العمل"/>
    <d v="1899-12-30T10:00:00"/>
    <d v="1899-12-30T17:00:00"/>
    <n v="0.27079999999999999"/>
    <x v="0"/>
    <n v="6.5"/>
  </r>
  <r>
    <x v="1"/>
    <d v="2024-03-12T00:00:00"/>
    <s v="الثلاثاء "/>
    <x v="6"/>
    <s v="كمال مرسى "/>
    <s v="ازالة بلاور  الويب القديم "/>
    <s v="تم العمل"/>
    <d v="1899-12-30T11:00:00"/>
    <d v="1899-12-30T00:00:00"/>
    <n v="0.27079999999999999"/>
    <x v="3"/>
    <n v="6.5"/>
  </r>
  <r>
    <x v="2"/>
    <d v="2024-03-12T00:00:00"/>
    <s v="الثلاثاء "/>
    <x v="8"/>
    <s v="ممدوح عبد التواب "/>
    <s v="تغيير  واستبدال حساسات التجليد "/>
    <s v="تم العمل"/>
    <d v="1899-12-30T09:30:00"/>
    <d v="1899-12-30T17:00:00"/>
    <n v="0.31250000000000006"/>
    <x v="3"/>
    <n v="7.5000000000000018"/>
  </r>
  <r>
    <x v="1"/>
    <d v="2024-03-12T00:00:00"/>
    <s v="الثلاثاء "/>
    <x v="6"/>
    <s v="صابر ابراهيم "/>
    <s v="تجهيز لحامات "/>
    <s v="تم العمل"/>
    <d v="1899-12-30T11:00:00"/>
    <d v="1899-12-30T15:00:00"/>
    <n v="0.27079999999999999"/>
    <x v="3"/>
    <n v="6.5"/>
  </r>
  <r>
    <x v="2"/>
    <d v="2024-03-13T00:00:00"/>
    <s v="الاربعاء "/>
    <x v="8"/>
    <s v="حامد المحاميد"/>
    <s v="مرور شهرى على خط  الاطفاء "/>
    <s v="تم العمل"/>
    <d v="1899-12-30T10:00:00"/>
    <d v="1899-12-30T12:00:00"/>
    <n v="8.3333333333333315E-2"/>
    <x v="3"/>
    <n v="1.9999999999999996"/>
  </r>
  <r>
    <x v="1"/>
    <d v="2024-03-13T00:00:00"/>
    <s v="الاربعاء "/>
    <x v="6"/>
    <s v="صابر ابراهيم "/>
    <s v="تقطيع ولحام "/>
    <s v="تم العمل"/>
    <d v="1899-12-30T10:00:00"/>
    <d v="1899-12-30T15:00:00"/>
    <n v="0.27079999999999999"/>
    <x v="3"/>
    <n v="6.5"/>
  </r>
  <r>
    <x v="2"/>
    <d v="2024-03-13T00:00:00"/>
    <s v="الاربعاء "/>
    <x v="21"/>
    <s v="طارق رجب   "/>
    <s v="احلا ل وتجديد سقف جمالون دويتش  "/>
    <s v="تم العمل"/>
    <d v="1899-12-30T10:00:00"/>
    <d v="1899-12-30T16:00:00"/>
    <n v="0.27079999999999999"/>
    <x v="5"/>
    <n v="6.5"/>
  </r>
  <r>
    <x v="2"/>
    <d v="2024-03-13T00:00:00"/>
    <s v="الاربعاء "/>
    <x v="8"/>
    <s v="ممدوح عبد التواب "/>
    <s v="تغيير  واستبدال حساسات التجليد "/>
    <s v="تم العمل"/>
    <d v="1899-12-30T10:00:00"/>
    <d v="1899-12-30T16:00:00"/>
    <n v="0.24999999999999994"/>
    <x v="3"/>
    <n v="5.9999999999999982"/>
  </r>
  <r>
    <x v="2"/>
    <d v="2024-03-13T00:00:00"/>
    <s v="الاربعاء "/>
    <x v="1"/>
    <s v="أحمد مخيمر  "/>
    <s v="تجميع وتركيب  والكهرباء "/>
    <s v="تم العمل"/>
    <d v="1899-12-30T10:00:00"/>
    <d v="1899-12-30T15:30:00"/>
    <n v="0.22916666666666669"/>
    <x v="1"/>
    <n v="5.5"/>
  </r>
  <r>
    <x v="2"/>
    <d v="2024-03-13T00:00:00"/>
    <s v="الاربعاء "/>
    <x v="19"/>
    <s v="عبد الله السيد عباس "/>
    <s v="التعديل بالرامب "/>
    <s v="تم العمل"/>
    <d v="1899-12-30T00:30:00"/>
    <d v="1899-12-30T14:30:00"/>
    <n v="0.27079999999999999"/>
    <x v="1"/>
    <n v="6.5"/>
  </r>
  <r>
    <x v="1"/>
    <d v="2024-03-13T00:00:00"/>
    <s v="الاربعاء "/>
    <x v="7"/>
    <s v="محمد ماهر "/>
    <s v="مكافحة حشرات "/>
    <s v="تم العمل"/>
    <d v="1899-12-30T10:30:00"/>
    <d v="1899-12-30T11:30:00"/>
    <n v="4.1666666666666685E-2"/>
    <x v="1"/>
    <n v="1.0000000000000004"/>
  </r>
  <r>
    <x v="2"/>
    <d v="2024-03-13T00:00:00"/>
    <s v="الاربعاء "/>
    <x v="19"/>
    <s v="عبد الله السيد عباس "/>
    <s v="رصف ارضيات الشوارع "/>
    <s v="تم العمل"/>
    <d v="1899-12-30T10:00:00"/>
    <d v="1899-12-30T15:30:00"/>
    <n v="0.27079999999999999"/>
    <x v="0"/>
    <n v="6.5"/>
  </r>
  <r>
    <x v="2"/>
    <d v="2024-03-13T00:00:00"/>
    <s v="الاربعاء "/>
    <x v="0"/>
    <s v="مراد صالح  "/>
    <s v="تركيب السيراميك فى الحمام  العاملين "/>
    <s v="تم العمل"/>
    <d v="1899-12-30T10:00:00"/>
    <d v="1899-12-30T15:30:00"/>
    <n v="0.27079999999999999"/>
    <x v="0"/>
    <n v="6.5"/>
  </r>
  <r>
    <x v="2"/>
    <d v="2024-03-14T00:00:00"/>
    <s v="الخميس "/>
    <x v="8"/>
    <s v="ممدوح عبد التواب "/>
    <s v="تغيير  واستبدال حساسات التجليد "/>
    <s v="تم العمل"/>
    <d v="1899-12-30T10:00:00"/>
    <d v="1899-12-30T16:00:00"/>
    <n v="0.24999999999999994"/>
    <x v="3"/>
    <n v="5.9999999999999982"/>
  </r>
  <r>
    <x v="2"/>
    <d v="2024-03-14T00:00:00"/>
    <s v="الخميس "/>
    <x v="3"/>
    <s v="علاء احمد "/>
    <s v="تريكبات وصيانة  "/>
    <s v="تم العمل"/>
    <d v="1899-12-30T11:00:00"/>
    <d v="1899-12-30T13:00:00"/>
    <n v="8.3333333333333315E-2"/>
    <x v="2"/>
    <n v="1.9999999999999996"/>
  </r>
  <r>
    <x v="2"/>
    <d v="2024-03-14T00:00:00"/>
    <s v="الخميس "/>
    <x v="19"/>
    <s v="حازم عبد الرحيم  "/>
    <s v="رصف ارضيات الشوارع "/>
    <s v="تم العمل"/>
    <d v="1899-12-30T09:30:00"/>
    <d v="1899-12-30T14:00:00"/>
    <n v="0.27079999999999999"/>
    <x v="0"/>
    <n v="6.5"/>
  </r>
  <r>
    <x v="2"/>
    <d v="2024-03-14T00:00:00"/>
    <s v="الخميس "/>
    <x v="1"/>
    <s v="أحمد مخيمر  "/>
    <s v="تجميع وتركيب  والكهرباء "/>
    <s v="تم العمل"/>
    <d v="1899-12-30T10:00:00"/>
    <d v="1899-12-30T15:30:00"/>
    <n v="0.22916666666666669"/>
    <x v="0"/>
    <n v="5.5"/>
  </r>
  <r>
    <x v="2"/>
    <d v="2024-03-16T00:00:00"/>
    <s v="السبت "/>
    <x v="19"/>
    <s v="حازم عبد الرحيم  "/>
    <s v="رصف ارضيات الشوارع "/>
    <s v="تم العمل"/>
    <d v="1899-12-30T10:00:00"/>
    <d v="1899-12-30T15:00:00"/>
    <n v="0.27079999999999999"/>
    <x v="0"/>
    <n v="6.5"/>
  </r>
  <r>
    <x v="2"/>
    <d v="2024-03-16T00:00:00"/>
    <s v="السبت "/>
    <x v="1"/>
    <s v="أحمد مخيمر  "/>
    <s v="تجميع وتركيب  والكهرباء "/>
    <s v="تم العمل"/>
    <d v="1899-12-30T10:00:00"/>
    <d v="1899-12-30T15:00:00"/>
    <n v="0.20833333333333331"/>
    <x v="1"/>
    <n v="5"/>
  </r>
  <r>
    <x v="2"/>
    <d v="2024-03-17T00:00:00"/>
    <s v="الاحد "/>
    <x v="19"/>
    <s v="حازم عبد الرحيم  "/>
    <s v="رصف ارضيات الشوارع "/>
    <s v="تم العمل"/>
    <d v="1899-12-30T09:30:00"/>
    <d v="1899-12-30T16:00:00"/>
    <n v="0.27079999999999999"/>
    <x v="0"/>
    <n v="6.5"/>
  </r>
  <r>
    <x v="2"/>
    <d v="2024-03-17T00:00:00"/>
    <s v="الاحد "/>
    <x v="8"/>
    <s v="ممدوح عبد التواب "/>
    <s v="تغيير  واستبدال حساسات التجليد "/>
    <s v="تم العمل"/>
    <d v="1899-12-30T09:30:00"/>
    <d v="1899-12-30T16:00:00"/>
    <n v="0.27083333333333331"/>
    <x v="3"/>
    <n v="6.5"/>
  </r>
  <r>
    <x v="2"/>
    <d v="2024-03-18T00:00:00"/>
    <s v="الاثنين "/>
    <x v="6"/>
    <s v="محمد النقيب "/>
    <s v="تركيب وصيانة كشافات العنابر "/>
    <s v="تم العمل"/>
    <d v="1899-12-30T14:00:00"/>
    <d v="1899-12-30T16:00:00"/>
    <n v="0.27079999999999999"/>
    <x v="3"/>
    <n v="6.5"/>
  </r>
  <r>
    <x v="2"/>
    <d v="2024-03-18T00:00:00"/>
    <s v="الاثنين "/>
    <x v="6"/>
    <s v="صابر ابراهيم "/>
    <s v="لحام زاويه حديدفى تنكات الاحبار "/>
    <s v="تم العمل"/>
    <d v="1899-12-30T13:00:00"/>
    <d v="1899-12-30T13:30:00"/>
    <n v="0.27079999999999999"/>
    <x v="3"/>
    <n v="6.5"/>
  </r>
  <r>
    <x v="2"/>
    <d v="2024-03-18T00:00:00"/>
    <s v="الاثنين "/>
    <x v="14"/>
    <s v="محمد عادل  "/>
    <s v="صيانة المصاعد    "/>
    <s v="تم العمل"/>
    <d v="1899-12-30T00:30:00"/>
    <d v="1899-12-30T13:30:00"/>
    <n v="2.0799999999999999E-2"/>
    <x v="1"/>
    <n v="1"/>
  </r>
  <r>
    <x v="2"/>
    <d v="2024-03-18T00:00:00"/>
    <s v="الاثنين "/>
    <x v="19"/>
    <s v="عبد الله السيد عباس "/>
    <s v="رصف ارضيات الشوارع "/>
    <s v="تم العمل"/>
    <d v="1899-12-30T08:30:00"/>
    <d v="1899-12-30T15:30:00"/>
    <n v="0.27079999999999999"/>
    <x v="0"/>
    <n v="6.5"/>
  </r>
  <r>
    <x v="2"/>
    <d v="2024-03-18T00:00:00"/>
    <s v="الثلاثاء "/>
    <x v="8"/>
    <s v="ممدوح عبد التواب "/>
    <s v="تغيير  واستبدال حساسات التجليد "/>
    <s v="تم العمل"/>
    <d v="1899-12-30T09:30:00"/>
    <d v="1899-12-30T16:00:00"/>
    <n v="0.27083333333333331"/>
    <x v="3"/>
    <n v="6.5"/>
  </r>
  <r>
    <x v="2"/>
    <d v="2024-03-19T00:00:00"/>
    <s v="الثلاثاء "/>
    <x v="19"/>
    <s v="عبد الله السيد عباس "/>
    <s v="رصف ارضيات الشوارع "/>
    <s v="تم العمل"/>
    <d v="1899-12-30T08:30:00"/>
    <d v="1899-12-30T15:00:00"/>
    <n v="0.27079999999999999"/>
    <x v="0"/>
    <n v="6.5"/>
  </r>
  <r>
    <x v="2"/>
    <d v="2024-03-19T00:00:00"/>
    <s v="الثلاثاء "/>
    <x v="0"/>
    <s v="مراد صالح  "/>
    <s v="تجديد الحمام  "/>
    <s v="تم العمل"/>
    <d v="1899-12-30T10:00:00"/>
    <d v="1899-12-30T15:00:00"/>
    <n v="0.27079999999999999"/>
    <x v="0"/>
    <n v="6.5"/>
  </r>
  <r>
    <x v="2"/>
    <d v="2024-03-20T00:00:00"/>
    <s v="الاربعاء "/>
    <x v="8"/>
    <s v="ممدوح عبد التواب "/>
    <s v="تغيير  واستبدال حساسات التجليد "/>
    <s v="تم العمل"/>
    <d v="1899-12-30T09:30:00"/>
    <d v="1899-12-30T16:00:00"/>
    <n v="0.27083333333333331"/>
    <x v="3"/>
    <n v="6.5"/>
  </r>
  <r>
    <x v="2"/>
    <d v="2024-03-20T00:00:00"/>
    <s v="الاربعاء "/>
    <x v="4"/>
    <s v="شامخ سيد "/>
    <s v="صيانة شبكة فودافون "/>
    <s v="تم العمل"/>
    <d v="1899-12-30T10:00:00"/>
    <d v="1899-12-30T15:00:00"/>
    <n v="0.20833333333333331"/>
    <x v="2"/>
    <n v="5"/>
  </r>
  <r>
    <x v="2"/>
    <d v="2024-03-20T00:00:00"/>
    <s v="الاربعاء "/>
    <x v="19"/>
    <s v="عبد الله السيد عباس "/>
    <s v="رصف ارضيات الشوارع "/>
    <s v="تم العمل"/>
    <d v="1899-12-30T08:00:00"/>
    <d v="1899-12-30T15:00:00"/>
    <n v="0.27079999999999999"/>
    <x v="0"/>
    <n v="6.5"/>
  </r>
  <r>
    <x v="2"/>
    <d v="2024-03-20T00:00:00"/>
    <s v="الاربعاء "/>
    <x v="0"/>
    <s v="مراد صالح  "/>
    <s v="تجديد الحمام  "/>
    <s v="تم العمل"/>
    <d v="1899-12-30T10:00:00"/>
    <d v="1899-12-30T15:00:00"/>
    <n v="0.27079999999999999"/>
    <x v="0"/>
    <n v="6.5"/>
  </r>
  <r>
    <x v="2"/>
    <d v="2024-03-23T00:00:00"/>
    <s v="السبت "/>
    <x v="19"/>
    <s v="حازم عبد الرحيم  "/>
    <s v="رصف ارضيات الشوارع "/>
    <s v="تم العمل"/>
    <d v="1899-12-30T08:00:00"/>
    <d v="1899-12-30T14:30:00"/>
    <n v="0.27079999999999999"/>
    <x v="0"/>
    <n v="6.5"/>
  </r>
  <r>
    <x v="2"/>
    <d v="2024-03-23T00:00:00"/>
    <s v="السبت "/>
    <x v="0"/>
    <s v="مراد صالح  "/>
    <s v="تجديد الحمام  "/>
    <s v="تم العمل"/>
    <d v="1899-12-30T08:00:00"/>
    <d v="1899-12-30T16:00:00"/>
    <n v="0.27079999999999999"/>
    <x v="0"/>
    <n v="6.5"/>
  </r>
  <r>
    <x v="2"/>
    <d v="2024-03-24T00:00:00"/>
    <s v="الاحد "/>
    <x v="8"/>
    <s v="ممدوح عبد التواب "/>
    <s v="تغيير  واستبدال حساسات التجليد "/>
    <s v="تم العمل"/>
    <d v="1899-12-30T09:30:00"/>
    <d v="1899-12-30T16:00:00"/>
    <n v="0.27083333333333331"/>
    <x v="3"/>
    <n v="6.5"/>
  </r>
  <r>
    <x v="2"/>
    <d v="2024-03-24T00:00:00"/>
    <s v="الاحد "/>
    <x v="8"/>
    <s v="حامد عطوان "/>
    <s v="زيارة شركة الصيانة  "/>
    <s v="تم العمل"/>
    <d v="1899-12-30T10:30:00"/>
    <d v="1899-12-30T11:30:00"/>
    <n v="4.1666666666666685E-2"/>
    <x v="3"/>
    <n v="1.0000000000000004"/>
  </r>
  <r>
    <x v="2"/>
    <d v="2024-03-24T00:00:00"/>
    <s v="الاحد "/>
    <x v="0"/>
    <s v="مراد صالح  "/>
    <s v="تجديد الحمام  "/>
    <s v="تم العمل"/>
    <d v="1899-12-30T09:00:00"/>
    <d v="1899-12-30T14:00:00"/>
    <n v="0.27079999999999999"/>
    <x v="0"/>
    <n v="6.5"/>
  </r>
  <r>
    <x v="2"/>
    <d v="2024-03-24T00:00:00"/>
    <s v="الاحد "/>
    <x v="5"/>
    <s v="محمد خليل   "/>
    <s v="توصيل  كهرباء انارة وسخان "/>
    <s v="تم العمل"/>
    <d v="1899-12-30T10:30:00"/>
    <d v="1899-12-30T13:00:00"/>
    <n v="0.10416666666666663"/>
    <x v="3"/>
    <n v="0.99999999999999911"/>
  </r>
  <r>
    <x v="2"/>
    <d v="2024-03-24T00:00:00"/>
    <s v="الاحد "/>
    <x v="19"/>
    <s v="حازم عبد الرحيم  "/>
    <s v="رصف ارضيات الشوارع "/>
    <s v="تم العمل"/>
    <d v="1899-12-30T08:00:00"/>
    <d v="1899-12-30T14:30:00"/>
    <n v="0.27079999999999999"/>
    <x v="0"/>
    <n v="6.5"/>
  </r>
  <r>
    <x v="2"/>
    <d v="2024-03-25T00:00:00"/>
    <s v="الاثنين "/>
    <x v="9"/>
    <s v="سامى شعبان  "/>
    <s v="صيانة الكلاركات "/>
    <s v="تم العمل"/>
    <d v="1899-12-30T10:00:00"/>
    <d v="1899-12-30T11:00:00"/>
    <n v="4.166666666666663E-2"/>
    <x v="3"/>
    <n v="0.99999999999999911"/>
  </r>
  <r>
    <x v="2"/>
    <d v="2024-03-25T00:00:00"/>
    <s v="الاثنين "/>
    <x v="4"/>
    <s v="احمد نوفل "/>
    <s v="صيانة شبكة فودافون "/>
    <s v="تم العمل"/>
    <d v="1899-12-30T10:00:00"/>
    <d v="1899-12-30T15:00:00"/>
    <n v="0.20833333333333331"/>
    <x v="2"/>
    <n v="5"/>
  </r>
  <r>
    <x v="2"/>
    <d v="2024-03-25T00:00:00"/>
    <s v="الاثنين "/>
    <x v="19"/>
    <s v="حازم عبد الرحيم  "/>
    <s v="رصف ارضيات الشوارع "/>
    <s v="تم العمل"/>
    <d v="1899-12-30T08:00:00"/>
    <d v="1899-12-30T15:00:00"/>
    <n v="0.27079999999999999"/>
    <x v="0"/>
    <n v="6.5"/>
  </r>
  <r>
    <x v="2"/>
    <d v="2024-03-25T00:00:00"/>
    <s v="الاثنين "/>
    <x v="8"/>
    <s v="ممدوح عبد التواب "/>
    <s v="تغيير  واستبدال حساسات التجليد "/>
    <s v="تم العمل"/>
    <d v="1899-12-30T09:30:00"/>
    <d v="1899-12-30T16:00:00"/>
    <n v="0.27083333333333331"/>
    <x v="3"/>
    <n v="6.5"/>
  </r>
  <r>
    <x v="2"/>
    <d v="2024-03-25T00:00:00"/>
    <s v="الاثنين "/>
    <x v="5"/>
    <s v="ياسر روبى  "/>
    <s v="تركيب حوض حمام "/>
    <s v="تم العمل"/>
    <d v="1899-12-30T08:00:00"/>
    <d v="1899-12-30T00:00:00"/>
    <n v="-0.33333333333333331"/>
    <x v="3"/>
    <n v="0.99999999999999911"/>
  </r>
  <r>
    <x v="2"/>
    <d v="2024-03-26T00:00:00"/>
    <s v="الثلاثاء "/>
    <x v="8"/>
    <s v="ممدوح عبد التواب "/>
    <s v="تغيير  واستبدال حساسات التجليد "/>
    <s v="تم العمل"/>
    <d v="1899-12-30T09:00:00"/>
    <d v="1899-12-30T14:00:00"/>
    <n v="0.20833333333333337"/>
    <x v="3"/>
    <n v="5.0000000000000009"/>
  </r>
  <r>
    <x v="2"/>
    <d v="2024-03-26T00:00:00"/>
    <s v="الثلاثاء "/>
    <x v="19"/>
    <s v="حازم عبد الرحيم  "/>
    <s v="اعمال ردم خرسانة "/>
    <s v="تم العمل"/>
    <d v="1899-12-30T14:00:00"/>
    <d v="1899-12-30T15:00:00"/>
    <n v="0.27079999999999999"/>
    <x v="0"/>
    <n v="6.5"/>
  </r>
  <r>
    <x v="2"/>
    <d v="2024-03-26T00:00:00"/>
    <s v="الثلاثاء "/>
    <x v="6"/>
    <s v="صابر ابراهيم "/>
    <s v="تركيب بلور "/>
    <s v="تم العمل"/>
    <d v="1899-12-30T10:00:00"/>
    <d v="1899-12-30T00:00:00"/>
    <n v="0.27079999999999999"/>
    <x v="3"/>
    <n v="6.5"/>
  </r>
  <r>
    <x v="2"/>
    <d v="2024-03-27T00:00:00"/>
    <s v="الاربعاء "/>
    <x v="19"/>
    <s v="حازم عبد الرحيم  "/>
    <s v="اعمال ردم خرسانة "/>
    <s v="تم العمل"/>
    <d v="1899-12-30T10:00:00"/>
    <d v="1899-12-30T15:00:00"/>
    <n v="0.27079999999999999"/>
    <x v="0"/>
    <n v="6.5"/>
  </r>
  <r>
    <x v="2"/>
    <d v="2024-03-27T00:00:00"/>
    <s v="الاربعاء "/>
    <x v="3"/>
    <s v="علاء احمد "/>
    <s v="تركيب كابل نت   "/>
    <s v="تم العمل"/>
    <d v="1899-12-30T09:00:00"/>
    <d v="1899-12-30T12:00:00"/>
    <n v="0.125"/>
    <x v="2"/>
    <n v="3"/>
  </r>
  <r>
    <x v="2"/>
    <d v="2024-03-27T00:00:00"/>
    <s v="الاربعاء "/>
    <x v="8"/>
    <s v="ممدوح عبد التواب "/>
    <s v="تغيير  واستبدال حساسات التجليد "/>
    <s v="تم العمل"/>
    <d v="1899-12-30T09:00:00"/>
    <d v="1899-12-30T14:00:00"/>
    <n v="0.20833333333333337"/>
    <x v="3"/>
    <n v="5.0000000000000009"/>
  </r>
  <r>
    <x v="2"/>
    <d v="2024-03-27T00:00:00"/>
    <s v="الاربعاء "/>
    <x v="7"/>
    <s v="محمد ماهر "/>
    <s v="مكافحة حشرات "/>
    <s v="تم العمل"/>
    <d v="1899-12-30T12:00:00"/>
    <d v="1899-12-30T13:00:00"/>
    <n v="4.166666666666663E-2"/>
    <x v="1"/>
    <n v="0.99999999999999911"/>
  </r>
  <r>
    <x v="2"/>
    <d v="2024-03-27T00:00:00"/>
    <s v="الاربعاء "/>
    <x v="19"/>
    <s v="حازم عبد الرحيم  "/>
    <s v="رصف ارضيات الشوارع "/>
    <s v="تم العمل"/>
    <d v="1899-12-30T08:00:00"/>
    <d v="1899-12-30T15:00:00"/>
    <n v="0.27079999999999999"/>
    <x v="0"/>
    <n v="6.4992000000000001"/>
  </r>
  <r>
    <x v="2"/>
    <d v="2024-03-28T00:00:00"/>
    <s v="الخميس "/>
    <x v="5"/>
    <s v="محمد خليل   "/>
    <s v="تركيب كابل تكيف "/>
    <s v="تم العمل"/>
    <d v="1899-12-30T10:30:00"/>
    <d v="1899-12-30T14:00:00"/>
    <n v="0.14583333333333337"/>
    <x v="2"/>
    <n v="3.5000000000000009"/>
  </r>
  <r>
    <x v="2"/>
    <d v="2024-03-28T00:00:00"/>
    <s v="الخميس "/>
    <x v="6"/>
    <s v="احمد سلامة "/>
    <s v="عمل لحام  تنكات الاحبار "/>
    <s v="تم العمل"/>
    <d v="1899-12-30T11:00:00"/>
    <d v="1899-12-30T00:00:00"/>
    <n v="0.27079999999999999"/>
    <x v="3"/>
    <n v="6.4992000000000001"/>
  </r>
  <r>
    <x v="2"/>
    <d v="2024-03-28T00:00:00"/>
    <s v="الخميس "/>
    <x v="19"/>
    <s v="حازم عبد الرحيم  "/>
    <s v="رصف ارضيات الشوارع "/>
    <s v="تم العمل"/>
    <d v="1899-12-30T08:00:00"/>
    <d v="1899-12-30T15:00:00"/>
    <n v="0.27079999999999999"/>
    <x v="0"/>
    <n v="6.4992000000000001"/>
  </r>
  <r>
    <x v="2"/>
    <d v="2024-03-28T00:00:00"/>
    <s v="الخميس "/>
    <x v="0"/>
    <s v="مراد صالح  "/>
    <s v="اعمال نقاشة   "/>
    <s v="تم العمل"/>
    <d v="1899-12-30T10:00:00"/>
    <d v="1899-12-30T13:00:00"/>
    <n v="0.27079999999999999"/>
    <x v="0"/>
    <n v="6.4992000000000001"/>
  </r>
  <r>
    <x v="2"/>
    <d v="2024-03-30T00:00:00"/>
    <s v="السبت "/>
    <x v="18"/>
    <s v="فيكتور     "/>
    <s v="صيانة طلمبات الحريق "/>
    <s v="تم العمل"/>
    <d v="1899-12-30T11:30:00"/>
    <d v="1899-12-30T15:30:00"/>
    <n v="0.16666666666666669"/>
    <x v="4"/>
    <n v="4"/>
  </r>
  <r>
    <x v="2"/>
    <d v="2024-03-30T00:00:00"/>
    <s v="السبت "/>
    <x v="18"/>
    <s v="فيكتور     "/>
    <s v="تركيب كاميرات "/>
    <s v="تم العمل"/>
    <d v="1899-12-30T10:00:00"/>
    <d v="1899-12-30T16:00:00"/>
    <n v="0.24999999999999994"/>
    <x v="4"/>
    <n v="5.9999999999999982"/>
  </r>
  <r>
    <x v="2"/>
    <d v="2024-03-30T00:00:00"/>
    <s v="السبت "/>
    <x v="18"/>
    <s v="فيكتور     "/>
    <s v="لحام صيانة باب المخزن "/>
    <s v="تم العمل"/>
    <d v="1899-12-30T10:30:00"/>
    <d v="1899-12-30T15:30:00"/>
    <n v="0.20833333333333337"/>
    <x v="3"/>
    <n v="5.0000000000000009"/>
  </r>
  <r>
    <x v="2"/>
    <d v="2024-03-31T00:00:00"/>
    <s v="الاحد "/>
    <x v="5"/>
    <s v="مجدى كرم  "/>
    <s v="تغير السقف المعلق "/>
    <s v="تم العمل"/>
    <d v="1899-12-30T10:00:00"/>
    <d v="1899-12-30T13:00:00"/>
    <n v="0.12499999999999994"/>
    <x v="6"/>
    <n v="2.9999999999999987"/>
  </r>
  <r>
    <x v="2"/>
    <d v="2024-03-31T00:00:00"/>
    <s v="الاحد "/>
    <x v="19"/>
    <s v="حازم عبد الرحيم  "/>
    <s v="فك خشب"/>
    <s v="تم العمل"/>
    <d v="1899-12-30T11:00:00"/>
    <d v="1899-12-30T13:00:00"/>
    <n v="8.3333333333333315E-2"/>
    <x v="0"/>
    <n v="1.9999999999999996"/>
  </r>
  <r>
    <x v="2"/>
    <d v="2024-03-31T00:00:00"/>
    <s v="الاحد "/>
    <x v="6"/>
    <s v="صابر ابراهيم "/>
    <s v="تعديل ولحام شاسيه"/>
    <s v="تم العمل"/>
    <d v="1899-12-30T12:00:00"/>
    <d v="1899-12-30T15:00:00"/>
    <n v="0.125"/>
    <x v="3"/>
    <n v="3"/>
  </r>
  <r>
    <x v="2"/>
    <d v="2024-03-31T00:00:00"/>
    <s v="الاحد "/>
    <x v="19"/>
    <s v="حازم عبد الرحيم  "/>
    <s v="رصف ارضيات الشوارع "/>
    <s v="تم العمل"/>
    <d v="1899-12-30T08:00:00"/>
    <d v="1899-12-30T14:00:00"/>
    <n v="0.25000000000000006"/>
    <x v="0"/>
    <n v="6.0000000000000018"/>
  </r>
  <r>
    <x v="3"/>
    <d v="2024-04-01T00:00:00"/>
    <s v="الاثنين "/>
    <x v="8"/>
    <s v="عادل شحات"/>
    <s v="الزيارة الشهرية المرور علي لوحات الانزار"/>
    <s v="تم العمل"/>
    <d v="1899-12-30T11:00:00"/>
    <d v="1899-12-30T00:00:00"/>
    <n v="0.27079999999999999"/>
    <x v="1"/>
    <n v="6.4992000000000001"/>
  </r>
  <r>
    <x v="3"/>
    <d v="2024-04-02T00:00:00"/>
    <s v="الاثنين "/>
    <x v="5"/>
    <s v="وائل انور  "/>
    <s v="فك وتغيير وتركيب  السقف المعلق "/>
    <s v="تم العمل"/>
    <d v="1899-12-30T15:00:00"/>
    <d v="1899-12-30T21:00:00"/>
    <n v="0.25"/>
    <x v="3"/>
    <n v="6"/>
  </r>
  <r>
    <x v="3"/>
    <d v="2024-04-01T00:00:00"/>
    <s v="الاثنين "/>
    <x v="19"/>
    <s v="حازم عبد الرحيم  "/>
    <s v="تسوية الارضيه"/>
    <s v="تم العمل"/>
    <d v="1899-12-30T14:00:00"/>
    <d v="1899-12-30T15:00:00"/>
    <n v="4.166666666666663E-2"/>
    <x v="0"/>
    <n v="0.99999999999999911"/>
  </r>
  <r>
    <x v="3"/>
    <d v="2024-04-01T00:00:00"/>
    <s v="الاثنين "/>
    <x v="6"/>
    <s v="احمد بدوي"/>
    <s v="تركيب كاميرات "/>
    <s v="تم العمل"/>
    <d v="1899-12-30T15:45:00"/>
    <d v="1899-12-30T12:00:00"/>
    <n v="0.15625"/>
    <x v="3"/>
    <n v="3.75"/>
  </r>
  <r>
    <x v="3"/>
    <d v="2024-04-01T00:00:00"/>
    <s v="الاثنين "/>
    <x v="8"/>
    <s v="على الشابوري"/>
    <s v="تركيب حساسات"/>
    <s v="تم العمل"/>
    <d v="1899-12-30T10:30:00"/>
    <d v="1899-12-30T13:30:00"/>
    <n v="0.125"/>
    <x v="3"/>
    <n v="0"/>
  </r>
  <r>
    <x v="3"/>
    <d v="2024-04-02T00:00:00"/>
    <s v="الثلاثاء "/>
    <x v="22"/>
    <s v="محمود الدروى "/>
    <s v="صيانة تكييفات"/>
    <s v="تم العمل"/>
    <d v="1899-12-30T10:30:00"/>
    <d v="1899-12-30T13:30:00"/>
    <n v="0.125"/>
    <x v="3"/>
    <n v="3"/>
  </r>
  <r>
    <x v="3"/>
    <d v="2024-04-02T00:00:00"/>
    <s v="الثلاثاء "/>
    <x v="19"/>
    <s v="حازم عبد الرحيم  "/>
    <s v="رصف ارضيات الشوارع "/>
    <s v="تم العمل"/>
    <d v="1899-12-30T09:30:00"/>
    <d v="1899-12-30T15:30:00"/>
    <n v="0.25000000000000006"/>
    <x v="0"/>
    <n v="6.0000000000000018"/>
  </r>
  <r>
    <x v="3"/>
    <d v="2024-04-02T00:00:00"/>
    <s v="الثلاثاء "/>
    <x v="5"/>
    <s v="مجدى كرم  "/>
    <s v="تركيب  السقف المعلق "/>
    <s v="تم العمل"/>
    <d v="1899-12-30T15:00:00"/>
    <d v="1899-12-30T21:00:00"/>
    <n v="0.25"/>
    <x v="6"/>
    <n v="6"/>
  </r>
  <r>
    <x v="3"/>
    <d v="2024-04-03T00:00:00"/>
    <s v="الاربعاء "/>
    <x v="5"/>
    <s v="ادم"/>
    <s v="رصف مدخل بوابة 2"/>
    <s v="تم العمل"/>
    <d v="1899-12-30T11:00:00"/>
    <d v="1899-12-30T12:30:00"/>
    <n v="6.2500000000000056E-2"/>
    <x v="3"/>
    <n v="1.5000000000000013"/>
  </r>
  <r>
    <x v="3"/>
    <d v="2024-04-03T00:00:00"/>
    <s v="الاربعاء "/>
    <x v="7"/>
    <s v="احمد مظهر  "/>
    <s v="الزيارة الدورية للمكافحة الحشرات "/>
    <s v="تم العمل"/>
    <d v="1899-12-30T12:30:00"/>
    <d v="1899-12-30T15:00:00"/>
    <n v="0.10416666666666663"/>
    <x v="3"/>
    <n v="2.4999999999999991"/>
  </r>
  <r>
    <x v="3"/>
    <d v="2024-04-03T00:00:00"/>
    <s v="الاربعاء "/>
    <x v="19"/>
    <s v="حازم عبد الرحيم  "/>
    <s v="استكمال العمل فى رصف ارضيات الشوارع "/>
    <s v="تم العمل"/>
    <d v="1899-12-30T08:00:00"/>
    <d v="1899-12-30T15:00:00"/>
    <n v="0.29166666666666669"/>
    <x v="0"/>
    <n v="7"/>
  </r>
  <r>
    <x v="3"/>
    <d v="2024-04-03T00:00:00"/>
    <s v="الاربعاء "/>
    <x v="28"/>
    <s v="صابر احمد السيد "/>
    <s v="تركيب تشيلر حديد ولحام "/>
    <s v="تم العمل"/>
    <d v="1899-12-30T09:00:00"/>
    <d v="1899-12-30T16:00:00"/>
    <n v="0.29166666666666663"/>
    <x v="3"/>
    <n v="6.9999999999999991"/>
  </r>
  <r>
    <x v="3"/>
    <d v="2024-04-04T00:00:00"/>
    <s v="الخميس "/>
    <x v="28"/>
    <s v="صابر احمد السيد "/>
    <s v="تركيب تشيلر حديد ولحام "/>
    <s v="تم العمل"/>
    <d v="1899-12-30T09:30:00"/>
    <d v="1899-12-30T13:00:00"/>
    <n v="0.14583333333333331"/>
    <x v="3"/>
    <n v="3.4999999999999996"/>
  </r>
  <r>
    <x v="3"/>
    <d v="2024-04-04T00:00:00"/>
    <s v="الخميس "/>
    <x v="19"/>
    <s v="حازم عبد الرحيم  "/>
    <s v="استكمال العمل فى رصف ارضيات الشوارع "/>
    <s v="تم العمل"/>
    <d v="1899-12-30T08:00:00"/>
    <d v="1899-12-30T15:00:00"/>
    <n v="0.29166666666666669"/>
    <x v="0"/>
    <n v="7"/>
  </r>
  <r>
    <x v="3"/>
    <d v="2024-04-06T00:00:00"/>
    <s v="السبت "/>
    <x v="8"/>
    <s v="ممدوح عبد التواب "/>
    <s v="تركيب حساسات"/>
    <s v="تم العمل"/>
    <d v="1899-12-30T10:00:00"/>
    <d v="1899-12-30T17:00:00"/>
    <n v="0.29166666666666669"/>
    <x v="3"/>
    <n v="0"/>
  </r>
  <r>
    <x v="3"/>
    <d v="2024-04-06T00:00:00"/>
    <s v="السبت "/>
    <x v="19"/>
    <s v="عبد الله السعيد "/>
    <s v="استكمال العمل فى رصف ارضيات الشوارع "/>
    <s v="تم العمل"/>
    <d v="1899-12-30T09:00:00"/>
    <d v="1899-12-30T14:00:00"/>
    <n v="0.20833333333333337"/>
    <x v="0"/>
    <n v="5.0000000000000009"/>
  </r>
  <r>
    <x v="3"/>
    <d v="2024-04-06T00:00:00"/>
    <s v="السبت "/>
    <x v="5"/>
    <s v="احمد حسن   "/>
    <s v="دهان المبنى الادارى "/>
    <s v="تم العمل"/>
    <d v="1899-12-30T00:00:00"/>
    <d v="1899-12-30T07:00:00"/>
    <n v="0.29166666666666669"/>
    <x v="6"/>
    <n v="7"/>
  </r>
  <r>
    <x v="3"/>
    <d v="2024-04-07T00:00:00"/>
    <s v="الاحد "/>
    <x v="5"/>
    <s v="احمد حسن   "/>
    <s v="دهان المبنى الادارى "/>
    <s v="تم العمل"/>
    <d v="1899-12-30T09:00:00"/>
    <d v="1899-12-30T21:00:00"/>
    <n v="0.5"/>
    <x v="6"/>
    <n v="12"/>
  </r>
  <r>
    <x v="3"/>
    <d v="2024-04-07T00:00:00"/>
    <s v="الاحد "/>
    <x v="6"/>
    <s v="حسن عبد العظيم    "/>
    <s v="تركيب وصيانة كشافات العنابر "/>
    <s v="تم العمل"/>
    <d v="1899-12-30T13:00:00"/>
    <d v="1899-12-30T16:00:00"/>
    <n v="0.125"/>
    <x v="3"/>
    <n v="3"/>
  </r>
  <r>
    <x v="3"/>
    <d v="2024-04-14T00:00:00"/>
    <s v="الاحد "/>
    <x v="6"/>
    <s v="صابر ابراهيم "/>
    <s v="لحام وتجليخ "/>
    <s v="تم العمل"/>
    <d v="1899-12-30T10:30:00"/>
    <d v="1899-12-30T11:30:00"/>
    <n v="4.1666666666666685E-2"/>
    <x v="3"/>
    <n v="1.0000000000000004"/>
  </r>
  <r>
    <x v="3"/>
    <d v="2024-04-15T00:00:00"/>
    <s v="الاثنين "/>
    <x v="9"/>
    <s v="سامى شعبان  "/>
    <s v="صيانة الكلاركات "/>
    <s v="تم العمل"/>
    <d v="1899-12-30T12:00:00"/>
    <d v="1899-12-30T14:00:00"/>
    <n v="8.333333333333337E-2"/>
    <x v="3"/>
    <n v="2.0000000000000009"/>
  </r>
  <r>
    <x v="3"/>
    <d v="2024-04-16T00:00:00"/>
    <s v="الثلاثاء "/>
    <x v="9"/>
    <s v="سامى شعبان  "/>
    <s v="صيانة الكلاركات "/>
    <s v="تم العمل"/>
    <d v="1899-12-30T12:00:00"/>
    <d v="1899-12-30T15:00:00"/>
    <n v="0.125"/>
    <x v="3"/>
    <n v="3"/>
  </r>
  <r>
    <x v="3"/>
    <d v="2024-04-16T00:00:00"/>
    <s v="الثلاثاء "/>
    <x v="5"/>
    <s v="محمود ابو شادى "/>
    <s v="صبانة حمام الامن بالمبنى الادارى "/>
    <s v="تم العمل"/>
    <d v="1899-12-30T12:00:00"/>
    <d v="1899-12-30T15:00:00"/>
    <n v="0.125"/>
    <x v="0"/>
    <n v="3"/>
  </r>
  <r>
    <x v="3"/>
    <d v="2024-04-16T00:00:00"/>
    <s v="الثلاثاء "/>
    <x v="25"/>
    <s v="فارس خليل "/>
    <s v="اعمال لحام ودهان اعمدة جمالون دويتش  "/>
    <s v="تم العمل"/>
    <d v="1899-12-30T10:00:00"/>
    <d v="1899-12-30T17:00:00"/>
    <n v="0.27079999999999999"/>
    <x v="5"/>
    <n v="6.4992000000000001"/>
  </r>
  <r>
    <x v="3"/>
    <d v="2024-04-16T00:00:00"/>
    <s v="الثلاثاء "/>
    <x v="6"/>
    <s v="صابر ابراهيم "/>
    <s v="ولحام وتجليح بمجرى الدنسر "/>
    <s v="تم العمل"/>
    <d v="1899-12-30T13:00:00"/>
    <d v="1899-12-30T16:00:00"/>
    <n v="0.125"/>
    <x v="3"/>
    <n v="3"/>
  </r>
  <r>
    <x v="3"/>
    <d v="2024-04-17T00:00:00"/>
    <s v="الاربعاء "/>
    <x v="9"/>
    <s v="سامى شعبان  "/>
    <s v="صيانة الكلاركات "/>
    <s v="تم العمل"/>
    <d v="1899-12-30T11:00:00"/>
    <d v="1899-12-30T15:00:00"/>
    <n v="0.16666666666666669"/>
    <x v="3"/>
    <n v="4"/>
  </r>
  <r>
    <x v="3"/>
    <d v="2024-04-17T00:00:00"/>
    <s v="الاربعاء "/>
    <x v="25"/>
    <s v="فارس خليل "/>
    <s v="اعمال لحام ودهان اعمدة جمالون دويتش  "/>
    <s v="تم العمل"/>
    <d v="1899-12-30T10:00:00"/>
    <d v="1899-12-30T17:00:00"/>
    <n v="0.27079999999999999"/>
    <x v="5"/>
    <n v="6.4992000000000001"/>
  </r>
  <r>
    <x v="3"/>
    <d v="2024-04-17T00:00:00"/>
    <s v="الاربعاء "/>
    <x v="5"/>
    <s v="محمد عادل  "/>
    <s v="صيانة كراسى "/>
    <s v="تم العمل"/>
    <d v="1899-12-30T13:00:00"/>
    <d v="1899-12-30T14:00:00"/>
    <n v="4.1666666666666741E-2"/>
    <x v="3"/>
    <n v="1.0000000000000018"/>
  </r>
  <r>
    <x v="3"/>
    <d v="2024-04-17T00:00:00"/>
    <s v="الاربعاء "/>
    <x v="6"/>
    <s v="صابر ابراهيم "/>
    <s v="ولحام وتجليح بمجرى الدنسر "/>
    <s v="تم العمل"/>
    <d v="1899-12-30T13:00:00"/>
    <d v="1899-12-30T16:00:00"/>
    <n v="0.125"/>
    <x v="3"/>
    <n v="3"/>
  </r>
  <r>
    <x v="3"/>
    <d v="2024-04-17T00:00:00"/>
    <s v="الاربعاء "/>
    <x v="7"/>
    <s v="محمد ماهر   "/>
    <s v="الزيارة الدورية للمكافحة الحشرات "/>
    <s v="تم العمل"/>
    <d v="1899-12-30T13:00:00"/>
    <d v="1899-12-30T14:00:00"/>
    <n v="4.1666666666666741E-2"/>
    <x v="4"/>
    <n v="1.0000000000000018"/>
  </r>
  <r>
    <x v="3"/>
    <d v="2024-04-17T00:00:00"/>
    <s v="الاربعاء "/>
    <x v="7"/>
    <s v="محمد ماهر   "/>
    <s v="الزيارة الدورية للمكافحة الحشرات "/>
    <s v="تم العمل"/>
    <d v="1899-12-30T12:00:00"/>
    <d v="1899-12-30T13:00:00"/>
    <n v="4.166666666666663E-2"/>
    <x v="1"/>
    <n v="0.99999999999999911"/>
  </r>
  <r>
    <x v="3"/>
    <d v="2024-04-17T00:00:00"/>
    <s v="الاربعاء "/>
    <x v="29"/>
    <s v="محمد سعيد  "/>
    <s v="دهانات المقاعد بالكفتريا "/>
    <s v="تم العمل"/>
    <d v="1899-12-30T12:30:00"/>
    <d v="1899-12-30T17:00:00"/>
    <n v="0.1875"/>
    <x v="3"/>
    <n v="4.5"/>
  </r>
  <r>
    <x v="3"/>
    <d v="2024-04-17T00:00:00"/>
    <s v="الاربعاء "/>
    <x v="5"/>
    <s v="محمد النقيب "/>
    <s v="عمل صيانة الكهرباء بالعنابر "/>
    <s v="تم العمل"/>
    <d v="1899-12-30T16:00:00"/>
    <d v="1899-12-30T21:00:00"/>
    <n v="0.20833333333333337"/>
    <x v="3"/>
    <n v="5.0000000000000009"/>
  </r>
  <r>
    <x v="3"/>
    <d v="2024-04-17T00:00:00"/>
    <s v="الاربعاء "/>
    <x v="7"/>
    <s v="احمد مظهر  "/>
    <s v="الزيارة الدورية للمكافحة الحشرات "/>
    <s v="تم العمل"/>
    <d v="1899-12-30T12:00:00"/>
    <d v="1899-12-30T15:00:00"/>
    <n v="0.125"/>
    <x v="0"/>
    <n v="3"/>
  </r>
  <r>
    <x v="3"/>
    <d v="2024-04-18T00:00:00"/>
    <s v="الخميس "/>
    <x v="25"/>
    <s v="فارس خليل "/>
    <s v="اعمال لحام ودهان اعمدة جمالون دويتش  "/>
    <s v="تم العمل"/>
    <d v="1899-12-30T10:00:00"/>
    <d v="1899-12-30T17:00:00"/>
    <n v="0.27079999999999999"/>
    <x v="5"/>
    <n v="6.4992000000000001"/>
  </r>
  <r>
    <x v="3"/>
    <d v="2024-04-18T00:00:00"/>
    <s v="الخميس "/>
    <x v="5"/>
    <s v="ياسر  روبى "/>
    <s v="تركيب انتر لوك "/>
    <s v="تم العمل"/>
    <d v="1899-12-30T13:00:00"/>
    <d v="1899-12-30T17:00:00"/>
    <n v="0.16666666666666674"/>
    <x v="3"/>
    <n v="4.0000000000000018"/>
  </r>
  <r>
    <x v="3"/>
    <d v="2024-04-18T00:00:00"/>
    <s v="الخميس "/>
    <x v="13"/>
    <s v="اسلام مصطفى  "/>
    <s v="صيانة ماكينة CTP"/>
    <s v="تم العمل"/>
    <d v="1899-12-30T00:00:00"/>
    <d v="1899-12-30T05:00:00"/>
    <n v="0.20833333333333334"/>
    <x v="3"/>
    <n v="5"/>
  </r>
  <r>
    <x v="3"/>
    <d v="2024-04-18T00:00:00"/>
    <s v="الخميس "/>
    <x v="11"/>
    <s v="محمد رمضان   "/>
    <s v="صيانة الكلاركات "/>
    <s v="تم العمل"/>
    <d v="1899-12-30T10:00:00"/>
    <d v="1899-12-30T16:30:00"/>
    <n v="0.27083333333333331"/>
    <x v="3"/>
    <n v="6.5"/>
  </r>
  <r>
    <x v="3"/>
    <d v="2024-04-18T00:00:00"/>
    <s v="الخميس "/>
    <x v="22"/>
    <s v="محمود عويس "/>
    <s v="صيانة تكييف "/>
    <s v="تم العمل"/>
    <d v="1899-12-30T11:30:00"/>
    <d v="1899-12-30T13:30:00"/>
    <n v="8.3333333333333315E-2"/>
    <x v="3"/>
    <n v="1.9999999999999996"/>
  </r>
  <r>
    <x v="3"/>
    <d v="2024-04-18T00:00:00"/>
    <s v="الخميس "/>
    <x v="5"/>
    <s v="رامى محمد  "/>
    <s v="تركيب فايبر على الشبابيك "/>
    <s v="تم العمل"/>
    <d v="1899-12-30T17:00:00"/>
    <d v="1899-12-30T18:00:00"/>
    <n v="4.166666666666663E-2"/>
    <x v="3"/>
    <n v="0.99999999999999911"/>
  </r>
  <r>
    <x v="3"/>
    <d v="2024-04-18T00:00:00"/>
    <s v="الخميس "/>
    <x v="6"/>
    <s v="محمد مدنى "/>
    <s v="لحام استندات "/>
    <s v="تم العمل"/>
    <d v="1899-12-30T11:00:00"/>
    <d v="1899-12-30T15:00:00"/>
    <n v="0.16666666666666669"/>
    <x v="3"/>
    <n v="4"/>
  </r>
  <r>
    <x v="3"/>
    <d v="2024-04-18T00:00:00"/>
    <s v="الخميس "/>
    <x v="5"/>
    <s v="محمد النقيب "/>
    <s v="عمل صيانة الكهرباء بالعنابر "/>
    <s v="تم العمل"/>
    <d v="1899-12-30T10:00:00"/>
    <d v="1899-12-30T14:00:00"/>
    <n v="0.16666666666666669"/>
    <x v="3"/>
    <n v="4"/>
  </r>
  <r>
    <x v="3"/>
    <d v="2024-04-20T00:00:00"/>
    <s v="السبت "/>
    <x v="25"/>
    <s v="فارس خليل "/>
    <s v="تركيب سلم الطوارىء "/>
    <s v="تم العمل"/>
    <d v="1899-12-30T11:00:00"/>
    <d v="1899-12-30T15:00:00"/>
    <n v="0.27079999999999999"/>
    <x v="1"/>
    <n v="6.4992000000000001"/>
  </r>
  <r>
    <x v="3"/>
    <d v="2024-04-20T00:00:00"/>
    <s v="السبت "/>
    <x v="19"/>
    <s v="حازم عبد الرحيم  "/>
    <s v="عمل معجون بكمر ورصيف السور  "/>
    <s v="تم العمل"/>
    <d v="1899-12-30T11:30:00"/>
    <d v="1899-12-30T16:30:00"/>
    <n v="0.20833333333333331"/>
    <x v="0"/>
    <n v="5"/>
  </r>
  <r>
    <x v="3"/>
    <d v="2024-04-21T00:00:00"/>
    <s v="الاحد "/>
    <x v="16"/>
    <s v="امير رضا  "/>
    <s v="صيانة الكلاركات "/>
    <s v="تم العمل"/>
    <d v="1899-12-30T13:30:00"/>
    <d v="1899-12-30T14:30:00"/>
    <n v="4.166666666666663E-2"/>
    <x v="3"/>
    <n v="0.99999999999999911"/>
  </r>
  <r>
    <x v="3"/>
    <d v="2024-04-21T00:00:00"/>
    <s v="الاحد "/>
    <x v="11"/>
    <s v="محمد رمضان   "/>
    <s v="صيانة الكلاركات "/>
    <s v="تم العمل"/>
    <d v="1899-12-30T15:00:00"/>
    <d v="1899-12-30T18:00:00"/>
    <n v="0.125"/>
    <x v="3"/>
    <n v="3"/>
  </r>
  <r>
    <x v="3"/>
    <d v="2024-04-21T00:00:00"/>
    <s v="الاحد "/>
    <x v="22"/>
    <s v="محمود عويس "/>
    <s v="صيانة تكييف "/>
    <s v="تم العمل"/>
    <d v="1899-12-30T13:00:00"/>
    <d v="1899-12-30T16:00:00"/>
    <n v="0.125"/>
    <x v="3"/>
    <n v="3"/>
  </r>
  <r>
    <x v="3"/>
    <d v="2024-04-21T00:00:00"/>
    <s v="الاحد "/>
    <x v="25"/>
    <s v="فارس خليل "/>
    <s v="تركيب سلم الطوارىء "/>
    <s v="تم العمل"/>
    <d v="1899-12-30T10:00:00"/>
    <d v="1899-12-30T16:00:00"/>
    <n v="0.27079999999999999"/>
    <x v="1"/>
    <n v="6.4992000000000001"/>
  </r>
  <r>
    <x v="3"/>
    <d v="2024-04-21T00:00:00"/>
    <s v="الاحد "/>
    <x v="19"/>
    <s v="حازم عبد الرحيم  "/>
    <s v="فرش طبقة ناعمة على الاسفلت   "/>
    <s v="تم العمل"/>
    <d v="1899-12-30T10:00:00"/>
    <d v="1899-12-30T19:00:00"/>
    <n v="0.37499999999999994"/>
    <x v="1"/>
    <n v="8.9999999999999982"/>
  </r>
  <r>
    <x v="3"/>
    <d v="2024-04-21T00:00:00"/>
    <s v="الاحد "/>
    <x v="16"/>
    <s v="امير رضا  "/>
    <s v="صيانة الكلاركات "/>
    <s v="تم العمل"/>
    <d v="1899-12-30T15:00:00"/>
    <d v="1899-12-30T16:00:00"/>
    <n v="4.166666666666663E-2"/>
    <x v="3"/>
    <n v="0.99999999999999911"/>
  </r>
  <r>
    <x v="3"/>
    <d v="2024-04-21T00:00:00"/>
    <s v="الاحد "/>
    <x v="5"/>
    <s v="محمد النقيب "/>
    <s v="عمل حماية للكبسات التكيف "/>
    <s v="تم العمل"/>
    <d v="1899-12-30T14:00:00"/>
    <d v="1899-12-30T15:00:00"/>
    <n v="4.166666666666663E-2"/>
    <x v="3"/>
    <n v="0.99999999999999911"/>
  </r>
  <r>
    <x v="3"/>
    <d v="2024-04-22T00:00:00"/>
    <s v="الاثنين "/>
    <x v="19"/>
    <s v="حازم عبد الرحيم  "/>
    <s v="دهانات رصيف السور  "/>
    <s v="تم العمل"/>
    <d v="1899-12-30T10:00:00"/>
    <d v="1899-12-30T16:30:00"/>
    <n v="0.27083333333333331"/>
    <x v="1"/>
    <n v="6.5"/>
  </r>
  <r>
    <x v="3"/>
    <d v="2024-04-22T00:00:00"/>
    <s v="الاثنين "/>
    <x v="30"/>
    <s v="معروف محمد "/>
    <s v="صيانة الكمبروسر "/>
    <s v="تم العمل"/>
    <d v="1899-12-30T16:30:00"/>
    <d v="1899-12-30T17:30:00"/>
    <n v="4.166666666666663E-2"/>
    <x v="3"/>
    <n v="0.99999999999999911"/>
  </r>
  <r>
    <x v="3"/>
    <d v="2024-04-22T00:00:00"/>
    <s v="الاثنين "/>
    <x v="22"/>
    <s v="محمود الدروى  "/>
    <s v="صيانة تكييف "/>
    <s v="تم العمل"/>
    <d v="1899-12-30T10:30:00"/>
    <d v="1899-12-30T15:00:00"/>
    <n v="0.1875"/>
    <x v="3"/>
    <n v="4.5"/>
  </r>
  <r>
    <x v="3"/>
    <d v="2024-04-22T00:00:00"/>
    <s v="الاثنين "/>
    <x v="13"/>
    <s v="اسلام مصطفى  "/>
    <s v="صيانةماكينات CTB"/>
    <s v="تم العمل"/>
    <d v="1899-12-30T11:00:00"/>
    <d v="1899-12-30T16:00:00"/>
    <n v="0.20833333333333331"/>
    <x v="3"/>
    <n v="5"/>
  </r>
  <r>
    <x v="3"/>
    <d v="2024-04-22T00:00:00"/>
    <s v="الاثنين "/>
    <x v="6"/>
    <s v="شريف عيد "/>
    <s v="صيانة كشافات الكهرباء "/>
    <s v="تم العمل"/>
    <d v="1899-12-30T10:00:00"/>
    <d v="1899-12-30T16:00:00"/>
    <n v="0.24999999999999994"/>
    <x v="3"/>
    <n v="5.9999999999999982"/>
  </r>
  <r>
    <x v="3"/>
    <d v="2024-04-23T00:00:00"/>
    <s v="الثلاثاء "/>
    <x v="8"/>
    <s v="على  الشابورى "/>
    <s v="تركيب حساسات "/>
    <s v="تم العمل"/>
    <d v="1899-12-30T11:30:00"/>
    <d v="1899-12-30T12:30:00"/>
    <n v="0.27079999999999999"/>
    <x v="3"/>
    <n v="6.4992000000000001"/>
  </r>
  <r>
    <x v="3"/>
    <d v="2024-04-23T00:00:00"/>
    <s v="الثلاثاء "/>
    <x v="31"/>
    <s v="اكرم عياد "/>
    <s v="تركيب يافطة على بوابة المبنى الادارى "/>
    <s v="تم العمل"/>
    <d v="1899-12-30T00:00:00"/>
    <d v="1899-12-30T14:00:00"/>
    <n v="0.27079999999999999"/>
    <x v="3"/>
    <n v="6.4992000000000001"/>
  </r>
  <r>
    <x v="3"/>
    <d v="2024-04-22T00:00:00"/>
    <s v="الثلاثاء "/>
    <x v="19"/>
    <s v="محمد حمزة "/>
    <s v="تثبيت الرامب "/>
    <s v="تم العمل"/>
    <d v="1899-12-30T11:00:00"/>
    <d v="1899-12-30T14:00:00"/>
    <n v="0.12500000000000006"/>
    <x v="1"/>
    <n v="3.0000000000000013"/>
  </r>
  <r>
    <x v="3"/>
    <d v="2024-04-23T00:00:00"/>
    <s v="الثلاثاء "/>
    <x v="25"/>
    <s v="فارس خليل "/>
    <s v="تركيب سلم الطوارىء "/>
    <s v="تم العمل"/>
    <d v="1899-12-30T10:00:00"/>
    <d v="1899-12-30T16:00:00"/>
    <n v="0.27079999999999999"/>
    <x v="1"/>
    <n v="6.4992000000000001"/>
  </r>
  <r>
    <x v="3"/>
    <d v="2024-04-23T00:00:00"/>
    <s v="الثلاثاء "/>
    <x v="11"/>
    <s v="محمد رمضان   "/>
    <s v="صيانة الكلاركات "/>
    <s v="تم العمل"/>
    <d v="1899-12-30T10:00:00"/>
    <d v="1899-12-30T13:00:00"/>
    <n v="0.12499999999999994"/>
    <x v="3"/>
    <n v="2.9999999999999987"/>
  </r>
  <r>
    <x v="3"/>
    <d v="2024-04-23T00:00:00"/>
    <s v="الثلاثاء "/>
    <x v="19"/>
    <s v="حازم عبد الرحيم  "/>
    <s v="دهانات رصيف السور  "/>
    <s v="تم العمل"/>
    <d v="1899-12-30T10:00:00"/>
    <d v="1899-12-30T17:00:00"/>
    <n v="0.29166666666666669"/>
    <x v="0"/>
    <n v="7"/>
  </r>
  <r>
    <x v="3"/>
    <d v="2024-04-24T00:00:00"/>
    <s v="الاربعاء "/>
    <x v="13"/>
    <s v="اسلام مصطفى  "/>
    <s v="صيانةماكينات CTB"/>
    <s v="تم العمل"/>
    <d v="1899-12-30T12:00:00"/>
    <d v="1899-12-30T17:00:00"/>
    <n v="0.20833333333333337"/>
    <x v="3"/>
    <n v="5.0000000000000009"/>
  </r>
  <r>
    <x v="3"/>
    <d v="2024-04-24T00:00:00"/>
    <s v="الاربعاء "/>
    <x v="6"/>
    <s v="حسن عبد العظيم  "/>
    <s v="تغيير كابل الخاص  ايروشر الهواء "/>
    <s v="تم العمل"/>
    <d v="1899-12-30T16:30:00"/>
    <d v="1899-12-30T17:00:00"/>
    <n v="2.083333333333337E-2"/>
    <x v="3"/>
    <n v="0.50000000000000089"/>
  </r>
  <r>
    <x v="3"/>
    <d v="2024-04-24T00:00:00"/>
    <s v="الاربعاء "/>
    <x v="7"/>
    <s v="عمرو مسعد "/>
    <s v="اصطياد قطط بالمطابع "/>
    <s v="تم العمل"/>
    <d v="1899-12-30T19:00:00"/>
    <d v="1899-12-30T22:30:00"/>
    <n v="0.14583333333333337"/>
    <x v="3"/>
    <n v="3.5000000000000009"/>
  </r>
  <r>
    <x v="3"/>
    <d v="2024-04-24T00:00:00"/>
    <s v="الاربعاء "/>
    <x v="7"/>
    <s v="زياد عادل "/>
    <s v="الزيارة الدورية للمكافحة الحشرات "/>
    <s v="تم العمل"/>
    <d v="1899-12-30T11:00:00"/>
    <d v="1899-12-30T17:00:00"/>
    <n v="0.25000000000000006"/>
    <x v="3"/>
    <n v="6.0000000000000018"/>
  </r>
  <r>
    <x v="3"/>
    <d v="2024-04-24T00:00:00"/>
    <s v="الاربعاء "/>
    <x v="25"/>
    <s v="فارس خليل "/>
    <s v="تركيب سلم الطوارىء "/>
    <s v="تم العمل"/>
    <d v="1899-12-30T10:00:00"/>
    <d v="1899-12-30T15:00:00"/>
    <n v="0.27079999999999999"/>
    <x v="1"/>
    <n v="6.4992000000000001"/>
  </r>
  <r>
    <x v="3"/>
    <d v="2024-04-24T00:00:00"/>
    <s v="الاربعاء "/>
    <x v="19"/>
    <s v="حازم عبد الرحيم  "/>
    <s v="تشطيب دهانات رصيف السور  "/>
    <s v="تم العمل"/>
    <d v="1899-12-30T10:00:00"/>
    <d v="1899-12-30T17:00:00"/>
    <n v="0.29166666666666669"/>
    <x v="0"/>
    <n v="7"/>
  </r>
  <r>
    <x v="3"/>
    <d v="2024-04-24T00:00:00"/>
    <s v="الاربعاء "/>
    <x v="5"/>
    <s v="محمد النقيب "/>
    <s v="صيانة الكهرباء بالعنابر "/>
    <s v="تم العمل"/>
    <d v="1899-12-30T16:30:00"/>
    <d v="1899-12-30T20:30:00"/>
    <n v="0.16666666666666663"/>
    <x v="3"/>
    <n v="3.9999999999999991"/>
  </r>
  <r>
    <x v="3"/>
    <d v="2024-04-25T00:00:00"/>
    <s v="الخميس "/>
    <x v="7"/>
    <s v="زياد عادل "/>
    <s v="الزيارة الدورية للمكافحة الحشرات "/>
    <s v="تم العمل"/>
    <d v="1899-12-30T12:00:00"/>
    <d v="1899-12-30T16:00:00"/>
    <n v="0.16666666666666663"/>
    <x v="3"/>
    <n v="3.9999999999999991"/>
  </r>
  <r>
    <x v="3"/>
    <d v="2024-04-25T00:00:00"/>
    <s v="الخميس "/>
    <x v="5"/>
    <s v="محمد كمالى  "/>
    <s v="عمل تشحيم اجهزة التكيف "/>
    <s v="تم العمل"/>
    <d v="1899-12-30T14:30:00"/>
    <d v="1899-12-30T16:00:00"/>
    <n v="6.25E-2"/>
    <x v="3"/>
    <n v="1.5"/>
  </r>
  <r>
    <x v="3"/>
    <d v="2024-04-25T00:00:00"/>
    <s v="الخميس "/>
    <x v="5"/>
    <s v="محمد النقيب "/>
    <s v="صيانة التكيف بغرفة السلفر  "/>
    <s v="تم العمل"/>
    <d v="1899-12-30T10:00:00"/>
    <d v="1899-12-30T11:00:00"/>
    <n v="4.166666666666663E-2"/>
    <x v="3"/>
    <n v="0.99999999999999911"/>
  </r>
  <r>
    <x v="3"/>
    <d v="2024-04-27T00:00:00"/>
    <s v="السبت "/>
    <x v="25"/>
    <s v="فارس خليل "/>
    <s v="تركيب سلم الطوارىء "/>
    <s v="تم العمل"/>
    <d v="1899-12-30T09:30:00"/>
    <d v="1899-12-30T15:00:00"/>
    <n v="0.27079999999999999"/>
    <x v="1"/>
    <n v="6.4992000000000001"/>
  </r>
  <r>
    <x v="3"/>
    <d v="2024-04-27T00:00:00"/>
    <s v="السبت "/>
    <x v="7"/>
    <s v="زياد عادل "/>
    <s v="الزيارة الدورية للمكافحة الحشرات "/>
    <s v="تم العمل"/>
    <d v="1899-12-30T09:30:00"/>
    <d v="1899-12-30T17:00:00"/>
    <n v="0.31250000000000006"/>
    <x v="3"/>
    <n v="7.5000000000000018"/>
  </r>
  <r>
    <x v="3"/>
    <d v="2024-04-28T00:00:00"/>
    <s v="الاحد "/>
    <x v="32"/>
    <s v="ياسر ابراهيم  "/>
    <s v="دهانات الاستندات  بالمخازن"/>
    <s v="تم العمل"/>
    <d v="1899-12-30T12:00:00"/>
    <d v="1899-12-30T17:00:00"/>
    <n v="0.20833333333333337"/>
    <x v="0"/>
    <n v="5.0000000000000009"/>
  </r>
  <r>
    <x v="3"/>
    <d v="2024-04-28T00:00:00"/>
    <s v="الاحد "/>
    <x v="19"/>
    <s v="حازم عبد الرحيم  "/>
    <s v="تشطيب دهانات رصيف السور  "/>
    <s v="تم العمل"/>
    <d v="1899-12-30T10:00:00"/>
    <d v="1899-12-30T16:00:00"/>
    <n v="0.24999999999999994"/>
    <x v="0"/>
    <n v="5.9999999999999982"/>
  </r>
  <r>
    <x v="3"/>
    <d v="2024-04-29T00:00:00"/>
    <s v="الاثنين "/>
    <x v="8"/>
    <s v="ممدوح عبد التواب "/>
    <s v="الزيارة الشهريةعمل صيانة  الحساسات "/>
    <s v="تم العمل"/>
    <d v="1899-12-30T10:00:00"/>
    <d v="1899-12-30T23:30:00"/>
    <n v="0.27079999999999999"/>
    <x v="3"/>
    <n v="6.4992000000000001"/>
  </r>
  <r>
    <x v="3"/>
    <d v="2024-04-29T00:00:00"/>
    <s v="الاثنين "/>
    <x v="32"/>
    <s v="ياسر ابراهيم  "/>
    <s v="دهانات الاستندات  بالمخازن"/>
    <s v="تم العمل"/>
    <d v="1899-12-30T10:00:00"/>
    <d v="1899-12-30T17:00:00"/>
    <n v="0.29166666666666669"/>
    <x v="1"/>
    <n v="7"/>
  </r>
  <r>
    <x v="3"/>
    <d v="2024-04-29T00:00:00"/>
    <s v="الاثنين "/>
    <x v="7"/>
    <s v="محمد ماهر "/>
    <s v="الزيارة الدورية للمكافحة الحشرات "/>
    <s v="تم العمل"/>
    <d v="1899-12-30T10:00:00"/>
    <d v="1899-12-30T11:00:00"/>
    <n v="4.166666666666663E-2"/>
    <x v="1"/>
    <n v="0.99999999999999911"/>
  </r>
  <r>
    <x v="3"/>
    <d v="2024-04-29T00:00:00"/>
    <s v="الاثنين "/>
    <x v="7"/>
    <s v="محمد ماهر "/>
    <s v="الزيارة الدورية للمكافحة الحشرات "/>
    <s v="تم العمل"/>
    <d v="1899-12-30T12:00:00"/>
    <d v="1899-12-30T13:00:00"/>
    <n v="4.166666666666663E-2"/>
    <x v="4"/>
    <n v="0.99999999999999911"/>
  </r>
  <r>
    <x v="3"/>
    <d v="2024-04-30T00:00:00"/>
    <s v="الثلاثاء "/>
    <x v="5"/>
    <s v="محمد النقيب "/>
    <s v="تركيب دكت  اسلاك "/>
    <s v="تم العمل"/>
    <d v="1899-12-30T15:00:00"/>
    <d v="1899-12-30T17:00:00"/>
    <n v="8.333333333333337E-2"/>
    <x v="3"/>
    <n v="2.0000000000000009"/>
  </r>
  <r>
    <x v="3"/>
    <d v="2024-04-30T00:00:00"/>
    <s v="الثلاثاء "/>
    <x v="9"/>
    <s v="سامى شعبان  "/>
    <s v="صيانة الكلاركات "/>
    <s v="تم العمل"/>
    <d v="1899-12-30T11:00:00"/>
    <d v="1899-12-30T14:00:00"/>
    <n v="0.12500000000000006"/>
    <x v="3"/>
    <n v="3.0000000000000013"/>
  </r>
  <r>
    <x v="3"/>
    <d v="2024-04-30T00:00:00"/>
    <s v="الثلاثاء "/>
    <x v="32"/>
    <s v="ياسر ابراهيم  "/>
    <s v="دهانات الاستندات  بالمخازن"/>
    <s v="تم العمل"/>
    <d v="1899-12-30T13:30:00"/>
    <d v="1899-12-30T15:00:00"/>
    <n v="6.25E-2"/>
    <x v="0"/>
    <n v="1.5"/>
  </r>
  <r>
    <x v="3"/>
    <d v="2024-04-30T00:00:00"/>
    <s v="الثلاثاء "/>
    <x v="13"/>
    <s v="اسلام مصطفى  "/>
    <s v="صيانةماكينات CTB"/>
    <s v="تم العمل"/>
    <d v="1899-12-30T13:00:00"/>
    <d v="1899-12-30T17:30:00"/>
    <n v="0.1875"/>
    <x v="3"/>
    <n v="4.5"/>
  </r>
  <r>
    <x v="3"/>
    <d v="2024-04-30T00:00:00"/>
    <s v="الثلاثاء "/>
    <x v="6"/>
    <s v="صابر ابلراهيم "/>
    <s v="تثبيت الرامب "/>
    <s v="تم العمل"/>
    <d v="1899-12-30T11:30:00"/>
    <d v="1899-12-30T13:00:00"/>
    <n v="6.2499999999999944E-2"/>
    <x v="1"/>
    <n v="1.4999999999999987"/>
  </r>
  <r>
    <x v="3"/>
    <d v="2024-04-30T00:00:00"/>
    <s v="الثلاثاء "/>
    <x v="25"/>
    <s v="فارس خليل "/>
    <s v="تركيب سلم الطوارىء "/>
    <s v="تم العمل"/>
    <d v="1899-12-30T09:30:00"/>
    <d v="1899-12-30T15:30:00"/>
    <n v="0.27079999999999999"/>
    <x v="1"/>
    <n v="6.4992000000000001"/>
  </r>
  <r>
    <x v="3"/>
    <d v="2024-04-30T00:00:00"/>
    <s v="الثلاثاء "/>
    <x v="33"/>
    <s v="محمد  حمزة "/>
    <s v="تثبيت الرامب "/>
    <s v="تم العمل"/>
    <d v="1899-12-30T10:00:00"/>
    <d v="1899-12-30T12:00:00"/>
    <n v="8.3333333333333315E-2"/>
    <x v="1"/>
    <n v="1.9999999999999996"/>
  </r>
  <r>
    <x v="3"/>
    <d v="2024-04-30T00:00:00"/>
    <s v="الثلاثاء "/>
    <x v="22"/>
    <s v="محمودعويس   "/>
    <s v="صيانة تكييف "/>
    <s v="تم العمل"/>
    <d v="1899-12-30T10:30:00"/>
    <d v="1899-12-30T17:30:00"/>
    <n v="0.29166666666666663"/>
    <x v="3"/>
    <n v="6.9999999999999991"/>
  </r>
  <r>
    <x v="4"/>
    <d v="2024-05-01T00:00:00"/>
    <s v="الاربعاء "/>
    <x v="22"/>
    <s v="محمودالدروى    "/>
    <s v="صيانة تكييف "/>
    <s v="تم العمل"/>
    <d v="1899-12-30T11:00:00"/>
    <d v="1899-12-30T16:00:00"/>
    <n v="0.20833333333333331"/>
    <x v="3"/>
    <n v="5"/>
  </r>
  <r>
    <x v="4"/>
    <d v="2024-05-01T00:00:00"/>
    <s v="الاربعاء "/>
    <x v="31"/>
    <s v="مصطفى شاكر    "/>
    <s v="تركيب لوحة استلس "/>
    <s v="تم العمل"/>
    <d v="1899-12-30T11:00:00"/>
    <d v="1899-12-30T14:00:00"/>
    <n v="0.12500000000000006"/>
    <x v="3"/>
    <n v="3.0000000000000013"/>
  </r>
  <r>
    <x v="4"/>
    <d v="2024-05-01T00:00:00"/>
    <s v="الاربعاء "/>
    <x v="5"/>
    <s v="محمد النقيب "/>
    <s v="تركيب لمبات بيان فى الحمامات "/>
    <s v="تم العمل"/>
    <d v="1899-12-30T11:00:00"/>
    <d v="1899-12-30T15:00:00"/>
    <n v="0.16666666666666669"/>
    <x v="3"/>
    <n v="4"/>
  </r>
  <r>
    <x v="4"/>
    <d v="2024-05-01T00:00:00"/>
    <s v="الاربعاء "/>
    <x v="32"/>
    <s v="ياسر ابراهيم  "/>
    <s v="تثبيت  الاستندات  "/>
    <s v="تم العمل"/>
    <d v="1899-12-30T14:00:00"/>
    <d v="1899-12-30T17:00:00"/>
    <n v="0.125"/>
    <x v="0"/>
    <n v="3"/>
  </r>
  <r>
    <x v="4"/>
    <d v="2024-05-02T00:00:00"/>
    <s v="الخميس "/>
    <x v="16"/>
    <s v="امير رضا  "/>
    <s v="صيانة الكلاركات "/>
    <s v="تم العمل"/>
    <d v="1899-12-30T15:00:00"/>
    <d v="1899-12-30T16:00:00"/>
    <n v="4.166666666666663E-2"/>
    <x v="3"/>
    <n v="0.99999999999999911"/>
  </r>
  <r>
    <x v="4"/>
    <d v="2024-05-02T00:00:00"/>
    <s v="الخميس "/>
    <x v="18"/>
    <s v="فيكتور     "/>
    <s v="أختبار طلمبات الحريق "/>
    <s v="تم العمل"/>
    <d v="1899-12-30T12:00:00"/>
    <d v="1899-12-30T13:00:00"/>
    <n v="4.166666666666663E-2"/>
    <x v="4"/>
    <n v="0.99999999999999911"/>
  </r>
  <r>
    <x v="4"/>
    <d v="2024-05-02T00:00:00"/>
    <s v="الخميس "/>
    <x v="5"/>
    <s v="محمد النقيب "/>
    <s v="تركيب لمبات بيان فى الحمامات "/>
    <s v="تم العمل"/>
    <d v="1899-12-30T14:30:00"/>
    <d v="1899-12-30T16:00:00"/>
    <n v="6.25E-2"/>
    <x v="3"/>
    <n v="1.5"/>
  </r>
  <r>
    <x v="4"/>
    <d v="2024-05-02T00:00:00"/>
    <s v="الخميس "/>
    <x v="18"/>
    <s v="فيكتور     "/>
    <s v="المرور على الديزل والطلمبات "/>
    <s v="تم العمل"/>
    <d v="1899-12-30T11:00:00"/>
    <d v="1899-12-30T12:00:00"/>
    <n v="4.1666666666666685E-2"/>
    <x v="4"/>
    <n v="1.0000000000000004"/>
  </r>
  <r>
    <x v="4"/>
    <d v="2024-05-02T00:00:00"/>
    <s v="الخميس "/>
    <x v="34"/>
    <s v="وائل جودة   "/>
    <s v="احلال وتجديد السقف "/>
    <s v="تم العمل"/>
    <d v="1899-12-30T09:00:00"/>
    <d v="1899-12-30T14:00:00"/>
    <n v="0.20833333333333337"/>
    <x v="5"/>
    <n v="5.0000000000000009"/>
  </r>
  <r>
    <x v="4"/>
    <d v="2024-05-03T00:00:00"/>
    <s v="الجمعة "/>
    <x v="5"/>
    <s v="احمد حسن  "/>
    <s v="صيانة الابواب الامونتيال "/>
    <s v="تم العمل"/>
    <d v="1899-12-30T12:00:00"/>
    <d v="1899-12-30T23:30:00"/>
    <n v="0.47916666666666663"/>
    <x v="6"/>
    <n v="11.5"/>
  </r>
  <r>
    <x v="4"/>
    <d v="2024-05-04T00:00:00"/>
    <s v="السبت "/>
    <x v="25"/>
    <s v="فارس خليل "/>
    <s v="تركيب سلم الطوارىء "/>
    <s v="تم العمل"/>
    <d v="1899-12-30T10:00:00"/>
    <d v="1899-12-30T15:00:00"/>
    <n v="0.27079999999999999"/>
    <x v="1"/>
    <n v="6.4992000000000001"/>
  </r>
  <r>
    <x v="4"/>
    <d v="2024-05-05T00:00:00"/>
    <s v="الاحد "/>
    <x v="13"/>
    <s v="اسلام مصطفى  "/>
    <s v="صيانةماكينات CTB"/>
    <s v="تم العمل"/>
    <d v="1899-12-30T12:00:00"/>
    <d v="1899-12-30T17:00:00"/>
    <n v="0.20833333333333337"/>
    <x v="3"/>
    <n v="5.0000000000000009"/>
  </r>
  <r>
    <x v="4"/>
    <d v="2024-05-05T00:00:00"/>
    <s v="الاحد "/>
    <x v="35"/>
    <s v="السعيد متولى  "/>
    <s v="تركيب كمبروسون التبريد "/>
    <s v="تم العمل"/>
    <d v="1899-12-30T14:30:00"/>
    <d v="1899-12-30T17:30:00"/>
    <n v="0.125"/>
    <x v="3"/>
    <n v="3"/>
  </r>
  <r>
    <x v="4"/>
    <d v="2024-05-05T00:00:00"/>
    <s v="الاحد "/>
    <x v="0"/>
    <s v="فارس خليل "/>
    <s v="تركيب سلم الطوارىء "/>
    <s v="تم العمل"/>
    <d v="1899-12-30T09:30:00"/>
    <d v="1899-12-30T15:00:00"/>
    <n v="0.27079999999999999"/>
    <x v="1"/>
    <n v="6.4992000000000001"/>
  </r>
  <r>
    <x v="4"/>
    <d v="2024-05-07T00:00:00"/>
    <s v="الثلاثاء "/>
    <x v="22"/>
    <s v="محمودالدروى    "/>
    <s v="صيانة تكييف باعنبر الطباعة "/>
    <s v="تم العمل"/>
    <d v="1899-12-30T11:00:00"/>
    <d v="1899-12-30T14:00:00"/>
    <n v="0.12500000000000006"/>
    <x v="3"/>
    <n v="3.0000000000000013"/>
  </r>
  <r>
    <x v="4"/>
    <d v="2024-05-07T00:00:00"/>
    <s v="الثلاثاء "/>
    <x v="25"/>
    <s v="فارس خليل "/>
    <s v="تجميع كمر ودهان "/>
    <s v="تم العمل"/>
    <d v="1899-12-30T09:00:00"/>
    <d v="1899-12-30T15:00:00"/>
    <n v="0.27079999999999999"/>
    <x v="5"/>
    <n v="6.4992000000000001"/>
  </r>
  <r>
    <x v="4"/>
    <d v="2024-05-07T00:00:00"/>
    <s v="الثلاثاء "/>
    <x v="8"/>
    <s v="ابو المجد السورى "/>
    <s v="الزيارة الشهرية عمل صيانة  لخط الحريق "/>
    <s v="تم العمل"/>
    <d v="1899-12-30T10:00:00"/>
    <d v="1899-12-30T15:00:00"/>
    <n v="0.27079999999999999"/>
    <x v="1"/>
    <n v="6.4992000000000001"/>
  </r>
  <r>
    <x v="4"/>
    <d v="2024-05-07T00:00:00"/>
    <s v="الثلاثاء "/>
    <x v="5"/>
    <s v="محمد النقيب "/>
    <s v="صيانة الكهرباء بالشوارع "/>
    <s v="تم العمل"/>
    <d v="1899-12-30T11:00:00"/>
    <d v="1899-12-30T17:00:00"/>
    <n v="0.25000000000000006"/>
    <x v="3"/>
    <n v="6.0000000000000018"/>
  </r>
  <r>
    <x v="4"/>
    <d v="2024-05-07T00:00:00"/>
    <s v="الثلاثاء "/>
    <x v="29"/>
    <s v="محمد عبالعزيز "/>
    <s v="لحام طربيزات مطبخ الكفتريا "/>
    <s v="تم العمل"/>
    <d v="1899-12-30T16:30:00"/>
    <d v="1899-12-30T19:00:00"/>
    <n v="0.10416666666666663"/>
    <x v="3"/>
    <n v="2.4999999999999991"/>
  </r>
  <r>
    <x v="4"/>
    <d v="2024-05-08T00:00:00"/>
    <s v="الاربعاء "/>
    <x v="5"/>
    <s v="محمد النقيب "/>
    <s v="صيانة كشافات المخزن "/>
    <s v="تم العمل"/>
    <d v="1899-12-30T12:00:00"/>
    <d v="1899-12-30T17:00:00"/>
    <n v="0.20833333333333337"/>
    <x v="3"/>
    <n v="5.0000000000000009"/>
  </r>
  <r>
    <x v="4"/>
    <d v="2024-05-08T00:00:00"/>
    <s v="الاربعاء "/>
    <x v="25"/>
    <s v="فارس خليل "/>
    <s v="تركيب سلم الطوارىء "/>
    <s v="تم العمل"/>
    <d v="1899-12-30T10:00:00"/>
    <d v="1899-12-30T14:00:00"/>
    <n v="0.27079999999999999"/>
    <x v="1"/>
    <n v="6.4992000000000001"/>
  </r>
  <r>
    <x v="4"/>
    <d v="2024-05-08T00:00:00"/>
    <s v="الاربعاء "/>
    <x v="22"/>
    <s v="محمودالدروى    "/>
    <s v="صيانة تكييف باعنبر الطباعة "/>
    <s v="تم العمل"/>
    <d v="1899-12-30T11:30:00"/>
    <d v="1899-12-30T14:00:00"/>
    <n v="0.10416666666666669"/>
    <x v="3"/>
    <n v="2.5000000000000004"/>
  </r>
  <r>
    <x v="4"/>
    <d v="2024-05-08T00:00:00"/>
    <s v="الاربعاء "/>
    <x v="25"/>
    <s v="فارس خليل "/>
    <s v="صنفرة ودهان "/>
    <s v="تم العمل"/>
    <d v="1899-12-30T09:00:00"/>
    <d v="1899-12-30T17:00:00"/>
    <n v="0.27079999999999999"/>
    <x v="1"/>
    <n v="6.4992000000000001"/>
  </r>
  <r>
    <x v="4"/>
    <d v="2024-05-08T00:00:00"/>
    <s v="الاربعاء "/>
    <x v="5"/>
    <s v="مصطفى صلاح "/>
    <s v="صيانة واصلاح الكراسى الادارية "/>
    <s v="تم العمل"/>
    <d v="1899-12-30T10:30:00"/>
    <d v="1899-12-30T17:30:00"/>
    <n v="8.3299999999999999E-2"/>
    <x v="3"/>
    <n v="2"/>
  </r>
  <r>
    <x v="4"/>
    <d v="2024-05-09T00:00:00"/>
    <s v="الخميس "/>
    <x v="22"/>
    <s v="محمودالدروى    "/>
    <s v="صيانة تكييف "/>
    <s v="تم العمل"/>
    <d v="1899-12-30T11:30:00"/>
    <d v="1899-12-30T12:00:00"/>
    <n v="2.0833333333333315E-2"/>
    <x v="3"/>
    <n v="0.49999999999999956"/>
  </r>
  <r>
    <x v="4"/>
    <d v="2024-05-09T00:00:00"/>
    <s v="الخميس "/>
    <x v="25"/>
    <s v="فارس خليل "/>
    <s v="صنفرة ودهان "/>
    <s v="تم العمل"/>
    <d v="1899-12-30T09:00:00"/>
    <d v="1899-12-30T17:00:00"/>
    <n v="0.27079999999999999"/>
    <x v="1"/>
    <n v="6.4992000000000001"/>
  </r>
  <r>
    <x v="4"/>
    <d v="2024-05-09T00:00:00"/>
    <s v="الخميس "/>
    <x v="25"/>
    <s v="فارس خليل "/>
    <s v="تركيب سلم الطوارىء "/>
    <s v="تم العمل"/>
    <d v="1899-12-30T10:00:00"/>
    <d v="1899-12-30T15:00:00"/>
    <n v="0.27079999999999999"/>
    <x v="1"/>
    <n v="6.4992000000000001"/>
  </r>
  <r>
    <x v="4"/>
    <d v="2024-05-11T00:00:00"/>
    <s v="السبت "/>
    <x v="7"/>
    <s v="محمد ماهر "/>
    <s v="الزيارة الشهرية  ورش مبيت الامن "/>
    <s v="تم العمل"/>
    <d v="1899-12-30T11:30:00"/>
    <d v="1899-12-30T14:00:00"/>
    <n v="0.10416666666666669"/>
    <x v="3"/>
    <n v="2.5000000000000004"/>
  </r>
  <r>
    <x v="4"/>
    <d v="2024-05-11T00:00:00"/>
    <s v="السبت "/>
    <x v="22"/>
    <s v="محمودالدروى    "/>
    <s v="صيانة تكييف "/>
    <s v="تم العمل"/>
    <d v="1899-12-30T12:00:00"/>
    <d v="1899-12-30T17:30:00"/>
    <n v="0.22916666666666663"/>
    <x v="3"/>
    <n v="5.4999999999999991"/>
  </r>
  <r>
    <x v="4"/>
    <d v="2024-05-12T00:00:00"/>
    <s v="الاحد "/>
    <x v="32"/>
    <s v="محمد مدنى "/>
    <s v="تركيب عجل استندات  "/>
    <s v="تم العمل"/>
    <d v="1899-12-30T00:00:00"/>
    <d v="1899-12-30T15:00:00"/>
    <n v="0.27079999999999999"/>
    <x v="1"/>
    <n v="6.4992000000000001"/>
  </r>
  <r>
    <x v="4"/>
    <d v="2024-05-12T00:00:00"/>
    <s v="الاحد "/>
    <x v="25"/>
    <s v="فارس خليل "/>
    <s v="تركيب سلم الطوارىء "/>
    <s v="تم العمل"/>
    <d v="1899-12-30T10:00:00"/>
    <d v="1899-12-30T15:00:00"/>
    <n v="0.27079999999999999"/>
    <x v="1"/>
    <n v="6.4992000000000001"/>
  </r>
  <r>
    <x v="4"/>
    <d v="2024-05-12T00:00:00"/>
    <s v="الاحد "/>
    <x v="5"/>
    <s v="مجدى كرم  "/>
    <s v="دهانات المخزن المدرسى "/>
    <s v="تم العمل"/>
    <d v="1899-12-30T10:00:00"/>
    <d v="1899-12-30T20:00:00"/>
    <n v="0.41666666666666669"/>
    <x v="6"/>
    <n v="10"/>
  </r>
  <r>
    <x v="4"/>
    <d v="2024-05-12T00:00:00"/>
    <s v="الاحد "/>
    <x v="25"/>
    <s v="فارس خليل "/>
    <s v="صنفرة وتجليخ "/>
    <s v="تم العمل"/>
    <d v="1899-12-30T09:00:00"/>
    <d v="1899-12-30T16:00:00"/>
    <n v="0.27079999999999999"/>
    <x v="1"/>
    <n v="6.4992000000000001"/>
  </r>
  <r>
    <x v="4"/>
    <d v="2024-05-13T00:00:00"/>
    <s v="الاثنين "/>
    <x v="5"/>
    <s v="السيد عبد الله  "/>
    <s v="دهانات المخزن المدرسى "/>
    <s v="تم العمل"/>
    <d v="1899-12-30T10:00:00"/>
    <d v="1899-12-30T22:00:00"/>
    <n v="0.49999999999999994"/>
    <x v="3"/>
    <n v="11.999999999999998"/>
  </r>
  <r>
    <x v="4"/>
    <d v="2024-05-13T00:00:00"/>
    <s v="الاثنين "/>
    <x v="8"/>
    <s v="على الشحات "/>
    <s v="الزيارة الشهرية والمرور على لوحة الانزار "/>
    <s v="تم العمل"/>
    <d v="1899-12-30T00:00:00"/>
    <d v="1899-12-30T13:00:00"/>
    <n v="0.27079999999999999"/>
    <x v="1"/>
    <n v="6.4992000000000001"/>
  </r>
  <r>
    <x v="4"/>
    <d v="2024-05-13T00:00:00"/>
    <s v="الاثنين "/>
    <x v="25"/>
    <s v="فارس خليل "/>
    <s v="تركيب سلم الطوارىء "/>
    <s v="تم العمل"/>
    <d v="1899-12-30T10:00:00"/>
    <d v="1899-12-30T15:00:00"/>
    <n v="0.27079999999999999"/>
    <x v="1"/>
    <n v="6.4992000000000001"/>
  </r>
  <r>
    <x v="4"/>
    <d v="2024-05-13T00:00:00"/>
    <s v="الاثنين "/>
    <x v="8"/>
    <s v="على الشحات "/>
    <s v=" الزيارة الشهرية وتغيير بطاريات لوحات الانزار"/>
    <s v="تم العمل"/>
    <d v="1899-12-30T10:00:00"/>
    <d v="1899-12-30T13:00:00"/>
    <n v="0.27079999999999999"/>
    <x v="0"/>
    <n v="6.4992000000000001"/>
  </r>
  <r>
    <x v="4"/>
    <d v="2024-05-13T00:00:00"/>
    <s v="الاثنين "/>
    <x v="3"/>
    <s v="محمد احمد    "/>
    <s v="صيانة خط النت "/>
    <s v="تم العمل"/>
    <d v="1899-12-30T12:30:00"/>
    <d v="1899-12-30T15:00:00"/>
    <n v="0.10416666666666663"/>
    <x v="2"/>
    <n v="2.4999999999999991"/>
  </r>
  <r>
    <x v="4"/>
    <d v="2024-05-13T00:00:00"/>
    <s v="الاثنين "/>
    <x v="6"/>
    <s v="كمال مرسى "/>
    <s v="أعمال صيانة "/>
    <s v="تم العمل"/>
    <d v="1899-12-30T11:30:00"/>
    <d v="1899-12-30T13:30:00"/>
    <n v="8.3333333333333315E-2"/>
    <x v="3"/>
    <n v="1.9999999999999996"/>
  </r>
  <r>
    <x v="4"/>
    <d v="2024-05-14T00:00:00"/>
    <s v="الثلاثاء "/>
    <x v="6"/>
    <s v="صابر ابلراهيم "/>
    <s v="لحام سلم اشراف الويب "/>
    <s v="تم العمل"/>
    <d v="1899-12-30T11:30:00"/>
    <d v="1899-12-30T12:00:00"/>
    <n v="2.0833333333333315E-2"/>
    <x v="3"/>
    <n v="0.49999999999999956"/>
  </r>
  <r>
    <x v="4"/>
    <d v="2024-05-14T00:00:00"/>
    <s v="الثلاثاء "/>
    <x v="5"/>
    <s v="رامى محمد  "/>
    <s v="دهانات المخزن المدرسى "/>
    <s v="تم العمل"/>
    <d v="1899-12-30T10:30:00"/>
    <d v="1899-12-30T15:00:00"/>
    <n v="0.1875"/>
    <x v="0"/>
    <n v="4.5"/>
  </r>
  <r>
    <x v="4"/>
    <d v="2024-05-14T00:00:00"/>
    <s v="الثلاثاء "/>
    <x v="16"/>
    <s v="امير رضا  "/>
    <s v="صيانة الكلاركات "/>
    <s v="تم العمل"/>
    <d v="1899-12-30T13:00:00"/>
    <d v="1899-12-30T15:00:00"/>
    <n v="8.333333333333337E-2"/>
    <x v="3"/>
    <n v="2.0000000000000009"/>
  </r>
  <r>
    <x v="4"/>
    <d v="2024-05-14T00:00:00"/>
    <s v="الثلاثاء "/>
    <x v="25"/>
    <s v="فارس خليل "/>
    <s v="تركيب سلم الطوارىء "/>
    <s v="تم العمل"/>
    <d v="1899-12-30T10:00:00"/>
    <d v="1899-12-30T15:00:00"/>
    <n v="0.27079999999999999"/>
    <x v="1"/>
    <n v="6.4992000000000001"/>
  </r>
  <r>
    <x v="4"/>
    <d v="2024-05-14T00:00:00"/>
    <s v="الثلاثاء "/>
    <x v="5"/>
    <s v="السيد عبد الله  "/>
    <s v="دهانات المخزن المدرسى "/>
    <s v="تم العمل"/>
    <d v="1899-12-30T10:00:00"/>
    <d v="1899-12-30T22:00:00"/>
    <n v="0.49999999999999994"/>
    <x v="3"/>
    <n v="11.999999999999998"/>
  </r>
  <r>
    <x v="4"/>
    <d v="2024-05-14T00:00:00"/>
    <s v="الثلاثاء "/>
    <x v="5"/>
    <s v="تامر احمد   "/>
    <s v="اصلاح وصيانة الكولدير "/>
    <s v="تم العمل"/>
    <d v="1899-12-30T17:00:00"/>
    <d v="1899-12-30T18:00:00"/>
    <n v="4.166666666666663E-2"/>
    <x v="3"/>
    <n v="0.99999999999999911"/>
  </r>
  <r>
    <x v="4"/>
    <d v="2024-05-14T00:00:00"/>
    <s v="الثلاثاء "/>
    <x v="36"/>
    <s v="اسامة فتحى   "/>
    <s v="فك وتركيب صاج سقف  عنبر دويتش "/>
    <s v="تم العمل"/>
    <d v="1899-12-30T10:00:00"/>
    <d v="1899-12-30T20:00:00"/>
    <n v="0.41666666666666669"/>
    <x v="5"/>
    <n v="10"/>
  </r>
  <r>
    <x v="4"/>
    <d v="2024-05-14T00:00:00"/>
    <s v="الثلاثاء "/>
    <x v="10"/>
    <s v="احمد فرج    "/>
    <s v="تركيب فراشة بالشارع  "/>
    <s v="تم العمل"/>
    <d v="1899-12-30T11:00:00"/>
    <d v="1899-12-30T17:00:00"/>
    <n v="0.25000000000000006"/>
    <x v="0"/>
    <n v="6.0000000000000018"/>
  </r>
  <r>
    <x v="4"/>
    <d v="2024-05-15T00:00:00"/>
    <s v="الاربعاء "/>
    <x v="6"/>
    <s v="صابر ابلراهيم "/>
    <s v="لحام بجوار ويب  8"/>
    <s v="تم العمل"/>
    <d v="1899-12-30T12:30:00"/>
    <d v="1899-12-30T15:00:00"/>
    <n v="0.10416666666666663"/>
    <x v="3"/>
    <n v="2.4999999999999991"/>
  </r>
  <r>
    <x v="4"/>
    <d v="2024-05-15T00:00:00"/>
    <s v="الاربعاء "/>
    <x v="36"/>
    <s v="اسامة فتحى   "/>
    <s v="فك وتركيب صاج سقف  عنبر دويتش "/>
    <s v="رفض الأعمال"/>
    <d v="1899-12-30T10:00:00"/>
    <d v="1899-12-30T11:00:00"/>
    <n v="4.166666666666663E-2"/>
    <x v="5"/>
    <n v="0.99999999999999911"/>
  </r>
  <r>
    <x v="4"/>
    <d v="2024-05-15T00:00:00"/>
    <s v="الاربعاء "/>
    <x v="6"/>
    <s v="شريف عيد"/>
    <s v="توصيل كهرباء الرامب "/>
    <s v="تم العمل"/>
    <d v="1899-12-30T10:00:00"/>
    <d v="1899-12-30T15:00:00"/>
    <n v="0.20833333333333331"/>
    <x v="1"/>
    <n v="5"/>
  </r>
  <r>
    <x v="4"/>
    <d v="2024-05-15T00:00:00"/>
    <s v="الاربعاء "/>
    <x v="7"/>
    <s v="محمد مهنى  "/>
    <s v="الزيارة الشهرية ومكافحة القورض والحشرات"/>
    <s v="تم العمل"/>
    <d v="1899-12-30T11:30:00"/>
    <d v="1899-12-30T12:00:00"/>
    <n v="2.0833333333333315E-2"/>
    <x v="1"/>
    <n v="0.49999999999999956"/>
  </r>
  <r>
    <x v="4"/>
    <d v="2024-05-15T00:00:00"/>
    <s v="الاربعاء "/>
    <x v="10"/>
    <s v="احمد فرج    "/>
    <s v="تركيب فراشة بالشارع  "/>
    <s v="تم العمل"/>
    <d v="1899-12-30T11:00:00"/>
    <d v="1899-12-30T14:30:00"/>
    <n v="0.14583333333333331"/>
    <x v="0"/>
    <n v="3.4999999999999996"/>
  </r>
  <r>
    <x v="4"/>
    <d v="2024-05-16T00:00:00"/>
    <s v="الخميس "/>
    <x v="5"/>
    <s v="حسن احمد  "/>
    <s v="دهانات المخزن المدرسى "/>
    <s v="تم العمل"/>
    <d v="1899-12-30T09:00:00"/>
    <d v="1899-12-30T21:00:00"/>
    <n v="0.5"/>
    <x v="6"/>
    <n v="12"/>
  </r>
  <r>
    <x v="4"/>
    <d v="2024-05-17T00:00:00"/>
    <s v="الجمعة "/>
    <x v="5"/>
    <s v="حسن احمد  "/>
    <s v="دهانات المخزن المدرسى "/>
    <s v="تم العمل"/>
    <d v="1899-12-30T09:00:00"/>
    <d v="1899-12-30T19:00:00"/>
    <n v="0.41666666666666663"/>
    <x v="6"/>
    <n v="10"/>
  </r>
  <r>
    <x v="4"/>
    <d v="2024-05-17T00:00:00"/>
    <s v="الجمعة "/>
    <x v="37"/>
    <s v="اسلام مفرح "/>
    <s v="تركيب كابل فايبر  "/>
    <s v="تم العمل"/>
    <d v="1899-12-30T09:00:00"/>
    <d v="1899-12-30T16:00:00"/>
    <n v="0.29166666666666663"/>
    <x v="2"/>
    <n v="6.9999999999999991"/>
  </r>
  <r>
    <x v="4"/>
    <d v="2024-05-17T00:00:00"/>
    <s v="الجمعة "/>
    <x v="2"/>
    <s v="كمال احمد "/>
    <s v="تركيب كابل فايبر  "/>
    <s v="تم العمل"/>
    <d v="1899-12-30T11:00:00"/>
    <d v="1899-12-30T18:30:00"/>
    <n v="0.31250000000000006"/>
    <x v="2"/>
    <n v="7.5000000000000018"/>
  </r>
  <r>
    <x v="4"/>
    <d v="2024-05-18T00:00:00"/>
    <s v="السبت "/>
    <x v="37"/>
    <s v="اسلام مفرح "/>
    <s v="تركيب كابل فايبر  "/>
    <s v="تم العمل"/>
    <d v="1899-12-30T12:00:00"/>
    <d v="1899-12-30T18:30:00"/>
    <n v="0.27083333333333337"/>
    <x v="2"/>
    <n v="6.5000000000000009"/>
  </r>
  <r>
    <x v="4"/>
    <d v="2024-05-18T00:00:00"/>
    <s v="السبت "/>
    <x v="5"/>
    <s v="مصطفى صلاح   "/>
    <s v="صيانة كراسى المكاتب الادالرية "/>
    <s v="تم العمل"/>
    <d v="1899-12-30T15:00:00"/>
    <d v="1899-12-30T22:00:00"/>
    <n v="0.29166666666666663"/>
    <x v="3"/>
    <n v="6.9999999999999991"/>
  </r>
  <r>
    <x v="4"/>
    <d v="2024-05-18T00:00:00"/>
    <s v="السبت "/>
    <x v="0"/>
    <s v="مراد  صالح "/>
    <s v="تركيب سلم الطوارىء "/>
    <s v="تم العمل"/>
    <d v="1899-12-30T09:30:00"/>
    <d v="1899-12-30T15:00:00"/>
    <n v="0.27079999999999999"/>
    <x v="1"/>
    <n v="6.4992000000000001"/>
  </r>
  <r>
    <x v="4"/>
    <d v="2024-05-18T00:00:00"/>
    <s v="السبت "/>
    <x v="22"/>
    <s v="محمودالدروى    "/>
    <s v="صيانة تكييف "/>
    <s v="تم العمل"/>
    <d v="1899-12-30T10:30:00"/>
    <d v="1899-12-30T12:00:00"/>
    <n v="6.25E-2"/>
    <x v="3"/>
    <n v="1.5"/>
  </r>
  <r>
    <x v="4"/>
    <d v="2024-05-18T00:00:00"/>
    <s v="السبت "/>
    <x v="5"/>
    <s v="احمد عبد المنعم"/>
    <s v="تلقيح النخل ونظافتة  "/>
    <s v="تم العمل"/>
    <d v="1899-12-30T10:30:00"/>
    <d v="1899-12-30T12:00:00"/>
    <n v="6.25E-2"/>
    <x v="3"/>
    <n v="1.5"/>
  </r>
  <r>
    <x v="4"/>
    <d v="2024-05-19T00:00:00"/>
    <s v="الاحد "/>
    <x v="22"/>
    <s v="محمودالدروى    "/>
    <s v="صيانة تكييف "/>
    <s v="تم العمل"/>
    <d v="1899-12-30T12:00:00"/>
    <d v="1899-12-30T17:00:00"/>
    <n v="0.20833333333333337"/>
    <x v="3"/>
    <n v="5.0000000000000009"/>
  </r>
  <r>
    <x v="4"/>
    <d v="2024-05-19T00:00:00"/>
    <s v="الاحد "/>
    <x v="6"/>
    <s v="احمد ابو زيد "/>
    <s v="قطع تيلة من ماكينة اسبيد ماستر "/>
    <s v="تم العمل"/>
    <d v="1899-12-30T11:00:00"/>
    <d v="1899-12-30T11:30:00"/>
    <n v="2.083333333333337E-2"/>
    <x v="3"/>
    <n v="0.50000000000000089"/>
  </r>
  <r>
    <x v="4"/>
    <d v="2024-05-19T00:00:00"/>
    <s v="الاحد "/>
    <x v="6"/>
    <s v="محمد مدنى "/>
    <s v="صيانة  الاستندات  "/>
    <s v="تم العمل"/>
    <d v="1899-12-30T00:00:00"/>
    <d v="1899-12-30T16:00:00"/>
    <n v="0.27079999999999999"/>
    <x v="1"/>
    <n v="6.4992000000000001"/>
  </r>
  <r>
    <x v="4"/>
    <d v="2024-05-20T00:00:00"/>
    <s v="الاثنين "/>
    <x v="22"/>
    <s v="محمودالدروى    "/>
    <s v="صيانة تكييف "/>
    <s v="تم العمل"/>
    <d v="1899-12-30T11:30:00"/>
    <d v="1899-12-30T12:30:00"/>
    <n v="4.1666666666666685E-2"/>
    <x v="3"/>
    <n v="1.0000000000000004"/>
  </r>
  <r>
    <x v="4"/>
    <d v="2024-05-21T00:00:00"/>
    <s v="الثلاثاء "/>
    <x v="3"/>
    <s v="علاء عبد الرحمن    "/>
    <s v="صيانة تكييف "/>
    <s v="تم العمل"/>
    <d v="1899-12-30T12:30:00"/>
    <d v="1899-12-30T15:00:00"/>
    <n v="0.10416666666666663"/>
    <x v="3"/>
    <n v="2.4999999999999991"/>
  </r>
  <r>
    <x v="4"/>
    <d v="2024-05-21T00:00:00"/>
    <s v="الثلاثاء "/>
    <x v="0"/>
    <s v="مراد  صالح "/>
    <s v="تجهيز لعمل ارضية خرسانية "/>
    <s v="تم العمل"/>
    <d v="1899-12-30T10:00:00"/>
    <d v="1899-12-30T16:00:00"/>
    <n v="0.27079999999999999"/>
    <x v="0"/>
    <n v="6.4992000000000001"/>
  </r>
  <r>
    <x v="4"/>
    <d v="2024-05-21T00:00:00"/>
    <s v="الثلاثاء "/>
    <x v="10"/>
    <s v="احمد فرج    "/>
    <s v="تركيب فراشة بالشارع  "/>
    <s v="تم العمل"/>
    <d v="1899-12-30T10:00:00"/>
    <d v="1899-12-30T13:30:00"/>
    <n v="0.14583333333333331"/>
    <x v="0"/>
    <n v="3.4999999999999996"/>
  </r>
  <r>
    <x v="4"/>
    <d v="2024-05-21T00:00:00"/>
    <s v="الثلاثاء "/>
    <x v="5"/>
    <s v="احمد سعيد "/>
    <s v="تركيب تندة للتكيف "/>
    <s v="تم العمل"/>
    <d v="1899-12-30T13:00:00"/>
    <d v="1899-12-30T15:00:00"/>
    <n v="8.333333333333337E-2"/>
    <x v="3"/>
    <n v="2.0000000000000009"/>
  </r>
  <r>
    <x v="4"/>
    <d v="2024-05-22T00:00:00"/>
    <s v="الاربعاء "/>
    <x v="7"/>
    <s v="محمد مهنى  "/>
    <s v="الزيارة الشهرية ومكافحة القورض والحشرات"/>
    <s v="تم العمل"/>
    <d v="1899-12-30T11:30:00"/>
    <d v="1899-12-30T12:00:00"/>
    <n v="2.0833333333333315E-2"/>
    <x v="3"/>
    <n v="0.49999999999999956"/>
  </r>
  <r>
    <x v="4"/>
    <d v="2024-05-22T00:00:00"/>
    <s v="الاربعاء "/>
    <x v="8"/>
    <s v="راضى سعيد "/>
    <s v="االزيارة الشهرية صيانة نظام الانزار "/>
    <s v="تم العمل"/>
    <d v="1899-12-30T10:00:00"/>
    <d v="1899-12-30T13:00:00"/>
    <n v="0.27079999999999999"/>
    <x v="0"/>
    <n v="6.4992000000000001"/>
  </r>
  <r>
    <x v="4"/>
    <d v="2024-05-22T00:00:00"/>
    <s v="الاربعاء "/>
    <x v="5"/>
    <s v="احمد عبد الله "/>
    <s v="ترميم فى العنابر بالمخازن "/>
    <s v="تم العمل"/>
    <d v="1899-12-30T10:00:00"/>
    <d v="1899-12-30T17:00:00"/>
    <n v="0.29166666666666669"/>
    <x v="6"/>
    <n v="7"/>
  </r>
  <r>
    <x v="4"/>
    <d v="2024-05-22T00:00:00"/>
    <s v="الاربعاء "/>
    <x v="10"/>
    <s v="احمد فرج    "/>
    <s v="تركيب فراشة بالشارع  "/>
    <s v="تم العمل"/>
    <d v="1899-12-30T12:00:00"/>
    <d v="1899-12-30T17:00:00"/>
    <n v="0.20833333333333337"/>
    <x v="0"/>
    <n v="5.0000000000000009"/>
  </r>
  <r>
    <x v="4"/>
    <d v="2024-05-22T00:00:00"/>
    <s v="الاربعاء "/>
    <x v="22"/>
    <s v="محمودالدروى    "/>
    <s v="صيانة تكييف "/>
    <s v="تم العمل"/>
    <d v="1899-12-30T10:00:00"/>
    <d v="1899-12-30T14:00:00"/>
    <n v="0.16666666666666669"/>
    <x v="3"/>
    <n v="4"/>
  </r>
  <r>
    <x v="4"/>
    <d v="2024-05-22T00:00:00"/>
    <s v="الاربعاء "/>
    <x v="7"/>
    <s v="محمد ماهر "/>
    <s v="الزيارة الشهرية ومكافحة القورض والحشرات"/>
    <s v="تم العمل"/>
    <d v="1899-12-30T10:30:00"/>
    <d v="1899-12-30T13:00:00"/>
    <n v="0.10416666666666663"/>
    <x v="3"/>
    <n v="2.4999999999999991"/>
  </r>
  <r>
    <x v="4"/>
    <d v="2024-05-23T00:00:00"/>
    <s v="الخميس "/>
    <x v="12"/>
    <s v="رامى محمد "/>
    <s v="ترميم فى العنابر بالمخازن "/>
    <s v="تم العمل"/>
    <d v="1899-12-30T14:00:00"/>
    <d v="1899-12-30T16:00:00"/>
    <n v="8.3333333333333259E-2"/>
    <x v="0"/>
    <n v="1.9999999999999982"/>
  </r>
  <r>
    <x v="4"/>
    <d v="2024-05-23T00:00:00"/>
    <s v="الخميس "/>
    <x v="10"/>
    <s v="احمد فرج    "/>
    <s v="تركيب فراشة بالشارع  "/>
    <s v="تم العمل"/>
    <d v="1899-12-30T11:30:00"/>
    <d v="1899-12-30T17:00:00"/>
    <n v="0.22916666666666669"/>
    <x v="0"/>
    <n v="5.5"/>
  </r>
  <r>
    <x v="4"/>
    <d v="2024-05-24T00:00:00"/>
    <s v="الجمعة "/>
    <x v="2"/>
    <s v="كمال احمد "/>
    <s v="توصيل و تركيب كابل فايبر  "/>
    <s v="تم العمل"/>
    <d v="1899-12-30T11:00:00"/>
    <d v="1899-12-30T19:30:00"/>
    <n v="0.35416666666666669"/>
    <x v="2"/>
    <n v="8.5"/>
  </r>
  <r>
    <x v="4"/>
    <d v="2024-05-25T00:00:00"/>
    <s v="السبت "/>
    <x v="8"/>
    <s v="ممدوح عبد التواب "/>
    <s v="صيانة نظام الانزار "/>
    <s v="تم العمل"/>
    <d v="1899-12-30T10:30:00"/>
    <d v="1899-12-30T14:30:00"/>
    <n v="0.27079999999999999"/>
    <x v="3"/>
    <n v="6.4992000000000001"/>
  </r>
  <r>
    <x v="4"/>
    <d v="2024-05-25T00:00:00"/>
    <s v="السبت "/>
    <x v="25"/>
    <s v="فارس خليل "/>
    <s v="تركيب سلم الطوارىء "/>
    <s v="تم العمل"/>
    <d v="1899-12-30T10:00:00"/>
    <d v="1899-12-30T15:00:00"/>
    <n v="0.27079999999999999"/>
    <x v="1"/>
    <n v="6.4992000000000001"/>
  </r>
  <r>
    <x v="4"/>
    <d v="2024-05-25T00:00:00"/>
    <s v="السبت "/>
    <x v="14"/>
    <s v="اسلام على  رمضان "/>
    <s v="تركيب مصاعد المخازن  الجديدة "/>
    <s v="تم العمل"/>
    <d v="1899-12-30T12:00:00"/>
    <d v="1899-12-30T16:00:00"/>
    <n v="0.27079999999999999"/>
    <x v="1"/>
    <n v="6.4992000000000001"/>
  </r>
  <r>
    <x v="4"/>
    <d v="2024-05-26T00:00:00"/>
    <s v="الاحد "/>
    <x v="13"/>
    <s v="ايهاب سيد"/>
    <s v="علاج مكان تسريب الاحبار "/>
    <s v="تم العمل"/>
    <d v="1899-12-30T10:00:00"/>
    <d v="1899-12-30T16:00:00"/>
    <n v="0.27079999999999999"/>
    <x v="0"/>
    <n v="6"/>
  </r>
  <r>
    <x v="4"/>
    <d v="2024-05-26T00:00:00"/>
    <s v="الاحد "/>
    <x v="14"/>
    <s v="اسلام على  رمضان "/>
    <s v="تركيب سقالات لمصاعد المخازن  الجديدة "/>
    <s v="تم العمل"/>
    <d v="1899-12-30T11:00:00"/>
    <d v="1899-12-30T15:00:00"/>
    <n v="0.27079999999999999"/>
    <x v="1"/>
    <n v="6.4992000000000001"/>
  </r>
  <r>
    <x v="4"/>
    <d v="2024-05-27T00:00:00"/>
    <s v="الاثنين "/>
    <x v="13"/>
    <s v="ايهاب سيد"/>
    <s v="علاج مكان تسريب الاحبار "/>
    <s v="تم العمل"/>
    <d v="1899-12-30T10:00:00"/>
    <d v="1899-12-30T16:00:00"/>
    <n v="0.27079999999999999"/>
    <x v="0"/>
    <n v="6"/>
  </r>
  <r>
    <x v="4"/>
    <d v="2024-05-27T00:00:00"/>
    <s v="الاثنين "/>
    <x v="0"/>
    <s v="مراد  صالح "/>
    <s v="عمل ارضية خرسانية لخزنات الطوارىء"/>
    <s v="تم العمل"/>
    <d v="1899-12-30T10:30:00"/>
    <d v="1899-12-30T16:00:00"/>
    <n v="0.27079999999999999"/>
    <x v="0"/>
    <n v="6.4992000000000001"/>
  </r>
  <r>
    <x v="4"/>
    <d v="2024-05-27T00:00:00"/>
    <s v="الاثنين "/>
    <x v="13"/>
    <s v="طه سعيد "/>
    <s v="علاج مكان تسريب الاحبار "/>
    <s v="تم العمل"/>
    <d v="1899-12-30T14:00:00"/>
    <d v="1899-12-30T17:00:00"/>
    <n v="0.27079999999999999"/>
    <x v="0"/>
    <n v="6.4992000000000001"/>
  </r>
  <r>
    <x v="4"/>
    <d v="2024-05-27T00:00:00"/>
    <s v="الاثنين "/>
    <x v="16"/>
    <s v="فارس خليل "/>
    <s v="تركيب كمر لمصاعد المخزن الجديد"/>
    <s v="تم العمل"/>
    <d v="1899-12-30T11:00:00"/>
    <d v="1899-12-30T16:00:00"/>
    <n v="0.27079999999999999"/>
    <x v="1"/>
    <n v="6.5"/>
  </r>
  <r>
    <x v="4"/>
    <d v="2024-05-28T00:00:00"/>
    <s v="الثلاثاء "/>
    <x v="13"/>
    <s v="ايهاب سيد"/>
    <s v="علاج مكان تسريب الاحبار "/>
    <s v="تم العمل"/>
    <d v="1899-12-30T10:00:00"/>
    <d v="1899-12-30T16:00:00"/>
    <n v="0.27079999999999999"/>
    <x v="0"/>
    <n v="6"/>
  </r>
  <r>
    <x v="4"/>
    <d v="2024-05-28T00:00:00"/>
    <s v="الثلاثاء "/>
    <x v="0"/>
    <s v="مراد  صالح "/>
    <s v="عمل ارضية خرسانية لخزنات الطوارىء"/>
    <s v="تم العمل"/>
    <d v="1899-12-30T10:30:00"/>
    <d v="1899-12-30T15:00:00"/>
    <n v="0.27079999999999999"/>
    <x v="0"/>
    <n v="6.4992000000000001"/>
  </r>
  <r>
    <x v="4"/>
    <d v="2024-05-28T00:00:00"/>
    <s v="الثلاثاء "/>
    <x v="16"/>
    <s v="فارس خليل "/>
    <s v="تركيب كمر لمصاعد المخزن الجديد"/>
    <s v="تم العمل"/>
    <d v="1899-12-30T10:00:00"/>
    <d v="1899-12-30T16:00:00"/>
    <n v="0.27079999999999999"/>
    <x v="1"/>
    <n v="6.5"/>
  </r>
  <r>
    <x v="4"/>
    <d v="2024-05-28T00:00:00"/>
    <s v="الثلاثاء "/>
    <x v="13"/>
    <s v="اسلام مصطفى  "/>
    <s v="عمل صيانة الكنترول  CTB"/>
    <s v="تم العمل"/>
    <d v="1899-12-30T14:00:00"/>
    <d v="1899-12-30T17:00:00"/>
    <n v="0.125"/>
    <x v="3"/>
    <n v="3"/>
  </r>
  <r>
    <x v="4"/>
    <d v="2024-05-29T00:00:00"/>
    <s v="الاربعاء "/>
    <x v="13"/>
    <s v="ايهاب سيد"/>
    <s v="علاج مكان تسريب الاحبار "/>
    <s v="تم العمل"/>
    <d v="1899-12-30T10:00:00"/>
    <d v="1899-12-30T16:00:00"/>
    <n v="0.27079999999999999"/>
    <x v="0"/>
    <n v="6"/>
  </r>
  <r>
    <x v="4"/>
    <d v="2024-05-29T00:00:00"/>
    <s v="الاربعاء "/>
    <x v="5"/>
    <s v="علاء احمد     "/>
    <s v="صيانة تكييف "/>
    <s v="تم العمل"/>
    <d v="1899-12-30T11:00:00"/>
    <d v="1899-12-30T15:00:00"/>
    <n v="0.27079999999999999"/>
    <x v="3"/>
    <n v="6.4992000000000001"/>
  </r>
  <r>
    <x v="4"/>
    <d v="2024-05-29T00:00:00"/>
    <s v="الاربعاء "/>
    <x v="22"/>
    <s v="محمودالدروى    "/>
    <s v="صيانة تكييف "/>
    <s v="تم العمل"/>
    <d v="1899-12-30T14:00:00"/>
    <d v="1899-12-30T15:00:00"/>
    <n v="4.166666666666663E-2"/>
    <x v="3"/>
    <n v="0.99999999999999911"/>
  </r>
  <r>
    <x v="4"/>
    <d v="2024-05-29T00:00:00"/>
    <s v="الاربعاء "/>
    <x v="22"/>
    <s v="محمودالدروى    "/>
    <s v="تركيب ماتور لكولدير المياه"/>
    <s v="تم العمل"/>
    <d v="1899-12-30T15:00:00"/>
    <d v="1899-12-30T16:00:00"/>
    <n v="4.166666666666663E-2"/>
    <x v="3"/>
    <n v="0.99999999999999911"/>
  </r>
  <r>
    <x v="4"/>
    <d v="2024-05-30T00:00:00"/>
    <s v="الخميس "/>
    <x v="22"/>
    <s v="محمودالدروى    "/>
    <s v="صيانة تكييف "/>
    <s v="تم العمل"/>
    <d v="1899-12-30T10:30:00"/>
    <d v="1899-12-30T13:00:00"/>
    <n v="0.10416666666666663"/>
    <x v="3"/>
    <n v="2.4999999999999991"/>
  </r>
  <r>
    <x v="4"/>
    <d v="2024-05-30T00:00:00"/>
    <s v="الخميس "/>
    <x v="8"/>
    <s v="عصام شرف      "/>
    <s v="الزيارة الشهرية  شهرى على خط  الاطفاء "/>
    <s v="تم العمل"/>
    <d v="1899-12-30T15:00:00"/>
    <d v="1899-12-30T17:30:00"/>
    <n v="0.10416666666666663"/>
    <x v="3"/>
    <n v="2.5"/>
  </r>
  <r>
    <x v="4"/>
    <d v="2024-05-30T00:00:00"/>
    <s v="الخميس "/>
    <x v="13"/>
    <s v="ايهاب سيد"/>
    <s v="علاج مكان تسريب الاحبار "/>
    <s v="تم العمل"/>
    <d v="1899-12-30T10:00:00"/>
    <d v="1899-12-30T16:00:00"/>
    <n v="0.27079999999999999"/>
    <x v="0"/>
    <n v="6"/>
  </r>
  <r>
    <x v="4"/>
    <d v="2024-05-30T00:00:00"/>
    <s v="الخميس "/>
    <x v="10"/>
    <s v="حمادة شعبان"/>
    <s v="تركيب فراشة بالشارع  "/>
    <s v="تم العمل"/>
    <d v="1899-12-30T12:00:00"/>
    <d v="1899-12-30T16:00:00"/>
    <n v="0.16666666666666663"/>
    <x v="0"/>
    <n v="3.9999999999999991"/>
  </r>
  <r>
    <x v="4"/>
    <d v="2024-05-31T00:00:00"/>
    <s v="الجمعة "/>
    <x v="2"/>
    <s v="محمد رسمى "/>
    <s v="توصيل و تركيب كابل فايبر  "/>
    <s v="تم العمل"/>
    <d v="1899-12-30T11:00:00"/>
    <d v="1899-12-30T20:30:00"/>
    <n v="0.39583333333333331"/>
    <x v="2"/>
    <n v="9.5"/>
  </r>
  <r>
    <x v="4"/>
    <d v="2024-05-31T00:00:00"/>
    <s v="الجمعة "/>
    <x v="7"/>
    <s v="سامح الامير"/>
    <s v="رش وتعقيم سكن الشقق الخارجية  للعاملين "/>
    <s v="تم العمل"/>
    <d v="1899-12-30T10:30:00"/>
    <d v="1899-12-30T11:00:00"/>
    <n v="2.0833333333333315E-2"/>
    <x v="3"/>
    <n v="0.49999999999999956"/>
  </r>
  <r>
    <x v="4"/>
    <d v="2024-05-31T00:00:00"/>
    <s v="الجمعة "/>
    <x v="10"/>
    <s v="حمادة شعبان"/>
    <s v="تركيب فراشة بالشارع  "/>
    <s v="تم العمل"/>
    <d v="1899-12-30T12:00:00"/>
    <d v="1899-12-30T17:00:00"/>
    <n v="0.20833333333333337"/>
    <x v="0"/>
    <n v="5.0000000000000009"/>
  </r>
  <r>
    <x v="4"/>
    <d v="2024-05-31T00:00:00"/>
    <s v="الجمعة "/>
    <x v="13"/>
    <s v="طه سعيد "/>
    <s v="علاج مكان تسريب الاحبار "/>
    <s v="تم العمل"/>
    <d v="1899-12-30T12:00:00"/>
    <d v="1899-12-30T17:00:00"/>
    <n v="0.20833333333333337"/>
    <x v="0"/>
    <n v="5.0000000000000009"/>
  </r>
  <r>
    <x v="4"/>
    <d v="2024-05-31T00:00:00"/>
    <s v="الجمعة "/>
    <x v="7"/>
    <s v="سامح الامير"/>
    <s v="رش وتعقيم سكن الامن  ومبيت السائقين "/>
    <s v="تم العمل"/>
    <d v="1899-12-30T09:00:00"/>
    <d v="1899-12-30T10:00:00"/>
    <n v="4.1666666666666685E-2"/>
    <x v="3"/>
    <n v="1.0000000000000004"/>
  </r>
  <r>
    <x v="5"/>
    <d v="2024-06-01T00:00:00"/>
    <s v="السبت "/>
    <x v="0"/>
    <s v="مراد  صالح "/>
    <s v="عمل ارضية خرسانية لخزنات الطوارىء"/>
    <s v="تم العمل"/>
    <d v="1899-12-30T10:00:00"/>
    <d v="1899-12-30T13:00:00"/>
    <n v="0.27079999999999999"/>
    <x v="0"/>
    <n v="3"/>
  </r>
  <r>
    <x v="5"/>
    <d v="2024-06-01T00:00:00"/>
    <s v="السبت "/>
    <x v="13"/>
    <s v="طه سعيد "/>
    <s v="علاج مكان تسريب الاحبار "/>
    <s v="تم العمل"/>
    <d v="1899-12-30T10:00:00"/>
    <d v="1899-12-30T15:00:00"/>
    <n v="0.27079999999999999"/>
    <x v="0"/>
    <n v="5"/>
  </r>
  <r>
    <x v="5"/>
    <d v="2024-06-02T00:00:00"/>
    <s v="الاحد "/>
    <x v="13"/>
    <s v="ايمن محمد"/>
    <s v="علاج مكان تسريب الاحبار "/>
    <s v="تم العمل"/>
    <d v="1899-12-30T11:00:00"/>
    <d v="1899-12-30T17:00:00"/>
    <n v="0.25000000000000006"/>
    <x v="0"/>
    <n v="6"/>
  </r>
  <r>
    <x v="5"/>
    <d v="2024-06-02T00:00:00"/>
    <s v="الاحد "/>
    <x v="38"/>
    <s v="احمد فايد"/>
    <s v="تغير فلاتر المياه"/>
    <s v="تم العمل"/>
    <d v="1899-12-30T12:00:00"/>
    <d v="1899-12-30T14:00:00"/>
    <n v="8.333333333333337E-2"/>
    <x v="3"/>
    <n v="2.0000000000000009"/>
  </r>
  <r>
    <x v="5"/>
    <d v="2024-06-02T00:00:00"/>
    <s v="الاحد "/>
    <x v="10"/>
    <s v="حمادة شعبان"/>
    <s v="تركيب فراشة بالشارع  "/>
    <s v="تم العمل"/>
    <d v="1899-12-30T11:00:00"/>
    <d v="1899-12-30T17:00:00"/>
    <n v="0.25000000000000006"/>
    <x v="0"/>
    <n v="6"/>
  </r>
  <r>
    <x v="5"/>
    <d v="2024-06-02T00:00:00"/>
    <s v="الاحد "/>
    <x v="11"/>
    <s v="محمد رمضان   "/>
    <s v="صيانة الكلاركات "/>
    <s v="تم العمل"/>
    <d v="1899-12-30T10:00:00"/>
    <d v="1899-12-30T13:30:00"/>
    <n v="0.14583333333333331"/>
    <x v="3"/>
    <n v="3.4999999999999996"/>
  </r>
  <r>
    <x v="5"/>
    <d v="2024-06-03T00:00:00"/>
    <s v="الاثنين "/>
    <x v="26"/>
    <s v="محمد على"/>
    <s v="صيانة دورية لغرف ومحابس الغاز     "/>
    <s v="تم العمل"/>
    <d v="1899-12-30T11:30:00"/>
    <d v="1899-12-30T12:00:00"/>
    <n v="2.0833333333333315E-2"/>
    <x v="3"/>
    <n v="0.49999999999999956"/>
  </r>
  <r>
    <x v="5"/>
    <d v="2024-06-03T00:00:00"/>
    <s v="الاثنين "/>
    <x v="7"/>
    <s v="محمد ماهر "/>
    <s v="الزيارة الشهرية ومكافحة حشرات "/>
    <s v="تم العمل"/>
    <d v="1899-12-30T10:30:00"/>
    <d v="1899-12-30T12:30:00"/>
    <n v="8.333333333333337E-2"/>
    <x v="3"/>
    <n v="2.0000000000000009"/>
  </r>
  <r>
    <x v="5"/>
    <d v="2024-06-03T00:00:00"/>
    <s v="الاثنين "/>
    <x v="5"/>
    <s v="محمد النقيب "/>
    <s v="صيانة الكهرباء بالشوارع "/>
    <s v="تم العمل"/>
    <d v="1899-12-30T10:00:00"/>
    <d v="1899-12-30T12:00:00"/>
    <n v="8.3333333333333315E-2"/>
    <x v="3"/>
    <n v="1.9999999999999996"/>
  </r>
  <r>
    <x v="5"/>
    <d v="2024-06-03T00:00:00"/>
    <s v="الاثنين "/>
    <x v="8"/>
    <s v="حامد ابو المحاميد       "/>
    <s v="الزيارة الشهرية وصيانة خط الحريق "/>
    <s v="تم العمل"/>
    <d v="1899-12-30T12:00:00"/>
    <d v="1899-12-30T16:00:00"/>
    <n v="0.16666666666666663"/>
    <x v="3"/>
    <n v="3.9999999999999991"/>
  </r>
  <r>
    <x v="5"/>
    <d v="2024-06-03T00:00:00"/>
    <s v="الاثنين "/>
    <x v="5"/>
    <s v="محمد جابر "/>
    <s v="تركيب خيمة للاضحية"/>
    <s v="تم العمل"/>
    <d v="1899-12-30T10:00:00"/>
    <d v="1899-12-30T16:00:00"/>
    <n v="0.24999999999999994"/>
    <x v="3"/>
    <n v="6"/>
  </r>
  <r>
    <x v="5"/>
    <d v="2024-06-03T00:00:00"/>
    <s v="الاثنين "/>
    <x v="5"/>
    <s v="احمد عبد الله  "/>
    <s v="دهانات سلم المبنى الادارى  "/>
    <s v="تم العمل"/>
    <d v="1899-12-30T17:00:00"/>
    <d v="1899-12-30T14:00:00"/>
    <n v="0.125"/>
    <x v="6"/>
    <n v="3"/>
  </r>
  <r>
    <x v="5"/>
    <d v="2024-06-04T00:00:00"/>
    <s v="الثلاثاء "/>
    <x v="11"/>
    <s v="محمد رمضان   "/>
    <s v="صيانة الكلاركات "/>
    <s v="تم العمل"/>
    <d v="1899-12-30T10:30:00"/>
    <d v="1899-12-30T17:30:00"/>
    <n v="0.29166666666666663"/>
    <x v="3"/>
    <n v="6.9999999999999991"/>
  </r>
  <r>
    <x v="5"/>
    <d v="2024-06-04T00:00:00"/>
    <s v="الثلاثاء "/>
    <x v="13"/>
    <s v="طه سعيد "/>
    <s v="لحام  تسريب الاحبار "/>
    <s v="تم العمل"/>
    <d v="1899-12-30T11:00:00"/>
    <d v="1899-12-30T17:00:00"/>
    <n v="0.27079999999999999"/>
    <x v="0"/>
    <n v="6"/>
  </r>
  <r>
    <x v="5"/>
    <d v="2024-06-04T00:00:00"/>
    <s v="الثلاثاء "/>
    <x v="14"/>
    <s v="احمد السيد "/>
    <s v="تركيب اسنسيرات البضائع "/>
    <s v="تم العمل"/>
    <d v="1899-12-30T10:30:00"/>
    <d v="1899-12-30T17:00:00"/>
    <n v="0.27079999999999999"/>
    <x v="1"/>
    <n v="6.4992000000000001"/>
  </r>
  <r>
    <x v="5"/>
    <d v="2024-06-05T00:00:00"/>
    <s v="الاربعاء "/>
    <x v="18"/>
    <s v="فيكتور     "/>
    <s v="صيانة الرامب المتحرك"/>
    <s v="تم العمل"/>
    <d v="1899-12-30T12:00:00"/>
    <d v="1899-12-30T17:30:00"/>
    <n v="0.27079999999999999"/>
    <x v="4"/>
    <n v="5.5"/>
  </r>
  <r>
    <x v="5"/>
    <d v="2024-06-05T00:00:00"/>
    <s v="الاربعاء "/>
    <x v="5"/>
    <s v="محمد النقيب "/>
    <s v="صيانة برايز الكهرباء في غرفة الامن"/>
    <s v="تم العمل"/>
    <d v="1899-12-30T10:30:00"/>
    <d v="1899-12-30T11:30:00"/>
    <n v="4.1666666666666685E-2"/>
    <x v="3"/>
    <n v="1.0000000000000004"/>
  </r>
  <r>
    <x v="5"/>
    <d v="2024-06-05T00:00:00"/>
    <s v="الاربعاء "/>
    <x v="14"/>
    <s v="احمد السيد "/>
    <s v="تركيب اسنسيرات البضائع "/>
    <s v="تم العمل"/>
    <d v="1899-12-30T09:30:00"/>
    <d v="1899-12-30T17:30:00"/>
    <n v="0.33333333333333331"/>
    <x v="1"/>
    <n v="8"/>
  </r>
  <r>
    <x v="5"/>
    <d v="2024-06-05T00:00:00"/>
    <s v="الاربعاء "/>
    <x v="13"/>
    <s v="طه سعيد "/>
    <s v="لحام  تسريب الاحبار "/>
    <s v="تم العمل"/>
    <d v="1899-12-30T11:00:00"/>
    <d v="1899-12-30T17:00:00"/>
    <n v="0.27079999999999999"/>
    <x v="0"/>
    <n v="5"/>
  </r>
  <r>
    <x v="5"/>
    <d v="2024-06-05T00:00:00"/>
    <s v="الاربعاء "/>
    <x v="5"/>
    <s v="احمد سعيد  "/>
    <s v="صيانة سباكة للمخزن"/>
    <s v="تم العمل"/>
    <d v="1899-12-30T14:00:00"/>
    <d v="1899-12-30T17:00:00"/>
    <n v="0.27079999999999999"/>
    <x v="1"/>
    <n v="3"/>
  </r>
  <r>
    <x v="5"/>
    <d v="2024-06-05T00:00:00"/>
    <s v="الاربعاء "/>
    <x v="0"/>
    <s v="مراد  صالح "/>
    <s v="عمل ارضية خرسانية لخزنات الطوارىء"/>
    <s v="تم العمل"/>
    <d v="1899-12-30T11:00:00"/>
    <d v="1899-12-30T17:00:00"/>
    <n v="0.27079999999999999"/>
    <x v="0"/>
    <n v="6"/>
  </r>
  <r>
    <x v="5"/>
    <d v="2024-06-05T00:00:00"/>
    <s v="الاربعاء "/>
    <x v="39"/>
    <s v="محمد البدري"/>
    <s v="تركيب ارفينت على شبكة الحريق"/>
    <s v="تم العمل"/>
    <d v="1899-12-30T12:00:00"/>
    <d v="1899-12-30T15:30:00"/>
    <n v="0.14583333333333337"/>
    <x v="1"/>
    <n v="3.5"/>
  </r>
  <r>
    <x v="5"/>
    <d v="2024-06-06T00:00:00"/>
    <s v="الخميس "/>
    <x v="13"/>
    <s v="اسلام مصطفى  "/>
    <s v="عمل صيانة الكنترول  CTB"/>
    <s v="تم العمل"/>
    <d v="1899-12-30T14:00:00"/>
    <d v="1899-12-30T18:00:00"/>
    <n v="0.16666666666666663"/>
    <x v="3"/>
    <n v="3.9999999999999991"/>
  </r>
  <r>
    <x v="5"/>
    <d v="2024-06-06T00:00:00"/>
    <s v="الخميس "/>
    <x v="0"/>
    <s v="مراد  صالح "/>
    <s v="عمل ارضية خرسانية لخزنات الطوارىء"/>
    <s v="تم العمل"/>
    <d v="1899-12-30T10:00:00"/>
    <d v="1899-12-30T13:00:00"/>
    <n v="0.12499999999999994"/>
    <x v="0"/>
    <n v="3"/>
  </r>
  <r>
    <x v="5"/>
    <d v="2024-06-06T00:00:00"/>
    <s v="الخميس "/>
    <x v="14"/>
    <s v="محمد متولى  "/>
    <s v="تركيب اسنسيرات البضائع "/>
    <s v="تم العمل"/>
    <d v="1899-12-30T15:00:00"/>
    <d v="1899-12-30T16:00:00"/>
    <n v="4.166666666666663E-2"/>
    <x v="1"/>
    <n v="0.99999999999999911"/>
  </r>
  <r>
    <x v="5"/>
    <d v="2024-06-06T00:00:00"/>
    <s v="الخميس "/>
    <x v="40"/>
    <s v="محمد فاروق  "/>
    <s v="لصق اعلانات على الاستاندات "/>
    <s v="تم العمل"/>
    <d v="1899-12-30T12:00:00"/>
    <d v="1899-12-30T15:00:00"/>
    <n v="0.125"/>
    <x v="1"/>
    <n v="3"/>
  </r>
  <r>
    <x v="5"/>
    <d v="2024-06-09T00:00:00"/>
    <s v="الاحد "/>
    <x v="26"/>
    <s v="محمدحسنى "/>
    <s v="صيانة دورية لغرف ومحابس الغاز     "/>
    <s v="تم العمل"/>
    <d v="1899-12-30T12:00:00"/>
    <d v="1899-12-30T14:00:00"/>
    <n v="8.333333333333337E-2"/>
    <x v="3"/>
    <n v="2.0000000000000009"/>
  </r>
  <r>
    <x v="5"/>
    <d v="2024-06-09T00:00:00"/>
    <s v="الاحد "/>
    <x v="26"/>
    <s v="مصطفى حمزة "/>
    <s v="عمل صيانة فى غرفة الهواء     "/>
    <s v="تم العمل"/>
    <d v="1899-12-30T09:30:00"/>
    <d v="1899-12-30T16:00:00"/>
    <n v="0.27083333333333331"/>
    <x v="3"/>
    <n v="6.5"/>
  </r>
  <r>
    <x v="5"/>
    <d v="2024-06-09T00:00:00"/>
    <s v="الاحد "/>
    <x v="5"/>
    <s v="علاء احمد   "/>
    <s v="صيانة تكييف "/>
    <s v="تم العمل"/>
    <d v="1899-12-30T14:30:00"/>
    <d v="1899-12-30T17:00:00"/>
    <n v="0.10416666666666674"/>
    <x v="3"/>
    <n v="2.5000000000000018"/>
  </r>
  <r>
    <x v="5"/>
    <d v="2024-06-09T00:00:00"/>
    <s v="الاحد "/>
    <x v="0"/>
    <s v="مراد  صالح "/>
    <s v="تركيب سلم طوارىء "/>
    <s v="تم العمل"/>
    <d v="1899-12-30T12:00:00"/>
    <d v="1899-12-30T16:00:00"/>
    <n v="0.16666666666666663"/>
    <x v="1"/>
    <n v="3"/>
  </r>
  <r>
    <x v="5"/>
    <d v="2024-06-09T00:00:00"/>
    <s v="الاحد "/>
    <x v="14"/>
    <s v="احمد السيد  "/>
    <s v="تركيب اسنسيرات البضائع "/>
    <s v="تم العمل"/>
    <d v="1899-12-30T10:00:00"/>
    <d v="1899-12-30T17:00:00"/>
    <n v="0.29166666666666669"/>
    <x v="1"/>
    <n v="7"/>
  </r>
  <r>
    <x v="5"/>
    <d v="2024-06-09T00:00:00"/>
    <s v="الاحد "/>
    <x v="18"/>
    <s v="فيكتور لوندى      "/>
    <s v=" عمل صيانة الرامب التحميل "/>
    <s v="تم العمل"/>
    <d v="1899-12-30T12:00:00"/>
    <d v="1899-12-30T15:30:00"/>
    <n v="0.27079999999999999"/>
    <x v="4"/>
    <n v="5.5"/>
  </r>
  <r>
    <x v="5"/>
    <d v="2024-06-10T00:00:00"/>
    <s v="الاثنين "/>
    <x v="13"/>
    <s v="طه سعيد "/>
    <s v="تشغيل تنكات الاحبار التى بهاتسريب "/>
    <s v="تم العمل"/>
    <d v="1899-12-30T11:30:00"/>
    <d v="1899-12-30T13:00:00"/>
    <n v="0.27079999999999999"/>
    <x v="0"/>
    <n v="6"/>
  </r>
  <r>
    <x v="5"/>
    <d v="2024-06-10T00:00:00"/>
    <s v="الاثنين "/>
    <x v="26"/>
    <s v="محمدحسنى "/>
    <s v="صيانة فى خطوط الغاز      "/>
    <s v="تم العمل"/>
    <d v="1899-12-30T11:30:00"/>
    <d v="1899-12-30T12:30:00"/>
    <n v="4.1666666666666685E-2"/>
    <x v="3"/>
    <n v="1.0000000000000004"/>
  </r>
  <r>
    <x v="5"/>
    <d v="2024-06-10T00:00:00"/>
    <s v="الاثنين "/>
    <x v="5"/>
    <s v="محمد النقيب "/>
    <s v="صيانةكشافات الشوارع الخارجية "/>
    <s v="تم العمل"/>
    <d v="1899-12-30T11:00:00"/>
    <d v="1899-12-30T20:00:00"/>
    <n v="0.37500000000000006"/>
    <x v="1"/>
    <n v="9.0000000000000018"/>
  </r>
  <r>
    <x v="5"/>
    <d v="2024-06-10T00:00:00"/>
    <s v="الاثنين "/>
    <x v="7"/>
    <s v="محمد ماهر "/>
    <s v="الزيارة الشهرية و مكافحة حشرات "/>
    <s v="تم العمل"/>
    <d v="1899-12-30T12:00:00"/>
    <d v="1899-12-30T11:00:00"/>
    <n v="4.1666666666666685E-2"/>
    <x v="0"/>
    <n v="1.0000000000000004"/>
  </r>
  <r>
    <x v="5"/>
    <d v="2024-06-10T00:00:00"/>
    <s v="الاثنين "/>
    <x v="0"/>
    <s v="فارس خليل "/>
    <s v="تركيب سلم الطوارىء "/>
    <s v="تم العمل"/>
    <d v="1899-12-30T09:30:00"/>
    <d v="1899-12-30T15:00:00"/>
    <n v="0.27079999999999999"/>
    <x v="1"/>
    <n v="6.4992000000000001"/>
  </r>
  <r>
    <x v="5"/>
    <d v="2024-06-10T00:00:00"/>
    <s v="الاثنين "/>
    <x v="8"/>
    <s v="حامد      "/>
    <s v="صيانة خط الحريق "/>
    <s v="تم العمل"/>
    <d v="1899-12-30T09:30:00"/>
    <d v="1899-12-30T17:00:00"/>
    <n v="0.31250000000000006"/>
    <x v="3"/>
    <n v="7.5000000000000018"/>
  </r>
  <r>
    <x v="5"/>
    <d v="2024-06-10T00:00:00"/>
    <s v="الاثنين "/>
    <x v="13"/>
    <s v="طه سعيد "/>
    <s v="لحام  تسريب الاحبار "/>
    <s v="تم العمل"/>
    <d v="1899-12-30T12:00:00"/>
    <d v="1899-12-30T17:00:00"/>
    <n v="0.27079999999999999"/>
    <x v="3"/>
    <n v="5"/>
  </r>
  <r>
    <x v="5"/>
    <d v="2024-06-10T00:00:00"/>
    <s v="الاثنين "/>
    <x v="7"/>
    <s v="محمد ماهر "/>
    <s v="الزيارة الشهرية و مكافحة حشرات "/>
    <s v="تم العمل"/>
    <d v="1899-12-30T13:00:00"/>
    <d v="1899-12-30T14:30:00"/>
    <n v="6.25E-2"/>
    <x v="1"/>
    <n v="1.5"/>
  </r>
  <r>
    <x v="5"/>
    <d v="2024-06-10T00:00:00"/>
    <s v="الاثنين "/>
    <x v="0"/>
    <s v="مراد  صالح "/>
    <s v="استكمال عمل  ارضية خرسانية لخزنات الحريق "/>
    <s v="تم العمل"/>
    <d v="1899-12-30T10:00:00"/>
    <d v="1899-12-30T14:00:00"/>
    <n v="0.16666666666666669"/>
    <x v="0"/>
    <n v="3"/>
  </r>
  <r>
    <x v="5"/>
    <d v="2024-06-10T00:00:00"/>
    <s v="الاثنين "/>
    <x v="7"/>
    <s v="محمد ماهر "/>
    <s v="رش وتعقيم سكن الامن  "/>
    <s v="تم العمل"/>
    <d v="1899-12-30T10:00:00"/>
    <d v="1899-12-30T11:00:00"/>
    <n v="4.166666666666663E-2"/>
    <x v="0"/>
    <n v="0.99999999999999911"/>
  </r>
  <r>
    <x v="5"/>
    <d v="2024-06-11T00:00:00"/>
    <s v="الثلاثاء "/>
    <x v="26"/>
    <s v="محمدحسنى "/>
    <s v="صيانة فى خطوط الغاز      "/>
    <s v="تم العمل"/>
    <d v="1899-12-30T13:30:00"/>
    <d v="1899-12-30T14:00:00"/>
    <n v="2.083333333333337E-2"/>
    <x v="3"/>
    <n v="0.50000000000000089"/>
  </r>
  <r>
    <x v="5"/>
    <d v="2024-06-11T00:00:00"/>
    <s v="الثلاثاء "/>
    <x v="0"/>
    <s v="فارس خليل "/>
    <s v="تركيب سلم الطوارىء "/>
    <s v="تم العمل"/>
    <d v="1899-12-30T10:00:00"/>
    <d v="1899-12-30T15:30:00"/>
    <n v="0.27079999999999999"/>
    <x v="1"/>
    <n v="6.4992000000000001"/>
  </r>
  <r>
    <x v="5"/>
    <d v="2024-06-11T00:00:00"/>
    <s v="الثلاثاء "/>
    <x v="6"/>
    <s v="صابر ابلراهيم "/>
    <s v="تركيب  علبة حديد على لوحة كهرباء  "/>
    <s v="تم العمل"/>
    <d v="1899-12-30T14:00:00"/>
    <d v="1899-12-30T15:00:00"/>
    <n v="4.166666666666663E-2"/>
    <x v="3"/>
    <n v="0.99999999999999911"/>
  </r>
  <r>
    <x v="5"/>
    <d v="2024-06-11T00:00:00"/>
    <s v="الثلاثاء "/>
    <x v="14"/>
    <s v="احمد السيد  "/>
    <s v="تركيب مصاعد البضائع "/>
    <s v="تم العمل"/>
    <d v="1899-12-30T11:00:00"/>
    <d v="1899-12-30T17:30:00"/>
    <n v="0.27083333333333331"/>
    <x v="1"/>
    <n v="6.5"/>
  </r>
  <r>
    <x v="5"/>
    <d v="2024-06-12T00:00:00"/>
    <s v="الاربعاء "/>
    <x v="0"/>
    <s v="مراد  صالح "/>
    <s v="تركيب سلم الطوارىء "/>
    <s v="تم العمل"/>
    <d v="1899-12-30T10:00:00"/>
    <d v="1899-12-30T15:30:00"/>
    <n v="0.27079999999999999"/>
    <x v="1"/>
    <n v="6.4992000000000001"/>
  </r>
  <r>
    <x v="5"/>
    <d v="2024-06-12T00:00:00"/>
    <s v="الاربعاء "/>
    <x v="14"/>
    <s v="احمد السيد  "/>
    <s v="تركيب مصاعد البضائع "/>
    <s v="تم العمل"/>
    <d v="1899-12-30T11:30:00"/>
    <d v="1899-12-30T17:30:00"/>
    <n v="0.24999999999999994"/>
    <x v="1"/>
    <n v="5.9999999999999982"/>
  </r>
  <r>
    <x v="5"/>
    <d v="2024-06-12T00:00:00"/>
    <s v="الاربعاء "/>
    <x v="11"/>
    <s v="محمد رمضان   "/>
    <s v="صيانة الكلاركات "/>
    <s v="تم العمل"/>
    <d v="1899-12-30T10:30:00"/>
    <d v="1899-12-30T14:00:00"/>
    <n v="0.14583333333333337"/>
    <x v="3"/>
    <n v="3.5000000000000009"/>
  </r>
  <r>
    <x v="5"/>
    <d v="2024-06-12T00:00:00"/>
    <s v="الاربعاء "/>
    <x v="5"/>
    <s v="حسن  محمد   "/>
    <s v="فك التندة الخاصة بمخزن التجارة والتوزيع "/>
    <s v="تم العمل"/>
    <d v="1899-12-30T10:00:00"/>
    <d v="1899-12-30T16:00:00"/>
    <n v="0.24999999999999994"/>
    <x v="6"/>
    <n v="5.9999999999999982"/>
  </r>
  <r>
    <x v="5"/>
    <d v="2024-06-12T00:00:00"/>
    <s v="الاربعاء "/>
    <x v="8"/>
    <s v="على  شحات "/>
    <s v="الزيارة الشهرية وصيانة نظام الانزار "/>
    <s v="تم العمل"/>
    <d v="1899-12-30T10:00:00"/>
    <d v="1899-12-30T11:00:00"/>
    <n v="0.27079999999999999"/>
    <x v="3"/>
    <n v="6.4992000000000001"/>
  </r>
  <r>
    <x v="5"/>
    <d v="2024-06-13T00:00:00"/>
    <s v="الخميس "/>
    <x v="25"/>
    <s v="فارس خليل "/>
    <s v="تركيب سلم الطوارىء "/>
    <s v="تم العمل"/>
    <d v="1899-12-30T09:00:00"/>
    <d v="1899-12-30T14:00:00"/>
    <n v="0.27079999999999999"/>
    <x v="1"/>
    <n v="6.4992000000000001"/>
  </r>
  <r>
    <x v="5"/>
    <d v="2024-06-13T00:00:00"/>
    <s v="الخميس "/>
    <x v="29"/>
    <s v="صابر  محمد "/>
    <s v="لحام تربيزات داخل الكفتريا "/>
    <s v="تم العمل"/>
    <d v="1899-12-30T13:00:00"/>
    <d v="1899-12-30T16:30:00"/>
    <n v="0.14583333333333337"/>
    <x v="3"/>
    <n v="3.5000000000000009"/>
  </r>
  <r>
    <x v="5"/>
    <d v="2024-06-13T00:00:00"/>
    <s v="الخميس "/>
    <x v="5"/>
    <s v="حسن  محمد    "/>
    <s v="تعديل  حوامل التندة وتركيب الصاج  "/>
    <s v="تم العمل"/>
    <d v="1899-12-30T12:30:00"/>
    <d v="1899-12-30T14:00:00"/>
    <n v="6.25E-2"/>
    <x v="3"/>
    <n v="1.5"/>
  </r>
  <r>
    <x v="5"/>
    <d v="2024-06-14T00:00:00"/>
    <s v="الجمعة "/>
    <x v="5"/>
    <s v="حسن  محمد    "/>
    <s v="تركيب وعمل تندة فى مخزن التجارة والتوزيع "/>
    <s v="تم العمل"/>
    <d v="1899-12-30T10:30:00"/>
    <d v="1899-12-30T17:00:00"/>
    <n v="0.27083333333333337"/>
    <x v="3"/>
    <n v="6.5000000000000009"/>
  </r>
  <r>
    <x v="5"/>
    <d v="2024-06-19T00:00:00"/>
    <s v="الاربعاء "/>
    <x v="13"/>
    <s v="طه سعيد "/>
    <s v="لحام  تسريب الاحبار "/>
    <s v="تم العمل"/>
    <d v="1899-12-30T14:00:00"/>
    <d v="1899-12-30T17:00:00"/>
    <n v="0.125"/>
    <x v="0"/>
    <n v="5"/>
  </r>
  <r>
    <x v="5"/>
    <d v="2024-06-20T00:00:00"/>
    <s v="الخميس "/>
    <x v="13"/>
    <s v="طه سعيد "/>
    <s v="لحام  تسريب الاحبار "/>
    <s v="تم العمل"/>
    <d v="1899-12-30T00:00:00"/>
    <d v="1899-12-30T16:00:00"/>
    <n v="0.66666666666666663"/>
    <x v="0"/>
    <n v="5"/>
  </r>
  <r>
    <x v="5"/>
    <d v="2024-06-21T00:00:00"/>
    <s v="الجمعة "/>
    <x v="13"/>
    <s v="طه سعيد "/>
    <s v="لحام  تسريب الاحبار "/>
    <s v="تم العمل"/>
    <d v="1899-12-30T16:00:00"/>
    <d v="1899-12-30T17:00:00"/>
    <n v="4.1666666666666741E-2"/>
    <x v="0"/>
    <n v="1.0000000000000018"/>
  </r>
  <r>
    <x v="5"/>
    <d v="2024-06-22T00:00:00"/>
    <s v="السبت "/>
    <x v="25"/>
    <s v="فارس خليل "/>
    <s v="تركيب سلم الطوارىء "/>
    <s v="تم العمل"/>
    <d v="1899-12-30T11:00:00"/>
    <d v="1899-12-30T15:00:00"/>
    <n v="0.16666666666666669"/>
    <x v="1"/>
    <n v="4"/>
  </r>
  <r>
    <x v="5"/>
    <d v="2024-06-22T00:00:00"/>
    <s v="السبت "/>
    <x v="13"/>
    <s v="فتحى طه سعيد "/>
    <s v="لحام  تسريب الاحبار "/>
    <s v="تم العمل"/>
    <d v="1899-12-30T11:00:00"/>
    <d v="1899-12-30T17:30:00"/>
    <n v="0.27083333333333331"/>
    <x v="0"/>
    <n v="6.5"/>
  </r>
  <r>
    <x v="5"/>
    <d v="2024-06-23T00:00:00"/>
    <s v="الاحد "/>
    <x v="26"/>
    <s v="احمد عبد الناصر "/>
    <s v="فك العداد للصيانة ومعايرة   "/>
    <s v="تم العمل"/>
    <d v="1899-12-30T12:30:00"/>
    <d v="1899-12-30T13:00:00"/>
    <n v="2.0833333333333259E-2"/>
    <x v="3"/>
    <n v="0.49999999999999822"/>
  </r>
  <r>
    <x v="5"/>
    <d v="2024-06-23T00:00:00"/>
    <s v="الاحد "/>
    <x v="25"/>
    <s v="فارس خليل "/>
    <s v="اعمال حدادة  "/>
    <s v="تم العمل"/>
    <d v="1899-12-30T10:00:00"/>
    <d v="1899-12-30T16:00:00"/>
    <n v="0.24999999999999994"/>
    <x v="1"/>
    <n v="5.9999999999999982"/>
  </r>
  <r>
    <x v="5"/>
    <d v="2024-06-23T00:00:00"/>
    <s v="الاحد "/>
    <x v="13"/>
    <s v="طه سعيد "/>
    <s v="لحام  تسريب الاحبار "/>
    <s v="تم العمل"/>
    <d v="1899-12-30T11:00:00"/>
    <d v="1899-12-30T13:00:00"/>
    <n v="8.3333333333333315E-2"/>
    <x v="0"/>
    <n v="1.9999999999999996"/>
  </r>
  <r>
    <x v="5"/>
    <d v="2024-06-23T00:00:00"/>
    <s v="الاحد "/>
    <x v="10"/>
    <s v="حمادة شعبان"/>
    <s v="تركيب فراشة بالشارع  "/>
    <s v="تم العمل"/>
    <d v="1899-12-30T11:00:00"/>
    <d v="1899-12-30T17:00:00"/>
    <n v="0.25000000000000006"/>
    <x v="0"/>
    <n v="6"/>
  </r>
  <r>
    <x v="5"/>
    <d v="2024-06-24T00:00:00"/>
    <s v="الاثنين "/>
    <x v="6"/>
    <s v="صابر ابلراهيم "/>
    <s v="لحامات السلم   "/>
    <s v="تم العمل"/>
    <d v="1899-12-30T14:00:00"/>
    <d v="1899-12-30T15:00:00"/>
    <n v="4.166666666666663E-2"/>
    <x v="1"/>
    <n v="0.99999999999999911"/>
  </r>
  <r>
    <x v="5"/>
    <d v="2024-06-24T00:00:00"/>
    <s v="الاثنين "/>
    <x v="5"/>
    <s v="احمد سعيد  "/>
    <s v="تركيب خزانات الحريق "/>
    <s v="تم العمل"/>
    <d v="1899-12-30T11:00:00"/>
    <d v="1899-12-30T17:00:00"/>
    <n v="0.25000000000000006"/>
    <x v="0"/>
    <n v="3"/>
  </r>
  <r>
    <x v="5"/>
    <d v="2024-06-24T00:00:00"/>
    <s v="الاثنين "/>
    <x v="7"/>
    <s v="سامح الامير"/>
    <s v="رش وتعقيم سكن الامن  "/>
    <s v="تم العمل"/>
    <d v="1899-12-30T17:30:00"/>
    <d v="1899-12-30T18:30:00"/>
    <n v="4.1666666666666741E-2"/>
    <x v="0"/>
    <n v="1.0000000000000018"/>
  </r>
  <r>
    <x v="5"/>
    <d v="2024-06-24T00:00:00"/>
    <s v="الاثنين "/>
    <x v="25"/>
    <s v="فارس خليل "/>
    <s v="اعمال حدادة  "/>
    <s v="تم العمل"/>
    <d v="1899-12-30T10:00:00"/>
    <d v="1899-12-30T16:00:00"/>
    <n v="0.24999999999999994"/>
    <x v="1"/>
    <n v="5.9999999999999982"/>
  </r>
  <r>
    <x v="5"/>
    <d v="2024-06-24T00:00:00"/>
    <s v="الاثنين "/>
    <x v="14"/>
    <s v="احمد السيد  "/>
    <s v="تركيب مصاعد البضائع "/>
    <s v="تم العمل"/>
    <d v="1899-12-30T10:00:00"/>
    <d v="1899-12-30T16:00:00"/>
    <n v="0.24999999999999994"/>
    <x v="1"/>
    <n v="5.9999999999999982"/>
  </r>
  <r>
    <x v="5"/>
    <d v="2024-06-24T00:00:00"/>
    <s v="الاثنين "/>
    <x v="4"/>
    <s v="محمد سمير "/>
    <s v="صيانة دورية   "/>
    <s v="تم العمل"/>
    <d v="1899-12-30T15:00:00"/>
    <d v="1899-12-30T17:30:00"/>
    <n v="0.10416666666666663"/>
    <x v="2"/>
    <n v="2.4999999999999991"/>
  </r>
  <r>
    <x v="5"/>
    <d v="2024-06-24T00:00:00"/>
    <s v="الاثنين "/>
    <x v="10"/>
    <s v="حمادة شعبان"/>
    <s v="تركيب فراشة بالشارع  "/>
    <s v="تم العمل"/>
    <d v="1899-12-30T00:30:00"/>
    <d v="1899-12-30T20:00:00"/>
    <n v="0.8125"/>
    <x v="0"/>
    <n v="6"/>
  </r>
  <r>
    <x v="5"/>
    <d v="2024-06-24T00:00:00"/>
    <s v="الاثنين "/>
    <x v="8"/>
    <s v="حامد ابو المحاميد  "/>
    <s v="المرور الدورى على المعدات  "/>
    <s v="تم العمل"/>
    <d v="1899-12-30T11:00:00"/>
    <d v="1899-12-30T15:00:00"/>
    <n v="0.16666666666666669"/>
    <x v="0"/>
    <n v="4"/>
  </r>
  <r>
    <x v="5"/>
    <d v="2024-06-24T00:00:00"/>
    <s v="الاثنين "/>
    <x v="5"/>
    <s v="مجدى كرم   "/>
    <s v="اصلاح وصيانة عربيات النقل "/>
    <s v="تم العمل"/>
    <d v="1899-12-30T12:30:00"/>
    <d v="1899-12-30T15:00:00"/>
    <n v="0.10416666666666663"/>
    <x v="6"/>
    <n v="2.4999999999999991"/>
  </r>
  <r>
    <x v="5"/>
    <d v="2024-06-25T00:00:00"/>
    <s v="الثلاثاء "/>
    <x v="5"/>
    <s v="محمد النقيب "/>
    <s v="صيانةالكهرباء بالمعرض  "/>
    <s v="تم العمل"/>
    <d v="1899-12-30T10:00:00"/>
    <d v="1899-12-30T14:00:00"/>
    <n v="0.16666666666666669"/>
    <x v="3"/>
    <n v="4"/>
  </r>
  <r>
    <x v="5"/>
    <d v="2024-06-25T00:00:00"/>
    <s v="الثلاثاء "/>
    <x v="5"/>
    <s v="علاء احمد "/>
    <s v="صيانةالتكيف بالمعرض  "/>
    <s v="تم العمل"/>
    <d v="1899-12-30T11:00:00"/>
    <d v="1899-12-30T13:00:00"/>
    <n v="8.3333333333333315E-2"/>
    <x v="3"/>
    <n v="1.9999999999999996"/>
  </r>
  <r>
    <x v="5"/>
    <d v="2024-06-25T00:00:00"/>
    <s v="الثلاثاء "/>
    <x v="10"/>
    <s v="حمادة شعبان"/>
    <s v="تركيب فراشة بالشارع  "/>
    <s v="تم العمل"/>
    <d v="1899-12-30T11:30:00"/>
    <d v="1899-12-30T17:00:00"/>
    <n v="0.22916666666666669"/>
    <x v="0"/>
    <m/>
  </r>
  <r>
    <x v="5"/>
    <d v="2024-06-25T00:00:00"/>
    <s v="الثلاثاء "/>
    <x v="5"/>
    <s v="احمد سعيد  "/>
    <s v="تركيب خزانات الحريق "/>
    <s v="تم العمل"/>
    <d v="1899-12-30T11:00:00"/>
    <d v="1899-12-30T17:00:00"/>
    <n v="0.25000000000000006"/>
    <x v="0"/>
    <n v="3"/>
  </r>
  <r>
    <x v="5"/>
    <d v="2024-06-25T00:00:00"/>
    <s v="الثلاثاء "/>
    <x v="14"/>
    <s v="احمد السيد  "/>
    <s v="تركيب مصاعد البضائع "/>
    <s v="تم العمل"/>
    <d v="1899-12-30T10:00:00"/>
    <d v="1899-12-30T17:00:00"/>
    <n v="0.29166666666666669"/>
    <x v="1"/>
    <n v="7"/>
  </r>
  <r>
    <x v="5"/>
    <d v="2024-06-25T00:00:00"/>
    <s v="الثلاثاء "/>
    <x v="5"/>
    <s v="مجدى كرم   "/>
    <s v="عمل صيانة للتكيفات بالمكتبة "/>
    <s v="تم العمل"/>
    <d v="1899-12-30T15:30:00"/>
    <d v="1899-12-30T17:00:00"/>
    <n v="6.25E-2"/>
    <x v="6"/>
    <n v="1.5"/>
  </r>
  <r>
    <x v="5"/>
    <d v="2024-06-25T00:00:00"/>
    <s v="الثلاثاء "/>
    <x v="5"/>
    <s v="مجدى كرم   "/>
    <s v="دهانات بالمخزن المدرسى  "/>
    <s v="تم العمل"/>
    <d v="1899-12-30T10:00:00"/>
    <d v="1899-12-30T17:30:00"/>
    <n v="0.31249999999999994"/>
    <x v="6"/>
    <n v="7.4999999999999982"/>
  </r>
  <r>
    <x v="5"/>
    <d v="2024-06-26T00:00:00"/>
    <s v="الاربعاء "/>
    <x v="14"/>
    <s v="محمد عادل  "/>
    <s v="صيانة الاسانسير"/>
    <s v="تم العمل"/>
    <d v="1899-12-30T11:00:00"/>
    <d v="1899-12-30T12:00:00"/>
    <n v="4.1666666666666685E-2"/>
    <x v="1"/>
    <n v="1.0000000000000004"/>
  </r>
  <r>
    <x v="5"/>
    <d v="2024-06-26T00:00:00"/>
    <s v="الاربعاء "/>
    <x v="10"/>
    <s v="حمادة شعبان"/>
    <s v="تركيب فراشة بالشارع  "/>
    <s v="تم العمل"/>
    <d v="1899-12-30T11:30:00"/>
    <d v="1899-12-30T18:30:00"/>
    <n v="0.29166666666666669"/>
    <x v="0"/>
    <n v="6"/>
  </r>
  <r>
    <x v="5"/>
    <d v="2024-06-26T00:00:00"/>
    <s v="الاربعاء "/>
    <x v="5"/>
    <s v="مجدى كرم   "/>
    <s v="دهانات بالمخزن المدرسى  "/>
    <s v="تم العمل"/>
    <d v="1899-12-30T12:30:00"/>
    <d v="1899-12-30T15:00:00"/>
    <n v="0.10416666666666663"/>
    <x v="6"/>
    <n v="2.4999999999999991"/>
  </r>
  <r>
    <x v="5"/>
    <d v="2024-06-27T00:00:00"/>
    <s v="الخميس "/>
    <x v="26"/>
    <s v="احمد عبد الناصر "/>
    <s v="تركيب عداد الغاز "/>
    <s v="تم العمل"/>
    <d v="1899-12-30T12:30:00"/>
    <d v="1899-12-30T13:00:00"/>
    <n v="2.0833333333333259E-2"/>
    <x v="3"/>
    <n v="0.49999999999999822"/>
  </r>
  <r>
    <x v="5"/>
    <d v="2024-06-27T00:00:00"/>
    <s v="الخميس "/>
    <x v="5"/>
    <s v="احمد سعيد  "/>
    <s v="تركيب خزانات الحريق "/>
    <s v="تم العمل"/>
    <d v="1899-12-30T10:00:00"/>
    <d v="1899-12-30T17:00:00"/>
    <n v="0.29166666666666669"/>
    <x v="0"/>
    <n v="3"/>
  </r>
  <r>
    <x v="5"/>
    <d v="2024-06-27T00:00:00"/>
    <s v="الخميس "/>
    <x v="9"/>
    <s v="سامى شعبان  "/>
    <s v="صيانة الكلاركات "/>
    <s v="تم العمل"/>
    <d v="1899-12-30T10:00:00"/>
    <d v="1899-12-30T16:00:00"/>
    <n v="0.24999999999999994"/>
    <x v="0"/>
    <n v="5.9999999999999982"/>
  </r>
  <r>
    <x v="5"/>
    <d v="2024-06-27T00:00:00"/>
    <s v="الخميس "/>
    <x v="0"/>
    <s v="فارس خليل "/>
    <s v="تركيب سلم الطوارىء "/>
    <s v="تم العمل"/>
    <d v="1899-12-30T10:30:00"/>
    <d v="1899-12-30T12:00:00"/>
    <n v="6.25E-2"/>
    <x v="0"/>
    <n v="1.5"/>
  </r>
  <r>
    <x v="5"/>
    <d v="2024-06-27T00:00:00"/>
    <s v="الخميس "/>
    <x v="10"/>
    <s v="حمادة شعبان"/>
    <s v="تركيب فراشة بالشارع  "/>
    <s v="تم العمل"/>
    <d v="1899-12-30T13:00:00"/>
    <d v="1899-12-30T20:30:00"/>
    <n v="0.3125"/>
    <x v="0"/>
    <n v="6"/>
  </r>
  <r>
    <x v="5"/>
    <d v="2024-06-27T00:00:00"/>
    <s v="الخميس "/>
    <x v="5"/>
    <s v="مجدى كرم   "/>
    <s v="دهانات بالمخزن المدرسى  "/>
    <s v="تم العمل"/>
    <d v="1899-12-30T10:00:00"/>
    <d v="1899-12-30T19:00:00"/>
    <n v="0.37499999999999994"/>
    <x v="6"/>
    <n v="8.9999999999999982"/>
  </r>
  <r>
    <x v="5"/>
    <d v="2024-06-28T00:00:00"/>
    <s v="الجمعة "/>
    <x v="5"/>
    <s v="مجدى كرم   "/>
    <s v="دهانات بالمخزن المدرسى  "/>
    <s v="تم العمل"/>
    <d v="1899-12-30T10:00:00"/>
    <d v="1899-12-30T17:00:00"/>
    <n v="0.29166666666666669"/>
    <x v="6"/>
    <n v="7"/>
  </r>
  <r>
    <x v="5"/>
    <d v="2024-06-29T00:00:00"/>
    <s v="السبت "/>
    <x v="2"/>
    <s v="محمد رفعت  "/>
    <s v="تركيبات "/>
    <s v="تم العمل"/>
    <d v="1899-12-30T10:30:00"/>
    <d v="1899-12-30T18:00:00"/>
    <n v="0.3125"/>
    <x v="2"/>
    <n v="7.5"/>
  </r>
  <r>
    <x v="5"/>
    <d v="2024-06-29T00:00:00"/>
    <s v="السبت "/>
    <x v="41"/>
    <s v="علاء احمد "/>
    <s v="صيانة التكيف "/>
    <s v="تم العمل"/>
    <d v="1899-12-30T21:00:00"/>
    <d v="1899-12-30T23:00:00"/>
    <n v="8.333333333333337E-2"/>
    <x v="2"/>
    <n v="2.0000000000000009"/>
  </r>
  <r>
    <x v="5"/>
    <d v="2024-06-29T00:00:00"/>
    <s v="السبت "/>
    <x v="5"/>
    <s v="مجدى كرم   "/>
    <s v="دهانات بالمخزن المدرسى  "/>
    <s v="تم العمل"/>
    <d v="1899-12-30T10:00:00"/>
    <d v="1899-12-30T17:00:00"/>
    <n v="0.29166666666666669"/>
    <x v="6"/>
    <n v="7"/>
  </r>
  <r>
    <x v="5"/>
    <d v="2024-06-30T00:00:00"/>
    <s v="الاحد "/>
    <x v="6"/>
    <s v="حسن عبد العظيم "/>
    <s v="توصيل فرع نور للفراشة "/>
    <s v="تم العمل"/>
    <d v="1899-12-30T11:00:00"/>
    <d v="1899-12-30T12:00:00"/>
    <n v="4.1666666666666685E-2"/>
    <x v="0"/>
    <n v="1.0000000000000004"/>
  </r>
  <r>
    <x v="5"/>
    <d v="2024-06-30T00:00:00"/>
    <s v="الاحد "/>
    <x v="6"/>
    <s v="صابر ابراهيم "/>
    <s v="تركيب باب حديد"/>
    <s v="تم العمل"/>
    <d v="1899-12-30T12:30:00"/>
    <d v="1899-12-30T15:00:00"/>
    <n v="0.10416666666666663"/>
    <x v="0"/>
    <n v="2.4999999999999991"/>
  </r>
  <r>
    <x v="6"/>
    <d v="2024-07-01T00:00:00"/>
    <s v="الاثنين "/>
    <x v="5"/>
    <s v="محمد النقيب "/>
    <s v="صيانة كشافات الشوارع "/>
    <s v="تم العمل"/>
    <d v="1899-12-30T14:30:00"/>
    <d v="1899-12-30T16:00:00"/>
    <n v="6.25E-2"/>
    <x v="0"/>
    <n v="3"/>
  </r>
  <r>
    <x v="6"/>
    <d v="2024-07-01T00:00:00"/>
    <s v="الاثنين "/>
    <x v="22"/>
    <s v="محمودالدروى    "/>
    <s v="صيانة كولدير المياه "/>
    <s v="تم العمل"/>
    <d v="1899-12-30T14:30:00"/>
    <d v="1899-12-30T15:00:00"/>
    <n v="2.083333333333337E-2"/>
    <x v="0"/>
    <n v="0.50000000000000089"/>
  </r>
  <r>
    <x v="6"/>
    <d v="2024-07-01T00:00:00"/>
    <s v="الاثنين "/>
    <x v="25"/>
    <s v="فارس خليل "/>
    <s v="تركيب سلم الطوارىء "/>
    <s v="تم العمل"/>
    <d v="1899-12-30T10:00:00"/>
    <d v="1899-12-30T14:00:00"/>
    <n v="0.16666666666666669"/>
    <x v="1"/>
    <n v="4"/>
  </r>
  <r>
    <x v="6"/>
    <d v="2024-07-01T00:00:00"/>
    <s v="الاثنين "/>
    <x v="7"/>
    <s v="محمد ماهر "/>
    <s v="مكافحة الافات "/>
    <s v="تم العمل"/>
    <d v="1899-12-30T10:00:00"/>
    <d v="1899-12-30T14:00:00"/>
    <n v="0.16666666666666669"/>
    <x v="3"/>
    <n v="4"/>
  </r>
  <r>
    <x v="6"/>
    <d v="2024-07-01T00:00:00"/>
    <s v="الاثنين "/>
    <x v="5"/>
    <s v="مجدى كرم   "/>
    <s v="دهانات بالمخزن المدرسى  "/>
    <s v="تم العمل"/>
    <d v="1899-12-30T10:00:00"/>
    <d v="1899-12-30T18:00:00"/>
    <n v="0.33333333333333331"/>
    <x v="6"/>
    <n v="7"/>
  </r>
  <r>
    <x v="6"/>
    <d v="2024-07-01T00:00:00"/>
    <s v="الاثنين "/>
    <x v="36"/>
    <s v="احمد سعيد  "/>
    <s v="تركيب بوابة صغيرةبمكتب الامن "/>
    <s v="تم العمل"/>
    <d v="1899-12-30T14:00:00"/>
    <d v="1899-12-30T16:30:00"/>
    <n v="0.10416666666666663"/>
    <x v="1"/>
    <n v="2.4999999999999991"/>
  </r>
  <r>
    <x v="6"/>
    <d v="2024-07-01T00:00:00"/>
    <s v="الاثنين "/>
    <x v="5"/>
    <s v="احمد سعيد  "/>
    <s v="تركيب خزانات الحريق "/>
    <s v="تم العمل"/>
    <d v="1899-12-30T15:00:00"/>
    <d v="1899-12-30T17:00:00"/>
    <n v="8.333333333333337E-2"/>
    <x v="0"/>
    <n v="3"/>
  </r>
  <r>
    <x v="6"/>
    <d v="2024-07-01T00:00:00"/>
    <s v="الاثنين "/>
    <x v="6"/>
    <s v="صابر ابراهيم "/>
    <s v="لحام "/>
    <s v="تم العمل"/>
    <d v="1899-12-30T15:00:00"/>
    <d v="1899-12-30T15:30:00"/>
    <n v="2.083333333333337E-2"/>
    <x v="3"/>
    <n v="0.50000000000000089"/>
  </r>
  <r>
    <x v="6"/>
    <d v="2024-07-02T00:00:00"/>
    <s v="الثلاثاء "/>
    <x v="25"/>
    <s v="فارس خليل "/>
    <s v="دهانات سلم الطوارىء "/>
    <s v="تم العمل"/>
    <d v="1899-12-30T10:00:00"/>
    <d v="1899-12-30T17:00:00"/>
    <n v="0.29166666666666669"/>
    <x v="1"/>
    <n v="7"/>
  </r>
  <r>
    <x v="6"/>
    <d v="2024-07-02T00:00:00"/>
    <s v="الثلاثاء "/>
    <x v="5"/>
    <s v="مجدى كرم   "/>
    <s v="دهانات بالمخزن المدرسى  "/>
    <s v="تم العمل"/>
    <d v="1899-12-30T10:00:00"/>
    <d v="1899-12-30T17:00:00"/>
    <n v="0.29166666666666669"/>
    <x v="6"/>
    <n v="7"/>
  </r>
  <r>
    <x v="6"/>
    <d v="2024-07-02T00:00:00"/>
    <s v="الثلاثاء "/>
    <x v="14"/>
    <s v="احمد السيد "/>
    <s v="تركيب الاسانسير"/>
    <s v="تم العمل"/>
    <d v="1899-12-30T10:00:00"/>
    <d v="1899-12-30T17:30:00"/>
    <n v="0.31249999999999994"/>
    <x v="1"/>
    <n v="7.4999999999999982"/>
  </r>
  <r>
    <x v="6"/>
    <d v="2024-07-02T00:00:00"/>
    <s v="الثلاثاء "/>
    <x v="7"/>
    <s v="محمود شعبان "/>
    <s v="مرور دورى على المصائدو مكافحة حشرات "/>
    <s v="تم العمل"/>
    <d v="1899-12-30T11:00:00"/>
    <d v="1899-12-30T14:30:00"/>
    <n v="0.14583333333333331"/>
    <x v="3"/>
    <n v="3.4999999999999996"/>
  </r>
  <r>
    <x v="6"/>
    <d v="2024-07-02T00:00:00"/>
    <s v="الثلاثاء "/>
    <x v="13"/>
    <s v="طه سعيد "/>
    <s v="لحام  تسريب الاحبار "/>
    <s v="تم العمل"/>
    <d v="1899-12-30T11:00:00"/>
    <d v="1899-12-30T17:00:00"/>
    <n v="0.25000000000000006"/>
    <x v="3"/>
    <n v="6.0000000000000018"/>
  </r>
  <r>
    <x v="6"/>
    <d v="2024-07-02T00:00:00"/>
    <s v="الثلاثاء "/>
    <x v="13"/>
    <s v="احمد سمير "/>
    <s v="صيانة ctB"/>
    <s v="تم العمل"/>
    <d v="1899-12-30T12:00:00"/>
    <d v="1899-12-30T16:00:00"/>
    <n v="0.16666666666666663"/>
    <x v="3"/>
    <n v="3.9999999999999991"/>
  </r>
  <r>
    <x v="6"/>
    <d v="2024-07-02T00:00:00"/>
    <s v="الثلاثاء "/>
    <x v="3"/>
    <s v="علاء احمد "/>
    <s v="صيانةالتكيف فى غرفة السلفر "/>
    <s v="تم العمل"/>
    <d v="1899-12-30T14:00:00"/>
    <d v="1899-12-30T15:00:00"/>
    <n v="4.166666666666663E-2"/>
    <x v="2"/>
    <n v="0.99999999999999911"/>
  </r>
  <r>
    <x v="6"/>
    <d v="2024-07-02T00:00:00"/>
    <s v="الثلاثاء "/>
    <x v="5"/>
    <s v="محمد النقيب "/>
    <s v="توصيل كهرباء للفراشة "/>
    <s v="تم العمل"/>
    <d v="1899-12-30T13:00:00"/>
    <d v="1899-12-30T16:30:00"/>
    <n v="0.14583333333333337"/>
    <x v="0"/>
    <n v="3"/>
  </r>
  <r>
    <x v="6"/>
    <d v="2024-07-02T00:00:00"/>
    <s v="الثلاثاء "/>
    <x v="5"/>
    <s v="احمد سعيد  "/>
    <s v="تركيب خزانات الحريق "/>
    <s v="تم العمل"/>
    <d v="1899-12-30T10:00:00"/>
    <d v="1899-12-30T17:00:00"/>
    <n v="0.29166666666666669"/>
    <x v="0"/>
    <n v="3"/>
  </r>
  <r>
    <x v="6"/>
    <d v="2024-07-03T00:00:00"/>
    <s v="الاربعاء "/>
    <x v="5"/>
    <s v="علاء احمد   "/>
    <s v="عمل صيانة للتكيفات "/>
    <s v="تم العمل"/>
    <d v="1899-12-30T09:00:00"/>
    <d v="1899-12-30T10:00:00"/>
    <n v="4.1666666666666685E-2"/>
    <x v="3"/>
    <n v="1.0000000000000004"/>
  </r>
  <r>
    <x v="6"/>
    <d v="2024-07-03T00:00:00"/>
    <s v="الاربعاء "/>
    <x v="6"/>
    <s v="احمد سلامة "/>
    <s v="لحام "/>
    <s v="تم العمل"/>
    <d v="1899-12-30T16:30:00"/>
    <d v="1899-12-30T17:00:00"/>
    <n v="2.083333333333337E-2"/>
    <x v="3"/>
    <n v="0.50000000000000089"/>
  </r>
  <r>
    <x v="6"/>
    <d v="2024-07-03T00:00:00"/>
    <s v="الاربعاء "/>
    <x v="9"/>
    <s v="سامى شعبان  "/>
    <s v="صيانة الكلاركات "/>
    <s v="تم العمل"/>
    <d v="1899-12-30T10:00:00"/>
    <d v="1899-12-30T13:00:00"/>
    <n v="0.12499999999999994"/>
    <x v="0"/>
    <n v="2.9999999999999987"/>
  </r>
  <r>
    <x v="6"/>
    <d v="2024-07-03T00:00:00"/>
    <s v="الاربعاء "/>
    <x v="9"/>
    <s v="سامى شعبان  "/>
    <s v="صيانة الكلاركات "/>
    <s v="تم العمل"/>
    <d v="1899-12-30T14:00:00"/>
    <d v="1899-12-30T16:00:00"/>
    <n v="8.3333333333333259E-2"/>
    <x v="1"/>
    <n v="1.9999999999999982"/>
  </r>
  <r>
    <x v="6"/>
    <d v="2024-07-03T00:00:00"/>
    <s v="الاربعاء "/>
    <x v="5"/>
    <s v="احمد سعيد  "/>
    <s v="تركيب خزانات الحريق "/>
    <s v="تم العمل"/>
    <d v="1899-12-30T00:30:00"/>
    <d v="1899-12-30T17:00:00"/>
    <n v="0.6875"/>
    <x v="0"/>
    <n v="3"/>
  </r>
  <r>
    <x v="6"/>
    <d v="2024-07-03T00:00:00"/>
    <s v="الاربعاء "/>
    <x v="5"/>
    <s v="مجدى كرم   "/>
    <s v="دهانات بالمخزن المدرسى  "/>
    <s v="تم العمل"/>
    <d v="1899-12-30T10:00:00"/>
    <d v="1899-12-30T13:00:00"/>
    <n v="0.12499999999999994"/>
    <x v="6"/>
    <n v="3.9999999999999991"/>
  </r>
  <r>
    <x v="6"/>
    <d v="2024-07-04T00:00:00"/>
    <s v="الخميس "/>
    <x v="22"/>
    <s v="محمود الدروى "/>
    <s v="عمل صيانة تكييف"/>
    <s v="تم العمل"/>
    <d v="1899-12-30T10:00:00"/>
    <d v="1899-12-30T11:00:00"/>
    <n v="4.166666666666663E-2"/>
    <x v="3"/>
    <n v="0.99999999999999911"/>
  </r>
  <r>
    <x v="6"/>
    <d v="2024-07-04T00:00:00"/>
    <s v="الخميس "/>
    <x v="18"/>
    <s v="فيكتور لوندى      "/>
    <s v="تركيب اجهزة انزار "/>
    <s v="تم العمل"/>
    <d v="1899-12-30T13:30:00"/>
    <d v="1899-12-30T17:00:00"/>
    <n v="0.14583333333333337"/>
    <x v="4"/>
    <n v="5.5"/>
  </r>
  <r>
    <x v="6"/>
    <d v="2024-07-04T00:00:00"/>
    <s v="الخميس "/>
    <x v="5"/>
    <s v="احمد سعيد  "/>
    <s v="تركيب خزانات الحريق "/>
    <s v="تم العمل"/>
    <d v="1899-12-30T10:00:00"/>
    <d v="1899-12-30T16:00:00"/>
    <n v="0.24999999999999994"/>
    <x v="0"/>
    <n v="3"/>
  </r>
  <r>
    <x v="6"/>
    <d v="2024-07-04T00:00:00"/>
    <s v="الخميس "/>
    <x v="5"/>
    <s v="مجدى كرم   "/>
    <s v="دهانات بالمخزن المدرسى  "/>
    <s v="تم العمل"/>
    <d v="1899-12-30T10:00:00"/>
    <d v="1899-12-30T18:00:00"/>
    <n v="0.33333333333333331"/>
    <x v="6"/>
    <n v="1.0000000000000004"/>
  </r>
  <r>
    <x v="6"/>
    <d v="2024-07-06T00:00:00"/>
    <s v="السبت "/>
    <x v="14"/>
    <s v="احمد السيد "/>
    <s v="صيانة الاسانسير"/>
    <s v="تم العمل"/>
    <d v="1899-12-30T10:00:00"/>
    <d v="1899-12-30T17:30:00"/>
    <n v="0.31249999999999994"/>
    <x v="1"/>
    <n v="7.4999999999999982"/>
  </r>
  <r>
    <x v="6"/>
    <d v="2024-07-06T00:00:00"/>
    <s v="السبت "/>
    <x v="25"/>
    <s v="فارس خليل "/>
    <s v="تشطيب سلم الطوارىء "/>
    <s v="تم العمل"/>
    <d v="1899-12-30T13:00:00"/>
    <d v="1899-12-30T16:00:00"/>
    <n v="0.125"/>
    <x v="1"/>
    <n v="3"/>
  </r>
  <r>
    <x v="6"/>
    <d v="2024-07-06T00:00:00"/>
    <s v="السبت "/>
    <x v="3"/>
    <s v="علاء احمد "/>
    <s v="صيانةالتكيف المركزى فى الدور الاول "/>
    <s v="تم العمل"/>
    <d v="1899-12-30T09:00:00"/>
    <d v="1899-12-30T11:00:00"/>
    <n v="8.3333333333333315E-2"/>
    <x v="2"/>
    <n v="1.9999999999999996"/>
  </r>
  <r>
    <x v="6"/>
    <d v="2024-07-06T00:00:00"/>
    <s v="السبت "/>
    <x v="2"/>
    <s v="مصطفى السيد "/>
    <s v="تركيبات "/>
    <s v="تم العمل"/>
    <d v="1899-12-30T11:30:00"/>
    <d v="1899-12-30T20:30:00"/>
    <n v="0.37499999999999994"/>
    <x v="2"/>
    <n v="8.9999999999999982"/>
  </r>
  <r>
    <x v="6"/>
    <d v="2024-07-07T00:00:00"/>
    <s v="الاحد "/>
    <x v="25"/>
    <s v="ايمن رمضان "/>
    <s v="تشطيب سلم الطوارىء "/>
    <s v="تم العمل"/>
    <d v="1899-12-30T09:00:00"/>
    <d v="1899-12-30T16:00:00"/>
    <n v="0.29166666666666663"/>
    <x v="1"/>
    <n v="6.9999999999999991"/>
  </r>
  <r>
    <x v="6"/>
    <d v="2024-07-07T00:00:00"/>
    <s v="الاحد "/>
    <x v="7"/>
    <s v="محمد ماهر "/>
    <s v="مكافحة الحشرات "/>
    <s v="تم العمل"/>
    <d v="1899-12-30T10:00:00"/>
    <d v="1899-12-30T14:00:00"/>
    <n v="0.16666666666666669"/>
    <x v="1"/>
    <n v="4"/>
  </r>
  <r>
    <x v="6"/>
    <d v="2024-07-07T00:00:00"/>
    <s v="الاحد "/>
    <x v="36"/>
    <s v="محمد مصطفى "/>
    <s v="تشطيب باب الامن "/>
    <s v="تم العمل"/>
    <d v="1899-12-30T16:00:00"/>
    <d v="1899-12-30T17:30:00"/>
    <n v="6.25E-2"/>
    <x v="1"/>
    <n v="1.5"/>
  </r>
  <r>
    <x v="6"/>
    <d v="2024-07-07T00:00:00"/>
    <s v="الاحد "/>
    <x v="5"/>
    <s v="مجدى كرم   "/>
    <s v="دهانات بالمخزن المدرسى  "/>
    <s v="تم العمل"/>
    <d v="1899-12-30T10:30:00"/>
    <d v="1899-12-30T18:00:00"/>
    <n v="0.3125"/>
    <x v="6"/>
    <n v="5.9999999999999982"/>
  </r>
  <r>
    <x v="6"/>
    <d v="2024-07-08T00:00:00"/>
    <s v="الاثنين "/>
    <x v="5"/>
    <s v="مجدى كرم   "/>
    <s v="دهانات بالمخزن المدرسى  "/>
    <s v="تم العمل"/>
    <d v="1899-12-30T10:00:00"/>
    <d v="1899-12-30T17:30:00"/>
    <n v="0.31249999999999994"/>
    <x v="6"/>
    <n v="8"/>
  </r>
  <r>
    <x v="6"/>
    <d v="2024-07-08T00:00:00"/>
    <s v="الاثنين "/>
    <x v="18"/>
    <s v="فيكتور لوندى      "/>
    <s v="تركيب شبكة الانزار "/>
    <s v="تم العمل"/>
    <d v="1899-12-30T10:30:00"/>
    <d v="1899-12-30T17:00:00"/>
    <n v="0.27083333333333337"/>
    <x v="4"/>
    <n v="5.5"/>
  </r>
  <r>
    <x v="6"/>
    <d v="2024-07-08T00:00:00"/>
    <s v="الاثنين "/>
    <x v="25"/>
    <s v="ايمن رمضان "/>
    <s v="تشطيب سلم الطوارىء "/>
    <s v="تم العمل"/>
    <d v="1899-12-30T13:00:00"/>
    <d v="1899-12-30T17:00:00"/>
    <n v="0.16666666666666674"/>
    <x v="1"/>
    <n v="4.0000000000000018"/>
  </r>
  <r>
    <x v="6"/>
    <d v="2024-07-08T00:00:00"/>
    <s v="الاثنين "/>
    <x v="14"/>
    <s v="عبد الرحمن حسين "/>
    <s v="تركيب الاسانسير "/>
    <s v="تم العمل"/>
    <d v="1899-12-30T10:00:00"/>
    <d v="1899-12-30T17:00:00"/>
    <n v="0.29166666666666669"/>
    <x v="1"/>
    <n v="7"/>
  </r>
  <r>
    <x v="6"/>
    <d v="2024-07-08T00:00:00"/>
    <s v="الاثنين "/>
    <x v="0"/>
    <s v="مراد صالح  "/>
    <s v="ترميم خزان خط الحريق  "/>
    <s v="تم العمل"/>
    <d v="1899-12-30T09:30:00"/>
    <d v="1899-12-30T16:00:00"/>
    <n v="0.27083333333333331"/>
    <x v="0"/>
    <n v="6.5"/>
  </r>
  <r>
    <x v="6"/>
    <d v="2024-07-08T00:00:00"/>
    <s v="الاثنين "/>
    <x v="24"/>
    <s v="محمود سالم "/>
    <s v="فك طلمبات الحريق "/>
    <s v="تم العمل"/>
    <d v="1899-12-30T12:00:00"/>
    <d v="1899-12-30T15:00:00"/>
    <n v="0.125"/>
    <x v="0"/>
    <n v="3"/>
  </r>
  <r>
    <x v="6"/>
    <d v="2024-07-09T00:00:00"/>
    <s v="الثلاثاء "/>
    <x v="13"/>
    <s v="احمد سمير "/>
    <s v="صيانة ctB"/>
    <s v="تم العمل"/>
    <d v="1899-12-30T13:00:00"/>
    <d v="1899-12-30T17:00:00"/>
    <n v="0.16666666666666674"/>
    <x v="3"/>
    <n v="4.0000000000000018"/>
  </r>
  <r>
    <x v="6"/>
    <d v="2024-07-09T00:00:00"/>
    <s v="الثلاثاء "/>
    <x v="18"/>
    <s v="فيكتور لوندى      "/>
    <s v="تركيب شبكة الانزار "/>
    <s v="تم العمل"/>
    <d v="1899-12-30T10:00:00"/>
    <d v="1899-12-30T14:00:00"/>
    <n v="0.16666666666666669"/>
    <x v="4"/>
    <n v="5.5"/>
  </r>
  <r>
    <x v="6"/>
    <d v="2024-07-09T00:00:00"/>
    <s v="الثلاثاء "/>
    <x v="14"/>
    <s v="عبد الرحمن حسين "/>
    <s v="تركيب الاسانسير "/>
    <s v="تم العمل"/>
    <d v="1899-12-30T09:30:00"/>
    <d v="1899-12-30T18:00:00"/>
    <n v="0.35416666666666669"/>
    <x v="1"/>
    <n v="8.5"/>
  </r>
  <r>
    <x v="6"/>
    <d v="2024-07-09T00:00:00"/>
    <s v="الثلاثاء "/>
    <x v="25"/>
    <s v="ايمن رمضان "/>
    <s v="تشطيب سلم الطوارىء "/>
    <s v="تم العمل"/>
    <d v="1899-12-30T09:30:00"/>
    <d v="1899-12-30T14:00:00"/>
    <n v="0.18750000000000006"/>
    <x v="1"/>
    <n v="4.5000000000000018"/>
  </r>
  <r>
    <x v="6"/>
    <d v="2024-07-09T00:00:00"/>
    <s v="الثلاثاء "/>
    <x v="36"/>
    <s v="احمد سعيد "/>
    <s v="تركيب  باب الامن "/>
    <s v="تم العمل"/>
    <d v="1899-12-30T14:00:00"/>
    <d v="1899-12-30T16:00:00"/>
    <n v="8.3333333333333259E-2"/>
    <x v="1"/>
    <n v="1.9999999999999982"/>
  </r>
  <r>
    <x v="6"/>
    <d v="2024-07-09T00:00:00"/>
    <s v="الثلاثاء "/>
    <x v="0"/>
    <s v="مراد صالح  "/>
    <s v="ترميم خزان خط الحريق  "/>
    <s v="تم العمل"/>
    <d v="1899-12-30T09:30:00"/>
    <d v="1899-12-30T16:00:00"/>
    <n v="0.27083333333333331"/>
    <x v="0"/>
    <n v="6.5"/>
  </r>
  <r>
    <x v="6"/>
    <d v="2024-07-10T00:00:00"/>
    <s v="الاربعاء "/>
    <x v="5"/>
    <s v="احمد سعيد  "/>
    <s v="تغيير محبس "/>
    <s v="تم العمل"/>
    <d v="1899-12-30T11:30:00"/>
    <d v="1899-12-30T13:00:00"/>
    <n v="6.2499999999999944E-2"/>
    <x v="3"/>
    <n v="3"/>
  </r>
  <r>
    <x v="6"/>
    <d v="2024-07-10T00:00:00"/>
    <s v="الاربعاء "/>
    <x v="8"/>
    <s v="حامد ابو المحاميد  "/>
    <s v="المرور الدورى على المعدات  "/>
    <s v="تم العمل"/>
    <d v="1899-12-30T10:30:00"/>
    <d v="1899-12-30T15:00:00"/>
    <n v="0.1875"/>
    <x v="3"/>
    <n v="4.5"/>
  </r>
  <r>
    <x v="6"/>
    <d v="2024-07-10T00:00:00"/>
    <s v="الاربعاء "/>
    <x v="1"/>
    <s v="احمد على "/>
    <s v="استكمال تركيب شبكة الفاير "/>
    <s v="تم العمل"/>
    <d v="1899-12-30T11:00:00"/>
    <d v="1899-12-30T17:00:00"/>
    <n v="0.25000000000000006"/>
    <x v="1"/>
    <n v="6.0000000000000018"/>
  </r>
  <r>
    <x v="6"/>
    <d v="2024-07-10T00:00:00"/>
    <s v="الاربعاء "/>
    <x v="6"/>
    <s v="هانى محمد  "/>
    <s v="تصليح المقص "/>
    <s v="تم العمل"/>
    <d v="1899-12-30T17:00:00"/>
    <d v="1899-12-30T18:00:00"/>
    <n v="4.166666666666663E-2"/>
    <x v="3"/>
    <n v="0.99999999999999911"/>
  </r>
  <r>
    <x v="6"/>
    <d v="2024-07-10T00:00:00"/>
    <s v="الاربعاء "/>
    <x v="0"/>
    <s v="مراد صالح  "/>
    <s v="ترميم خزان خط الحريق  "/>
    <s v="تم العمل"/>
    <d v="1899-12-30T09:30:00"/>
    <d v="1899-12-30T16:00:00"/>
    <n v="0.27083333333333331"/>
    <x v="0"/>
    <n v="6.5"/>
  </r>
  <r>
    <x v="6"/>
    <d v="2024-07-10T00:00:00"/>
    <s v="الاربعاء "/>
    <x v="14"/>
    <s v="احمد السيد  "/>
    <s v="تركيب الاسانسير "/>
    <s v="تم العمل"/>
    <d v="1899-12-30T10:00:00"/>
    <d v="1899-12-30T17:00:00"/>
    <n v="0.29166666666666669"/>
    <x v="1"/>
    <n v="7"/>
  </r>
  <r>
    <x v="6"/>
    <d v="2024-07-10T00:00:00"/>
    <s v="الاربعاء "/>
    <x v="5"/>
    <s v="مجدى كرم   "/>
    <s v="دهانات بالمخزن المدرسى  "/>
    <s v="تم العمل"/>
    <d v="1899-12-30T10:00:00"/>
    <d v="1899-12-30T17:00:00"/>
    <n v="0.29166666666666669"/>
    <x v="6"/>
    <n v="4.5000000000000018"/>
  </r>
  <r>
    <x v="6"/>
    <d v="2024-07-11T00:00:00"/>
    <s v="الخميس "/>
    <x v="5"/>
    <s v="مجدى كرم   "/>
    <s v="دهانات بالمخزن المدرسى  "/>
    <s v="تم العمل"/>
    <d v="1899-12-30T11:00:00"/>
    <d v="1899-12-30T19:00:00"/>
    <n v="0.33333333333333331"/>
    <x v="6"/>
    <n v="4.5000000000000018"/>
  </r>
  <r>
    <x v="6"/>
    <d v="2024-07-11T00:00:00"/>
    <s v="الخميس "/>
    <x v="14"/>
    <s v="احمد السيد  "/>
    <s v="تركيب الاسانسير "/>
    <s v="تم العمل"/>
    <d v="1899-12-30T09:30:00"/>
    <d v="1899-12-30T17:00:00"/>
    <n v="0.31250000000000006"/>
    <x v="1"/>
    <n v="7.5000000000000018"/>
  </r>
  <r>
    <x v="6"/>
    <d v="2024-07-11T00:00:00"/>
    <s v="الخميس "/>
    <x v="0"/>
    <s v="مراد صالح  "/>
    <s v="ترميم خزان خط الحريق  "/>
    <s v="تم العمل"/>
    <d v="1899-12-30T09:30:00"/>
    <d v="1899-12-30T16:00:00"/>
    <n v="0.27083333333333331"/>
    <x v="0"/>
    <n v="6.5"/>
  </r>
  <r>
    <x v="6"/>
    <d v="2024-07-13T00:00:00"/>
    <s v="السبت "/>
    <x v="6"/>
    <s v="صابر ابراهيم "/>
    <s v="تثبيت حاجز  المقص اليدوى "/>
    <s v="تم العمل"/>
    <d v="1899-12-30T11:30:00"/>
    <d v="1899-12-30T12:00:00"/>
    <n v="2.0833333333333315E-2"/>
    <x v="3"/>
    <n v="0.49999999999999956"/>
  </r>
  <r>
    <x v="6"/>
    <d v="2024-07-13T00:00:00"/>
    <s v="السبت "/>
    <x v="5"/>
    <s v="مجدى كرم   "/>
    <s v="دهانات بالمخزن المدرسى  "/>
    <s v="تم العمل"/>
    <d v="1899-12-30T10:00:00"/>
    <d v="1899-12-30T19:00:00"/>
    <n v="0.37499999999999994"/>
    <x v="6"/>
    <n v="4.5"/>
  </r>
  <r>
    <x v="6"/>
    <d v="2024-07-13T00:00:00"/>
    <s v="السبت "/>
    <x v="0"/>
    <s v="مراد صالح  "/>
    <s v="تكسير خرسانة "/>
    <s v="تم العمل"/>
    <d v="1899-12-30T21:00:00"/>
    <d v="1899-12-30T16:00:00"/>
    <n v="0.20833333333333337"/>
    <x v="0"/>
    <n v="5.0000000000000009"/>
  </r>
  <r>
    <x v="6"/>
    <d v="2024-07-13T00:00:00"/>
    <s v="السبت "/>
    <x v="9"/>
    <s v="سامى شعبان  "/>
    <s v="صيانة الكلاركات "/>
    <s v="تم العمل"/>
    <d v="1899-12-30T10:00:00"/>
    <d v="1899-12-30T13:00:00"/>
    <n v="0.12499999999999994"/>
    <x v="1"/>
    <n v="2.9999999999999987"/>
  </r>
  <r>
    <x v="6"/>
    <d v="2024-07-14T00:00:00"/>
    <s v="الاحد "/>
    <x v="8"/>
    <s v="على  شحات "/>
    <s v="صيانة نظام الانزار "/>
    <s v="تم العمل"/>
    <d v="1899-12-30T11:00:00"/>
    <d v="1899-12-30T11:30:00"/>
    <n v="2.083333333333337E-2"/>
    <x v="3"/>
    <n v="0.50000000000000089"/>
  </r>
  <r>
    <x v="6"/>
    <d v="2024-07-14T00:00:00"/>
    <s v="الاحد "/>
    <x v="42"/>
    <s v="مصطفى شعبان "/>
    <s v="صيانة ماكينات التربيط "/>
    <s v="تم العمل"/>
    <d v="1899-12-30T10:30:00"/>
    <d v="1899-12-30T04:00:00"/>
    <n v="0.27083333333333337"/>
    <x v="3"/>
    <n v="6.5000000000000009"/>
  </r>
  <r>
    <x v="6"/>
    <d v="2024-07-14T00:00:00"/>
    <s v="الاحد "/>
    <x v="5"/>
    <s v="احمد سعيد  "/>
    <s v="تسليك انسداد بلاعة صرف "/>
    <s v="تم العمل"/>
    <d v="1899-12-30T01:30:00"/>
    <d v="1899-12-30T14:30:00"/>
    <n v="0.54166666666666663"/>
    <x v="3"/>
    <n v="3"/>
  </r>
  <r>
    <x v="6"/>
    <d v="2024-07-14T00:00:00"/>
    <s v="الاحد "/>
    <x v="5"/>
    <s v="رامى محمد "/>
    <s v="تركيب وتثبيت باب المونتال  فى فسم CD "/>
    <s v="تم العمل"/>
    <d v="1899-12-30T14:00:00"/>
    <d v="1899-12-30T17:00:00"/>
    <n v="0.125"/>
    <x v="3"/>
    <n v="3"/>
  </r>
  <r>
    <x v="6"/>
    <d v="2024-07-14T00:00:00"/>
    <s v="الاحد "/>
    <x v="18"/>
    <s v="فيكتور لوندى      "/>
    <s v="عمل لحام فى الرامب وتغيير زيت الديزل "/>
    <s v="تم العمل"/>
    <d v="1899-12-30T10:00:00"/>
    <d v="1899-12-30T01:30:00"/>
    <n v="-0.35416666666666669"/>
    <x v="4"/>
    <n v="5.5"/>
  </r>
  <r>
    <x v="6"/>
    <d v="2024-07-14T00:00:00"/>
    <s v="الاحد "/>
    <x v="5"/>
    <s v="مجدى كرم   "/>
    <s v="دهانات بالمخزن المدرسى  "/>
    <s v="تم العمل"/>
    <d v="1899-12-30T10:00:00"/>
    <d v="1899-12-30T21:00:00"/>
    <n v="0.45833333333333331"/>
    <x v="6"/>
    <n v="6.5"/>
  </r>
  <r>
    <x v="6"/>
    <d v="2024-07-14T00:00:00"/>
    <s v="الاحد "/>
    <x v="5"/>
    <s v="احمد سعيد  "/>
    <s v="عمل صيانة لخزنات الحريق  "/>
    <s v="تم العمل"/>
    <d v="1899-12-30T11:00:00"/>
    <d v="1899-12-30T01:30:00"/>
    <n v="-0.39583333333333331"/>
    <x v="0"/>
    <n v="3"/>
  </r>
  <r>
    <x v="6"/>
    <d v="2024-07-14T00:00:00"/>
    <s v="الاحد "/>
    <x v="0"/>
    <s v="مراد صالح  "/>
    <s v="تكسير خرسانة "/>
    <s v="تم العمل"/>
    <d v="1899-12-30T21:00:00"/>
    <d v="1899-12-30T16:00:00"/>
    <n v="0.20833333333333337"/>
    <x v="0"/>
    <n v="5.0000000000000009"/>
  </r>
  <r>
    <x v="6"/>
    <d v="2024-07-14T00:00:00"/>
    <s v="الاحد "/>
    <x v="6"/>
    <s v="حسن عبد العظيم "/>
    <s v="صيانة كشافات المخزن "/>
    <s v="تم العمل"/>
    <d v="1899-12-30T23:30:00"/>
    <d v="1899-12-30T12:30:00"/>
    <n v="0.45833333333333326"/>
    <x v="0"/>
    <n v="10.999999999999998"/>
  </r>
  <r>
    <x v="6"/>
    <d v="2024-07-14T00:00:00"/>
    <s v="الاحد "/>
    <x v="2"/>
    <s v="محمد رفعت  "/>
    <s v="تركيبات "/>
    <s v="تم العمل"/>
    <d v="1899-12-30T17:00:00"/>
    <d v="1899-12-30T22:00:00"/>
    <n v="0.20833333333333326"/>
    <x v="2"/>
    <n v="4.9999999999999982"/>
  </r>
  <r>
    <x v="6"/>
    <d v="2024-07-14T00:00:00"/>
    <s v="الاحد "/>
    <x v="1"/>
    <s v="احمد محمد "/>
    <s v="تركيب رشاشات الفاير "/>
    <s v="تم العمل"/>
    <d v="1899-12-30T10:00:00"/>
    <d v="1899-12-30T17:00:00"/>
    <n v="0.29166666666666669"/>
    <x v="1"/>
    <n v="7"/>
  </r>
  <r>
    <x v="6"/>
    <d v="2024-07-14T00:00:00"/>
    <s v="الاحد "/>
    <x v="14"/>
    <s v="محمود  السيد  "/>
    <s v="استكمال تركيب الاسانسير "/>
    <s v="تم العمل"/>
    <d v="1899-12-30T10:00:00"/>
    <d v="1899-12-30T17:00:00"/>
    <n v="0.29166666666666669"/>
    <x v="1"/>
    <n v="7"/>
  </r>
  <r>
    <x v="6"/>
    <d v="2024-07-14T00:00:00"/>
    <s v="الاحد "/>
    <x v="8"/>
    <s v="على  شحات "/>
    <s v="صيانة نظام الانزار "/>
    <s v="تم العمل"/>
    <d v="1899-12-30T11:00:00"/>
    <d v="1899-12-30T12:00:00"/>
    <n v="4.1666666666666685E-2"/>
    <x v="3"/>
    <n v="1.0000000000000004"/>
  </r>
  <r>
    <x v="6"/>
    <d v="2024-07-15T00:00:00"/>
    <s v="الاثنين "/>
    <x v="22"/>
    <s v="محمود عويس  "/>
    <s v="صيانة القارورة  "/>
    <s v="تم العمل"/>
    <d v="1899-12-30T10:30:00"/>
    <d v="1899-12-30T14:00:00"/>
    <n v="0.14583333333333337"/>
    <x v="3"/>
    <n v="3"/>
  </r>
  <r>
    <x v="6"/>
    <d v="2024-07-15T00:00:00"/>
    <s v="الاثنين "/>
    <x v="0"/>
    <s v="مراد صالح  "/>
    <s v="تكسير خرسانة "/>
    <s v="تم العمل"/>
    <d v="1899-12-30T21:00:00"/>
    <d v="1899-12-30T16:00:00"/>
    <n v="0.20833333333333337"/>
    <x v="0"/>
    <n v="5.0000000000000009"/>
  </r>
  <r>
    <x v="6"/>
    <d v="2024-07-15T00:00:00"/>
    <s v="الاثنين "/>
    <x v="10"/>
    <s v="فرج محمد "/>
    <s v="تركيب فراشة بالشارع  "/>
    <s v="تم العمل"/>
    <d v="1899-12-30T17:00:00"/>
    <d v="1899-12-30T20:30:00"/>
    <n v="0.14583333333333326"/>
    <x v="0"/>
    <n v="6"/>
  </r>
  <r>
    <x v="6"/>
    <d v="2024-07-15T00:00:00"/>
    <s v="الاثنين "/>
    <x v="14"/>
    <s v="احمد السيد "/>
    <s v="استكمال تركيب الاسانسير "/>
    <s v="تم العمل"/>
    <d v="1899-12-30T10:00:00"/>
    <d v="1899-12-30T17:00:00"/>
    <n v="0.29166666666666669"/>
    <x v="1"/>
    <n v="7"/>
  </r>
  <r>
    <x v="6"/>
    <d v="2024-07-16T00:00:00"/>
    <s v="الثلاثاء "/>
    <x v="14"/>
    <s v="محمود السيد "/>
    <s v="استكمال تركيب الاسانسير "/>
    <s v="تم العمل"/>
    <d v="1899-12-30T10:00:00"/>
    <d v="1899-12-30T17:00:00"/>
    <n v="0.29166666666666669"/>
    <x v="1"/>
    <n v="7"/>
  </r>
  <r>
    <x v="6"/>
    <d v="2024-07-16T00:00:00"/>
    <s v="الثلاثاء "/>
    <x v="10"/>
    <s v="احمد فرج    "/>
    <s v="تركيب فراشة بالشارع  "/>
    <s v="تم العمل"/>
    <d v="1899-12-30T17:00:00"/>
    <d v="1899-12-30T17:30:00"/>
    <n v="2.0833333333333259E-2"/>
    <x v="0"/>
    <n v="6"/>
  </r>
  <r>
    <x v="6"/>
    <d v="2024-07-16T00:00:00"/>
    <s v="الثلاثاء "/>
    <x v="0"/>
    <s v="مراد صالح  "/>
    <s v="تكسير خرسانة "/>
    <s v="تم العمل"/>
    <d v="1899-12-30T21:00:00"/>
    <d v="1899-12-30T16:30:00"/>
    <n v="0.1875"/>
    <x v="0"/>
    <n v="4.5"/>
  </r>
  <r>
    <x v="6"/>
    <d v="2024-07-16T00:00:00"/>
    <s v="الثلاثاء "/>
    <x v="22"/>
    <s v="محمود عويس  "/>
    <s v="صيانةوحدات التكييف "/>
    <s v="تم العمل"/>
    <d v="1899-12-30T11:00:00"/>
    <d v="1899-12-30T00:30:00"/>
    <n v="-0.4375"/>
    <x v="3"/>
    <n v="3"/>
  </r>
  <r>
    <x v="6"/>
    <d v="2024-07-17T00:00:00"/>
    <s v="الاربعاء "/>
    <x v="22"/>
    <s v="محمود عويس  "/>
    <s v="صيانة تكييف لوحة كهرباء كولبس 5"/>
    <s v="تم العمل"/>
    <d v="1899-12-30T10:30:00"/>
    <d v="1899-12-30T00:00:00"/>
    <n v="-0.4375"/>
    <x v="3"/>
    <n v="3"/>
  </r>
  <r>
    <x v="6"/>
    <d v="2024-07-17T00:00:00"/>
    <s v="الاربعاء "/>
    <x v="7"/>
    <s v="محمود احمد "/>
    <s v="المرور الاسبوعى للمكافحة "/>
    <s v="تم العمل"/>
    <d v="1899-12-30T10:30:00"/>
    <d v="1899-12-30T13:00:00"/>
    <n v="0.10416666666666663"/>
    <x v="1"/>
    <n v="2.4999999999999991"/>
  </r>
  <r>
    <x v="6"/>
    <d v="2024-07-17T00:00:00"/>
    <s v="الاربعاء "/>
    <x v="23"/>
    <s v="السيد اسماعيل  "/>
    <s v="عمل صيانةلخط السيتما "/>
    <s v="تم العمل"/>
    <d v="1899-12-30T14:00:00"/>
    <d v="1899-12-30T17:00:00"/>
    <n v="0.125"/>
    <x v="3"/>
    <n v="3"/>
  </r>
  <r>
    <x v="6"/>
    <d v="2024-07-17T00:00:00"/>
    <s v="الاربعاء "/>
    <x v="14"/>
    <s v="احمد السيد "/>
    <s v="استكمال تركيب الاسانسير "/>
    <s v="تم العمل"/>
    <d v="1899-12-30T11:00:00"/>
    <d v="1899-12-30T15:00:00"/>
    <n v="0.16666666666666669"/>
    <x v="1"/>
    <n v="4"/>
  </r>
  <r>
    <x v="6"/>
    <d v="2024-07-17T00:00:00"/>
    <s v="الاربعاء "/>
    <x v="7"/>
    <s v="محمود احمد "/>
    <s v="عمل مكافحة "/>
    <s v="تم العمل"/>
    <d v="1899-12-30T14:00:00"/>
    <d v="1899-12-30T15:30:00"/>
    <n v="6.25E-2"/>
    <x v="4"/>
    <n v="1.5"/>
  </r>
  <r>
    <x v="6"/>
    <d v="2024-07-17T00:00:00"/>
    <s v="الاربعاء "/>
    <x v="5"/>
    <s v="علاء احمد "/>
    <s v="صيانة تكييف "/>
    <s v="تم العمل"/>
    <d v="1899-12-30T21:30:00"/>
    <d v="1899-12-30T16:00:00"/>
    <n v="0.22916666666666674"/>
    <x v="3"/>
    <n v="3"/>
  </r>
  <r>
    <x v="6"/>
    <d v="2024-07-17T00:00:00"/>
    <s v="الاربعاء "/>
    <x v="0"/>
    <s v="مراد صالح  "/>
    <s v="ترميم خزان الحريق "/>
    <s v="تم العمل"/>
    <d v="1899-12-30T21:30:00"/>
    <d v="1899-12-30T16:00:00"/>
    <n v="0.22916666666666674"/>
    <x v="0"/>
    <n v="5.5000000000000018"/>
  </r>
  <r>
    <x v="6"/>
    <d v="2024-07-18T00:00:00"/>
    <s v="الخميس "/>
    <x v="29"/>
    <s v="محمد سعيد   "/>
    <s v="تركيب ابواب التربيزات "/>
    <s v="تم العمل"/>
    <d v="1899-12-30T01:00:00"/>
    <d v="1899-12-30T06:00:00"/>
    <n v="0.20833333333333334"/>
    <x v="3"/>
    <n v="5"/>
  </r>
  <r>
    <x v="6"/>
    <d v="2024-07-18T00:00:00"/>
    <s v="الخميس "/>
    <x v="0"/>
    <s v="مراد صالح  "/>
    <s v="ترميم خزان الحريق "/>
    <s v="تم العمل"/>
    <d v="1899-12-30T21:30:00"/>
    <d v="1899-12-30T15:00:00"/>
    <n v="0.27083333333333337"/>
    <x v="0"/>
    <n v="6.5000000000000009"/>
  </r>
  <r>
    <x v="6"/>
    <d v="2024-07-18T00:00:00"/>
    <s v="الخميس "/>
    <x v="14"/>
    <s v="احمد السيد "/>
    <s v="استكمال تركيب الاسانسير "/>
    <s v="تم العمل"/>
    <d v="1899-12-30T10:00:00"/>
    <d v="1899-12-30T17:00:00"/>
    <n v="0.29166666666666669"/>
    <x v="1"/>
    <n v="7"/>
  </r>
  <r>
    <x v="6"/>
    <d v="2024-07-19T00:00:00"/>
    <s v="الجمعة "/>
    <x v="0"/>
    <s v="مصطفى صلاح "/>
    <s v="ترميم ارضية الكفتريا "/>
    <s v="تم العمل"/>
    <d v="1899-12-30T11:00:00"/>
    <d v="1899-12-30T18:00:00"/>
    <n v="0.29166666666666669"/>
    <x v="3"/>
    <n v="7"/>
  </r>
  <r>
    <x v="6"/>
    <d v="2024-07-20T00:00:00"/>
    <s v="السبت "/>
    <x v="43"/>
    <s v="عهدى ابراهيم "/>
    <s v="تركيبات وصيانة "/>
    <s v="تم العمل"/>
    <d v="1899-12-30T10:00:00"/>
    <d v="1899-12-30T15:30:00"/>
    <n v="0.22916666666666669"/>
    <x v="2"/>
    <n v="5.5"/>
  </r>
  <r>
    <x v="6"/>
    <d v="2024-07-20T00:00:00"/>
    <s v="السبت "/>
    <x v="2"/>
    <s v="محمد رفعت  "/>
    <s v="تركيبات وصيانة "/>
    <s v="تم العمل"/>
    <d v="1899-12-30T00:00:00"/>
    <d v="1899-12-30T09:00:00"/>
    <n v="0.375"/>
    <x v="2"/>
    <n v="9"/>
  </r>
  <r>
    <x v="6"/>
    <d v="2024-07-20T00:00:00"/>
    <s v="السبت "/>
    <x v="0"/>
    <s v="مصطفى صلاح "/>
    <s v="ترميم ارضية الكفتريا "/>
    <s v="تم العمل"/>
    <d v="1899-12-30T10:30:00"/>
    <d v="1899-12-30T17:00:00"/>
    <n v="0.27083333333333337"/>
    <x v="3"/>
    <n v="6.5000000000000009"/>
  </r>
  <r>
    <x v="6"/>
    <d v="2024-07-20T00:00:00"/>
    <s v="السبت "/>
    <x v="29"/>
    <s v="محمد سعيد   "/>
    <s v="تركيب ابواب التربيزات "/>
    <s v="تم العمل"/>
    <d v="1899-12-30T14:30:00"/>
    <d v="1899-12-30T18:30:00"/>
    <n v="0.16666666666666674"/>
    <x v="3"/>
    <n v="4.0000000000000018"/>
  </r>
  <r>
    <x v="6"/>
    <d v="2024-07-20T00:00:00"/>
    <s v="السبت "/>
    <x v="35"/>
    <s v="سعيد متولى    "/>
    <s v="عمل لحام فى كباس وصيانة فى ماكينة سبيد 4 "/>
    <s v="تم العمل"/>
    <d v="1899-12-30T16:00:00"/>
    <d v="1899-12-30T18:00:00"/>
    <n v="8.333333333333337E-2"/>
    <x v="3"/>
    <n v="2.0000000000000009"/>
  </r>
  <r>
    <x v="6"/>
    <d v="2024-07-20T00:00:00"/>
    <s v="السبت "/>
    <x v="14"/>
    <s v="احمد السيد "/>
    <s v="استكمال تركيب الاسانسير "/>
    <s v="تم العمل"/>
    <d v="1899-12-30T21:30:00"/>
    <d v="1899-12-30T17:00:00"/>
    <n v="0.1875"/>
    <x v="1"/>
    <n v="4.5"/>
  </r>
  <r>
    <x v="6"/>
    <d v="2024-07-21T00:00:00"/>
    <s v="الاحد "/>
    <x v="22"/>
    <s v="محمود عويس  "/>
    <s v="صيانة كولدير  المياه الخاص بالعمال "/>
    <s v="تم العمل"/>
    <d v="1899-12-30T20:00:00"/>
    <d v="1899-12-30T21:00:00"/>
    <n v="4.166666666666663E-2"/>
    <x v="0"/>
    <n v="3"/>
  </r>
  <r>
    <x v="6"/>
    <d v="2024-07-21T00:00:00"/>
    <s v="الاحد "/>
    <x v="7"/>
    <s v="محمود احمد  "/>
    <s v="الزيارة الشهرية ومكافحة الحشرات "/>
    <s v="تم العمل"/>
    <d v="1899-12-30T10:00:00"/>
    <d v="1899-12-30T01:30:00"/>
    <n v="0.35416666666666669"/>
    <x v="4"/>
    <n v="3"/>
  </r>
  <r>
    <x v="6"/>
    <d v="2024-07-21T00:00:00"/>
    <s v="الاحد "/>
    <x v="18"/>
    <s v="فيكتور لوندى      "/>
    <s v="ضبط ضغط شبكة الحريق  "/>
    <s v="تم العمل"/>
    <d v="1899-12-30T00:00:00"/>
    <d v="1899-12-30T01:00:00"/>
    <n v="4.1666666666666664E-2"/>
    <x v="4"/>
    <n v="5.5"/>
  </r>
  <r>
    <x v="6"/>
    <d v="2024-07-21T00:00:00"/>
    <s v="الاحد "/>
    <x v="7"/>
    <s v="محمود شعبان "/>
    <s v="الزيارة الشهرية ومكافحة الحشرات "/>
    <s v="تم العمل"/>
    <d v="1899-12-30T14:00:00"/>
    <d v="1899-12-30T15:00:00"/>
    <n v="4.166666666666663E-2"/>
    <x v="0"/>
    <n v="3"/>
  </r>
  <r>
    <x v="6"/>
    <d v="2024-07-21T00:00:00"/>
    <s v="الاحد "/>
    <x v="7"/>
    <s v="زياد عادل "/>
    <s v="الزيارة الشهرية ومكافحة الحشرات "/>
    <s v="تم العمل"/>
    <d v="1899-12-30T11:00:00"/>
    <d v="1899-12-30T14:00:00"/>
    <n v="0.12500000000000006"/>
    <x v="1"/>
    <n v="3"/>
  </r>
  <r>
    <x v="6"/>
    <d v="2024-07-21T00:00:00"/>
    <s v="الاحد "/>
    <x v="17"/>
    <s v="مراد صالح  "/>
    <s v="استكمال اعمال سلم الطوارىء"/>
    <s v="تم العمل"/>
    <d v="1899-12-30T11:00:00"/>
    <d v="1899-12-30T14:00:00"/>
    <n v="0.12500000000000006"/>
    <x v="1"/>
    <n v="3"/>
  </r>
  <r>
    <x v="6"/>
    <d v="2024-07-21T00:00:00"/>
    <s v="الاحد "/>
    <x v="14"/>
    <s v="محمود السيد "/>
    <s v="استكمال تركيب الاسانسير "/>
    <s v="تم العمل"/>
    <d v="1899-12-30T10:00:00"/>
    <d v="1899-12-30T17:00:00"/>
    <n v="0.29166666666666669"/>
    <x v="1"/>
    <n v="7"/>
  </r>
  <r>
    <x v="6"/>
    <d v="2024-07-22T00:00:00"/>
    <s v="الاثنين "/>
    <x v="22"/>
    <s v="محمود الدروى  "/>
    <s v="المرور الدورى على تكيف ويب 11"/>
    <s v="تم العمل"/>
    <d v="1899-12-30T10:00:00"/>
    <d v="1899-12-30T11:00:00"/>
    <n v="4.166666666666663E-2"/>
    <x v="3"/>
    <n v="3"/>
  </r>
  <r>
    <x v="6"/>
    <d v="2024-07-22T00:00:00"/>
    <s v="الاثنين "/>
    <x v="14"/>
    <s v="محمود السيد "/>
    <s v="استكمال تركيب الاسانسير "/>
    <s v="تم العمل"/>
    <d v="1899-12-30T10:00:00"/>
    <d v="1899-12-30T17:00:00"/>
    <n v="0.29166666666666669"/>
    <x v="1"/>
    <n v="7"/>
  </r>
  <r>
    <x v="6"/>
    <d v="2024-07-22T00:00:00"/>
    <s v="الاثنين "/>
    <x v="6"/>
    <s v="صابر ابراهيم "/>
    <s v="تركيب عجلات السلالم  المتحركة "/>
    <s v="تم العمل"/>
    <d v="1899-12-30T00:00:00"/>
    <d v="1899-12-30T16:00:00"/>
    <n v="0.66666666666666663"/>
    <x v="1"/>
    <n v="3"/>
  </r>
  <r>
    <x v="6"/>
    <d v="2024-07-22T00:00:00"/>
    <s v="الاثنين "/>
    <x v="17"/>
    <s v="مراد صالح  "/>
    <s v="عمل مكان لباب سلم الطوارىء"/>
    <s v="تم العمل"/>
    <d v="1899-12-30T10:00:00"/>
    <d v="1899-12-30T16:00:00"/>
    <n v="0.24999999999999994"/>
    <x v="1"/>
    <n v="5.5"/>
  </r>
  <r>
    <x v="6"/>
    <d v="2024-07-23T00:00:00"/>
    <s v="الثلاثاء "/>
    <x v="22"/>
    <s v="محمود الدروى  "/>
    <s v="صيانة تكييف غرفة السرفر "/>
    <s v="تم العمل"/>
    <d v="1899-12-30T11:00:00"/>
    <d v="1899-12-30T01:00:00"/>
    <n v="0.41666666666666663"/>
    <x v="3"/>
    <n v="3"/>
  </r>
  <r>
    <x v="6"/>
    <d v="2024-07-23T00:00:00"/>
    <s v="الثلاثاء "/>
    <x v="29"/>
    <s v="محمد عبد الستار   "/>
    <s v="تركيب مقابض وعمل صيانة "/>
    <s v="تم العمل"/>
    <d v="1899-12-30T11:00:00"/>
    <d v="1899-12-30T01:30:00"/>
    <n v="0.39583333333333331"/>
    <x v="3"/>
    <n v="9.5"/>
  </r>
  <r>
    <x v="6"/>
    <d v="2024-07-23T00:00:00"/>
    <s v="الثلاثاء "/>
    <x v="5"/>
    <s v="احمد سعيد    "/>
    <s v="صيانة تكييف وحدة السريفر  "/>
    <s v="تم العمل"/>
    <d v="1899-12-30T10:00:00"/>
    <d v="1899-12-30T02:00:00"/>
    <n v="0.33333333333333337"/>
    <x v="6"/>
    <n v="8"/>
  </r>
  <r>
    <x v="6"/>
    <d v="2024-07-23T00:00:00"/>
    <s v="الثلاثاء "/>
    <x v="41"/>
    <s v="علاء احمد     "/>
    <s v="صيانة التكييف المركزى "/>
    <s v="تم العمل"/>
    <d v="1899-12-30T09:00:00"/>
    <d v="1899-12-30T12:00:00"/>
    <n v="0.125"/>
    <x v="2"/>
    <n v="3"/>
  </r>
  <r>
    <x v="6"/>
    <d v="2024-07-23T00:00:00"/>
    <s v="الثلاثاء "/>
    <x v="6"/>
    <s v="صابر ابراهيم "/>
    <s v="مد كابلات كهرباء "/>
    <s v="تم العمل"/>
    <d v="1899-12-30T10:00:00"/>
    <d v="1899-12-30T17:00:00"/>
    <n v="0.29166666666666669"/>
    <x v="1"/>
    <n v="3"/>
  </r>
  <r>
    <x v="6"/>
    <d v="2024-07-23T00:00:00"/>
    <s v="الثلاثاء "/>
    <x v="14"/>
    <s v="احمد  السيد "/>
    <s v="استكمال تركيب الاسانسير "/>
    <s v="تم العمل"/>
    <d v="1899-12-30T10:00:00"/>
    <d v="1899-12-30T17:00:00"/>
    <n v="0.29166666666666669"/>
    <x v="1"/>
    <n v="7"/>
  </r>
  <r>
    <x v="6"/>
    <d v="2024-07-23T00:00:00"/>
    <s v="الثلاثاء "/>
    <x v="17"/>
    <s v="مراد صالح  "/>
    <s v="اعمال البناء "/>
    <s v="تم العمل"/>
    <d v="1899-12-30T10:00:00"/>
    <d v="1899-12-30T16:00:00"/>
    <n v="0.24999999999999994"/>
    <x v="1"/>
    <n v="5.5"/>
  </r>
  <r>
    <x v="6"/>
    <d v="2024-07-24T00:00:00"/>
    <s v="الاربعاء "/>
    <x v="44"/>
    <s v="عبد الله مبارك     "/>
    <s v="تركيبات  "/>
    <s v="تم العمل"/>
    <d v="1899-12-30T12:30:00"/>
    <d v="1899-12-30T16:00:00"/>
    <n v="0.14583333333333326"/>
    <x v="2"/>
    <n v="3.4999999999999982"/>
  </r>
  <r>
    <x v="6"/>
    <d v="2024-07-24T00:00:00"/>
    <s v="الاربعاء "/>
    <x v="0"/>
    <s v="مراد صالح  "/>
    <s v="تكسير خزان الاطفاء "/>
    <s v="تم العمل"/>
    <d v="1899-12-30T10:00:00"/>
    <d v="1899-12-30T16:00:00"/>
    <n v="0.24999999999999994"/>
    <x v="0"/>
    <n v="5.9999999999999982"/>
  </r>
  <r>
    <x v="6"/>
    <d v="2024-07-24T00:00:00"/>
    <s v="الاربعاء "/>
    <x v="5"/>
    <s v="احمد حسن "/>
    <s v="صيانة العربية الهاند بالن "/>
    <s v="تم العمل"/>
    <d v="1899-12-30T10:30:00"/>
    <d v="1899-12-30T11:30:00"/>
    <n v="4.1666666666666685E-2"/>
    <x v="6"/>
    <n v="1.0000000000000004"/>
  </r>
  <r>
    <x v="6"/>
    <d v="2024-07-24T00:00:00"/>
    <s v="الاربعاء "/>
    <x v="14"/>
    <s v="عبد الرحمن حسين "/>
    <s v="استكمال تركيب الاسانسير "/>
    <s v="تم العمل"/>
    <d v="1899-12-30T10:00:00"/>
    <d v="1899-12-30T17:00:00"/>
    <n v="0.29166666666666669"/>
    <x v="1"/>
    <n v="7"/>
  </r>
  <r>
    <x v="6"/>
    <d v="2024-07-25T00:00:00"/>
    <s v="الخميس "/>
    <x v="0"/>
    <s v="مراد صالح  "/>
    <s v="احلال وتجديدخزان الاطفاء "/>
    <s v="تم العمل"/>
    <d v="1899-12-30T10:00:00"/>
    <d v="1899-12-30T16:00:00"/>
    <n v="0.24999999999999994"/>
    <x v="0"/>
    <n v="5.9999999999999982"/>
  </r>
  <r>
    <x v="6"/>
    <d v="2024-07-25T00:00:00"/>
    <s v="الخميس "/>
    <x v="0"/>
    <s v="عمرو فاروق      "/>
    <s v="انشاءات  "/>
    <s v="تم العمل"/>
    <d v="1899-12-30T11:00:00"/>
    <d v="1899-12-30T16:30:00"/>
    <n v="0.22916666666666669"/>
    <x v="2"/>
    <n v="5.5"/>
  </r>
  <r>
    <x v="6"/>
    <d v="2024-07-25T00:00:00"/>
    <s v="الخميس "/>
    <x v="14"/>
    <s v="انس احمد  "/>
    <s v="توصيل كهرباء المصعد "/>
    <s v="تم العمل"/>
    <d v="1899-12-30T21:30:00"/>
    <d v="1899-12-30T17:00:00"/>
    <n v="0.1875"/>
    <x v="1"/>
    <n v="4.5"/>
  </r>
  <r>
    <x v="6"/>
    <d v="2024-07-25T00:00:00"/>
    <s v="الخميس "/>
    <x v="5"/>
    <s v="علاء احمد "/>
    <s v="صيانة عامة  تكييف "/>
    <s v="تم العمل"/>
    <d v="1899-12-30T10:00:00"/>
    <d v="1899-12-30T16:30:00"/>
    <n v="0.27083333333333331"/>
    <x v="3"/>
    <n v="3"/>
  </r>
  <r>
    <x v="6"/>
    <d v="2024-07-25T00:00:00"/>
    <s v="الخميس "/>
    <x v="14"/>
    <s v="عبد الرحمن حسين "/>
    <s v="استكمال تركيب الاسانسير "/>
    <s v="تم العمل"/>
    <d v="1899-12-30T21:30:00"/>
    <d v="1899-12-30T17:00:00"/>
    <n v="0.1875"/>
    <x v="1"/>
    <n v="4.5"/>
  </r>
  <r>
    <x v="6"/>
    <d v="2024-07-27T00:00:00"/>
    <s v="السبت "/>
    <x v="5"/>
    <s v="علاء احمد "/>
    <s v="تركيب تكييف فى غرفة المراقب المالى "/>
    <s v="تم العمل"/>
    <d v="1899-12-30T13:00:00"/>
    <d v="1899-12-30T15:00:00"/>
    <n v="8.333333333333337E-2"/>
    <x v="6"/>
    <n v="2.0000000000000009"/>
  </r>
  <r>
    <x v="6"/>
    <d v="2024-07-27T00:00:00"/>
    <s v="السبت "/>
    <x v="10"/>
    <s v="حماده شعبان   "/>
    <s v="فك فراشة الشوارع "/>
    <s v="تم العمل"/>
    <d v="1899-12-30T01:30:00"/>
    <d v="1899-12-30T17:00:00"/>
    <n v="0.64583333333333337"/>
    <x v="0"/>
    <n v="3"/>
  </r>
  <r>
    <x v="6"/>
    <d v="2024-07-27T00:00:00"/>
    <s v="السبت "/>
    <x v="22"/>
    <s v="محمود عويس  "/>
    <s v="صيانةكولدير المياه "/>
    <s v="تم العمل"/>
    <d v="1899-12-30T16:00:00"/>
    <d v="1899-12-30T20:30:00"/>
    <n v="0.1875"/>
    <x v="0"/>
    <n v="3"/>
  </r>
  <r>
    <x v="6"/>
    <d v="2024-07-27T00:00:00"/>
    <s v="السبت "/>
    <x v="22"/>
    <s v="محمود عويس  "/>
    <s v="صيانة تكييف كولبس 5 وصيانة عامة"/>
    <s v="تم العمل"/>
    <d v="1899-12-30T01:00:00"/>
    <d v="1899-12-30T16:00:00"/>
    <n v="0.625"/>
    <x v="3"/>
    <n v="3"/>
  </r>
  <r>
    <x v="6"/>
    <d v="2024-07-27T00:00:00"/>
    <s v="السبت "/>
    <x v="14"/>
    <s v="عبد الرحمن حسين "/>
    <s v="استكمال تركيب الاسانسير "/>
    <s v="تم العمل"/>
    <d v="1899-12-30T10:00:00"/>
    <d v="1899-12-30T17:00:00"/>
    <n v="0.29166666666666669"/>
    <x v="1"/>
    <n v="7"/>
  </r>
  <r>
    <x v="6"/>
    <d v="2024-07-27T00:00:00"/>
    <s v="السبت "/>
    <x v="0"/>
    <s v="مرادصالح "/>
    <s v="فك خشب عامود باب الطوارىء "/>
    <s v="تم العمل"/>
    <d v="1899-12-30T10:00:00"/>
    <d v="1899-12-30T12:00:00"/>
    <n v="8.3333333333333315E-2"/>
    <x v="1"/>
    <n v="1.9999999999999996"/>
  </r>
  <r>
    <x v="6"/>
    <d v="2024-07-28T00:00:00"/>
    <s v="الاحد "/>
    <x v="8"/>
    <s v="حامد ابو المحاميد "/>
    <s v="الزيارة  الشهرية المرور على خط الحريق  "/>
    <s v="تم العمل"/>
    <d v="1899-12-30T10:30:00"/>
    <d v="1899-12-30T03:00:00"/>
    <n v="0.3125"/>
    <x v="3"/>
    <n v="7.5"/>
  </r>
  <r>
    <x v="6"/>
    <d v="2024-07-28T00:00:00"/>
    <s v="الاحد "/>
    <x v="5"/>
    <s v="مصطفى محمد "/>
    <s v="قص الاشجار "/>
    <s v="تم العمل"/>
    <d v="1899-12-30T10:30:00"/>
    <d v="1899-12-30T14:30:00"/>
    <n v="0.16666666666666663"/>
    <x v="3"/>
    <n v="3"/>
  </r>
  <r>
    <x v="6"/>
    <d v="2024-07-28T00:00:00"/>
    <s v="الاحد "/>
    <x v="22"/>
    <s v="محمود عويس  "/>
    <s v="تركيب  تكييف كولبس 5"/>
    <s v="تم العمل"/>
    <d v="1899-12-30T02:30:00"/>
    <d v="1899-12-30T03:00:00"/>
    <n v="2.0833333333333329E-2"/>
    <x v="3"/>
    <n v="3"/>
  </r>
  <r>
    <x v="6"/>
    <d v="2024-07-28T00:00:00"/>
    <s v="الاحد "/>
    <x v="14"/>
    <s v="احمد السيد "/>
    <s v="استكمال تركيب الاسانسير "/>
    <s v="تم العمل"/>
    <d v="1899-12-30T10:00:00"/>
    <d v="1899-12-30T17:00:00"/>
    <n v="0.29166666666666669"/>
    <x v="1"/>
    <n v="7"/>
  </r>
  <r>
    <x v="6"/>
    <d v="2024-07-28T00:00:00"/>
    <s v="الاحد "/>
    <x v="17"/>
    <s v="مراد صالح  "/>
    <s v="تركيب باب الطوارىء"/>
    <s v="تم العمل"/>
    <d v="1899-12-30T10:00:00"/>
    <d v="1899-12-30T14:00:00"/>
    <n v="0.16666666666666669"/>
    <x v="1"/>
    <n v="5.5"/>
  </r>
  <r>
    <x v="6"/>
    <d v="2024-07-29T00:00:00"/>
    <s v="الاثنين "/>
    <x v="36"/>
    <s v="مراد صالح  "/>
    <s v="تركيب رخام لباب الامن الجديد "/>
    <s v="تم العمل"/>
    <d v="1899-12-30T00:00:00"/>
    <d v="1899-12-30T16:00:00"/>
    <n v="0.66666666666666663"/>
    <x v="1"/>
    <n v="5.5"/>
  </r>
  <r>
    <x v="6"/>
    <d v="2024-07-29T00:00:00"/>
    <s v="الاثنين "/>
    <x v="0"/>
    <s v="مراد صالح  "/>
    <s v="احلال وتجديدخزان الاطفاء "/>
    <s v="تم العمل"/>
    <d v="1899-12-30T10:00:00"/>
    <d v="1899-12-30T15:00:00"/>
    <n v="0.20833333333333331"/>
    <x v="0"/>
    <n v="5"/>
  </r>
  <r>
    <x v="6"/>
    <d v="2024-07-29T00:00:00"/>
    <s v="الاثنين "/>
    <x v="22"/>
    <s v="محمود عويس  "/>
    <s v="صيانة تكيفات "/>
    <s v="تم العمل"/>
    <d v="1899-12-30T11:00:00"/>
    <d v="1899-12-30T16:00:00"/>
    <n v="0.20833333333333331"/>
    <x v="3"/>
    <n v="3"/>
  </r>
  <r>
    <x v="6"/>
    <d v="2024-07-29T00:00:00"/>
    <s v="الاثنين "/>
    <x v="8"/>
    <s v="حامد ابو المحاميد   "/>
    <s v=" الزيارة الشهرية وصيانة فى غرفة الطلمبات "/>
    <s v="تم العمل"/>
    <d v="1899-12-30T00:00:00"/>
    <d v="1899-12-30T20:00:00"/>
    <n v="0.83333333333333337"/>
    <x v="0"/>
    <n v="3"/>
  </r>
  <r>
    <x v="6"/>
    <d v="2024-07-29T00:00:00"/>
    <s v="الاثنين "/>
    <x v="5"/>
    <s v="احمد حسن "/>
    <s v="تركيب اللوحة الضوئية "/>
    <s v="تم العمل"/>
    <d v="1899-12-30T13:00:00"/>
    <d v="1899-12-30T14:30:00"/>
    <n v="6.25E-2"/>
    <x v="6"/>
    <n v="1.5"/>
  </r>
  <r>
    <x v="6"/>
    <d v="2024-07-29T00:00:00"/>
    <s v="الاثنين "/>
    <x v="0"/>
    <s v="مراد صالح  "/>
    <s v="اعمال محارة وبناء "/>
    <s v="تم العمل"/>
    <d v="1899-12-30T11:00:00"/>
    <d v="1899-12-30T15:00:00"/>
    <n v="0.16666666666666669"/>
    <x v="0"/>
    <n v="4"/>
  </r>
  <r>
    <x v="6"/>
    <d v="2024-07-29T00:00:00"/>
    <s v="الاثنين "/>
    <x v="6"/>
    <s v="صابر ابراهيم "/>
    <s v="تركيب باب فى مخزن CD"/>
    <s v="تم العمل"/>
    <d v="1899-12-30T11:00:00"/>
    <d v="1899-12-30T15:00:00"/>
    <n v="0.16666666666666669"/>
    <x v="3"/>
    <n v="3"/>
  </r>
  <r>
    <x v="6"/>
    <d v="2024-07-30T00:00:00"/>
    <s v="الثلاثاء "/>
    <x v="45"/>
    <s v="مصطفى حمزة "/>
    <s v="صيانة كبروسر الهواء "/>
    <s v="تم العمل"/>
    <d v="1899-12-30T00:30:00"/>
    <d v="1899-12-30T17:00:00"/>
    <n v="0.6875"/>
    <x v="3"/>
    <n v="3"/>
  </r>
  <r>
    <x v="6"/>
    <d v="2024-07-30T00:00:00"/>
    <s v="الثلاثاء "/>
    <x v="8"/>
    <s v="حامد ابو المحاميد "/>
    <s v="الزيارة الشهرية والمرور علىخط الحريق "/>
    <s v="تم العمل"/>
    <d v="1899-12-30T15:00:00"/>
    <d v="1899-12-30T16:00:00"/>
    <n v="4.166666666666663E-2"/>
    <x v="1"/>
    <n v="0.99999999999999911"/>
  </r>
  <r>
    <x v="6"/>
    <d v="2024-07-30T00:00:00"/>
    <s v="الثلاثاء "/>
    <x v="0"/>
    <s v="مراد صالح  "/>
    <s v="احلال وتجديدخزان الحريق "/>
    <s v="تم العمل"/>
    <d v="1899-12-30T10:00:00"/>
    <d v="1899-12-30T15:00:00"/>
    <n v="0.20833333333333331"/>
    <x v="0"/>
    <n v="5"/>
  </r>
  <r>
    <x v="6"/>
    <d v="2024-07-30T00:00:00"/>
    <s v="الثلاثاء "/>
    <x v="10"/>
    <s v="الحاج فرج  "/>
    <s v="فك فراشة الشوارع "/>
    <s v="تم العمل"/>
    <d v="1899-12-30T10:00:00"/>
    <d v="1899-12-30T15:00:00"/>
    <n v="0.20833333333333331"/>
    <x v="0"/>
    <n v="3"/>
  </r>
  <r>
    <x v="6"/>
    <d v="2024-07-30T00:00:00"/>
    <s v="الثلاثاء "/>
    <x v="0"/>
    <s v="مراد صالح  "/>
    <s v="تحميل كسر باللودر "/>
    <s v="تم العمل"/>
    <d v="1899-12-30T11:00:00"/>
    <d v="1899-12-30T14:00:00"/>
    <n v="0.12500000000000006"/>
    <x v="0"/>
    <n v="3.0000000000000013"/>
  </r>
  <r>
    <x v="6"/>
    <d v="2024-07-30T00:00:00"/>
    <s v="الثلاثاء "/>
    <x v="8"/>
    <s v="حامد ابو المحاميد "/>
    <s v="الزيارة الشهرية والمرور على خط الحريق "/>
    <s v="تم العمل"/>
    <d v="1899-12-30T10:00:00"/>
    <d v="1899-12-30T15:00:00"/>
    <n v="0.20833333333333331"/>
    <x v="0"/>
    <n v="5"/>
  </r>
  <r>
    <x v="6"/>
    <d v="2024-07-30T00:00:00"/>
    <s v="الثلاثاء "/>
    <x v="5"/>
    <s v="احمد سعيد "/>
    <s v="عمل صيانة للكلدير "/>
    <s v="تم العمل"/>
    <d v="1899-12-30T14:00:00"/>
    <d v="1899-12-30T15:00:00"/>
    <n v="4.166666666666663E-2"/>
    <x v="0"/>
    <n v="3"/>
  </r>
  <r>
    <x v="6"/>
    <d v="2024-07-30T00:00:00"/>
    <s v="الثلاثاء "/>
    <x v="22"/>
    <s v="محمود عويس  "/>
    <s v="صيانة تكيفات "/>
    <s v="تم العمل"/>
    <d v="1899-12-30T21:30:00"/>
    <d v="1899-12-30T10:30:00"/>
    <n v="0.45833333333333337"/>
    <x v="3"/>
    <n v="3"/>
  </r>
  <r>
    <x v="6"/>
    <d v="2024-07-31T00:00:00"/>
    <s v="الاربعاء "/>
    <x v="34"/>
    <s v="رامى محمد "/>
    <s v="تركيب باب "/>
    <s v="تم العمل"/>
    <d v="1899-12-30T14:00:00"/>
    <d v="1899-12-30T15:00:00"/>
    <n v="4.166666666666663E-2"/>
    <x v="3"/>
    <n v="3"/>
  </r>
  <r>
    <x v="6"/>
    <d v="2024-07-31T00:00:00"/>
    <s v="الاربعاء "/>
    <x v="0"/>
    <s v="مراد صالح  "/>
    <s v="احلال وتجديدخزان الحريق "/>
    <s v="تم العمل"/>
    <d v="1899-12-30T21:30:00"/>
    <d v="1899-12-30T15:00:00"/>
    <n v="0.27083333333333337"/>
    <x v="0"/>
    <n v="6.5000000000000009"/>
  </r>
  <r>
    <x v="7"/>
    <d v="2024-08-01T00:00:00"/>
    <s v="الخميس "/>
    <x v="5"/>
    <s v="احمد حسن "/>
    <s v="فك تكييف قديم من المكتبة "/>
    <s v="تم العمل"/>
    <d v="1899-12-30T15:30:00"/>
    <d v="1899-12-30T16:00:00"/>
    <n v="2.0833333333333259E-2"/>
    <x v="6"/>
    <n v="0.49999999999999822"/>
  </r>
  <r>
    <x v="7"/>
    <d v="2024-08-01T00:00:00"/>
    <s v="الخميس "/>
    <x v="22"/>
    <s v="محمود عويس  "/>
    <s v="صيانة تكييف "/>
    <s v="تم العمل"/>
    <d v="1899-12-30T15:00:00"/>
    <d v="1899-12-30T16:00:00"/>
    <n v="4.166666666666663E-2"/>
    <x v="3"/>
    <n v="0.99999999999999911"/>
  </r>
  <r>
    <x v="7"/>
    <d v="2024-08-02T00:00:00"/>
    <s v="الجمعة "/>
    <x v="5"/>
    <s v="محمد شكرى "/>
    <s v="صيانة تكييف وحدة السريفر  "/>
    <s v="تم العمل"/>
    <d v="1899-12-30T18:00:00"/>
    <d v="1899-12-30T19:30:00"/>
    <n v="6.25E-2"/>
    <x v="6"/>
    <n v="1.5"/>
  </r>
  <r>
    <x v="7"/>
    <d v="2024-08-03T00:00:00"/>
    <s v="السبت "/>
    <x v="0"/>
    <s v="احمد زنفل "/>
    <s v="رفع وازالة التكسير "/>
    <s v="تم العمل"/>
    <d v="1899-12-30T11:00:00"/>
    <d v="1899-12-30T15:00:00"/>
    <n v="0.16666666666666669"/>
    <x v="0"/>
    <n v="4"/>
  </r>
  <r>
    <x v="7"/>
    <d v="2024-08-03T00:00:00"/>
    <s v="السبت "/>
    <x v="10"/>
    <s v="احمد فرج   "/>
    <s v="فك وازالة الفراشة "/>
    <s v="تم العمل"/>
    <d v="1899-12-30T10:30:00"/>
    <d v="1899-12-30T17:30:00"/>
    <n v="0.29166666666666663"/>
    <x v="0"/>
    <n v="3"/>
  </r>
  <r>
    <x v="7"/>
    <d v="2024-08-03T00:00:00"/>
    <s v="السبت "/>
    <x v="5"/>
    <s v="محمد شكرى "/>
    <s v="صيانة تكييف وحدة السريفر  "/>
    <s v="تم العمل"/>
    <d v="1899-12-30T00:00:00"/>
    <d v="1899-12-30T07:00:00"/>
    <n v="0.29166666666666669"/>
    <x v="6"/>
    <n v="7"/>
  </r>
  <r>
    <x v="7"/>
    <d v="2024-08-03T00:00:00"/>
    <s v="السبت "/>
    <x v="5"/>
    <s v="مجدى كرم  "/>
    <s v="تغطية ملاحظات بالكهرباء "/>
    <s v="تم العمل"/>
    <d v="1899-12-30T21:00:00"/>
    <d v="1899-12-30T12:00:00"/>
    <n v="0.375"/>
    <x v="6"/>
    <n v="9"/>
  </r>
  <r>
    <x v="7"/>
    <d v="2024-08-04T00:00:00"/>
    <s v="الاحد "/>
    <x v="38"/>
    <s v="اسلام مليجى "/>
    <s v="تغيير فلاتر المياه "/>
    <s v="تم العمل"/>
    <d v="1899-12-30T00:00:00"/>
    <d v="1899-12-30T12:30:00"/>
    <n v="0.52083333333333337"/>
    <x v="3"/>
    <n v="3"/>
  </r>
  <r>
    <x v="7"/>
    <d v="2024-08-04T00:00:00"/>
    <s v="الاحد "/>
    <x v="9"/>
    <s v="محمد شعبان "/>
    <s v="صيانة الكلاركات "/>
    <s v="تم العمل"/>
    <d v="1899-12-30T11:00:00"/>
    <d v="1899-12-30T00:00:00"/>
    <n v="0.45833333333333331"/>
    <x v="1"/>
    <n v="3"/>
  </r>
  <r>
    <x v="7"/>
    <d v="2024-08-04T00:00:00"/>
    <s v="الاحد "/>
    <x v="7"/>
    <s v="محمود احمد "/>
    <s v="الزيارة الشهرية  مكافحة القوارض "/>
    <s v="تم العمل"/>
    <d v="1899-12-30T14:00:00"/>
    <d v="1899-12-30T16:00:00"/>
    <n v="8.3333333333333259E-2"/>
    <x v="1"/>
    <n v="3"/>
  </r>
  <r>
    <x v="7"/>
    <d v="2024-08-04T00:00:00"/>
    <s v="الاحد "/>
    <x v="0"/>
    <s v="مراد صالح  "/>
    <s v="استكمال اعمال سلم الطوارىء  "/>
    <s v="تم العمل"/>
    <d v="1899-12-30T10:00:00"/>
    <d v="1899-12-30T17:00:00"/>
    <n v="0.29166666666666669"/>
    <x v="1"/>
    <n v="3"/>
  </r>
  <r>
    <x v="7"/>
    <d v="2024-08-04T00:00:00"/>
    <s v="الاحد "/>
    <x v="14"/>
    <s v="احمد السيد "/>
    <s v="استكمال تركيب الاسانسير "/>
    <s v="تم العمل"/>
    <d v="1899-12-30T10:00:00"/>
    <d v="1899-12-30T17:00:00"/>
    <n v="0.29166666666666669"/>
    <x v="1"/>
    <n v="7"/>
  </r>
  <r>
    <x v="7"/>
    <d v="2024-08-04T00:00:00"/>
    <s v="الاحد "/>
    <x v="1"/>
    <s v="احمد مخيمر "/>
    <s v="تركيب الرشاشات "/>
    <s v="تم العمل"/>
    <d v="1899-12-30T10:00:00"/>
    <d v="1899-12-30T17:00:00"/>
    <n v="0.29166666666666669"/>
    <x v="1"/>
    <n v="7"/>
  </r>
  <r>
    <x v="7"/>
    <d v="2024-08-04T00:00:00"/>
    <s v="الاحد "/>
    <x v="7"/>
    <s v="محمود احمد "/>
    <s v="الزيارة الشهرية  مكافحة القوارض "/>
    <s v="تم العمل"/>
    <d v="1899-12-30T12:30:00"/>
    <d v="1899-12-30T14:00:00"/>
    <n v="6.25E-2"/>
    <x v="4"/>
    <n v="3"/>
  </r>
  <r>
    <x v="7"/>
    <d v="2024-08-04T00:00:00"/>
    <s v="الاحد "/>
    <x v="18"/>
    <s v="فيكتور لاوندى "/>
    <s v="عمل لحام فى الرامب "/>
    <s v="تم العمل"/>
    <d v="1899-12-30T00:00:00"/>
    <d v="1899-12-30T17:00:00"/>
    <n v="0.70833333333333337"/>
    <x v="4"/>
    <n v="3"/>
  </r>
  <r>
    <x v="7"/>
    <d v="2024-08-04T00:00:00"/>
    <s v="الاحد "/>
    <x v="10"/>
    <s v="احمد فرج   "/>
    <s v="فك وازالة الفراشة "/>
    <s v="تم العمل"/>
    <d v="1899-12-30T00:00:00"/>
    <d v="1899-12-30T15:00:00"/>
    <n v="0.625"/>
    <x v="0"/>
    <n v="3"/>
  </r>
  <r>
    <x v="7"/>
    <d v="2024-08-04T00:00:00"/>
    <s v="الاحد "/>
    <x v="7"/>
    <s v="محمود احمد "/>
    <s v="الزيارة الشهرية  مكافحة القوارض "/>
    <s v="تم العمل"/>
    <d v="1899-12-30T11:00:00"/>
    <d v="1899-12-30T13:00:00"/>
    <n v="8.3333333333333315E-2"/>
    <x v="0"/>
    <n v="3"/>
  </r>
  <r>
    <x v="7"/>
    <d v="2024-08-04T00:00:00"/>
    <s v="الاحد "/>
    <x v="22"/>
    <s v="محمود عويس  "/>
    <s v="صيانة تكييف "/>
    <s v="تم العمل"/>
    <d v="1899-12-30T19:00:00"/>
    <d v="1899-12-30T21:00:00"/>
    <n v="8.333333333333337E-2"/>
    <x v="3"/>
    <n v="2.0000000000000009"/>
  </r>
  <r>
    <x v="6"/>
    <d v="2024-08-05T00:00:00"/>
    <s v="الاثنين "/>
    <x v="14"/>
    <s v="عبد الرحمن حسين "/>
    <s v="تركيب المصاعد "/>
    <s v="تم العمل"/>
    <d v="1899-12-30T10:00:00"/>
    <d v="1899-12-30T17:00:00"/>
    <n v="0.29166666666666669"/>
    <x v="1"/>
    <n v="7"/>
  </r>
  <r>
    <x v="7"/>
    <d v="2024-08-05T00:00:00"/>
    <s v="الاثنين "/>
    <x v="5"/>
    <s v="محمد جابر "/>
    <s v="تكسير خرسانة "/>
    <s v="تم العمل"/>
    <d v="1899-12-30T14:00:00"/>
    <d v="1899-12-30T19:00:00"/>
    <n v="0.20833333333333326"/>
    <x v="3"/>
    <n v="4.9999999999999982"/>
  </r>
  <r>
    <x v="7"/>
    <d v="2024-08-05T00:00:00"/>
    <s v="الاثنين "/>
    <x v="0"/>
    <s v="مراد صالح  "/>
    <s v=" اعمال دهان فى سلم الطوارىء  "/>
    <s v="تم العمل"/>
    <d v="1899-12-30T00:00:00"/>
    <d v="1899-12-30T14:00:00"/>
    <n v="0.58333333333333337"/>
    <x v="1"/>
    <n v="3"/>
  </r>
  <r>
    <x v="7"/>
    <d v="2024-08-05T00:00:00"/>
    <s v="الاثنين "/>
    <x v="1"/>
    <s v="احمد مخيمر "/>
    <s v="تركيب خط الحريق   "/>
    <s v="تم العمل"/>
    <d v="1899-12-30T10:00:00"/>
    <d v="1899-12-30T16:00:00"/>
    <n v="0.24999999999999994"/>
    <x v="1"/>
    <n v="5.9999999999999982"/>
  </r>
  <r>
    <x v="7"/>
    <d v="2024-08-05T00:00:00"/>
    <s v="الاثنين "/>
    <x v="6"/>
    <s v="محمود عويس  "/>
    <s v="فك وحدة التكيف "/>
    <s v="تم العمل"/>
    <d v="1899-12-30T10:00:00"/>
    <d v="1899-12-30T10:30:00"/>
    <n v="2.0833333333333315E-2"/>
    <x v="3"/>
    <n v="0.49999999999999956"/>
  </r>
  <r>
    <x v="7"/>
    <d v="2024-08-05T00:00:00"/>
    <s v="الاثنين "/>
    <x v="6"/>
    <s v="صابر ايراهيم   "/>
    <s v="تركيب حاجز حماية "/>
    <s v="تم العمل"/>
    <d v="1899-12-30T10:00:00"/>
    <d v="1899-12-30T10:30:00"/>
    <n v="2.0833333333333315E-2"/>
    <x v="3"/>
    <n v="0.49999999999999956"/>
  </r>
  <r>
    <x v="7"/>
    <d v="2024-08-05T00:00:00"/>
    <s v="الاثنين "/>
    <x v="13"/>
    <s v="على السعيد  "/>
    <s v="عمل صيانة كراسى المكاتب الادارية "/>
    <s v="تم العمل"/>
    <d v="1899-12-30T14:30:00"/>
    <d v="1899-12-30T15:30:00"/>
    <n v="4.1666666666666741E-2"/>
    <x v="3"/>
    <n v="1.0000000000000018"/>
  </r>
  <r>
    <x v="7"/>
    <d v="2024-08-05T00:00:00"/>
    <s v="الاثنين "/>
    <x v="46"/>
    <s v="اسلام محمد "/>
    <s v="صيانة فلتر المياة "/>
    <s v="تم العمل"/>
    <d v="1899-12-30T12:00:00"/>
    <d v="1899-12-30T13:00:00"/>
    <n v="4.166666666666663E-2"/>
    <x v="3"/>
    <n v="0.99999999999999911"/>
  </r>
  <r>
    <x v="7"/>
    <d v="2024-08-06T00:00:00"/>
    <s v="الثلاثاء "/>
    <x v="5"/>
    <s v="علاء احمد "/>
    <s v="عمل صيانة لتكيفات "/>
    <s v="تم العمل"/>
    <d v="1899-12-30T10:00:00"/>
    <d v="1899-12-30T13:00:00"/>
    <n v="0.12499999999999994"/>
    <x v="3"/>
    <n v="2.9999999999999987"/>
  </r>
  <r>
    <x v="7"/>
    <d v="2024-08-06T00:00:00"/>
    <s v="الثلاثاء "/>
    <x v="6"/>
    <s v="محمود عويس  "/>
    <s v="تركيب وحدة فان التكيف  "/>
    <s v="تم العمل"/>
    <d v="1899-12-30T15:00:00"/>
    <d v="1899-12-30T16:00:00"/>
    <n v="4.166666666666663E-2"/>
    <x v="3"/>
    <n v="0.99999999999999911"/>
  </r>
  <r>
    <x v="7"/>
    <d v="2024-08-06T00:00:00"/>
    <s v="الثلاثاء "/>
    <x v="18"/>
    <s v="فيكتور لاوندى "/>
    <s v="عمل ترميم و لحام فى الرامب "/>
    <s v="تم العمل"/>
    <d v="1899-12-30T13:00:00"/>
    <d v="1899-12-30T17:00:00"/>
    <n v="0.16666666666666674"/>
    <x v="4"/>
    <n v="3"/>
  </r>
  <r>
    <x v="7"/>
    <d v="2024-08-06T00:00:00"/>
    <s v="الثلاثاء "/>
    <x v="5"/>
    <s v="محمد "/>
    <s v="تصليح وصيانة مواتير المياه "/>
    <s v="تم العمل"/>
    <d v="1899-12-30T16:00:00"/>
    <d v="1899-12-30T22:00:00"/>
    <n v="0.25"/>
    <x v="6"/>
    <n v="6"/>
  </r>
  <r>
    <x v="7"/>
    <d v="2024-08-06T00:00:00"/>
    <s v="الثلاثاء "/>
    <x v="6"/>
    <s v="احمد سلامة "/>
    <s v="صيانة بوابة 3 الخلفية  "/>
    <s v="تم العمل"/>
    <d v="1899-12-30T13:00:00"/>
    <d v="1899-12-30T17:00:00"/>
    <n v="0.16666666666666674"/>
    <x v="1"/>
    <n v="4.0000000000000018"/>
  </r>
  <r>
    <x v="7"/>
    <d v="2024-08-06T00:00:00"/>
    <s v="الثلاثاء "/>
    <x v="0"/>
    <s v="مراد صالح  "/>
    <s v="صيانة الشبابيك الالموتال "/>
    <s v="تم العمل"/>
    <d v="1899-12-30T11:00:00"/>
    <d v="1899-12-30T16:00:00"/>
    <n v="0.20833333333333331"/>
    <x v="1"/>
    <n v="3"/>
  </r>
  <r>
    <x v="7"/>
    <d v="2024-08-06T00:00:00"/>
    <s v="الثلاثاء "/>
    <x v="6"/>
    <s v="احمد ماهر "/>
    <s v="عمل صيانة بوحدة الايوشر "/>
    <s v="تم العمل"/>
    <d v="1899-12-30T15:30:00"/>
    <d v="1899-12-30T17:00:00"/>
    <n v="6.25E-2"/>
    <x v="1"/>
    <n v="1.5"/>
  </r>
  <r>
    <x v="7"/>
    <d v="2024-08-07T00:00:00"/>
    <s v="الاربعاء "/>
    <x v="5"/>
    <s v="محمد جابر "/>
    <s v="تكسير خرسانة "/>
    <s v="تم العمل"/>
    <d v="1899-12-30T16:00:00"/>
    <d v="1899-12-30T17:30:00"/>
    <n v="6.25E-2"/>
    <x v="3"/>
    <n v="1.5"/>
  </r>
  <r>
    <x v="7"/>
    <d v="2024-08-07T00:00:00"/>
    <s v="الاربعاء "/>
    <x v="6"/>
    <s v="صابر ايراهيم   "/>
    <s v="اصلاح ابواب عنابر الانتاج  "/>
    <s v="تم العمل"/>
    <d v="1899-12-30T11:00:00"/>
    <d v="1899-12-30T16:00:00"/>
    <n v="0.20833333333333331"/>
    <x v="3"/>
    <n v="5"/>
  </r>
  <r>
    <x v="7"/>
    <d v="2024-08-07T00:00:00"/>
    <s v="الاربعاء "/>
    <x v="14"/>
    <s v="احمد السيد  "/>
    <s v="تركيب المصاعد "/>
    <s v="تم العمل"/>
    <d v="1899-12-30T10:00:00"/>
    <d v="1899-12-30T17:00:00"/>
    <n v="0.29166666666666669"/>
    <x v="1"/>
    <n v="7"/>
  </r>
  <r>
    <x v="7"/>
    <d v="2024-08-07T00:00:00"/>
    <s v="الاربعاء "/>
    <x v="1"/>
    <s v="احمد ياسر"/>
    <s v="استكمال اعمال الفاير  "/>
    <s v="تم العمل"/>
    <d v="1899-12-30T12:00:00"/>
    <d v="1899-12-30T16:00:00"/>
    <n v="0.16666666666666663"/>
    <x v="1"/>
    <n v="3.9999999999999991"/>
  </r>
  <r>
    <x v="7"/>
    <d v="2024-08-07T00:00:00"/>
    <s v="الاربعاء "/>
    <x v="5"/>
    <s v="محمد "/>
    <s v="استكمال اعمال صيانة وتغيير فى شبكة خط المياه"/>
    <s v="تم العمل"/>
    <d v="1899-12-30T00:00:00"/>
    <d v="1899-12-30T12:00:00"/>
    <n v="0.5"/>
    <x v="6"/>
    <n v="12"/>
  </r>
  <r>
    <x v="7"/>
    <d v="2024-08-08T00:00:00"/>
    <s v="الخميس "/>
    <x v="8"/>
    <s v="علاء الشحات "/>
    <s v="الزيارة الشهرية لصيانة خط الانزار "/>
    <s v="تم العمل"/>
    <d v="1899-12-30T12:00:00"/>
    <d v="1899-12-30T13:00:00"/>
    <n v="4.166666666666663E-2"/>
    <x v="3"/>
    <n v="0.99999999999999911"/>
  </r>
  <r>
    <x v="7"/>
    <d v="2024-08-08T00:00:00"/>
    <s v="الخميس "/>
    <x v="8"/>
    <s v="علاء الشحات "/>
    <s v="الزيارة الشهرية لصيانة خط الانزار "/>
    <s v="تم العمل"/>
    <d v="1899-12-30T13:30:00"/>
    <d v="1899-12-30T14:00:00"/>
    <n v="2.083333333333337E-2"/>
    <x v="0"/>
    <n v="0.50000000000000089"/>
  </r>
  <r>
    <x v="7"/>
    <d v="2024-08-08T00:00:00"/>
    <s v="الخميس "/>
    <x v="8"/>
    <s v="علاء الشحات "/>
    <s v="الزيارة الشهرية لصيانة خط الانزار "/>
    <s v="تم العمل"/>
    <d v="1899-12-30T10:00:00"/>
    <d v="1899-12-30T11:00:00"/>
    <n v="4.166666666666663E-2"/>
    <x v="1"/>
    <n v="0.99999999999999911"/>
  </r>
  <r>
    <x v="7"/>
    <d v="2024-08-08T00:00:00"/>
    <s v="الخميس "/>
    <x v="14"/>
    <s v="عبد الرحمن حسين   "/>
    <s v="تركيب المصاعد "/>
    <s v="تم العمل"/>
    <d v="1899-12-30T10:00:00"/>
    <d v="1899-12-30T17:00:00"/>
    <n v="0.29166666666666669"/>
    <x v="1"/>
    <n v="7"/>
  </r>
  <r>
    <x v="7"/>
    <d v="2024-08-08T00:00:00"/>
    <s v="الخميس "/>
    <x v="0"/>
    <s v="وائل انور مصطفى  "/>
    <s v="صيانة شبابيك الالمونتال "/>
    <s v="تم العمل"/>
    <d v="1899-12-30T14:00:00"/>
    <d v="1899-12-30T17:00:00"/>
    <n v="0.125"/>
    <x v="1"/>
    <n v="3"/>
  </r>
  <r>
    <x v="7"/>
    <d v="2024-08-10T00:00:00"/>
    <s v="السبت "/>
    <x v="13"/>
    <s v="محسن عبد الباسط  "/>
    <s v="عمل صيانة تنكات الاحبار "/>
    <s v="تم العمل"/>
    <d v="1899-12-30T16:00:00"/>
    <d v="1899-12-30T17:30:00"/>
    <n v="6.25E-2"/>
    <x v="1"/>
    <n v="1.5"/>
  </r>
  <r>
    <x v="7"/>
    <d v="2024-08-10T00:00:00"/>
    <s v="السبت "/>
    <x v="1"/>
    <s v="احمد ياسر"/>
    <s v="تركيب الكهرباء "/>
    <s v="تم العمل"/>
    <d v="1899-12-30T00:00:00"/>
    <d v="1899-12-30T05:00:00"/>
    <n v="0.20833333333333334"/>
    <x v="1"/>
    <n v="5"/>
  </r>
  <r>
    <x v="7"/>
    <d v="2024-08-10T00:00:00"/>
    <s v="السبت "/>
    <x v="1"/>
    <s v="محب منسى "/>
    <s v="تركيب خط الحريق "/>
    <s v="تم العمل"/>
    <d v="1899-12-30T10:00:00"/>
    <d v="1899-12-30T18:00:00"/>
    <n v="0.33333333333333331"/>
    <x v="1"/>
    <n v="8"/>
  </r>
  <r>
    <x v="7"/>
    <d v="2024-08-11T00:00:00"/>
    <s v="الاحد "/>
    <x v="7"/>
    <s v="زياد عادل "/>
    <s v="الزيارة الشهرية "/>
    <s v="تم العمل"/>
    <d v="1899-12-30T13:00:00"/>
    <d v="1899-12-30T15:00:00"/>
    <n v="8.333333333333337E-2"/>
    <x v="3"/>
    <n v="2.0000000000000009"/>
  </r>
  <r>
    <x v="7"/>
    <d v="2024-08-11T00:00:00"/>
    <s v="الاحد "/>
    <x v="6"/>
    <s v="صابر ابراهيم "/>
    <s v="الزيارة الشهرية "/>
    <s v="تم العمل"/>
    <d v="1899-12-30T16:00:00"/>
    <d v="1899-12-30T17:30:00"/>
    <n v="6.25E-2"/>
    <x v="3"/>
    <n v="1.5"/>
  </r>
  <r>
    <x v="7"/>
    <d v="2024-08-11T00:00:00"/>
    <s v="الاحد "/>
    <x v="18"/>
    <s v="فيكتور لاوند  "/>
    <s v="صيانة البطاريات والتشيك على ضغط الخط"/>
    <s v="تم العمل"/>
    <d v="1899-12-30T10:30:00"/>
    <d v="1899-12-30T15:30:00"/>
    <n v="0.20833333333333337"/>
    <x v="4"/>
    <n v="5.0000000000000009"/>
  </r>
  <r>
    <x v="7"/>
    <d v="2024-08-11T00:00:00"/>
    <s v="الاحد "/>
    <x v="2"/>
    <s v="مصطفى محمد "/>
    <s v="تركيبات "/>
    <s v="تم العمل"/>
    <d v="1899-12-30T12:00:00"/>
    <d v="1899-12-30T15:00:00"/>
    <n v="0.125"/>
    <x v="2"/>
    <n v="3"/>
  </r>
  <r>
    <x v="7"/>
    <d v="2024-08-11T00:00:00"/>
    <s v="الاحد "/>
    <x v="41"/>
    <s v="علاء محمد "/>
    <s v="تركيبات "/>
    <s v="تم العمل"/>
    <d v="1899-12-30T11:00:00"/>
    <d v="1899-12-30T14:00:00"/>
    <n v="0.12500000000000006"/>
    <x v="2"/>
    <n v="3.0000000000000013"/>
  </r>
  <r>
    <x v="7"/>
    <d v="2024-08-11T00:00:00"/>
    <s v="الاحد "/>
    <x v="1"/>
    <s v="احمد ياسر "/>
    <s v="مراجعة لوحات كهرباء "/>
    <s v="تم العمل"/>
    <d v="1899-12-30T11:00:00"/>
    <d v="1899-12-30T17:00:00"/>
    <n v="0.25000000000000006"/>
    <x v="1"/>
    <n v="6.0000000000000018"/>
  </r>
  <r>
    <x v="7"/>
    <d v="2024-08-11T00:00:00"/>
    <s v="الاحد "/>
    <x v="0"/>
    <s v="مراد صالح  "/>
    <s v="صيانة شبابيك الالمونتال "/>
    <s v="تم العمل"/>
    <d v="1899-12-30T10:00:00"/>
    <d v="1899-12-30T17:00:00"/>
    <n v="0.29166666666666669"/>
    <x v="1"/>
    <n v="7"/>
  </r>
  <r>
    <x v="7"/>
    <d v="2024-08-12T00:00:00"/>
    <s v="الاثنين "/>
    <x v="5"/>
    <s v="محمد جابر "/>
    <s v="عمل ترميم فى ارضية جراج السيارات  "/>
    <s v="تم العمل"/>
    <d v="1899-12-30T12:00:00"/>
    <d v="1899-12-30T14:30:00"/>
    <n v="0.10416666666666663"/>
    <x v="3"/>
    <n v="2.4999999999999991"/>
  </r>
  <r>
    <x v="7"/>
    <d v="2024-08-12T00:00:00"/>
    <s v="الاثنين "/>
    <x v="6"/>
    <s v="صابر ابراهيم "/>
    <s v="لحام الباب الخلفى "/>
    <s v="تم العمل"/>
    <d v="1899-12-30T11:00:00"/>
    <d v="1899-12-30T12:00:00"/>
    <n v="4.1666666666666685E-2"/>
    <x v="3"/>
    <n v="1.0000000000000004"/>
  </r>
  <r>
    <x v="7"/>
    <d v="2024-08-12T00:00:00"/>
    <s v="الاثنين "/>
    <x v="47"/>
    <s v="صلاح منصور "/>
    <s v="صيانة تكييف ويب 11"/>
    <s v="تم العمل"/>
    <d v="1899-12-30T14:00:00"/>
    <d v="1899-12-30T16:00:00"/>
    <n v="8.3333333333333259E-2"/>
    <x v="3"/>
    <n v="1.9999999999999982"/>
  </r>
  <r>
    <x v="7"/>
    <d v="2024-08-12T00:00:00"/>
    <s v="الاثنين "/>
    <x v="13"/>
    <s v="ايمن محمد كامل "/>
    <s v="لحام تسريب  الاحبار "/>
    <s v="تم العمل"/>
    <d v="1899-12-30T14:00:00"/>
    <d v="1899-12-30T18:00:00"/>
    <n v="0.16666666666666663"/>
    <x v="0"/>
    <n v="3.9999999999999991"/>
  </r>
  <r>
    <x v="7"/>
    <d v="2024-08-12T00:00:00"/>
    <s v="الاثنين "/>
    <x v="8"/>
    <s v="حامد ابو المحاميد  "/>
    <s v="صيانة الخط المكسور بمخزن رقم 2"/>
    <s v="تم العمل"/>
    <d v="1899-12-30T12:00:00"/>
    <d v="1899-12-30T16:00:00"/>
    <n v="0.16666666666666663"/>
    <x v="0"/>
    <n v="3.9999999999999991"/>
  </r>
  <r>
    <x v="7"/>
    <d v="2024-08-12T00:00:00"/>
    <s v="الاثنين "/>
    <x v="0"/>
    <s v="مراد صالح  "/>
    <s v="صيانة شبابيك الالمونتال "/>
    <s v="تم العمل"/>
    <d v="1899-12-30T10:00:00"/>
    <d v="1899-12-30T17:00:00"/>
    <n v="0.29166666666666669"/>
    <x v="1"/>
    <n v="7"/>
  </r>
  <r>
    <x v="7"/>
    <d v="2024-08-12T00:00:00"/>
    <s v="الاثنين "/>
    <x v="1"/>
    <s v="احمد ياسر "/>
    <s v="مراجعة لوحات كهرباء "/>
    <s v="تم العمل"/>
    <d v="1899-12-30T11:00:00"/>
    <d v="1899-12-30T17:00:00"/>
    <n v="0.25000000000000006"/>
    <x v="1"/>
    <n v="6.0000000000000018"/>
  </r>
  <r>
    <x v="7"/>
    <d v="2024-08-12T00:00:00"/>
    <s v="الاثنين "/>
    <x v="5"/>
    <s v="مصطفى عبد الجواد "/>
    <s v="الكشف على جهاز التكييف من ضمان كارير "/>
    <s v="تم العمل"/>
    <d v="1899-12-30T10:30:00"/>
    <d v="1899-12-30T11:30:00"/>
    <n v="4.1666666666666685E-2"/>
    <x v="6"/>
    <n v="1.0000000000000004"/>
  </r>
  <r>
    <x v="7"/>
    <d v="2024-08-12T00:00:00"/>
    <s v="الاثنين "/>
    <x v="5"/>
    <s v="احمد عبد الله  "/>
    <s v="شحن فريون للتكييف 5 حصان فى غرفة السلفر "/>
    <s v="تم العمل"/>
    <d v="1899-12-30T15:00:00"/>
    <d v="1899-12-30T15:30:00"/>
    <n v="2.083333333333337E-2"/>
    <x v="6"/>
    <n v="0.50000000000000089"/>
  </r>
  <r>
    <x v="7"/>
    <d v="2024-08-12T00:00:00"/>
    <s v="الاثنين "/>
    <x v="5"/>
    <s v="احمد عبد الله  "/>
    <s v="تركيب قاعدة تثبيت للماتور "/>
    <s v="تم العمل"/>
    <d v="1899-12-30T16:00:00"/>
    <d v="1899-12-30T20:00:00"/>
    <n v="0.16666666666666674"/>
    <x v="6"/>
    <n v="4.0000000000000018"/>
  </r>
  <r>
    <x v="7"/>
    <d v="2024-08-12T00:00:00"/>
    <s v="الاثنين "/>
    <x v="5"/>
    <s v="احمد عبد الله  "/>
    <s v="صيانة الكولدير "/>
    <s v="تم العمل"/>
    <d v="1899-12-30T19:00:00"/>
    <d v="1899-12-30T20:00:00"/>
    <n v="4.1666666666666741E-2"/>
    <x v="6"/>
    <n v="1.0000000000000018"/>
  </r>
  <r>
    <x v="7"/>
    <d v="2024-08-13T00:00:00"/>
    <s v="الثلاثاء "/>
    <x v="1"/>
    <s v="احمد ياسر "/>
    <s v="استكمال تقفيل لوحات كهرباء "/>
    <s v="تم العمل"/>
    <d v="1899-12-30T00:00:00"/>
    <d v="1899-12-30T17:00:00"/>
    <n v="0.70833333333333337"/>
    <x v="1"/>
    <n v="17"/>
  </r>
  <r>
    <x v="7"/>
    <d v="2024-08-13T00:00:00"/>
    <s v="الثلاثاء "/>
    <x v="0"/>
    <s v="محمد زنفل  "/>
    <s v="استكمال تركيب  شبابيك الالمونتال "/>
    <s v="تم العمل"/>
    <d v="1899-12-30T10:00:00"/>
    <d v="1899-12-30T17:00:00"/>
    <n v="0.29166666666666669"/>
    <x v="1"/>
    <n v="7"/>
  </r>
  <r>
    <x v="7"/>
    <d v="2024-08-13T00:00:00"/>
    <s v="الثلاثاء "/>
    <x v="5"/>
    <s v="محمود عويس  "/>
    <s v="صيانة تكييف "/>
    <s v="تم العمل"/>
    <d v="1899-12-30T13:00:00"/>
    <d v="1899-12-30T14:00:00"/>
    <n v="4.1666666666666741E-2"/>
    <x v="3"/>
    <n v="1.0000000000000018"/>
  </r>
  <r>
    <x v="7"/>
    <d v="2024-08-13T00:00:00"/>
    <s v="الثلاثاء "/>
    <x v="5"/>
    <s v="علاء احمد   "/>
    <s v="صيانة تكييف "/>
    <s v="تم العمل"/>
    <d v="1899-12-30T11:00:00"/>
    <d v="1899-12-30T12:00:00"/>
    <n v="4.1666666666666685E-2"/>
    <x v="3"/>
    <n v="1.0000000000000004"/>
  </r>
  <r>
    <x v="7"/>
    <d v="2024-08-13T00:00:00"/>
    <s v="الثلاثاء "/>
    <x v="47"/>
    <s v="صلاح منصور "/>
    <s v="صيانة تكييف "/>
    <s v="تم العمل"/>
    <d v="1899-12-30T13:00:00"/>
    <d v="1899-12-30T16:00:00"/>
    <n v="0.125"/>
    <x v="3"/>
    <n v="3"/>
  </r>
  <r>
    <x v="7"/>
    <d v="2024-08-14T00:00:00"/>
    <s v="الاربعاء "/>
    <x v="18"/>
    <s v="فيكتور لاوند  "/>
    <s v="عمل صيانة للطرمبة الكهرباء "/>
    <s v="تم العمل"/>
    <d v="1899-12-30T14:00:00"/>
    <d v="1899-12-30T16:00:00"/>
    <n v="8.3333333333333259E-2"/>
    <x v="4"/>
    <n v="1.9999999999999982"/>
  </r>
  <r>
    <x v="7"/>
    <d v="2024-08-14T00:00:00"/>
    <s v="الاربعاء "/>
    <x v="48"/>
    <s v="حسن محمد حسن "/>
    <s v="عمل صيانةفى ماكينة التكويد "/>
    <s v="تم العمل"/>
    <d v="1899-12-30T10:30:00"/>
    <d v="1899-12-30T17:30:00"/>
    <n v="0.29166666666666663"/>
    <x v="4"/>
    <n v="6.9999999999999991"/>
  </r>
  <r>
    <x v="7"/>
    <d v="2024-08-14T00:00:00"/>
    <s v="الاربعاء "/>
    <x v="49"/>
    <s v="ابراهيم  الخزرجى "/>
    <s v="عمل صيانة فى نظام  FM200"/>
    <s v="تم العمل"/>
    <d v="1899-12-30T10:00:00"/>
    <d v="1899-12-30T12:30:00"/>
    <n v="0.10416666666666669"/>
    <x v="3"/>
    <n v="2.5000000000000004"/>
  </r>
  <r>
    <x v="7"/>
    <d v="2024-08-14T00:00:00"/>
    <s v="الاربعاء "/>
    <x v="5"/>
    <s v="محمود ابوشادى "/>
    <s v="تجديد دهان المسجد  "/>
    <s v="تم العمل"/>
    <d v="1899-12-30T10:00:00"/>
    <d v="1899-12-30T20:00:00"/>
    <n v="0.41666666666666669"/>
    <x v="3"/>
    <n v="10"/>
  </r>
  <r>
    <x v="7"/>
    <d v="2024-08-14T00:00:00"/>
    <s v="الاربعاء "/>
    <x v="8"/>
    <s v="حامد ابو المحاميد  "/>
    <s v="الزيارة الشهرية والمرور على خط الحريق "/>
    <s v="تم العمل"/>
    <d v="1899-12-30T10:00:00"/>
    <d v="1899-12-30T14:00:00"/>
    <n v="0.16666666666666669"/>
    <x v="0"/>
    <n v="4"/>
  </r>
  <r>
    <x v="7"/>
    <d v="2024-08-14T00:00:00"/>
    <s v="الاربعاء "/>
    <x v="13"/>
    <s v="ايمن محمد كامل "/>
    <s v="لحام تسريب  الاحبار "/>
    <s v="تم العمل"/>
    <d v="1899-12-30T13:00:00"/>
    <d v="1899-12-30T20:00:00"/>
    <n v="0.29166666666666674"/>
    <x v="0"/>
    <n v="7.0000000000000018"/>
  </r>
  <r>
    <x v="7"/>
    <d v="2024-08-14T00:00:00"/>
    <s v="الاربعاء "/>
    <x v="0"/>
    <s v="مراد صالح   "/>
    <s v="تكسير خزان الاطفاء  "/>
    <s v="تم العمل"/>
    <d v="1899-12-30T10:00:00"/>
    <d v="1899-12-30T16:00:00"/>
    <n v="0.24999999999999994"/>
    <x v="0"/>
    <n v="5.9999999999999982"/>
  </r>
  <r>
    <x v="7"/>
    <d v="2024-08-14T00:00:00"/>
    <s v="الاربعاء "/>
    <x v="1"/>
    <s v="احمد مبروك "/>
    <s v="تركيب محابس خط الحريق "/>
    <s v="تم العمل"/>
    <d v="1899-12-30T10:00:00"/>
    <d v="1899-12-30T17:00:00"/>
    <n v="0.29166666666666669"/>
    <x v="1"/>
    <n v="7"/>
  </r>
  <r>
    <x v="7"/>
    <d v="2024-08-14T00:00:00"/>
    <s v="الاربعاء "/>
    <x v="14"/>
    <s v="عبد الرحمن حسين   "/>
    <s v="تركيب المصاعد "/>
    <s v="تم العمل"/>
    <d v="1899-12-30T10:00:00"/>
    <d v="1899-12-30T17:00:00"/>
    <n v="0.29166666666666669"/>
    <x v="1"/>
    <n v="7"/>
  </r>
  <r>
    <x v="7"/>
    <d v="2024-08-14T00:00:00"/>
    <s v="الاربعاء "/>
    <x v="0"/>
    <s v="محمد زنفل  "/>
    <s v="استكمال تركيب شبابيك الالمونتال "/>
    <s v="تم العمل"/>
    <d v="1899-12-30T10:00:00"/>
    <d v="1899-12-30T17:00:00"/>
    <n v="0.29166666666666669"/>
    <x v="1"/>
    <n v="7"/>
  </r>
  <r>
    <x v="7"/>
    <d v="2024-08-15T00:00:00"/>
    <s v="الخميس "/>
    <x v="0"/>
    <s v="محمد زنفل  "/>
    <s v="صيانة شبابيك الالمونتال "/>
    <s v="تم العمل"/>
    <d v="1899-12-30T10:00:00"/>
    <d v="1899-12-30T18:00:00"/>
    <n v="0.33333333333333331"/>
    <x v="1"/>
    <n v="8"/>
  </r>
  <r>
    <x v="7"/>
    <d v="2024-08-15T00:00:00"/>
    <s v="الخميس "/>
    <x v="1"/>
    <s v="احمد مبروك "/>
    <s v="لحام وتقطيع  "/>
    <s v="تم العمل"/>
    <d v="1899-12-30T12:00:00"/>
    <d v="1899-12-30T18:00:00"/>
    <n v="0.25"/>
    <x v="1"/>
    <n v="6"/>
  </r>
  <r>
    <x v="7"/>
    <d v="2024-08-15T00:00:00"/>
    <s v="الخميس "/>
    <x v="1"/>
    <s v="ايهاب خليل "/>
    <s v="عمل صيانة فى الانزار "/>
    <s v="تم العمل"/>
    <d v="1899-12-30T12:00:00"/>
    <d v="1899-12-30T18:00:00"/>
    <n v="0.25"/>
    <x v="1"/>
    <n v="6"/>
  </r>
  <r>
    <x v="7"/>
    <d v="2024-08-15T00:00:00"/>
    <s v="الخميس "/>
    <x v="14"/>
    <s v="حسام مرزوق   "/>
    <s v="تركيب المصاعد "/>
    <s v="تم العمل"/>
    <d v="1899-12-30T15:30:00"/>
    <d v="1899-12-30T19:30:00"/>
    <n v="0.16666666666666663"/>
    <x v="1"/>
    <n v="3.9999999999999991"/>
  </r>
  <r>
    <x v="7"/>
    <d v="2024-08-15T00:00:00"/>
    <s v="الخميس "/>
    <x v="18"/>
    <s v="فيكتور لاوند  "/>
    <s v="لحام شكمان كلارك  60550"/>
    <s v="تم العمل"/>
    <d v="1899-12-30T15:00:00"/>
    <d v="1899-12-30T16:00:00"/>
    <n v="4.166666666666663E-2"/>
    <x v="4"/>
    <n v="0.99999999999999911"/>
  </r>
  <r>
    <x v="7"/>
    <d v="2024-08-15T00:00:00"/>
    <s v="الخميس "/>
    <x v="29"/>
    <s v="محمد سعيد  "/>
    <s v="تركيب علبة "/>
    <s v="تم العمل"/>
    <d v="1899-12-30T15:30:00"/>
    <d v="1899-12-30T16:30:00"/>
    <n v="4.166666666666663E-2"/>
    <x v="3"/>
    <n v="0.99999999999999911"/>
  </r>
  <r>
    <x v="7"/>
    <d v="2024-08-16T00:00:00"/>
    <s v="الجمعة "/>
    <x v="6"/>
    <s v="حسام احمد "/>
    <s v="تركيب كشافات لاسانسير  "/>
    <s v="تم العمل"/>
    <d v="1899-12-30T10:00:00"/>
    <d v="1899-12-30T17:30:00"/>
    <n v="0.31249999999999994"/>
    <x v="1"/>
    <n v="7.4999999999999982"/>
  </r>
  <r>
    <x v="7"/>
    <d v="2024-08-17T00:00:00"/>
    <s v="السبت "/>
    <x v="30"/>
    <s v="معروف محمد  "/>
    <s v="صيانة لغرف الهواء "/>
    <s v="تم العمل"/>
    <d v="1899-12-30T11:00:00"/>
    <d v="1899-12-30T16:30:00"/>
    <n v="0.22916666666666669"/>
    <x v="3"/>
    <n v="5.5"/>
  </r>
  <r>
    <x v="7"/>
    <d v="2024-08-17T00:00:00"/>
    <s v="السبت "/>
    <x v="18"/>
    <s v="فيكتور لواندى "/>
    <s v="تركيبات وصيانة "/>
    <s v="تم العمل"/>
    <d v="1899-12-30T11:30:00"/>
    <d v="1899-12-30T14:00:00"/>
    <n v="0.10416666666666669"/>
    <x v="4"/>
    <n v="2.5000000000000004"/>
  </r>
  <r>
    <x v="7"/>
    <d v="2024-08-18T00:00:00"/>
    <s v="الاحد "/>
    <x v="5"/>
    <s v="محمود عويس  "/>
    <s v="تصليح المبرد  "/>
    <s v="تم العمل"/>
    <d v="1899-12-30T11:00:00"/>
    <d v="1899-12-30T12:00:00"/>
    <n v="4.1666666666666685E-2"/>
    <x v="3"/>
    <n v="1.0000000000000004"/>
  </r>
  <r>
    <x v="7"/>
    <d v="2024-08-18T00:00:00"/>
    <s v="الاحد "/>
    <x v="5"/>
    <s v="محمود عويس "/>
    <s v="صيانة تكيفات "/>
    <s v="تم العمل"/>
    <d v="1899-12-30T15:00:00"/>
    <d v="1899-12-30T16:00:00"/>
    <n v="4.166666666666663E-2"/>
    <x v="3"/>
    <n v="0.99999999999999911"/>
  </r>
  <r>
    <x v="7"/>
    <d v="2024-08-18T00:00:00"/>
    <s v="الاحد "/>
    <x v="14"/>
    <s v="محمد عادل  "/>
    <s v="صيانة المصاعد "/>
    <s v="تم العمل"/>
    <d v="1899-12-30T16:00:00"/>
    <d v="1899-12-30T17:00:00"/>
    <n v="4.1666666666666741E-2"/>
    <x v="3"/>
    <n v="1.0000000000000018"/>
  </r>
  <r>
    <x v="7"/>
    <d v="2024-08-18T00:00:00"/>
    <s v="الاحد "/>
    <x v="5"/>
    <s v="ابوبكر احمد "/>
    <s v="صيانة ماكينة التصوير "/>
    <s v="تم العمل"/>
    <d v="1899-12-30T14:00:00"/>
    <d v="1899-12-30T15:00:00"/>
    <n v="4.166666666666663E-2"/>
    <x v="3"/>
    <n v="0.99999999999999911"/>
  </r>
  <r>
    <x v="7"/>
    <d v="2024-08-18T00:00:00"/>
    <s v="الاحد "/>
    <x v="5"/>
    <s v="محمود عويس "/>
    <s v="صيانة تكيفات "/>
    <s v="تم العمل"/>
    <d v="1899-12-30T13:30:00"/>
    <d v="1899-12-30T14:30:00"/>
    <n v="4.166666666666663E-2"/>
    <x v="3"/>
    <n v="0.99999999999999911"/>
  </r>
  <r>
    <x v="7"/>
    <d v="2024-08-18T00:00:00"/>
    <s v="الاحد "/>
    <x v="0"/>
    <s v="مراد صالح   "/>
    <s v="احلال وتجديد خزان الاطفاء "/>
    <s v="تم العمل"/>
    <d v="1899-12-30T09:30:00"/>
    <d v="1899-12-30T16:00:00"/>
    <n v="0.27083333333333331"/>
    <x v="0"/>
    <n v="6.5"/>
  </r>
  <r>
    <x v="7"/>
    <d v="2024-08-18T00:00:00"/>
    <s v="الاحد "/>
    <x v="7"/>
    <s v="زياد عادل "/>
    <s v="الزيارة الشهرية  مكافحة القوارض "/>
    <s v="تم العمل"/>
    <d v="1899-12-30T13:00:00"/>
    <d v="1899-12-30T14:30:00"/>
    <n v="6.25E-2"/>
    <x v="0"/>
    <n v="3"/>
  </r>
  <r>
    <x v="7"/>
    <d v="2024-08-18T00:00:00"/>
    <s v="الاحد "/>
    <x v="0"/>
    <s v="مصطفى حسين   "/>
    <s v="اصلاح  شبابيك الالمونتال "/>
    <s v="تم العمل"/>
    <d v="1899-12-30T11:00:00"/>
    <d v="1899-12-30T17:00:00"/>
    <n v="0.25000000000000006"/>
    <x v="1"/>
    <n v="6.0000000000000018"/>
  </r>
  <r>
    <x v="7"/>
    <d v="2024-08-18T00:00:00"/>
    <s v="الاحد "/>
    <x v="13"/>
    <s v="اسلام مصطفى    "/>
    <s v="صيانة ماكينات CTP"/>
    <s v="تم العمل"/>
    <d v="1899-12-30T14:00:00"/>
    <d v="1899-12-30T16:00:00"/>
    <n v="8.3333333333333259E-2"/>
    <x v="3"/>
    <n v="1.9999999999999982"/>
  </r>
  <r>
    <x v="7"/>
    <d v="2024-08-19T00:00:00"/>
    <s v="الاثنين "/>
    <x v="13"/>
    <s v="ايمن محمد كامل "/>
    <s v="لحام تسريب  الاحبار "/>
    <s v="تم العمل"/>
    <d v="1899-12-30T14:00:00"/>
    <d v="1899-12-30T18:00:00"/>
    <n v="0.16666666666666663"/>
    <x v="0"/>
    <n v="3.9999999999999991"/>
  </r>
  <r>
    <x v="7"/>
    <d v="2024-08-19T00:00:00"/>
    <s v="الاثنين "/>
    <x v="24"/>
    <s v="ابراهيم  "/>
    <s v="عمل فتحات فى حائط غرفة الطلمبات "/>
    <s v="تم العمل"/>
    <d v="1899-12-30T10:00:00"/>
    <d v="1899-12-30T14:00:00"/>
    <n v="0.16666666666666669"/>
    <x v="0"/>
    <n v="4"/>
  </r>
  <r>
    <x v="7"/>
    <d v="2024-08-19T00:00:00"/>
    <s v="الاثنين "/>
    <x v="8"/>
    <s v="حامد ابو المجد "/>
    <s v="الزيارة الشهرية وصيانة شبكة الانزار "/>
    <s v="تم العمل"/>
    <d v="1899-12-30T10:00:00"/>
    <d v="1899-12-30T14:00:00"/>
    <n v="0.16666666666666669"/>
    <x v="0"/>
    <n v="4"/>
  </r>
  <r>
    <x v="7"/>
    <d v="2024-08-19T00:00:00"/>
    <s v="الاثنين "/>
    <x v="13"/>
    <s v="محمد عبد الغفار     "/>
    <s v="صيانة ماكينات CTP"/>
    <s v="تم العمل"/>
    <d v="1899-12-30T11:00:00"/>
    <d v="1899-12-30T14:00:00"/>
    <n v="0.12500000000000006"/>
    <x v="3"/>
    <n v="3.0000000000000013"/>
  </r>
  <r>
    <x v="7"/>
    <d v="2024-08-19T00:00:00"/>
    <s v="الاثنين "/>
    <x v="1"/>
    <s v="احمد ياسر"/>
    <s v="توصيل كهرباء كابلات"/>
    <s v="تم العمل"/>
    <d v="1899-12-30T09:00:00"/>
    <d v="1899-12-30T17:30:00"/>
    <n v="0.35416666666666663"/>
    <x v="1"/>
    <n v="8.5"/>
  </r>
  <r>
    <x v="7"/>
    <d v="2024-08-19T00:00:00"/>
    <s v="الاثنين "/>
    <x v="0"/>
    <s v="مصطفى حسين   "/>
    <s v="اصلاح  شبابيك الالمونتال "/>
    <s v="تم العمل"/>
    <d v="1899-12-30T10:00:00"/>
    <d v="1899-12-30T17:00:00"/>
    <n v="0.29166666666666669"/>
    <x v="1"/>
    <n v="7"/>
  </r>
  <r>
    <x v="7"/>
    <d v="2024-08-19T00:00:00"/>
    <s v="الاثنين "/>
    <x v="14"/>
    <s v="عبد الرحمن حسين    "/>
    <s v="تركيب المصاعد "/>
    <s v="تم العمل"/>
    <d v="1899-12-30T09:00:00"/>
    <d v="1899-12-30T16:00:00"/>
    <n v="0.29166666666666663"/>
    <x v="1"/>
    <n v="6.9999999999999991"/>
  </r>
  <r>
    <x v="7"/>
    <d v="2024-08-20T00:00:00"/>
    <s v="الثلاثاء "/>
    <x v="13"/>
    <s v="اسلام مصطفى    "/>
    <s v="صيانة ماكينات CTP"/>
    <s v="تم العمل"/>
    <d v="1899-12-30T15:30:00"/>
    <d v="1899-12-30T17:30:00"/>
    <n v="8.3333333333333259E-2"/>
    <x v="3"/>
    <n v="1.9999999999999982"/>
  </r>
  <r>
    <x v="7"/>
    <d v="2024-08-20T00:00:00"/>
    <s v="الثلاثاء "/>
    <x v="5"/>
    <s v="احمد حسنى     "/>
    <s v="بناء حائط المصاعد "/>
    <s v="تم العمل"/>
    <d v="1899-12-30T09:00:00"/>
    <d v="1899-12-30T17:00:00"/>
    <n v="0.33333333333333337"/>
    <x v="1"/>
    <n v="8"/>
  </r>
  <r>
    <x v="7"/>
    <d v="2024-08-21T00:00:00"/>
    <s v="الاربعاء "/>
    <x v="45"/>
    <s v="مصطفى حمزة     "/>
    <s v="صيانة كبروسر الهواء "/>
    <s v="تم العمل"/>
    <d v="1899-12-30T12:00:00"/>
    <d v="1899-12-30T15:00:00"/>
    <n v="0.125"/>
    <x v="3"/>
    <n v="3"/>
  </r>
  <r>
    <x v="7"/>
    <d v="2024-08-21T00:00:00"/>
    <s v="الاربعاء "/>
    <x v="29"/>
    <s v="محمد سعيد    "/>
    <s v="تركيب مكونات "/>
    <s v="تم العمل"/>
    <d v="1899-12-30T12:00:00"/>
    <d v="1899-12-30T17:30:00"/>
    <n v="0.22916666666666663"/>
    <x v="3"/>
    <n v="5.4999999999999991"/>
  </r>
  <r>
    <x v="7"/>
    <d v="2024-08-21T00:00:00"/>
    <s v="الاربعاء "/>
    <x v="34"/>
    <s v="رامى محمد    "/>
    <s v="صيانة باب الامونتال "/>
    <s v="تم العمل"/>
    <d v="1899-12-30T14:00:00"/>
    <d v="1899-12-30T16:00:00"/>
    <n v="8.3333333333333259E-2"/>
    <x v="3"/>
    <n v="1.9999999999999982"/>
  </r>
  <r>
    <x v="7"/>
    <d v="2024-08-21T00:00:00"/>
    <s v="الاربعاء "/>
    <x v="5"/>
    <s v="محمود عويس     "/>
    <s v="صيانة كولدير الماء بالطبع شيت "/>
    <s v="تم العمل"/>
    <d v="1899-12-30T14:00:00"/>
    <d v="1899-12-30T16:30:00"/>
    <n v="0.10416666666666663"/>
    <x v="3"/>
    <n v="2.4999999999999991"/>
  </r>
  <r>
    <x v="7"/>
    <d v="2024-08-21T00:00:00"/>
    <s v="الاربعاء "/>
    <x v="1"/>
    <s v="محمد عبد الحميد "/>
    <s v="تركيب محبس  "/>
    <s v="تم العمل"/>
    <d v="1899-12-30T11:00:00"/>
    <d v="1899-12-30T17:00:00"/>
    <n v="0.25000000000000006"/>
    <x v="1"/>
    <n v="6.0000000000000018"/>
  </r>
  <r>
    <x v="7"/>
    <d v="2024-08-21T00:00:00"/>
    <s v="الاربعاء "/>
    <x v="5"/>
    <s v="احمد حسنى     "/>
    <s v="استكمال بناء حائط المصاعد "/>
    <s v="تم العمل"/>
    <d v="1899-12-30T10:00:00"/>
    <d v="1899-12-30T17:00:00"/>
    <n v="0.29166666666666669"/>
    <x v="1"/>
    <n v="7"/>
  </r>
  <r>
    <x v="7"/>
    <d v="2024-08-21T00:00:00"/>
    <s v="الاربعاء "/>
    <x v="1"/>
    <s v="احمد ياسر "/>
    <s v="توصيل كهرباء "/>
    <s v="تم العمل"/>
    <d v="1899-12-30T10:00:00"/>
    <d v="1899-12-30T17:30:00"/>
    <n v="0.31249999999999994"/>
    <x v="1"/>
    <n v="7.4999999999999982"/>
  </r>
  <r>
    <x v="7"/>
    <d v="2024-08-22T00:00:00"/>
    <s v="الخميس "/>
    <x v="1"/>
    <s v="محمد عبد الحميد "/>
    <s v="عمل دهان  "/>
    <s v="تم العمل"/>
    <d v="1899-12-30T10:00:00"/>
    <d v="1899-12-30T14:00:00"/>
    <n v="0.16666666666666669"/>
    <x v="1"/>
    <n v="4"/>
  </r>
  <r>
    <x v="7"/>
    <d v="2024-08-22T00:00:00"/>
    <s v="الخميس "/>
    <x v="1"/>
    <s v="احمد ياسر "/>
    <s v="توصيل كهرباء "/>
    <s v="تم العمل"/>
    <d v="1899-12-30T10:00:00"/>
    <d v="1899-12-30T17:00:00"/>
    <n v="0.29166666666666669"/>
    <x v="1"/>
    <n v="7"/>
  </r>
  <r>
    <x v="7"/>
    <d v="2024-08-22T00:00:00"/>
    <s v="الخميس "/>
    <x v="5"/>
    <s v="احمد حسنى     "/>
    <s v="استكمال بناء حائط المصاعد "/>
    <s v="تم العمل"/>
    <d v="1899-12-30T10:00:00"/>
    <d v="1899-12-30T17:00:00"/>
    <n v="0.29166666666666669"/>
    <x v="1"/>
    <n v="7"/>
  </r>
  <r>
    <x v="7"/>
    <d v="2024-08-22T00:00:00"/>
    <s v="الخميس "/>
    <x v="8"/>
    <s v="حامد ابو المجد "/>
    <s v="الزيارة الشهرية وتركيب  محبس و2 حنفية  "/>
    <s v="تم العمل"/>
    <d v="1899-12-30T12:00:00"/>
    <d v="1899-12-30T15:00:00"/>
    <n v="0.125"/>
    <x v="1"/>
    <n v="3"/>
  </r>
  <r>
    <x v="7"/>
    <d v="2024-08-22T00:00:00"/>
    <s v="الخميس "/>
    <x v="11"/>
    <s v="محمد رمضان   "/>
    <s v="صيانة الكلاركات "/>
    <s v="تم العمل"/>
    <d v="1899-12-30T12:00:00"/>
    <d v="1899-12-30T15:00:00"/>
    <n v="0.125"/>
    <x v="3"/>
    <n v="3"/>
  </r>
  <r>
    <x v="7"/>
    <d v="2024-08-24T00:00:00"/>
    <s v="السبت "/>
    <x v="0"/>
    <s v="مراد  صالح "/>
    <s v="تكسير واحلال الخزان  "/>
    <s v="تم العمل"/>
    <d v="1899-12-30T10:00:00"/>
    <d v="1899-12-30T15:00:00"/>
    <n v="0.20833333333333331"/>
    <x v="0"/>
    <n v="5"/>
  </r>
  <r>
    <x v="7"/>
    <d v="2024-08-24T00:00:00"/>
    <s v="السبت "/>
    <x v="5"/>
    <s v="محمد عويس "/>
    <s v="اعمال صيانة بالكولدير  "/>
    <s v="تم العمل"/>
    <d v="1899-12-30T10:30:00"/>
    <d v="1899-12-30T17:00:00"/>
    <n v="0.27083333333333337"/>
    <x v="3"/>
    <n v="6.5000000000000009"/>
  </r>
  <r>
    <x v="7"/>
    <d v="2024-08-25T00:00:00"/>
    <s v="الاحد "/>
    <x v="5"/>
    <s v="محمد عويس "/>
    <s v="تركيب غطاء على مروحة تكيف كولبس 5 "/>
    <s v="تم العمل"/>
    <d v="1899-12-30T10:00:00"/>
    <d v="1899-12-30T11:00:00"/>
    <n v="4.166666666666663E-2"/>
    <x v="3"/>
    <n v="0.99999999999999911"/>
  </r>
  <r>
    <x v="7"/>
    <d v="2024-08-25T00:00:00"/>
    <s v="الاحد "/>
    <x v="7"/>
    <s v="زياد عادل "/>
    <s v="الزيارة الشهرية ومكافحة القوارض "/>
    <s v="تم العمل"/>
    <d v="1899-12-30T11:00:00"/>
    <d v="1899-12-30T16:00:00"/>
    <n v="0.20833333333333331"/>
    <x v="3"/>
    <n v="5"/>
  </r>
  <r>
    <x v="7"/>
    <d v="2024-08-25T00:00:00"/>
    <s v="الاحد "/>
    <x v="5"/>
    <s v="محمود احمد "/>
    <s v="صيانة كولدير مياه "/>
    <s v="تم العمل"/>
    <d v="1899-12-30T12:00:00"/>
    <d v="1899-12-30T15:00:00"/>
    <n v="0.125"/>
    <x v="3"/>
    <n v="3"/>
  </r>
  <r>
    <x v="7"/>
    <d v="2024-08-25T00:00:00"/>
    <s v="الاحد "/>
    <x v="8"/>
    <s v="علاء الشابورى  "/>
    <s v="الزيارة الشهرية وفك الحساسات القديمة "/>
    <s v="تم العمل"/>
    <d v="1899-12-30T10:30:00"/>
    <d v="1899-12-30T14:30:00"/>
    <n v="0.16666666666666663"/>
    <x v="3"/>
    <n v="3.9999999999999991"/>
  </r>
  <r>
    <x v="7"/>
    <d v="2024-08-25T00:00:00"/>
    <s v="الاحد "/>
    <x v="0"/>
    <s v="محمد زفل   "/>
    <s v="صيانة شبابيك الالمونتال "/>
    <s v="تم العمل"/>
    <d v="1899-12-30T10:00:00"/>
    <d v="1899-12-30T17:00:00"/>
    <n v="0.29166666666666669"/>
    <x v="1"/>
    <n v="7"/>
  </r>
  <r>
    <x v="7"/>
    <d v="2024-08-25T00:00:00"/>
    <s v="الاحد "/>
    <x v="7"/>
    <s v="محمود احمد "/>
    <s v="عمل مكافحة فى مخزن الوزارة "/>
    <s v="تم العمل"/>
    <d v="1899-12-30T12:00:00"/>
    <d v="1899-12-30T13:00:00"/>
    <n v="4.166666666666663E-2"/>
    <x v="4"/>
    <n v="0.99999999999999911"/>
  </r>
  <r>
    <x v="7"/>
    <d v="2024-08-25T00:00:00"/>
    <s v="الاحد "/>
    <x v="1"/>
    <s v="محمد عبد الحميد "/>
    <s v="تركيب عدادات  ضغط "/>
    <s v="تم العمل"/>
    <d v="1899-12-30T11:00:00"/>
    <d v="1899-12-30T17:00:00"/>
    <n v="0.25000000000000006"/>
    <x v="1"/>
    <n v="6.0000000000000018"/>
  </r>
  <r>
    <x v="7"/>
    <d v="2024-08-25T00:00:00"/>
    <s v="الاحد "/>
    <x v="0"/>
    <s v="مراد  صالح "/>
    <s v="احلال وتجديد خزان الاطفاء   "/>
    <s v="تم العمل"/>
    <d v="1899-12-30T10:00:00"/>
    <d v="1899-12-30T15:00:00"/>
    <n v="0.20833333333333331"/>
    <x v="0"/>
    <n v="5"/>
  </r>
  <r>
    <x v="7"/>
    <d v="2024-08-25T00:00:00"/>
    <s v="الاحد "/>
    <x v="1"/>
    <s v="احمد ياسر "/>
    <s v="تركيب لوحات كهرباء "/>
    <s v="تم العمل"/>
    <d v="1899-12-30T10:00:00"/>
    <d v="1899-12-30T17:00:00"/>
    <n v="0.29166666666666669"/>
    <x v="1"/>
    <n v="7"/>
  </r>
  <r>
    <x v="7"/>
    <d v="2024-08-25T00:00:00"/>
    <s v="الاحد "/>
    <x v="6"/>
    <s v="صابر ابراهيم "/>
    <s v="تركيب تندة حديد اعلى المصاعد "/>
    <s v="تم العمل"/>
    <d v="1899-12-30T11:00:00"/>
    <d v="1899-12-30T17:00:00"/>
    <n v="0.25000000000000006"/>
    <x v="1"/>
    <n v="6.0000000000000018"/>
  </r>
  <r>
    <x v="7"/>
    <d v="2024-08-25T00:00:00"/>
    <s v="الاحد "/>
    <x v="6"/>
    <s v="شريف عيد "/>
    <s v="توصيل كهرباء بالمصاعد  "/>
    <s v="تم العمل"/>
    <d v="1899-12-30T10:00:00"/>
    <d v="1899-12-30T17:00:00"/>
    <n v="0.29166666666666669"/>
    <x v="1"/>
    <n v="7"/>
  </r>
  <r>
    <x v="7"/>
    <d v="2024-08-25T00:00:00"/>
    <s v="الاحد "/>
    <x v="47"/>
    <s v="صلاح منصور "/>
    <s v="صيانة تكييف CTP"/>
    <s v="تم العمل"/>
    <d v="1899-12-30T12:00:00"/>
    <d v="1899-12-30T18:00:00"/>
    <n v="0.25"/>
    <x v="3"/>
    <n v="6"/>
  </r>
  <r>
    <x v="7"/>
    <d v="2024-08-26T00:00:00"/>
    <s v="الاثنين "/>
    <x v="5"/>
    <s v="أدم محمد "/>
    <s v="تركيب صرف تكييف "/>
    <s v="تم العمل"/>
    <d v="1899-12-30T11:30:00"/>
    <d v="1899-12-30T12:00:00"/>
    <n v="2.0833333333333315E-2"/>
    <x v="3"/>
    <n v="0.49999999999999956"/>
  </r>
  <r>
    <x v="7"/>
    <d v="2024-08-26T00:00:00"/>
    <s v="الاثنين "/>
    <x v="5"/>
    <s v="محمود  عويس "/>
    <s v="صيانة مبرد مياة الطبع شيت "/>
    <s v="تم العمل"/>
    <d v="1899-12-30T14:00:00"/>
    <d v="1899-12-30T15:00:00"/>
    <n v="4.166666666666663E-2"/>
    <x v="3"/>
    <n v="0.99999999999999911"/>
  </r>
  <r>
    <x v="7"/>
    <d v="2024-08-26T00:00:00"/>
    <s v="الاثنين "/>
    <x v="1"/>
    <s v="احمد ياسر "/>
    <s v="تركيب لوحات كهرباء "/>
    <s v="تم العمل"/>
    <d v="1899-12-30T10:00:00"/>
    <d v="1899-12-30T17:00:00"/>
    <n v="0.29166666666666669"/>
    <x v="1"/>
    <n v="7"/>
  </r>
  <r>
    <x v="7"/>
    <d v="2024-08-26T00:00:00"/>
    <s v="الاثنين "/>
    <x v="0"/>
    <s v="محمد زنفل  "/>
    <s v="استكمال سلم الطوارىء "/>
    <s v="تم العمل"/>
    <d v="1899-12-30T11:00:00"/>
    <d v="1899-12-30T17:00:00"/>
    <n v="0.25000000000000006"/>
    <x v="1"/>
    <n v="6.0000000000000018"/>
  </r>
  <r>
    <x v="7"/>
    <d v="2024-08-26T00:00:00"/>
    <s v="الاثنين "/>
    <x v="6"/>
    <s v="صابر ابراهيم "/>
    <s v="تركيب تندة حديد اعلى المصاعد "/>
    <s v="تم العمل"/>
    <d v="1899-12-30T11:00:00"/>
    <d v="1899-12-30T17:00:00"/>
    <n v="0.25000000000000006"/>
    <x v="1"/>
    <n v="6.0000000000000018"/>
  </r>
  <r>
    <x v="7"/>
    <d v="2024-08-26T00:00:00"/>
    <s v="الاثنين "/>
    <x v="6"/>
    <s v="اسلام صالح "/>
    <s v="تركيب انارة  "/>
    <s v="تم العمل"/>
    <d v="1899-12-30T10:00:00"/>
    <d v="1899-12-30T17:00:00"/>
    <n v="0.29166666666666669"/>
    <x v="1"/>
    <n v="7"/>
  </r>
  <r>
    <x v="7"/>
    <d v="2024-08-26T00:00:00"/>
    <s v="الاثنين "/>
    <x v="0"/>
    <s v="محمد زفل   "/>
    <s v="استكمال صيانة شبابيك الالمونتال "/>
    <s v="تم العمل"/>
    <d v="1899-12-30T10:00:00"/>
    <d v="1899-12-30T17:00:00"/>
    <n v="0.29166666666666669"/>
    <x v="1"/>
    <n v="7"/>
  </r>
  <r>
    <x v="7"/>
    <d v="2024-08-26T00:00:00"/>
    <s v="الاثنين "/>
    <x v="13"/>
    <s v="ايمن محمد كامل "/>
    <s v="لحام تسريب  الاحبار "/>
    <s v="تم العمل"/>
    <d v="1899-12-30T14:00:00"/>
    <d v="1899-12-30T18:00:00"/>
    <n v="0.16666666666666663"/>
    <x v="0"/>
    <n v="3.9999999999999991"/>
  </r>
  <r>
    <x v="7"/>
    <d v="2024-08-26T00:00:00"/>
    <s v="الاثنين "/>
    <x v="0"/>
    <s v="مراد  صالح "/>
    <s v="احلال وتجديد خزان الاطفاء   "/>
    <s v="تم العمل"/>
    <d v="1899-12-30T10:00:00"/>
    <d v="1899-12-30T15:00:00"/>
    <n v="0.20833333333333331"/>
    <x v="0"/>
    <n v="5"/>
  </r>
  <r>
    <x v="7"/>
    <d v="2024-08-26T00:00:00"/>
    <s v="الاثنين "/>
    <x v="13"/>
    <s v="اسلام مصطفى    "/>
    <s v="صيانة ماكينات CTP"/>
    <s v="تم العمل"/>
    <d v="1899-12-30T14:00:00"/>
    <d v="1899-12-30T18:00:00"/>
    <n v="0.16666666666666663"/>
    <x v="3"/>
    <n v="3.9999999999999991"/>
  </r>
  <r>
    <x v="7"/>
    <d v="2024-08-26T00:00:00"/>
    <s v="الاثنين "/>
    <x v="5"/>
    <s v="ياسر الروبى     "/>
    <s v="صيانة رخام حوض الحمام "/>
    <s v="تم العمل"/>
    <d v="1899-12-30T17:30:00"/>
    <d v="1899-12-30T20:00:00"/>
    <n v="0.10416666666666674"/>
    <x v="3"/>
    <n v="2.5000000000000018"/>
  </r>
  <r>
    <x v="7"/>
    <d v="2024-08-27T00:00:00"/>
    <s v="الثلاثاء "/>
    <x v="5"/>
    <s v="محمود  عويس "/>
    <s v="صيانة تكييف المكتب  "/>
    <s v="تم العمل"/>
    <d v="1899-12-30T10:00:00"/>
    <d v="1899-12-30T15:00:00"/>
    <n v="0.20833333333333331"/>
    <x v="3"/>
    <n v="5"/>
  </r>
  <r>
    <x v="7"/>
    <d v="2024-08-27T00:00:00"/>
    <s v="الثلاثاء "/>
    <x v="50"/>
    <s v="هيثم سعيد "/>
    <s v="صيانة ماكينة طباعة بالتسليمات   "/>
    <s v="تم العمل"/>
    <d v="1899-12-30T15:00:00"/>
    <d v="1899-12-30T16:00:00"/>
    <n v="4.166666666666663E-2"/>
    <x v="3"/>
    <n v="0.99999999999999911"/>
  </r>
  <r>
    <x v="7"/>
    <d v="2024-08-27T00:00:00"/>
    <s v="الثلاثاء "/>
    <x v="5"/>
    <s v="ادم محمد "/>
    <s v="ترميم وتثبيت باب وطوارىء "/>
    <s v="تم العمل"/>
    <d v="1899-12-30T15:30:00"/>
    <d v="1899-12-30T17:30:00"/>
    <n v="8.3333333333333259E-2"/>
    <x v="3"/>
    <n v="1.9999999999999982"/>
  </r>
  <r>
    <x v="7"/>
    <d v="2024-08-27T00:00:00"/>
    <s v="الثلاثاء "/>
    <x v="5"/>
    <s v="محمود  عويس "/>
    <s v="صيانة تكييف"/>
    <s v="تم العمل"/>
    <d v="1899-12-30T16:00:00"/>
    <d v="1899-12-30T17:00:00"/>
    <n v="4.1666666666666741E-2"/>
    <x v="3"/>
    <n v="1.0000000000000018"/>
  </r>
  <r>
    <x v="7"/>
    <d v="2024-08-27T00:00:00"/>
    <s v="الثلاثاء "/>
    <x v="0"/>
    <s v="محمد زفل   "/>
    <s v="استكمال سلم الطوارىء "/>
    <s v="تم العمل"/>
    <d v="1899-12-30T11:00:00"/>
    <d v="1899-12-30T17:00:00"/>
    <n v="0.25000000000000006"/>
    <x v="1"/>
    <n v="6.0000000000000018"/>
  </r>
  <r>
    <x v="7"/>
    <d v="2024-08-27T00:00:00"/>
    <s v="الثلاثاء "/>
    <x v="6"/>
    <s v="صابر ابراهيم "/>
    <s v="استكمال تركيب تندة حديد اعلى المصاعد "/>
    <s v="تم العمل"/>
    <d v="1899-12-30T00:00:00"/>
    <d v="1899-12-30T17:00:00"/>
    <n v="0.70833333333333337"/>
    <x v="1"/>
    <n v="17"/>
  </r>
  <r>
    <x v="7"/>
    <d v="2024-08-27T00:00:00"/>
    <s v="الثلاثاء "/>
    <x v="1"/>
    <s v="احمد ياسر "/>
    <s v="توصيلات كهربائية "/>
    <s v="تم العمل"/>
    <d v="1899-12-30T10:00:00"/>
    <d v="1899-12-30T17:00:00"/>
    <n v="0.29166666666666669"/>
    <x v="1"/>
    <n v="7"/>
  </r>
  <r>
    <x v="7"/>
    <d v="2024-08-28T00:00:00"/>
    <s v="الاربعاء "/>
    <x v="8"/>
    <s v="حامد ابو المحاميد   "/>
    <s v="الزيارة الشهرية وتغيير حنفية 2.3 بوصة "/>
    <s v="تم العمل"/>
    <d v="1899-12-30T09:30:00"/>
    <d v="1899-12-30T11:30:00"/>
    <n v="8.333333333333337E-2"/>
    <x v="3"/>
    <n v="2.0000000000000009"/>
  </r>
  <r>
    <x v="7"/>
    <d v="2024-08-28T00:00:00"/>
    <s v="الاربعاء "/>
    <x v="5"/>
    <s v="محمود  عويس "/>
    <s v="صيانة تكييف"/>
    <s v="تم العمل"/>
    <d v="1899-12-30T16:00:00"/>
    <d v="1899-12-30T17:00:00"/>
    <n v="4.1666666666666741E-2"/>
    <x v="3"/>
    <n v="1.0000000000000018"/>
  </r>
  <r>
    <x v="7"/>
    <d v="2024-08-28T00:00:00"/>
    <s v="الاربعاء "/>
    <x v="5"/>
    <s v="محمود  عويس "/>
    <s v="صيانة تكييف"/>
    <s v="تم العمل"/>
    <d v="1899-12-30T00:00:00"/>
    <d v="1899-12-30T16:00:00"/>
    <n v="0.66666666666666663"/>
    <x v="3"/>
    <n v="16"/>
  </r>
  <r>
    <x v="7"/>
    <d v="2024-08-28T00:00:00"/>
    <s v="الاربعاء "/>
    <x v="6"/>
    <s v="كمال مرسى "/>
    <s v="صيانة ايروشر  "/>
    <s v="تم العمل"/>
    <d v="1899-12-30T00:00:00"/>
    <d v="1899-12-30T17:00:00"/>
    <n v="0.70833333333333337"/>
    <x v="3"/>
    <n v="17"/>
  </r>
  <r>
    <x v="7"/>
    <d v="2024-08-28T00:00:00"/>
    <s v="الاربعاء "/>
    <x v="17"/>
    <s v="فارس خليل "/>
    <s v="تركيب تاندة حديد "/>
    <s v="تم العمل"/>
    <d v="1899-12-30T14:30:00"/>
    <d v="1899-12-30T15:30:00"/>
    <n v="4.1666666666666741E-2"/>
    <x v="5"/>
    <n v="1.0000000000000018"/>
  </r>
  <r>
    <x v="7"/>
    <d v="2024-08-28T00:00:00"/>
    <s v="الاربعاء "/>
    <x v="1"/>
    <s v="احمد ياسر "/>
    <s v="تركيبات كهربائية "/>
    <s v="تم العمل"/>
    <d v="1899-12-30T10:00:00"/>
    <d v="1899-12-30T17:00:00"/>
    <n v="0.29166666666666669"/>
    <x v="1"/>
    <n v="7"/>
  </r>
  <r>
    <x v="7"/>
    <d v="2024-08-28T00:00:00"/>
    <s v="الاربعاء "/>
    <x v="6"/>
    <s v="اسلام صالح "/>
    <s v="صيانة كشافات الطوارىء "/>
    <s v="تم العمل"/>
    <d v="1899-12-30T10:00:00"/>
    <d v="1899-12-30T17:00:00"/>
    <n v="0.29166666666666669"/>
    <x v="1"/>
    <n v="7"/>
  </r>
  <r>
    <x v="7"/>
    <d v="2024-08-31T00:00:00"/>
    <s v="السبت "/>
    <x v="17"/>
    <s v="فارس خليل "/>
    <s v="تركيب تاندة حديد "/>
    <s v="تم العمل"/>
    <d v="1899-12-30T00:00:00"/>
    <d v="1899-12-30T15:30:00"/>
    <n v="0.64583333333333337"/>
    <x v="5"/>
    <n v="15.5"/>
  </r>
  <r>
    <x v="7"/>
    <d v="2024-08-31T00:00:00"/>
    <s v="السبت "/>
    <x v="1"/>
    <s v="احمد ياسر "/>
    <s v="تجميع شبكة  الكهرباء "/>
    <s v="تم العمل"/>
    <d v="1899-12-30T10:00:00"/>
    <d v="1899-12-30T17:30:00"/>
    <n v="0.31249999999999994"/>
    <x v="1"/>
    <n v="7.4999999999999982"/>
  </r>
  <r>
    <x v="7"/>
    <d v="2024-08-31T00:00:00"/>
    <s v="السبت "/>
    <x v="14"/>
    <s v="احمد السيد"/>
    <s v="تركيب مصعد البضائع "/>
    <s v="تم العمل"/>
    <d v="1899-12-30T10:00:00"/>
    <d v="1899-12-30T17:30:00"/>
    <n v="0.31249999999999994"/>
    <x v="1"/>
    <n v="7.4999999999999982"/>
  </r>
  <r>
    <x v="7"/>
    <d v="2024-08-31T00:00:00"/>
    <s v="السبت "/>
    <x v="9"/>
    <s v="سامى شعبان  "/>
    <s v="منع تسريب الزيت "/>
    <s v="تم العمل"/>
    <d v="1899-12-30T11:00:00"/>
    <d v="1899-12-30T16:30:00"/>
    <n v="0.22916666666666669"/>
    <x v="0"/>
    <n v="5.5"/>
  </r>
  <r>
    <x v="8"/>
    <d v="2024-09-01T00:00:00"/>
    <s v="الاحد "/>
    <x v="7"/>
    <s v="ذياد عادل"/>
    <s v="الزيارة الشهرية  مكافحة القوارض "/>
    <s v="تم العمل"/>
    <d v="1899-12-30T14:00:00"/>
    <d v="1899-12-30T15:00:00"/>
    <n v="4.166666666666663E-2"/>
    <x v="0"/>
    <n v="0.99999999999999911"/>
  </r>
  <r>
    <x v="8"/>
    <d v="2024-09-01T00:00:00"/>
    <s v="الاحد "/>
    <x v="9"/>
    <s v="سامى شعبان  "/>
    <s v="صيانة كلارك "/>
    <s v="تم العمل"/>
    <d v="1899-12-30T11:00:00"/>
    <d v="1899-12-30T13:00:00"/>
    <n v="8.3333333333333315E-2"/>
    <x v="1"/>
    <n v="1.9999999999999996"/>
  </r>
  <r>
    <x v="8"/>
    <d v="2024-09-01T00:00:00"/>
    <s v="الاحد "/>
    <x v="7"/>
    <s v="ذياد عادل"/>
    <s v="عمل مكافحة فى مخزن الوزارة "/>
    <s v="تم العمل"/>
    <d v="1899-12-30T12:00:00"/>
    <d v="1899-12-30T13:00:00"/>
    <n v="4.166666666666663E-2"/>
    <x v="4"/>
    <n v="0.99999999999999911"/>
  </r>
  <r>
    <x v="8"/>
    <d v="2024-09-01T00:00:00"/>
    <s v="الاحد "/>
    <x v="1"/>
    <s v="احمد ياسر "/>
    <s v="تجميع شبكة  الكهرباء "/>
    <s v="تم العمل"/>
    <d v="1899-12-30T13:00:00"/>
    <d v="1899-12-30T17:00:00"/>
    <n v="0.16666666666666674"/>
    <x v="1"/>
    <n v="4.0000000000000018"/>
  </r>
  <r>
    <x v="8"/>
    <d v="2024-09-01T00:00:00"/>
    <s v="الاحد "/>
    <x v="7"/>
    <s v="ذياد عادل"/>
    <s v="عمل مكافحة فى مخزن الوزارة "/>
    <s v="تم العمل"/>
    <d v="1899-12-30T11:00:00"/>
    <d v="1899-12-30T12:00:00"/>
    <n v="4.1666666666666685E-2"/>
    <x v="1"/>
    <n v="1.0000000000000004"/>
  </r>
  <r>
    <x v="8"/>
    <d v="2024-09-01T00:00:00"/>
    <s v="الاحد "/>
    <x v="9"/>
    <s v="سامى شعبان  "/>
    <s v="منع تسريب الزيت "/>
    <s v="تم العمل"/>
    <d v="1899-12-30T14:00:00"/>
    <d v="1899-12-30T15:00:00"/>
    <n v="4.166666666666663E-2"/>
    <x v="1"/>
    <n v="0.99999999999999911"/>
  </r>
  <r>
    <x v="8"/>
    <d v="2024-09-02T00:00:00"/>
    <s v="الاثنين "/>
    <x v="5"/>
    <s v="علاء احمد "/>
    <s v="صيانة تكيفات "/>
    <s v="تم العمل"/>
    <d v="1899-12-30T10:00:00"/>
    <d v="1899-12-30T12:00:00"/>
    <n v="8.3333333333333315E-2"/>
    <x v="3"/>
    <n v="1.9999999999999996"/>
  </r>
  <r>
    <x v="8"/>
    <d v="2024-09-02T00:00:00"/>
    <s v="الاثنين "/>
    <x v="5"/>
    <s v="محمود  عويس "/>
    <s v="صيانة تكييف"/>
    <s v="تم العمل"/>
    <d v="1899-12-30T12:30:00"/>
    <d v="1899-12-30T13:30:00"/>
    <n v="4.166666666666663E-2"/>
    <x v="3"/>
    <n v="0.99999999999999911"/>
  </r>
  <r>
    <x v="8"/>
    <d v="2024-09-03T00:00:00"/>
    <s v="الثلاثاء "/>
    <x v="44"/>
    <s v="وليد فتحى "/>
    <s v="تركيب  تكييف"/>
    <s v="تم العمل"/>
    <d v="1899-12-30T13:00:00"/>
    <d v="1899-12-30T15:00:00"/>
    <n v="8.333333333333337E-2"/>
    <x v="3"/>
    <n v="2.0000000000000009"/>
  </r>
  <r>
    <x v="8"/>
    <d v="2024-09-03T00:00:00"/>
    <s v="الثلاثاء "/>
    <x v="0"/>
    <s v="مراد  صالح "/>
    <s v="العمل فى خزان الاطفاء    "/>
    <s v="تم العمل"/>
    <d v="1899-12-30T10:00:00"/>
    <d v="1899-12-30T15:00:00"/>
    <n v="0.20833333333333331"/>
    <x v="0"/>
    <n v="5"/>
  </r>
  <r>
    <x v="8"/>
    <d v="2024-09-03T00:00:00"/>
    <s v="الثلاثاء "/>
    <x v="13"/>
    <s v="ايمن محمد كامل "/>
    <s v="لحام منع تسريب الاحبار  "/>
    <s v="تم العمل"/>
    <d v="1899-12-30T14:00:00"/>
    <d v="1899-12-30T18:00:00"/>
    <n v="0.16666666666666663"/>
    <x v="0"/>
    <n v="3.9999999999999991"/>
  </r>
  <r>
    <x v="8"/>
    <d v="2024-09-04T00:00:00"/>
    <s v="الاربعاء "/>
    <x v="5"/>
    <s v="محمود  عويس "/>
    <s v="صيانة تكييف مكتب السلامة والصحة والسرفر "/>
    <s v="تم العمل"/>
    <d v="1899-12-30T22:30:00"/>
    <d v="1899-12-30T23:00:00"/>
    <n v="2.083333333333337E-2"/>
    <x v="3"/>
    <n v="0.50000000000000089"/>
  </r>
  <r>
    <x v="8"/>
    <d v="2024-09-04T00:00:00"/>
    <s v="الاربعاء "/>
    <x v="51"/>
    <s v="مصطفى نصار  "/>
    <s v="العمل على ارتفعات تحرير كابل الفايبر  "/>
    <s v="تم العمل"/>
    <d v="1899-12-30T12:00:00"/>
    <d v="1899-12-30T16:00:00"/>
    <n v="0.16666666666666663"/>
    <x v="2"/>
    <n v="3.9999999999999991"/>
  </r>
  <r>
    <x v="8"/>
    <d v="2024-09-04T00:00:00"/>
    <s v="الاربعاء "/>
    <x v="5"/>
    <s v="محمود  عويس "/>
    <s v="صيانة تكييف غرفة الكهرباء ويب 7 "/>
    <s v="تم العمل"/>
    <d v="1899-12-30T11:30:00"/>
    <d v="1899-12-30T13:00:00"/>
    <n v="6.2499999999999944E-2"/>
    <x v="3"/>
    <n v="1.4999999999999987"/>
  </r>
  <r>
    <x v="8"/>
    <d v="2024-09-04T00:00:00"/>
    <s v="الاربعاء "/>
    <x v="6"/>
    <s v="شريف  عيد "/>
    <s v="توصيل كهرباء بالمصاعد  "/>
    <s v="تم العمل"/>
    <d v="1899-12-30T10:00:00"/>
    <d v="1899-12-30T11:00:00"/>
    <n v="4.166666666666663E-2"/>
    <x v="1"/>
    <n v="0.99999999999999911"/>
  </r>
  <r>
    <x v="8"/>
    <d v="2024-09-05T00:00:00"/>
    <s v="الخميس "/>
    <x v="47"/>
    <s v="صلاح منصور "/>
    <s v="صيانة تكييف "/>
    <s v="تم العمل"/>
    <d v="1899-12-30T11:30:00"/>
    <d v="1899-12-30T14:00:00"/>
    <n v="0.10416666666666669"/>
    <x v="3"/>
    <n v="2.5000000000000004"/>
  </r>
  <r>
    <x v="8"/>
    <d v="2024-09-05T00:00:00"/>
    <s v="الخميس "/>
    <x v="5"/>
    <s v="مصطفى رشاد  "/>
    <s v="انشاءات و دهانات "/>
    <s v="تم العمل"/>
    <d v="1899-12-30T11:30:00"/>
    <d v="1899-12-30T15:00:00"/>
    <n v="0.14583333333333331"/>
    <x v="2"/>
    <n v="3.4999999999999996"/>
  </r>
  <r>
    <x v="8"/>
    <d v="2024-09-05T00:00:00"/>
    <s v="الخميس "/>
    <x v="5"/>
    <s v="صلاح منصور "/>
    <s v="صيانة تكييف "/>
    <s v="تم العمل"/>
    <d v="1899-12-30T11:30:00"/>
    <d v="1899-12-30T13:00:00"/>
    <n v="6.2499999999999944E-2"/>
    <x v="3"/>
    <n v="1.4999999999999987"/>
  </r>
  <r>
    <x v="8"/>
    <d v="2024-09-05T00:00:00"/>
    <s v="الخميس "/>
    <x v="7"/>
    <s v="سامى الامير "/>
    <s v="عمل مكافحة لشقق  العاملين عدد 3 لحشرة للبق"/>
    <s v="تم العمل"/>
    <d v="1899-12-30T10:00:00"/>
    <d v="1899-12-30T12:00:00"/>
    <n v="8.3333333333333315E-2"/>
    <x v="3"/>
    <n v="1.9999999999999996"/>
  </r>
  <r>
    <x v="8"/>
    <d v="2024-09-06T00:00:00"/>
    <s v="الجمعة "/>
    <x v="43"/>
    <s v="عادل ابراهيم "/>
    <s v="تركيبات "/>
    <s v="تم العمل"/>
    <d v="1899-12-30T09:00:00"/>
    <d v="1899-12-30T16:00:00"/>
    <n v="0.29166666666666663"/>
    <x v="2"/>
    <n v="6.9999999999999991"/>
  </r>
  <r>
    <x v="8"/>
    <d v="2024-09-07T00:00:00"/>
    <s v="السبت "/>
    <x v="0"/>
    <s v="مراد  صالح "/>
    <s v="ترميم خزان الاطفاء    "/>
    <s v="تم العمل"/>
    <d v="1899-12-30T11:00:00"/>
    <d v="1899-12-30T17:00:00"/>
    <n v="0.25000000000000006"/>
    <x v="0"/>
    <n v="6.0000000000000018"/>
  </r>
  <r>
    <x v="8"/>
    <d v="2024-09-08T00:00:00"/>
    <s v="الاحد "/>
    <x v="8"/>
    <s v="علاء الشابورى "/>
    <s v="الزيارة الشهرية لصيانة نظام الانزار    "/>
    <s v="تم العمل"/>
    <d v="1899-12-30T11:00:00"/>
    <d v="1899-12-30T12:00:00"/>
    <n v="4.1666666666666685E-2"/>
    <x v="3"/>
    <n v="1.0000000000000004"/>
  </r>
  <r>
    <x v="8"/>
    <d v="2024-09-08T00:00:00"/>
    <s v="الاحد "/>
    <x v="5"/>
    <s v="محمود  عويس "/>
    <s v="عمل صيانةلكولدير مياة الطبع شيت"/>
    <s v="تم العمل"/>
    <d v="1899-12-30T11:30:00"/>
    <d v="1899-12-30T12:00:00"/>
    <n v="2.0833333333333315E-2"/>
    <x v="3"/>
    <n v="0.49999999999999956"/>
  </r>
  <r>
    <x v="8"/>
    <d v="2024-09-08T00:00:00"/>
    <s v="الاحد "/>
    <x v="13"/>
    <s v="اسلام مصطفى    "/>
    <s v="صيانة ماكينات CTP"/>
    <s v="تم العمل"/>
    <d v="1899-12-30T13:30:00"/>
    <d v="1899-12-30T17:00:00"/>
    <n v="0.14583333333333337"/>
    <x v="3"/>
    <n v="3.5000000000000009"/>
  </r>
  <r>
    <x v="8"/>
    <d v="2024-09-08T00:00:00"/>
    <s v="الاحد "/>
    <x v="7"/>
    <s v="زياد عادل "/>
    <s v="الزيارة الشهرية وعمل مكافحة للحشرات "/>
    <s v="تم العمل"/>
    <d v="1899-12-30T12:30:00"/>
    <d v="1899-12-30T15:00:00"/>
    <n v="0.10416666666666663"/>
    <x v="3"/>
    <n v="2.4999999999999991"/>
  </r>
  <r>
    <x v="8"/>
    <d v="2024-09-08T00:00:00"/>
    <s v="الاحد "/>
    <x v="14"/>
    <s v="مخلص كامل "/>
    <s v="عمل صيانة المصاعد "/>
    <s v="تم العمل"/>
    <d v="1899-12-30T16:00:00"/>
    <d v="1899-12-30T16:30:00"/>
    <n v="2.083333333333337E-2"/>
    <x v="3"/>
    <n v="0.50000000000000089"/>
  </r>
  <r>
    <x v="8"/>
    <d v="2024-09-08T00:00:00"/>
    <s v="الاحد "/>
    <x v="5"/>
    <s v="محمود ابو شادى "/>
    <s v="اعمال البناء  "/>
    <s v="تم العمل"/>
    <d v="1899-12-30T09:30:00"/>
    <d v="1899-12-30T16:00:00"/>
    <n v="0.27083333333333331"/>
    <x v="3"/>
    <n v="1.5"/>
  </r>
  <r>
    <x v="8"/>
    <d v="2024-09-09T00:00:00"/>
    <s v="الاثنين "/>
    <x v="5"/>
    <s v="محمود  عويس "/>
    <s v="عمل صيانةلكولدير مياة الكافتريا"/>
    <s v="تم العمل"/>
    <d v="1899-12-30T15:00:00"/>
    <d v="1899-12-30T16:30:00"/>
    <n v="6.25E-2"/>
    <x v="0"/>
    <n v="1.5"/>
  </r>
  <r>
    <x v="8"/>
    <d v="2024-09-09T00:00:00"/>
    <s v="الاثنين "/>
    <x v="52"/>
    <s v="اشرف فتجى "/>
    <s v="تغيير بطاريات "/>
    <s v="تم العمل"/>
    <d v="1899-12-30T00:00:00"/>
    <d v="1899-12-30T15:00:00"/>
    <n v="0.625"/>
    <x v="3"/>
    <n v="1.5"/>
  </r>
  <r>
    <x v="8"/>
    <d v="2024-09-09T00:00:00"/>
    <s v="الاثنين "/>
    <x v="5"/>
    <s v="محمود ابو شادى  "/>
    <s v="نظافة ورفع المخلفات حول المخزن "/>
    <s v="تم العمل"/>
    <d v="1899-12-30T11:00:00"/>
    <d v="1899-12-30T12:30:00"/>
    <n v="6.2500000000000056E-2"/>
    <x v="0"/>
    <n v="1.5"/>
  </r>
  <r>
    <x v="8"/>
    <d v="2024-09-10T00:00:00"/>
    <s v="الثلاثاء "/>
    <x v="14"/>
    <s v="محمد على "/>
    <s v="صيانة المصاعد "/>
    <s v="تم العمل"/>
    <d v="1899-12-30T10:00:00"/>
    <d v="1899-12-30T16:00:00"/>
    <n v="0.24999999999999994"/>
    <x v="3"/>
    <n v="5.9999999999999982"/>
  </r>
  <r>
    <x v="8"/>
    <d v="2024-09-10T00:00:00"/>
    <s v="الثلاثاء "/>
    <x v="35"/>
    <s v="عبد الرحمن حسين "/>
    <s v="صيانة غرفة الكمبروسر "/>
    <s v="تم العمل"/>
    <d v="1899-12-30T14:00:00"/>
    <d v="1899-12-30T16:00:00"/>
    <n v="8.3333333333333259E-2"/>
    <x v="3"/>
    <n v="1.9999999999999982"/>
  </r>
  <r>
    <x v="8"/>
    <d v="2024-09-10T00:00:00"/>
    <s v="الثلاثاء "/>
    <x v="52"/>
    <s v="اشرف فهمى  "/>
    <s v="صيانة بطاريات"/>
    <s v="تم العمل"/>
    <d v="1899-12-30T15:00:00"/>
    <d v="1899-12-30T16:00:00"/>
    <n v="4.166666666666663E-2"/>
    <x v="3"/>
    <n v="0.99999999999999911"/>
  </r>
  <r>
    <x v="8"/>
    <d v="2024-09-11T00:00:00"/>
    <s v="الاربعاء "/>
    <x v="1"/>
    <s v="احمد ياسر "/>
    <s v=" استكمال تجميع شبكة  الكهرباء "/>
    <s v="تم العمل"/>
    <d v="1899-12-30T09:00:00"/>
    <d v="1899-12-30T14:00:00"/>
    <n v="0.20833333333333337"/>
    <x v="1"/>
    <n v="5.0000000000000009"/>
  </r>
  <r>
    <x v="8"/>
    <d v="2024-09-11T00:00:00"/>
    <s v="الاربعاء "/>
    <x v="33"/>
    <s v="سالم حسام "/>
    <s v="صيانة الرامب الجديد  "/>
    <s v="تم العمل"/>
    <d v="1899-12-30T11:00:00"/>
    <d v="1899-12-30T16:00:00"/>
    <n v="0.20833333333333331"/>
    <x v="1"/>
    <n v="5"/>
  </r>
  <r>
    <x v="8"/>
    <d v="2024-09-12T00:00:00"/>
    <s v="الخميس "/>
    <x v="1"/>
    <s v="احمد ياسر "/>
    <s v=" استكمال تجميع شبكة  الكهرباء "/>
    <s v="تم العمل"/>
    <d v="1899-12-30T11:00:00"/>
    <d v="1899-12-30T17:00:00"/>
    <n v="0.25000000000000006"/>
    <x v="1"/>
    <n v="6.0000000000000018"/>
  </r>
  <r>
    <x v="8"/>
    <d v="2024-09-12T00:00:00"/>
    <s v="الخميس "/>
    <x v="34"/>
    <s v="رامى محمد  "/>
    <s v="عمل صيانة للابواب الالمونتال "/>
    <s v="تم العمل"/>
    <d v="1899-12-30T16:00:00"/>
    <d v="1899-12-30T16:30:00"/>
    <n v="2.083333333333337E-2"/>
    <x v="0"/>
    <n v="0.50000000000000089"/>
  </r>
  <r>
    <x v="8"/>
    <d v="2024-09-12T00:00:00"/>
    <s v="الخميس "/>
    <x v="47"/>
    <s v="صلاح منصور "/>
    <s v="صيانة تكيفات "/>
    <s v="تم العمل"/>
    <d v="1899-12-30T10:30:00"/>
    <d v="1899-12-30T13:00:00"/>
    <n v="0.10416666666666663"/>
    <x v="3"/>
    <n v="2.4999999999999991"/>
  </r>
  <r>
    <x v="8"/>
    <d v="2024-09-14T00:00:00"/>
    <s v="السبت "/>
    <x v="1"/>
    <s v="احمد ياسر "/>
    <s v=" تجميع شبكة  الكهرباء "/>
    <s v="تم العمل"/>
    <d v="1899-12-30T10:00:00"/>
    <d v="1899-12-30T17:30:00"/>
    <n v="0.31249999999999994"/>
    <x v="1"/>
    <n v="7.4999999999999982"/>
  </r>
  <r>
    <x v="8"/>
    <d v="2024-09-14T00:00:00"/>
    <s v="السبت "/>
    <x v="14"/>
    <s v="ناروز  سليمان "/>
    <s v="تجميع  المصاعد "/>
    <s v="تم العمل"/>
    <d v="1899-12-30T10:00:00"/>
    <d v="1899-12-30T17:30:00"/>
    <n v="0.31249999999999994"/>
    <x v="1"/>
    <n v="7.4999999999999982"/>
  </r>
  <r>
    <x v="8"/>
    <d v="2024-09-14T00:00:00"/>
    <s v="السبت "/>
    <x v="0"/>
    <s v="مراد  صالح "/>
    <s v="انشائات   "/>
    <s v="تم العمل"/>
    <d v="1899-12-30T09:30:00"/>
    <d v="1899-12-30T16:30:00"/>
    <n v="0.29166666666666669"/>
    <x v="0"/>
    <n v="7"/>
  </r>
  <r>
    <x v="8"/>
    <d v="2024-09-15T00:00:00"/>
    <s v="الاحد "/>
    <x v="13"/>
    <s v="اسلام مصطفى    "/>
    <s v="صيانة ماكينات CTP"/>
    <s v="تم العمل"/>
    <d v="1899-12-30T12:30:00"/>
    <d v="1899-12-30T14:00:00"/>
    <n v="6.25E-2"/>
    <x v="0"/>
    <n v="1.5"/>
  </r>
  <r>
    <x v="8"/>
    <d v="2024-09-15T00:00:00"/>
    <s v="الاحد "/>
    <x v="0"/>
    <s v="سلامة يوسف "/>
    <s v="صيانة لحام العاملين بالكفتريا    "/>
    <s v="تم العمل"/>
    <d v="1899-12-30T10:00:00"/>
    <d v="1899-12-30T15:00:00"/>
    <n v="0.20833333333333331"/>
    <x v="3"/>
    <n v="5"/>
  </r>
  <r>
    <x v="8"/>
    <d v="2024-09-15T00:00:00"/>
    <s v="الاحد "/>
    <x v="5"/>
    <s v="ادم مجمد "/>
    <s v="اعمال النقاشة  "/>
    <s v="تم العمل"/>
    <d v="1899-12-30T10:00:00"/>
    <d v="1899-12-30T17:00:00"/>
    <n v="0.29166666666666669"/>
    <x v="3"/>
    <n v="7"/>
  </r>
  <r>
    <x v="8"/>
    <d v="2024-09-15T00:00:00"/>
    <s v="الاحد "/>
    <x v="14"/>
    <s v="ناروز  سليمان "/>
    <s v="تجميع  المصاعد "/>
    <s v="تم العمل"/>
    <d v="1899-12-30T10:00:00"/>
    <d v="1899-12-30T17:30:00"/>
    <n v="0.31249999999999994"/>
    <x v="1"/>
    <n v="7.4999999999999982"/>
  </r>
  <r>
    <x v="8"/>
    <d v="2024-09-15T00:00:00"/>
    <s v="الاحد "/>
    <x v="1"/>
    <s v="احمد ياسر "/>
    <s v=" تجميع شبكة  الكهرباء "/>
    <s v="تم العمل"/>
    <d v="1899-12-30T10:00:00"/>
    <d v="1899-12-30T17:30:00"/>
    <n v="0.31249999999999994"/>
    <x v="1"/>
    <n v="7.4999999999999982"/>
  </r>
  <r>
    <x v="8"/>
    <d v="2024-09-15T00:00:00"/>
    <s v="الاحد "/>
    <x v="0"/>
    <s v="مراد "/>
    <s v="احلال وتجديد خزان الاطفاء    "/>
    <s v="تم العمل"/>
    <d v="1899-12-30T09:00:00"/>
    <d v="1899-12-30T16:00:00"/>
    <n v="0.29166666666666663"/>
    <x v="0"/>
    <n v="6.9999999999999991"/>
  </r>
  <r>
    <x v="8"/>
    <d v="2024-09-16T00:00:00"/>
    <s v="الاثنين "/>
    <x v="5"/>
    <s v="علاء احمد "/>
    <s v="صيانة التكيفات "/>
    <s v="تم العمل"/>
    <d v="1899-12-30T10:00:00"/>
    <d v="1899-12-30T11:30:00"/>
    <n v="6.25E-2"/>
    <x v="3"/>
    <n v="1.5"/>
  </r>
  <r>
    <x v="8"/>
    <d v="2024-09-16T00:00:00"/>
    <s v="الاثنين "/>
    <x v="5"/>
    <s v="محمود  عويس "/>
    <s v="عمل صيانة للتكيفات "/>
    <s v="تم العمل"/>
    <d v="1899-12-30T00:30:00"/>
    <d v="1899-12-30T16:30:00"/>
    <n v="0.66666666666666663"/>
    <x v="0"/>
    <n v="1.5"/>
  </r>
  <r>
    <x v="8"/>
    <d v="2024-09-16T00:00:00"/>
    <s v="الاثنين "/>
    <x v="11"/>
    <s v="محمد رمضان   "/>
    <s v="صيانة الكلاركات "/>
    <s v="تم العمل"/>
    <d v="1899-12-30T14:30:00"/>
    <d v="1899-12-30T16:00:00"/>
    <n v="6.25E-2"/>
    <x v="3"/>
    <n v="1.5"/>
  </r>
  <r>
    <x v="8"/>
    <d v="2024-09-16T00:00:00"/>
    <s v="الاثنين "/>
    <x v="0"/>
    <s v="مراد "/>
    <s v="احلال وتجديد بخزان حريق     "/>
    <s v="تم العمل"/>
    <d v="1899-12-30T09:00:00"/>
    <d v="1899-12-30T16:00:00"/>
    <n v="0.29166666666666663"/>
    <x v="0"/>
    <n v="6.9999999999999991"/>
  </r>
  <r>
    <x v="8"/>
    <d v="2024-09-16T00:00:00"/>
    <s v="الاثنين "/>
    <x v="5"/>
    <s v="احمد حسين "/>
    <s v="اعمال سيراميك"/>
    <s v="تم العمل"/>
    <d v="1899-12-30T10:00:00"/>
    <d v="1899-12-30T17:00:00"/>
    <n v="0.29166666666666669"/>
    <x v="3"/>
    <n v="7"/>
  </r>
  <r>
    <x v="8"/>
    <d v="2024-09-16T00:00:00"/>
    <s v="الاثنين "/>
    <x v="1"/>
    <s v="احمد ياسر "/>
    <s v="استكمال العمل فى  شبكة  الكهرباء "/>
    <s v="تم العمل"/>
    <d v="1899-12-30T10:00:00"/>
    <d v="1899-12-30T17:00:00"/>
    <n v="0.29166666666666669"/>
    <x v="1"/>
    <n v="7"/>
  </r>
  <r>
    <x v="8"/>
    <d v="2024-09-16T00:00:00"/>
    <s v="الاثنين "/>
    <x v="53"/>
    <s v="ابراهيم حسين "/>
    <s v="تركيب الراكات بالعنبر"/>
    <s v="تم العمل"/>
    <d v="1899-12-30T09:30:00"/>
    <d v="1899-12-30T16:00:00"/>
    <n v="0.27083333333333331"/>
    <x v="1"/>
    <n v="6.5"/>
  </r>
  <r>
    <x v="8"/>
    <d v="2024-09-17T00:00:00"/>
    <s v="الثلاثاء "/>
    <x v="46"/>
    <s v="عرفات  محمد "/>
    <s v="صيانة فلتر مياه "/>
    <s v="تم العمل"/>
    <d v="1899-12-30T13:30:00"/>
    <d v="1899-12-30T15:30:00"/>
    <n v="8.333333333333337E-2"/>
    <x v="3"/>
    <n v="2.0000000000000009"/>
  </r>
  <r>
    <x v="8"/>
    <d v="2024-09-17T00:00:00"/>
    <s v="الثلاثاء "/>
    <x v="13"/>
    <s v="اسلام مصطفى    "/>
    <s v="صيانة ماكينات CTP"/>
    <s v="تم العمل"/>
    <d v="1899-12-30T11:30:00"/>
    <d v="1899-12-30T17:00:00"/>
    <n v="0.22916666666666669"/>
    <x v="3"/>
    <n v="5.5"/>
  </r>
  <r>
    <x v="8"/>
    <d v="2024-09-17T00:00:00"/>
    <s v="الثلاثاء "/>
    <x v="5"/>
    <s v="محمود  عويس "/>
    <s v="عمل صيانة للتكيفات "/>
    <s v="تم العمل"/>
    <d v="1899-12-30T00:00:00"/>
    <d v="1899-12-30T14:00:00"/>
    <n v="0.58333333333333337"/>
    <x v="0"/>
    <n v="1.5"/>
  </r>
  <r>
    <x v="8"/>
    <d v="2024-09-17T00:00:00"/>
    <s v="الثلاثاء "/>
    <x v="0"/>
    <s v="مراد "/>
    <s v="عمل تسليح حديد بخزان حريق     "/>
    <s v="تم العمل"/>
    <d v="1899-12-30T09:00:00"/>
    <d v="1899-12-30T16:00:00"/>
    <n v="0.29166666666666663"/>
    <x v="0"/>
    <n v="6.9999999999999991"/>
  </r>
  <r>
    <x v="8"/>
    <d v="2024-09-18T00:00:00"/>
    <s v="الاربعاء "/>
    <x v="8"/>
    <s v="حامد ابو المحاميد "/>
    <s v="الزيارة الشهرية  المرور على نقط الاطفاء   "/>
    <s v="تم العمل"/>
    <d v="1899-12-30T10:00:00"/>
    <d v="1899-12-30T14:00:00"/>
    <n v="0.16666666666666669"/>
    <x v="3"/>
    <n v="4"/>
  </r>
  <r>
    <x v="8"/>
    <d v="2024-09-18T00:00:00"/>
    <s v="الاربعاء "/>
    <x v="8"/>
    <s v="حامد ابو المحاميد "/>
    <s v="تركيبات حساسات   "/>
    <s v="تم العمل"/>
    <d v="1899-12-30T10:00:00"/>
    <d v="1899-12-30T12:00:00"/>
    <n v="8.3333333333333315E-2"/>
    <x v="3"/>
    <n v="1.9999999999999996"/>
  </r>
  <r>
    <x v="8"/>
    <d v="2024-09-18T00:00:00"/>
    <s v="الاربعاء "/>
    <x v="46"/>
    <s v="اسلام محمد "/>
    <s v="صيانة فلتر مياه "/>
    <s v="تم العمل"/>
    <d v="1899-12-30T13:30:00"/>
    <d v="1899-12-30T15:00:00"/>
    <n v="6.25E-2"/>
    <x v="3"/>
    <n v="1.5"/>
  </r>
  <r>
    <x v="8"/>
    <d v="2024-09-18T00:00:00"/>
    <s v="الاربعاء "/>
    <x v="34"/>
    <s v="رامى محمد  "/>
    <s v="فك وتركيب باب المونتال  "/>
    <s v="تم العمل"/>
    <d v="1899-12-30T15:30:00"/>
    <d v="1899-12-30T16:00:00"/>
    <n v="2.0833333333333259E-2"/>
    <x v="3"/>
    <n v="0.49999999999999822"/>
  </r>
  <r>
    <x v="8"/>
    <d v="2024-09-18T00:00:00"/>
    <s v="الاربعاء "/>
    <x v="0"/>
    <s v="مراد "/>
    <s v="تجديد واحلال خزان الاطفاء     "/>
    <s v="تم العمل"/>
    <d v="1899-12-30T09:00:00"/>
    <d v="1899-12-30T16:00:00"/>
    <n v="0.29166666666666663"/>
    <x v="0"/>
    <n v="6.9999999999999991"/>
  </r>
  <r>
    <x v="8"/>
    <d v="2024-09-18T00:00:00"/>
    <s v="الاربعاء "/>
    <x v="34"/>
    <s v="رامى محمد  "/>
    <s v="تركيب باب الامونتال "/>
    <s v="تم العمل"/>
    <d v="1899-12-30T13:00:00"/>
    <d v="1899-12-30T16:30:00"/>
    <n v="0.14583333333333337"/>
    <x v="3"/>
    <n v="3.5000000000000009"/>
  </r>
  <r>
    <x v="8"/>
    <d v="2024-09-18T00:00:00"/>
    <s v="الاربعاء "/>
    <x v="1"/>
    <s v="احمد ياسر "/>
    <s v="اعمال تركيبات كهرباء"/>
    <s v="تم العمل"/>
    <d v="1899-12-30T12:00:00"/>
    <d v="1899-12-30T17:00:00"/>
    <n v="0.20833333333333337"/>
    <x v="1"/>
    <n v="5.0000000000000009"/>
  </r>
  <r>
    <x v="8"/>
    <d v="2024-09-18T00:00:00"/>
    <s v="الاربعاء "/>
    <x v="53"/>
    <s v="ابراهيم حسين "/>
    <s v="تركيب الراكات بالعنبر"/>
    <s v="تم العمل"/>
    <d v="1899-12-30T10:00:00"/>
    <d v="1899-12-30T16:00:00"/>
    <n v="0.24999999999999994"/>
    <x v="1"/>
    <n v="5.9999999999999982"/>
  </r>
  <r>
    <x v="8"/>
    <d v="2024-09-19T00:00:00"/>
    <s v="الخميس "/>
    <x v="54"/>
    <s v="حكيم سعيد "/>
    <s v="تركيب ستائر "/>
    <s v="تم العمل"/>
    <d v="1899-12-30T12:30:00"/>
    <d v="1899-12-30T14:30:00"/>
    <n v="8.3333333333333259E-2"/>
    <x v="3"/>
    <n v="1.9999999999999982"/>
  </r>
  <r>
    <x v="8"/>
    <d v="2024-09-21T00:00:00"/>
    <s v="السبت "/>
    <x v="0"/>
    <s v="مراد صالح "/>
    <s v="عمل حدادة      "/>
    <s v="تم العمل"/>
    <d v="1899-12-30T10:00:00"/>
    <d v="1899-12-30T16:00:00"/>
    <n v="0.24999999999999994"/>
    <x v="0"/>
    <n v="5.9999999999999982"/>
  </r>
  <r>
    <x v="8"/>
    <d v="2024-09-22T00:00:00"/>
    <s v="الاحد "/>
    <x v="5"/>
    <s v="محمود  عويس "/>
    <s v="صيانة للتكيفات "/>
    <s v="تم العمل"/>
    <d v="1899-12-30T14:30:00"/>
    <d v="1899-12-30T15:30:00"/>
    <n v="4.1666666666666741E-2"/>
    <x v="3"/>
    <n v="1.5"/>
  </r>
  <r>
    <x v="8"/>
    <d v="2024-09-22T00:00:00"/>
    <s v="الاحد "/>
    <x v="0"/>
    <s v="مراد "/>
    <s v="تجديد واحلال خزان الاطفاء     "/>
    <s v="تم العمل"/>
    <d v="1899-12-30T10:00:00"/>
    <d v="1899-12-30T15:00:00"/>
    <n v="0.20833333333333331"/>
    <x v="0"/>
    <n v="5"/>
  </r>
  <r>
    <x v="8"/>
    <d v="2024-09-23T00:00:00"/>
    <s v="الاثنين "/>
    <x v="16"/>
    <s v="كمال مرسى "/>
    <s v="قطع ولحام     "/>
    <s v="تم العمل"/>
    <d v="1899-12-30T15:00:00"/>
    <d v="1899-12-30T16:30:00"/>
    <n v="6.25E-2"/>
    <x v="3"/>
    <n v="1.5"/>
  </r>
  <r>
    <x v="8"/>
    <d v="2024-09-23T00:00:00"/>
    <s v="الاثنين "/>
    <x v="5"/>
    <s v="محمود عويس  "/>
    <s v="صيانة تكييف  "/>
    <s v="تم العمل"/>
    <d v="1899-12-30T12:30:00"/>
    <d v="1899-12-30T16:00:00"/>
    <n v="0.14583333333333326"/>
    <x v="3"/>
    <n v="3.4999999999999982"/>
  </r>
  <r>
    <x v="8"/>
    <d v="2024-09-23T00:00:00"/>
    <s v="الاثنين "/>
    <x v="0"/>
    <s v="مراد صالح "/>
    <s v="عمل تسليح بخزان الاطفاء    "/>
    <s v="تم العمل"/>
    <d v="1899-12-30T09:00:00"/>
    <d v="1899-12-30T16:00:00"/>
    <n v="0.29166666666666663"/>
    <x v="0"/>
    <n v="6.9999999999999991"/>
  </r>
  <r>
    <x v="8"/>
    <d v="2024-09-23T00:00:00"/>
    <s v="الاثنين "/>
    <x v="8"/>
    <s v="حامد ابو المجد "/>
    <s v="الزيارة الشهرية والمرور على شبكة الحريق  "/>
    <s v="تم العمل"/>
    <d v="1899-12-30T12:00:00"/>
    <d v="1899-12-30T13:00:00"/>
    <n v="4.166666666666663E-2"/>
    <x v="0"/>
    <n v="0.99999999999999911"/>
  </r>
  <r>
    <x v="8"/>
    <d v="2024-09-23T00:00:00"/>
    <s v="الاثنين "/>
    <x v="24"/>
    <s v="ابراهيم الصفتى  "/>
    <s v="تويصلات غرفة الطلمبات   "/>
    <s v="تم العمل"/>
    <d v="1899-12-30T13:00:00"/>
    <d v="1899-12-30T16:00:00"/>
    <n v="0.125"/>
    <x v="0"/>
    <n v="3"/>
  </r>
  <r>
    <x v="8"/>
    <d v="2024-09-24T00:00:00"/>
    <s v="الثلاثاء "/>
    <x v="5"/>
    <s v="محمود عويس  "/>
    <s v="عمل صيانة لوحات تكييف  "/>
    <s v="تم العمل"/>
    <d v="1899-12-30T10:00:00"/>
    <d v="1899-12-30T17:30:00"/>
    <n v="0.31249999999999994"/>
    <x v="3"/>
    <n v="7.4999999999999982"/>
  </r>
  <r>
    <x v="8"/>
    <d v="2024-09-25T00:00:00"/>
    <s v="الاربعاء "/>
    <x v="0"/>
    <s v="مراد صالح "/>
    <s v="احلال وتجديد خزان الاطفاء     "/>
    <s v="تم العمل"/>
    <d v="1899-12-30T10:00:00"/>
    <d v="1899-12-30T16:00:00"/>
    <n v="0.24999999999999994"/>
    <x v="0"/>
    <n v="5.9999999999999982"/>
  </r>
  <r>
    <x v="8"/>
    <d v="2024-09-25T00:00:00"/>
    <s v="الاربعاء "/>
    <x v="6"/>
    <s v="صابر ابراهيم "/>
    <s v="اعمال تركيبات كهرباء"/>
    <s v="تم العمل"/>
    <d v="1899-12-30T12:00:00"/>
    <d v="1899-12-30T12:30:00"/>
    <n v="2.083333333333337E-2"/>
    <x v="3"/>
    <n v="0.50000000000000089"/>
  </r>
  <r>
    <x v="8"/>
    <d v="2024-09-25T00:00:00"/>
    <s v="الاربعاء "/>
    <x v="34"/>
    <s v="رامى محمد  "/>
    <s v="عمل صيانة لابواب الامونتال "/>
    <s v="تم العمل"/>
    <d v="1899-12-30T14:30:00"/>
    <d v="1899-12-30T16:00:00"/>
    <n v="6.25E-2"/>
    <x v="3"/>
    <n v="1.5"/>
  </r>
  <r>
    <x v="8"/>
    <d v="2024-09-26T00:00:00"/>
    <s v="الخميس "/>
    <x v="0"/>
    <s v="مراد صالح "/>
    <s v="استكمال احلال وتجديد خزان الاطفاء     "/>
    <s v="تم العمل"/>
    <d v="1899-12-30T09:00:00"/>
    <d v="1899-12-30T16:00:00"/>
    <n v="0.29166666666666663"/>
    <x v="0"/>
    <n v="6.9999999999999991"/>
  </r>
  <r>
    <x v="8"/>
    <d v="2024-09-26T00:00:00"/>
    <s v="الخميس "/>
    <x v="34"/>
    <s v="رامى محمد  "/>
    <s v="عمل غرفة للتدخين بالكفتريا  لابواب الامونتال "/>
    <s v="تم العمل"/>
    <d v="1899-12-30T13:00:00"/>
    <d v="1899-12-30T17:00:00"/>
    <n v="0.16666666666666674"/>
    <x v="3"/>
    <n v="4.0000000000000018"/>
  </r>
  <r>
    <x v="8"/>
    <d v="2024-09-26T00:00:00"/>
    <s v="الخميس "/>
    <x v="4"/>
    <s v="عبد الرحمن عادل "/>
    <s v="توصيل كابل الفاير "/>
    <s v="تم العمل"/>
    <d v="1899-12-30T15:00:00"/>
    <d v="1899-12-30T17:30:00"/>
    <n v="0.10416666666666663"/>
    <x v="2"/>
    <n v="2.4999999999999991"/>
  </r>
  <r>
    <x v="8"/>
    <d v="2024-09-26T00:00:00"/>
    <s v="الخميس "/>
    <x v="55"/>
    <s v="حسام سمير "/>
    <s v="عمل معايرة وفحص للكلااركات "/>
    <s v="تم العمل"/>
    <d v="1899-12-30T13:00:00"/>
    <d v="1899-12-30T14:00:00"/>
    <n v="4.1666666666666741E-2"/>
    <x v="3"/>
    <n v="1.0000000000000018"/>
  </r>
  <r>
    <x v="8"/>
    <d v="2024-09-26T00:00:00"/>
    <s v="الخميس "/>
    <x v="56"/>
    <s v="ابراهيم محمد "/>
    <s v="صيانة تكيفات اعلى الطبع شيت "/>
    <s v="تم العمل"/>
    <d v="1899-12-30T12:00:00"/>
    <d v="1899-12-30T14:00:00"/>
    <n v="8.333333333333337E-2"/>
    <x v="3"/>
    <n v="2.0000000000000009"/>
  </r>
  <r>
    <x v="8"/>
    <d v="2024-09-28T00:00:00"/>
    <s v="السبت "/>
    <x v="3"/>
    <s v="علاء احمد "/>
    <s v="نركيبات "/>
    <s v="تم العمل"/>
    <d v="1899-12-30T10:00:00"/>
    <d v="1899-12-30T19:00:00"/>
    <n v="0.37499999999999994"/>
    <x v="2"/>
    <n v="8.9999999999999982"/>
  </r>
  <r>
    <x v="8"/>
    <d v="2024-09-28T00:00:00"/>
    <s v="السبت "/>
    <x v="0"/>
    <s v="مراد صالح "/>
    <s v="استكمال احلال وتجديد خزان الاطفاء     "/>
    <s v="تم العمل"/>
    <d v="1899-12-30T10:00:00"/>
    <d v="1899-12-30T16:30:00"/>
    <n v="0.27083333333333331"/>
    <x v="0"/>
    <n v="6.5"/>
  </r>
  <r>
    <x v="8"/>
    <d v="2024-09-28T00:00:00"/>
    <s v="السبت "/>
    <x v="57"/>
    <s v="احمد عبد العال "/>
    <s v="صيانة تكيفات اعلى الطبع شيت "/>
    <s v="تم العمل"/>
    <d v="1899-12-30T14:00:00"/>
    <d v="1899-12-30T17:00:00"/>
    <n v="0.125"/>
    <x v="3"/>
    <n v="3"/>
  </r>
  <r>
    <x v="8"/>
    <d v="2024-09-29T00:00:00"/>
    <s v="الاحد "/>
    <x v="56"/>
    <s v="حسام احمد "/>
    <s v="صيانة تشلير كولبس 3  "/>
    <s v="تم العمل"/>
    <d v="1899-12-30T14:00:00"/>
    <d v="1899-12-30T17:00:00"/>
    <n v="0.125"/>
    <x v="3"/>
    <n v="3"/>
  </r>
  <r>
    <x v="8"/>
    <d v="2024-09-29T00:00:00"/>
    <s v="الاحد "/>
    <x v="28"/>
    <s v="احمد عبد العليم "/>
    <s v="نركيبات "/>
    <s v="تم العمل"/>
    <d v="1899-12-30T10:00:00"/>
    <d v="1899-12-30T18:00:00"/>
    <n v="0.33333333333333331"/>
    <x v="2"/>
    <n v="8"/>
  </r>
  <r>
    <x v="8"/>
    <d v="2024-09-30T00:00:00"/>
    <s v="الاثنين "/>
    <x v="7"/>
    <s v="احمد ماهر  "/>
    <s v="الزيارة الشهرية واعمال مكافحة القوارض"/>
    <s v="تم العمل"/>
    <d v="1899-12-30T12:00:00"/>
    <d v="1899-12-30T14:00:00"/>
    <n v="8.333333333333337E-2"/>
    <x v="1"/>
    <n v="2.0000000000000009"/>
  </r>
  <r>
    <x v="8"/>
    <d v="2024-09-30T00:00:00"/>
    <s v="الاثنين "/>
    <x v="5"/>
    <s v="محمود عويس  "/>
    <s v="صيانة تكيف "/>
    <s v="تم العمل"/>
    <d v="1899-12-30T15:30:00"/>
    <d v="1899-12-30T17:00:00"/>
    <n v="6.25E-2"/>
    <x v="3"/>
    <n v="1.5"/>
  </r>
  <r>
    <x v="8"/>
    <d v="2024-09-30T00:00:00"/>
    <s v="الاثنين "/>
    <x v="7"/>
    <s v="محمود "/>
    <s v="الزيارة الشهرية ومكافحة الحشرات "/>
    <s v="تم العمل"/>
    <d v="1899-12-30T14:00:00"/>
    <d v="1899-12-30T15:00:00"/>
    <n v="4.166666666666663E-2"/>
    <x v="1"/>
    <n v="0.99999999999999911"/>
  </r>
  <r>
    <x v="9"/>
    <d v="2024-10-01T00:00:00"/>
    <s v="الثلاثاء "/>
    <x v="5"/>
    <s v="محمود عويس  "/>
    <s v="صيانة تكيف "/>
    <s v="تم العمل"/>
    <d v="1899-12-30T09:30:00"/>
    <d v="1899-12-30T17:00:00"/>
    <n v="0.31250000000000006"/>
    <x v="3"/>
    <n v="7.5000000000000018"/>
  </r>
  <r>
    <x v="9"/>
    <d v="2024-10-01T00:00:00"/>
    <s v="الثلاثاء "/>
    <x v="34"/>
    <s v="رامى محمد  "/>
    <s v="عمل صيانة لابواب الامونتال "/>
    <s v="تم العمل"/>
    <d v="1899-12-30T14:30:00"/>
    <d v="1899-12-30T17:00:00"/>
    <n v="0.10416666666666674"/>
    <x v="3"/>
    <n v="2.5000000000000018"/>
  </r>
  <r>
    <x v="9"/>
    <d v="2024-10-02T00:00:00"/>
    <s v="الاربعاء "/>
    <x v="5"/>
    <s v="محمود عويس  "/>
    <s v="صيانة تكيف "/>
    <s v="تم العمل"/>
    <d v="1899-12-30T09:30:00"/>
    <d v="1899-12-30T17:00:00"/>
    <n v="0.31250000000000006"/>
    <x v="3"/>
    <n v="7.5000000000000018"/>
  </r>
  <r>
    <x v="9"/>
    <d v="2024-10-02T00:00:00"/>
    <s v="الاربعاء "/>
    <x v="0"/>
    <s v="مراد صالح "/>
    <s v="استكمال احلال وتجديد خزان الاطفاء     "/>
    <s v="تم العمل"/>
    <d v="1899-12-30T10:00:00"/>
    <d v="1899-12-30T16:30:00"/>
    <n v="0.27083333333333331"/>
    <x v="0"/>
    <n v="6.5"/>
  </r>
  <r>
    <x v="9"/>
    <d v="2024-10-02T00:00:00"/>
    <s v="الاربعاء "/>
    <x v="38"/>
    <s v="اسلام مليجى "/>
    <s v="تغيير فلاتر     "/>
    <s v="تم العمل"/>
    <d v="1899-12-30T14:00:00"/>
    <d v="1899-12-30T15:00:00"/>
    <n v="4.166666666666663E-2"/>
    <x v="0"/>
    <n v="0.99999999999999911"/>
  </r>
  <r>
    <x v="9"/>
    <d v="2024-10-02T00:00:00"/>
    <s v="الاربعاء "/>
    <x v="8"/>
    <s v=" على الشنوبى     "/>
    <s v="الزيارة الشهرية و صيانة للوح الانزار "/>
    <s v="تم العمل"/>
    <d v="1899-12-30T12:00:00"/>
    <d v="1899-12-30T13:00:00"/>
    <n v="4.166666666666663E-2"/>
    <x v="0"/>
    <n v="0.99999999999999911"/>
  </r>
  <r>
    <x v="9"/>
    <d v="2024-10-02T00:00:00"/>
    <s v="الاربعاء "/>
    <x v="8"/>
    <s v=" على الشنوبى     "/>
    <s v="الزيارة الشهرية و صيانة للوح الانزار "/>
    <s v="تم العمل"/>
    <d v="1899-12-30T10:30:00"/>
    <d v="1899-12-30T12:00:00"/>
    <n v="6.25E-2"/>
    <x v="3"/>
    <n v="1.5"/>
  </r>
  <r>
    <x v="9"/>
    <d v="2024-10-02T00:00:00"/>
    <s v="الاربعاء "/>
    <x v="28"/>
    <s v="اسلام محمد "/>
    <s v="تركيبات "/>
    <s v="تم العمل"/>
    <d v="1899-12-30T15:30:00"/>
    <d v="1899-12-30T19:30:00"/>
    <n v="0.16666666666666663"/>
    <x v="2"/>
    <n v="3.9999999999999991"/>
  </r>
  <r>
    <x v="9"/>
    <d v="2024-10-02T00:00:00"/>
    <s v="الاربعاء "/>
    <x v="0"/>
    <s v="مراد صالح "/>
    <s v="صيانة الشبابيك الالموتال "/>
    <s v="تم العمل"/>
    <d v="1899-12-30T10:00:00"/>
    <d v="1899-12-30T17:00:00"/>
    <n v="0.29166666666666669"/>
    <x v="1"/>
    <n v="7"/>
  </r>
  <r>
    <x v="9"/>
    <d v="2024-10-02T00:00:00"/>
    <s v="الاربعاء "/>
    <x v="8"/>
    <s v=" على الشنوبى     "/>
    <s v="الزيارة الشهرية و صيانة للوح الانزار "/>
    <s v="تم العمل"/>
    <d v="1899-12-30T10:00:00"/>
    <d v="1899-12-30T11:00:00"/>
    <n v="4.166666666666663E-2"/>
    <x v="1"/>
    <n v="0.99999999999999911"/>
  </r>
  <r>
    <x v="9"/>
    <d v="2024-10-02T00:00:00"/>
    <s v="الاربعاء "/>
    <x v="17"/>
    <s v="مراد صالح "/>
    <s v="دهان سلم الطوارئ"/>
    <s v="تم العمل"/>
    <d v="1899-12-30T11:00:00"/>
    <d v="1899-12-30T16:00:00"/>
    <n v="0.20833333333333365"/>
    <x v="1"/>
    <n v="5.0000000000000071"/>
  </r>
  <r>
    <x v="9"/>
    <d v="2024-10-03T00:00:00"/>
    <s v="الخميس "/>
    <x v="5"/>
    <s v="محمود عويس  "/>
    <s v="صيانة تكيف "/>
    <s v="تم العمل"/>
    <d v="1899-12-30T10:00:00"/>
    <d v="1899-12-30T11:00:00"/>
    <n v="4.166666666666663E-2"/>
    <x v="3"/>
    <n v="0.99999999999999911"/>
  </r>
  <r>
    <x v="9"/>
    <d v="2024-10-03T00:00:00"/>
    <s v="الخميس "/>
    <x v="41"/>
    <s v="علاء احمد "/>
    <s v="صيانة "/>
    <s v="تم العمل"/>
    <d v="1899-12-30T12:00:00"/>
    <d v="1899-12-30T14:00:00"/>
    <n v="8.333333333333337E-2"/>
    <x v="2"/>
    <n v="2.0000000000000009"/>
  </r>
  <r>
    <x v="9"/>
    <d v="2024-10-05T00:00:00"/>
    <s v="السبت "/>
    <x v="2"/>
    <s v="مصطفى محمد "/>
    <s v="نركيبات "/>
    <s v="تم العمل"/>
    <d v="1899-12-30T11:30:00"/>
    <d v="1899-12-30T21:00:00"/>
    <n v="0.39583333333333331"/>
    <x v="2"/>
    <n v="9.5"/>
  </r>
  <r>
    <x v="9"/>
    <d v="2024-10-05T00:00:00"/>
    <s v="السبت "/>
    <x v="28"/>
    <s v="اسلام محمد "/>
    <s v="نركيبات "/>
    <s v="تم العمل"/>
    <d v="1899-12-30T10:00:00"/>
    <d v="1899-12-30T18:00:00"/>
    <n v="0.33333333333333331"/>
    <x v="2"/>
    <n v="8"/>
  </r>
  <r>
    <x v="9"/>
    <d v="2024-10-07T00:00:00"/>
    <s v="الاثنين "/>
    <x v="0"/>
    <s v="م/ محمد  صلاح "/>
    <s v="استكمال العمل خزان الاطفاء     "/>
    <s v="تم العمل"/>
    <d v="1899-12-30T10:00:00"/>
    <d v="1899-12-30T16:00:00"/>
    <n v="0.24999999999999994"/>
    <x v="0"/>
    <n v="5.9999999999999982"/>
  </r>
  <r>
    <x v="9"/>
    <d v="2024-10-07T00:00:00"/>
    <s v="الاثنين "/>
    <x v="5"/>
    <s v="محمود عويس  "/>
    <s v="صيانة تكيف "/>
    <s v="تم العمل"/>
    <d v="1899-12-30T09:00:00"/>
    <d v="1899-12-30T16:00:00"/>
    <n v="0.29166666666666663"/>
    <x v="0"/>
    <n v="6.9999999999999991"/>
  </r>
  <r>
    <x v="9"/>
    <d v="2024-10-08T00:00:00"/>
    <s v="الثلاثاء "/>
    <x v="26"/>
    <s v="احمد محمود "/>
    <s v="صيانة غرفة الغاز "/>
    <s v="تم العمل"/>
    <d v="1899-12-30T10:30:00"/>
    <d v="1899-12-30T12:00:00"/>
    <n v="6.25E-2"/>
    <x v="3"/>
    <n v="1.5"/>
  </r>
  <r>
    <x v="9"/>
    <d v="2024-10-08T00:00:00"/>
    <s v="الثلاثاء "/>
    <x v="32"/>
    <s v="احمد "/>
    <s v="تدعيم خط الحريق "/>
    <s v="تم العمل"/>
    <d v="1899-12-30T12:00:00"/>
    <d v="1899-12-30T15:00:00"/>
    <n v="0.125"/>
    <x v="4"/>
    <n v="3"/>
  </r>
  <r>
    <x v="9"/>
    <d v="2024-10-08T00:00:00"/>
    <s v="الثلاثاء "/>
    <x v="58"/>
    <s v="عبد الرحمن اشرف "/>
    <s v="صيانة ماكينة سبيد ماستر "/>
    <s v="تم العمل"/>
    <d v="1899-12-30T12:00:00"/>
    <d v="1899-12-30T20:00:00"/>
    <n v="0.33333333333333337"/>
    <x v="3"/>
    <n v="8"/>
  </r>
  <r>
    <x v="9"/>
    <d v="2024-10-09T00:00:00"/>
    <s v="الاربعاء "/>
    <x v="7"/>
    <s v="محمود احمد "/>
    <s v="الزيارة الشهرية ومكافحة الحشرات "/>
    <s v="تم العمل"/>
    <d v="1899-12-30T11:00:00"/>
    <d v="1899-12-30T13:00:00"/>
    <n v="8.3333333333333315E-2"/>
    <x v="3"/>
    <n v="1.9999999999999996"/>
  </r>
  <r>
    <x v="9"/>
    <d v="2024-10-10T00:00:00"/>
    <s v="الخميس "/>
    <x v="0"/>
    <s v="م/ محمد  صلاح "/>
    <s v="استكمال العمل خزان الاطفاء     "/>
    <s v="تم العمل"/>
    <d v="1899-12-30T10:00:00"/>
    <d v="1899-12-30T17:00:00"/>
    <n v="0.29166666666666669"/>
    <x v="0"/>
    <n v="7"/>
  </r>
  <r>
    <x v="9"/>
    <d v="2024-10-12T00:00:00"/>
    <s v="السبت "/>
    <x v="2"/>
    <s v="مصطفى محمد "/>
    <s v="تركيبات "/>
    <s v="تم العمل"/>
    <d v="1899-12-30T23:00:00"/>
    <d v="1899-12-30T17:30:00"/>
    <n v="-0.22916666666666674"/>
    <x v="2"/>
    <n v="6.5"/>
  </r>
  <r>
    <x v="9"/>
    <d v="2024-10-12T00:00:00"/>
    <s v="السبت "/>
    <x v="0"/>
    <s v="مراد صالح "/>
    <s v="ترميم  خزان الاطفاء     "/>
    <s v="تم العمل"/>
    <d v="1899-12-30T10:00:00"/>
    <d v="1899-12-30T17:30:00"/>
    <n v="0.31249999999999994"/>
    <x v="0"/>
    <n v="7.4999999999999982"/>
  </r>
  <r>
    <x v="9"/>
    <d v="2024-10-12T00:00:00"/>
    <s v="السبت "/>
    <x v="35"/>
    <s v="عبد الرحمن حسن "/>
    <s v="صيانة ثلاجة تبريد ماكينة ويب 4"/>
    <s v="تم العمل"/>
    <d v="1899-12-30T12:30:00"/>
    <d v="1899-12-30T13:00:00"/>
    <n v="2.0833333333333259E-2"/>
    <x v="3"/>
    <n v="0.49999999999999822"/>
  </r>
  <r>
    <x v="9"/>
    <d v="2024-10-13T00:00:00"/>
    <s v="الاحد "/>
    <x v="8"/>
    <s v="حامد عطوان      "/>
    <s v="الزيارة الشهرية على نظام الاطفاء "/>
    <s v="تم العمل"/>
    <d v="1899-12-30T10:00:00"/>
    <d v="1899-12-30T12:00:00"/>
    <n v="8.3333333333333315E-2"/>
    <x v="3"/>
    <n v="1.9999999999999996"/>
  </r>
  <r>
    <x v="9"/>
    <d v="2024-10-13T00:00:00"/>
    <s v="الاحد "/>
    <x v="5"/>
    <s v="محمود عويس  "/>
    <s v="صيانة تكيف "/>
    <s v="تم العمل"/>
    <d v="1899-12-30T10:00:00"/>
    <d v="1899-12-30T17:00:00"/>
    <n v="0.29166666666666669"/>
    <x v="3"/>
    <n v="7"/>
  </r>
  <r>
    <x v="9"/>
    <d v="2024-10-13T00:00:00"/>
    <s v="الاحد "/>
    <x v="7"/>
    <s v="اسلام ابراهيم "/>
    <s v="الزيارة الشهرية ومكافحة الحشرات "/>
    <s v="تم العمل"/>
    <d v="1899-12-30T13:00:00"/>
    <d v="1899-12-30T15:00:00"/>
    <n v="8.333333333333337E-2"/>
    <x v="1"/>
    <n v="2.0000000000000009"/>
  </r>
  <r>
    <x v="9"/>
    <d v="2024-10-13T00:00:00"/>
    <s v="الاحد "/>
    <x v="7"/>
    <s v="اسلام ابراهيم "/>
    <s v="الزيارة الشهرية ومكافحة الحشرات "/>
    <s v="تم العمل"/>
    <d v="1899-12-30T15:00:00"/>
    <d v="1899-12-30T16:00:00"/>
    <n v="4.166666666666663E-2"/>
    <x v="4"/>
    <n v="0.99999999999999911"/>
  </r>
  <r>
    <x v="9"/>
    <d v="2024-10-13T00:00:00"/>
    <s v="الاحد "/>
    <x v="7"/>
    <s v="اسلام ابراهيم "/>
    <s v="الزيارة الشهرية ومكافحة الحشرات "/>
    <s v="تم العمل"/>
    <d v="1899-12-30T17:00:00"/>
    <d v="1899-12-30T17:30:00"/>
    <n v="2.0833333333333259E-2"/>
    <x v="0"/>
    <n v="0.49999999999999822"/>
  </r>
  <r>
    <x v="9"/>
    <d v="2024-10-13T00:00:00"/>
    <s v="الاحد "/>
    <x v="0"/>
    <s v="مراد صالح "/>
    <s v="استكمال العمل خزان الاطفاء     "/>
    <s v="تم العمل"/>
    <d v="1899-12-30T10:00:00"/>
    <d v="1899-12-30T15:00:00"/>
    <n v="0.20833333333333331"/>
    <x v="0"/>
    <n v="5"/>
  </r>
  <r>
    <x v="9"/>
    <d v="2024-10-14T00:00:00"/>
    <s v="الاثنين "/>
    <x v="11"/>
    <s v="محمد رمضان   "/>
    <s v="صيانة الكلاركات "/>
    <s v="تم العمل"/>
    <d v="1899-12-30T13:00:00"/>
    <d v="1899-12-30T14:00:00"/>
    <n v="4.1666666666666741E-2"/>
    <x v="1"/>
    <n v="1.0000000000000018"/>
  </r>
  <r>
    <x v="9"/>
    <d v="2024-10-14T00:00:00"/>
    <s v="الاثنين "/>
    <x v="5"/>
    <s v="محمود عويس  "/>
    <s v="صيانة تكيف "/>
    <s v="تم العمل"/>
    <d v="1899-12-30T11:00:00"/>
    <d v="1899-12-30T15:00:00"/>
    <n v="0.16666666666666669"/>
    <x v="1"/>
    <n v="4"/>
  </r>
  <r>
    <x v="9"/>
    <d v="2024-10-14T00:00:00"/>
    <s v="الاثنين "/>
    <x v="14"/>
    <s v="احمد السيد "/>
    <s v="استكمال اعمال المصاعد "/>
    <s v="تم العمل"/>
    <d v="1899-12-30T10:00:00"/>
    <d v="1899-12-30T16:00:00"/>
    <n v="0.24999999999999994"/>
    <x v="1"/>
    <n v="5.9999999999999982"/>
  </r>
  <r>
    <x v="9"/>
    <d v="2024-10-14T00:00:00"/>
    <s v="الاثنين "/>
    <x v="0"/>
    <s v="عصام حسين"/>
    <s v="انشائات   "/>
    <s v="تم العمل"/>
    <d v="1899-12-30T10:00:00"/>
    <d v="1899-12-30T17:00:00"/>
    <n v="0.29166666666666669"/>
    <x v="2"/>
    <n v="7"/>
  </r>
  <r>
    <x v="9"/>
    <d v="2024-10-14T00:00:00"/>
    <s v="الاثنين "/>
    <x v="59"/>
    <s v="احمد عادل "/>
    <s v="صيانة ماكينة ATM   "/>
    <s v="تم العمل"/>
    <d v="1899-12-30T15:30:00"/>
    <d v="1899-12-30T16:30:00"/>
    <n v="4.166666666666663E-2"/>
    <x v="3"/>
    <n v="0.99999999999999911"/>
  </r>
  <r>
    <x v="9"/>
    <d v="2024-10-15T00:00:00"/>
    <s v="الثلاثاء "/>
    <x v="5"/>
    <s v="علاء احمد "/>
    <s v="صيانة تكيف "/>
    <s v="تم العمل"/>
    <d v="1899-12-30T10:00:00"/>
    <d v="1899-12-30T13:00:00"/>
    <n v="0.12499999999999994"/>
    <x v="3"/>
    <n v="2.9999999999999987"/>
  </r>
  <r>
    <x v="9"/>
    <d v="2024-10-15T00:00:00"/>
    <s v="الثلاثاء "/>
    <x v="5"/>
    <s v="محمود عويس  "/>
    <s v="صيانة تكيف "/>
    <s v="تم العمل"/>
    <d v="1899-12-30T10:00:00"/>
    <d v="1899-12-30T17:30:00"/>
    <n v="0.31249999999999994"/>
    <x v="3"/>
    <n v="7.4999999999999982"/>
  </r>
  <r>
    <x v="9"/>
    <d v="2024-10-15T00:00:00"/>
    <s v="الثلاثاء "/>
    <x v="13"/>
    <s v="اسلام مصطفى    "/>
    <s v="صيانة ماكينة CTP"/>
    <s v="تم العمل"/>
    <d v="1899-12-30T14:00:00"/>
    <d v="1899-12-30T17:30:00"/>
    <n v="0.14583333333333326"/>
    <x v="3"/>
    <n v="3.4999999999999982"/>
  </r>
  <r>
    <x v="9"/>
    <d v="2024-10-15T00:00:00"/>
    <s v="الثلاثاء "/>
    <x v="6"/>
    <s v="وليد محمد   "/>
    <s v="صيانة كلاركات "/>
    <s v="تم العمل"/>
    <d v="1899-12-30T14:00:00"/>
    <d v="1899-12-30T15:00:00"/>
    <n v="4.166666666666663E-2"/>
    <x v="4"/>
    <n v="0.99999999999999911"/>
  </r>
  <r>
    <x v="9"/>
    <d v="2024-10-15T00:00:00"/>
    <s v="الثلاثاء "/>
    <x v="0"/>
    <s v="عصام حسين"/>
    <s v="انشائات   "/>
    <s v="تم العمل"/>
    <d v="1899-12-30T09:30:00"/>
    <d v="1899-12-30T16:30:00"/>
    <n v="0.29166666666666669"/>
    <x v="2"/>
    <n v="7"/>
  </r>
  <r>
    <x v="9"/>
    <d v="2024-10-15T00:00:00"/>
    <s v="الثلاثاء "/>
    <x v="5"/>
    <s v="امير"/>
    <s v="تركيب كاميرات"/>
    <s v="تم العمل"/>
    <d v="1899-12-30T13:00:00"/>
    <d v="1899-12-30T14:00:00"/>
    <n v="4.1666666666666741E-2"/>
    <x v="6"/>
    <n v="1.0000000000000018"/>
  </r>
  <r>
    <x v="9"/>
    <d v="2024-10-16T00:00:00"/>
    <s v="الاربعاء "/>
    <x v="0"/>
    <s v="محمد زنفل  "/>
    <s v="انشائات   "/>
    <s v="تم العمل"/>
    <d v="1899-12-30T10:00:00"/>
    <d v="1899-12-30T16:00:00"/>
    <n v="0.24999999999999994"/>
    <x v="2"/>
    <n v="5.9999999999999982"/>
  </r>
  <r>
    <x v="9"/>
    <d v="2024-10-16T00:00:00"/>
    <s v="الاربعاء "/>
    <x v="32"/>
    <s v="محمد طنطاوى "/>
    <s v="تركيب حامل لخط الحريق "/>
    <s v="تم العمل"/>
    <d v="1899-12-30T10:00:00"/>
    <d v="1899-12-30T14:00:00"/>
    <n v="0.16666666666666669"/>
    <x v="1"/>
    <n v="4"/>
  </r>
  <r>
    <x v="9"/>
    <d v="2024-10-16T00:00:00"/>
    <s v="الاربعاء "/>
    <x v="28"/>
    <s v="اسلام محمد "/>
    <s v="نركيبات "/>
    <s v="تم العمل"/>
    <d v="1899-12-30T11:00:00"/>
    <d v="1899-12-30T17:00:00"/>
    <n v="0.25000000000000006"/>
    <x v="2"/>
    <n v="6.0000000000000018"/>
  </r>
  <r>
    <x v="9"/>
    <d v="2024-10-16T00:00:00"/>
    <s v="الاربعاء "/>
    <x v="53"/>
    <s v="ابراهيم احمد "/>
    <s v="تركيب راكات "/>
    <s v="تم العمل"/>
    <d v="1899-12-30T10:00:00"/>
    <d v="1899-12-30T16:00:00"/>
    <n v="0.24999999999999994"/>
    <x v="1"/>
    <n v="5.9999999999999982"/>
  </r>
  <r>
    <x v="9"/>
    <d v="2024-10-16T00:00:00"/>
    <s v="الاربعاء "/>
    <x v="14"/>
    <s v="احمد السيد "/>
    <s v="استكمال اعمال المصاعد "/>
    <s v="تم العمل"/>
    <d v="1899-12-30T10:00:00"/>
    <d v="1899-12-30T16:00:00"/>
    <n v="0.24999999999999994"/>
    <x v="1"/>
    <n v="5.9999999999999982"/>
  </r>
  <r>
    <x v="9"/>
    <d v="2024-10-16T00:00:00"/>
    <s v="الاربعاء "/>
    <x v="8"/>
    <s v="حامد عطوان      "/>
    <s v="الزيارة الشهرية على نظام الاطفاء "/>
    <s v="تم العمل"/>
    <d v="1899-12-30T10:00:00"/>
    <d v="1899-12-30T12:00:00"/>
    <n v="8.3333333333333315E-2"/>
    <x v="3"/>
    <n v="1.9999999999999996"/>
  </r>
  <r>
    <x v="9"/>
    <d v="2024-10-16T00:00:00"/>
    <s v="الاربعاء "/>
    <x v="18"/>
    <s v="محمد طنطاوى "/>
    <s v="صيانة غرفة الطلمبات  "/>
    <s v="تم العمل"/>
    <d v="1899-12-30T10:00:00"/>
    <d v="1899-12-30T17:00:00"/>
    <n v="0.29166666666666669"/>
    <x v="4"/>
    <n v="7"/>
  </r>
  <r>
    <x v="9"/>
    <d v="2024-10-17T00:00:00"/>
    <s v="الخميس "/>
    <x v="46"/>
    <s v="على مصطفى"/>
    <s v="صيانة فلتر المياة بالبوفية"/>
    <s v="تم العمل"/>
    <d v="1899-12-30T14:00:00"/>
    <d v="1899-12-30T15:00:00"/>
    <n v="4.166666666666663E-2"/>
    <x v="3"/>
    <n v="0.99999999999999911"/>
  </r>
  <r>
    <x v="9"/>
    <d v="2024-10-17T00:00:00"/>
    <s v="الخميس "/>
    <x v="14"/>
    <s v="محمد عادل  "/>
    <s v="صيانة اسانسير"/>
    <s v="تم العمل"/>
    <d v="1899-12-30T15:00:00"/>
    <d v="1899-12-30T16:00:00"/>
    <n v="4.1666666666666963E-2"/>
    <x v="3"/>
    <n v="1.0000000000000071"/>
  </r>
  <r>
    <x v="9"/>
    <d v="2024-10-17T00:00:00"/>
    <s v="الخميس "/>
    <x v="0"/>
    <s v="محمد زنفل  "/>
    <s v="انشائات   "/>
    <s v="تم العمل"/>
    <d v="1899-12-30T09:30:00"/>
    <d v="1899-12-30T17:00:00"/>
    <n v="0.31250000000000006"/>
    <x v="2"/>
    <n v="7.5000000000000018"/>
  </r>
  <r>
    <x v="9"/>
    <d v="2024-10-19T00:00:00"/>
    <s v="السبت "/>
    <x v="0"/>
    <s v="محمد صلاح "/>
    <s v="أ حلال وتجديد خزان الحريق "/>
    <s v="تم العمل"/>
    <d v="1899-12-30T10:00:00"/>
    <d v="1899-12-30T17:00:00"/>
    <n v="0.29166666666666669"/>
    <x v="0"/>
    <n v="7"/>
  </r>
  <r>
    <x v="9"/>
    <d v="2024-10-19T00:00:00"/>
    <s v="السبت "/>
    <x v="14"/>
    <s v="انس احمد  "/>
    <s v="صيانة اسانسير"/>
    <s v="تم العمل"/>
    <d v="1899-12-30T10:00:00"/>
    <d v="1899-12-30T17:00:00"/>
    <n v="0.29166666666666669"/>
    <x v="1"/>
    <n v="7"/>
  </r>
  <r>
    <x v="9"/>
    <d v="2024-10-19T00:00:00"/>
    <s v="السبت "/>
    <x v="4"/>
    <s v="سعيد محمد "/>
    <s v="انشائات   "/>
    <s v="تم العمل"/>
    <d v="1899-12-30T11:00:00"/>
    <d v="1899-12-30T14:00:00"/>
    <n v="0.12500000000000006"/>
    <x v="2"/>
    <n v="3.0000000000000013"/>
  </r>
  <r>
    <x v="9"/>
    <d v="2024-10-19T00:00:00"/>
    <s v="السبت "/>
    <x v="0"/>
    <s v="محمد زنفل  "/>
    <s v="انشائات   "/>
    <s v="تم العمل"/>
    <d v="1899-12-30T10:00:00"/>
    <d v="1899-12-30T17:30:00"/>
    <n v="0.31249999999999994"/>
    <x v="2"/>
    <n v="7.4999999999999982"/>
  </r>
  <r>
    <x v="9"/>
    <d v="2024-10-20T00:00:00"/>
    <s v="الاحد "/>
    <x v="59"/>
    <s v="احمد عادل "/>
    <s v="صيانة ماكينة ATM   "/>
    <s v="تم العمل"/>
    <d v="1899-12-30T14:30:00"/>
    <d v="1899-12-30T15:00:00"/>
    <n v="2.083333333333337E-2"/>
    <x v="3"/>
    <n v="0.50000000000000089"/>
  </r>
  <r>
    <x v="9"/>
    <d v="2024-10-20T00:00:00"/>
    <s v="الاحد "/>
    <x v="6"/>
    <s v="صابر ابراهيم "/>
    <s v="لحامات بأعمدة المخازن "/>
    <s v="تم العمل"/>
    <d v="1899-12-30T11:00:00"/>
    <d v="1899-12-30T17:00:00"/>
    <n v="0.25000000000000006"/>
    <x v="0"/>
    <n v="6.0000000000000018"/>
  </r>
  <r>
    <x v="9"/>
    <d v="2024-10-20T00:00:00"/>
    <s v="الاحد "/>
    <x v="2"/>
    <s v="مصطفى نصار  "/>
    <s v="تركيبات "/>
    <s v="تم العمل"/>
    <d v="1899-12-30T14:30:00"/>
    <d v="1899-12-30T17:30:00"/>
    <n v="0.125"/>
    <x v="2"/>
    <n v="6.5"/>
  </r>
  <r>
    <x v="9"/>
    <d v="2024-10-20T00:00:00"/>
    <s v="الاحد "/>
    <x v="0"/>
    <s v="محمد صلاح "/>
    <s v="استكمال العمل خزان الاطفاء     "/>
    <s v="تم العمل"/>
    <d v="1899-12-30T09:00:00"/>
    <d v="1899-12-30T16:00:00"/>
    <n v="0.29166666666666696"/>
    <x v="0"/>
    <n v="7.0000000000000071"/>
  </r>
  <r>
    <x v="9"/>
    <d v="2024-10-20T00:00:00"/>
    <s v="الاحد "/>
    <x v="0"/>
    <s v="محمد زنفل  "/>
    <s v="انشائات   "/>
    <s v="تم العمل"/>
    <d v="1899-12-30T10:00:00"/>
    <d v="1899-12-30T18:00:00"/>
    <n v="0.33333333333333331"/>
    <x v="2"/>
    <n v="8"/>
  </r>
  <r>
    <x v="9"/>
    <d v="2024-10-20T00:00:00"/>
    <s v="الاحد "/>
    <x v="5"/>
    <s v="محمود عويس "/>
    <s v="اصلاح الكولدير بالكفتريا    "/>
    <s v="تم العمل"/>
    <d v="1899-12-30T13:30:00"/>
    <d v="1899-12-30T14:00:00"/>
    <n v="2.083333333333337E-2"/>
    <x v="0"/>
    <n v="0.50000000000000089"/>
  </r>
  <r>
    <x v="9"/>
    <d v="2024-10-20T00:00:00"/>
    <s v="الاحد "/>
    <x v="53"/>
    <s v="ابراهيم امين  "/>
    <s v="تركيب راكات "/>
    <s v="تم العمل"/>
    <d v="1899-12-30T10:00:00"/>
    <d v="1899-12-30T16:00:00"/>
    <n v="0.24999999999999994"/>
    <x v="1"/>
    <n v="5.9999999999999982"/>
  </r>
  <r>
    <x v="9"/>
    <d v="2024-10-21T00:00:00"/>
    <s v="الاثنين "/>
    <x v="13"/>
    <s v="اسلام مصطفى    "/>
    <s v="صيانة ماكينة CTP"/>
    <s v="تم العمل"/>
    <d v="1899-12-30T12:00:00"/>
    <d v="1899-12-30T17:30:00"/>
    <n v="0.22916666666666663"/>
    <x v="3"/>
    <n v="5.4999999999999991"/>
  </r>
  <r>
    <x v="9"/>
    <d v="2024-10-21T00:00:00"/>
    <s v="الاثنين "/>
    <x v="0"/>
    <s v="محمد زنفل  "/>
    <s v="انشائات   "/>
    <s v="تم العمل"/>
    <d v="1899-12-30T10:00:00"/>
    <d v="1899-12-30T17:30:00"/>
    <n v="0.31249999999999994"/>
    <x v="2"/>
    <n v="7.4999999999999982"/>
  </r>
  <r>
    <x v="9"/>
    <d v="2024-10-21T00:00:00"/>
    <s v="الاثنين "/>
    <x v="53"/>
    <s v="صالح رمضان"/>
    <s v="تركيب راكات "/>
    <s v="تم العمل"/>
    <d v="1899-12-30T10:00:00"/>
    <d v="1899-12-30T16:00:00"/>
    <n v="0.24999999999999994"/>
    <x v="1"/>
    <n v="5.9999999999999982"/>
  </r>
  <r>
    <x v="9"/>
    <d v="2024-10-21T00:00:00"/>
    <s v="الاثنين "/>
    <x v="0"/>
    <s v="محمد صلاح "/>
    <s v="استكمال اعمال خزان الاطفاء "/>
    <s v="تم العمل"/>
    <d v="1899-12-30T09:00:00"/>
    <d v="1899-12-30T16:00:00"/>
    <n v="0.29166666666666663"/>
    <x v="0"/>
    <n v="6.9999999999999991"/>
  </r>
  <r>
    <x v="9"/>
    <d v="2024-10-21T00:00:00"/>
    <s v="الاثنين "/>
    <x v="3"/>
    <s v="علاء احمد "/>
    <s v="صيانة    "/>
    <s v="تم العمل"/>
    <d v="1899-12-30T09:30:00"/>
    <d v="1899-12-30T11:30:00"/>
    <n v="8.333333333333337E-2"/>
    <x v="2"/>
    <n v="2.0000000000000009"/>
  </r>
  <r>
    <x v="9"/>
    <d v="2024-10-22T00:00:00"/>
    <s v="الثلاثاء "/>
    <x v="0"/>
    <s v="محمد زنفل  "/>
    <s v="انشائات   "/>
    <s v="تم العمل"/>
    <d v="1899-12-30T10:00:00"/>
    <d v="1899-12-30T18:30:00"/>
    <n v="0.35416666666666669"/>
    <x v="2"/>
    <n v="8.5"/>
  </r>
  <r>
    <x v="9"/>
    <d v="2024-10-22T00:00:00"/>
    <s v="الثلاثاء "/>
    <x v="0"/>
    <s v="مراد صالح  "/>
    <s v="استكمال اعمال خزان الاطفاء "/>
    <s v="تم العمل"/>
    <d v="1899-12-30T09:00:00"/>
    <d v="1899-12-30T16:00:00"/>
    <n v="0.29166666666666663"/>
    <x v="0"/>
    <n v="6.9999999999999991"/>
  </r>
  <r>
    <x v="9"/>
    <d v="2024-10-22T00:00:00"/>
    <s v="الثلاثاء "/>
    <x v="6"/>
    <s v="محمد حسين "/>
    <s v="تغيير كشافات عنبر ويب 3"/>
    <s v="تم العمل"/>
    <d v="1899-12-30T14:30:00"/>
    <d v="1899-12-30T15:30:00"/>
    <n v="4.1666666666666741E-2"/>
    <x v="3"/>
    <n v="1.0000000000000018"/>
  </r>
  <r>
    <x v="9"/>
    <d v="2024-10-22T00:00:00"/>
    <s v="الثلاثاء "/>
    <x v="53"/>
    <s v="ابراهيم امين  "/>
    <s v="تركيب راكات "/>
    <s v="تم العمل"/>
    <d v="1899-12-30T10:00:00"/>
    <d v="1899-12-30T15:00:00"/>
    <n v="0.20833333333333331"/>
    <x v="1"/>
    <n v="5"/>
  </r>
  <r>
    <x v="9"/>
    <d v="2024-10-22T00:00:00"/>
    <s v="الثلاثاء "/>
    <x v="5"/>
    <s v="احمد حسين "/>
    <s v="تعديل وصيانة الكهرباء السلسيون "/>
    <s v="تم العمل"/>
    <d v="1899-12-30T12:30:00"/>
    <d v="1899-12-30T17:00:00"/>
    <n v="0.1875"/>
    <x v="6"/>
    <n v="4.5"/>
  </r>
  <r>
    <x v="9"/>
    <d v="2024-10-23T00:00:00"/>
    <s v="الاربعاء "/>
    <x v="0"/>
    <s v="محمد زنفل  "/>
    <s v="انشائات   "/>
    <s v="تم العمل"/>
    <d v="1899-12-30T09:30:00"/>
    <d v="1899-12-30T17:30:00"/>
    <n v="0.33333333333333331"/>
    <x v="2"/>
    <n v="8"/>
  </r>
  <r>
    <x v="9"/>
    <d v="2024-10-23T00:00:00"/>
    <s v="الاربعاء "/>
    <x v="18"/>
    <s v="فيكتور لوندي"/>
    <s v="صيانة غرفة الطلمبات  "/>
    <s v="تم العمل"/>
    <d v="1899-12-30T10:00:00"/>
    <d v="1899-12-30T17:00:00"/>
    <n v="0.29166666666666669"/>
    <x v="4"/>
    <n v="7"/>
  </r>
  <r>
    <x v="9"/>
    <d v="2024-10-23T00:00:00"/>
    <s v="الاربعاء "/>
    <x v="53"/>
    <s v="ابراهيم امين  "/>
    <s v="تركيب راكات "/>
    <s v="تم العمل"/>
    <d v="1899-12-30T10:00:00"/>
    <d v="1899-12-30T15:00:00"/>
    <n v="0.20833333333333331"/>
    <x v="1"/>
    <n v="5"/>
  </r>
  <r>
    <x v="9"/>
    <d v="2024-10-23T00:00:00"/>
    <s v="الاربعاء "/>
    <x v="13"/>
    <s v="اسلام مصطفى    "/>
    <s v="صيانة ماكينة CTP"/>
    <s v="تم العمل"/>
    <d v="1899-12-30T13:00:00"/>
    <d v="1899-12-30T15:00:00"/>
    <n v="8.333333333333337E-2"/>
    <x v="3"/>
    <n v="2.0000000000000009"/>
  </r>
  <r>
    <x v="9"/>
    <d v="2024-10-24T00:00:00"/>
    <s v="الخميس "/>
    <x v="0"/>
    <s v="محمد زنفل  "/>
    <s v="انشائات   "/>
    <s v="تم العمل"/>
    <d v="1899-12-30T10:00:00"/>
    <d v="1899-12-30T18:00:00"/>
    <n v="0.33333333333333331"/>
    <x v="2"/>
    <n v="8"/>
  </r>
  <r>
    <x v="9"/>
    <d v="2024-10-24T00:00:00"/>
    <s v="الخميس "/>
    <x v="18"/>
    <s v="فيكتور لوندي"/>
    <s v="صيانة غرفة الطلمبات  "/>
    <s v="تم العمل"/>
    <d v="1899-12-30T09:30:00"/>
    <d v="1899-12-30T14:00:00"/>
    <n v="0.18750000000000006"/>
    <x v="4"/>
    <n v="4.5000000000000018"/>
  </r>
  <r>
    <x v="9"/>
    <d v="2024-10-26T00:00:00"/>
    <s v="السبت "/>
    <x v="0"/>
    <s v="محمد زنفل  "/>
    <s v="اعمال سباكة "/>
    <s v="تم العمل"/>
    <d v="1899-12-30T10:00:00"/>
    <d v="1899-12-30T18:00:00"/>
    <n v="0.33333333333333331"/>
    <x v="2"/>
    <n v="8"/>
  </r>
  <r>
    <x v="9"/>
    <d v="2024-10-26T00:00:00"/>
    <s v="السبت "/>
    <x v="53"/>
    <s v="ابراهيم امين  "/>
    <s v="تركيب راكات "/>
    <s v="تم العمل"/>
    <d v="1899-12-30T10:00:00"/>
    <d v="1899-12-30T15:00:00"/>
    <n v="0.20833333333333331"/>
    <x v="1"/>
    <n v="5"/>
  </r>
  <r>
    <x v="9"/>
    <d v="2024-10-27T00:00:00"/>
    <s v="الاحد "/>
    <x v="0"/>
    <s v="محمد زنفل  "/>
    <s v="اعمال دهانات"/>
    <s v="تم العمل"/>
    <d v="1899-12-30T10:00:00"/>
    <d v="1899-12-30T18:00:00"/>
    <n v="0.33333333333333331"/>
    <x v="2"/>
    <n v="8"/>
  </r>
  <r>
    <x v="9"/>
    <d v="2024-10-27T00:00:00"/>
    <s v="الاحد "/>
    <x v="0"/>
    <s v="محمد صلاح "/>
    <s v="استكمال اعمال خزان الاطفاء "/>
    <s v="تم العمل"/>
    <d v="1899-12-30T09:00:00"/>
    <d v="1899-12-30T16:00:00"/>
    <n v="0.29166666666666663"/>
    <x v="0"/>
    <n v="6.9999999999999991"/>
  </r>
  <r>
    <x v="9"/>
    <d v="2024-10-27T00:00:00"/>
    <s v="الاحد "/>
    <x v="53"/>
    <s v="ابراهيم امين  "/>
    <s v="تركيب راكات "/>
    <s v="تم العمل"/>
    <d v="1899-12-30T10:00:00"/>
    <d v="1899-12-30T13:00:00"/>
    <n v="0.12499999999999994"/>
    <x v="1"/>
    <n v="2.9999999999999987"/>
  </r>
  <r>
    <x v="9"/>
    <d v="2024-10-28T00:00:00"/>
    <s v="الاثنين "/>
    <x v="0"/>
    <s v="محمد زنفل  "/>
    <s v="اعمال دهانات"/>
    <s v="تم العمل"/>
    <d v="1899-12-30T10:00:00"/>
    <d v="1899-12-30T18:00:00"/>
    <n v="0.33333333333333331"/>
    <x v="2"/>
    <n v="8"/>
  </r>
  <r>
    <x v="9"/>
    <d v="2024-10-28T00:00:00"/>
    <s v="الاثنين "/>
    <x v="7"/>
    <s v="اسلام ابراهيم "/>
    <s v="رش مبيت الامن وغرفة حركة النقل "/>
    <s v="تم العمل"/>
    <d v="1899-12-30T10:00:00"/>
    <d v="1899-12-30T12:00:00"/>
    <n v="8.3333333333333315E-2"/>
    <x v="3"/>
    <n v="1.9999999999999996"/>
  </r>
  <r>
    <x v="9"/>
    <d v="2024-10-28T00:00:00"/>
    <s v="الاثنين "/>
    <x v="18"/>
    <s v="فيكتور لوندي"/>
    <s v="صيانة غرفة الطلمبات  "/>
    <s v="تم العمل"/>
    <d v="1899-12-30T10:00:00"/>
    <d v="1899-12-30T16:00:00"/>
    <n v="0.24999999999999994"/>
    <x v="4"/>
    <n v="5.9999999999999982"/>
  </r>
  <r>
    <x v="9"/>
    <d v="2024-10-29T00:00:00"/>
    <s v="الثلاثاء "/>
    <x v="0"/>
    <s v="محمد زنفل  "/>
    <s v="اعمال دهانات"/>
    <s v="تم العمل"/>
    <d v="1899-12-30T10:00:00"/>
    <d v="1899-12-30T18:00:00"/>
    <n v="0.33333333333333331"/>
    <x v="2"/>
    <n v="8"/>
  </r>
  <r>
    <x v="9"/>
    <d v="2024-10-29T00:00:00"/>
    <s v="الثلاثاء "/>
    <x v="7"/>
    <s v=" اسلام ابراهيم "/>
    <s v="الزيارة الشهرية ومكافحة الحشرات "/>
    <s v="تم العمل"/>
    <d v="1899-12-30T13:00:00"/>
    <d v="1899-12-30T17:00:00"/>
    <n v="0.16666666666666674"/>
    <x v="3"/>
    <n v="4.0000000000000018"/>
  </r>
  <r>
    <x v="9"/>
    <d v="2024-10-29T00:00:00"/>
    <s v="الثلاثاء "/>
    <x v="60"/>
    <s v="محمود الشحات "/>
    <s v="صيانة شبكة الانزار "/>
    <s v="تم العمل"/>
    <d v="1899-12-30T13:00:00"/>
    <d v="1899-12-30T18:00:00"/>
    <n v="0.20833333333333337"/>
    <x v="2"/>
    <n v="5.0000000000000009"/>
  </r>
  <r>
    <x v="9"/>
    <d v="2024-10-29T00:00:00"/>
    <s v="الثلاثاء "/>
    <x v="0"/>
    <s v="محمد صلاح "/>
    <s v="استكمال اعمال خزان الاطفاء "/>
    <s v="تم العمل"/>
    <d v="1899-12-30T09:00:00"/>
    <d v="1899-12-30T16:00:00"/>
    <n v="0.29166666666666663"/>
    <x v="0"/>
    <n v="6.9999999999999991"/>
  </r>
  <r>
    <x v="9"/>
    <d v="2024-10-29T00:00:00"/>
    <s v="الثلاثاء "/>
    <x v="6"/>
    <s v="صابر ابراهيم "/>
    <s v="تركيب زوى حديدبأعمدة المخازن "/>
    <s v="تم العمل"/>
    <d v="1899-12-30T12:00:00"/>
    <d v="1899-12-30T17:00:00"/>
    <n v="0.20833333333333337"/>
    <x v="0"/>
    <n v="5.0000000000000009"/>
  </r>
  <r>
    <x v="9"/>
    <d v="2024-10-29T00:00:00"/>
    <s v="الثلاثاء "/>
    <x v="1"/>
    <s v="اسامة ابراهيم "/>
    <s v="اعمال تركيبات كهرباء"/>
    <s v="تم العمل"/>
    <d v="1899-12-30T11:00:00"/>
    <d v="1899-12-30T15:00:00"/>
    <n v="0.16666666666666669"/>
    <x v="1"/>
    <n v="4"/>
  </r>
  <r>
    <x v="9"/>
    <d v="2024-10-30T00:00:00"/>
    <s v="الاربعاء "/>
    <x v="61"/>
    <s v="محمد منير"/>
    <s v="صيانة سماعات المسجد"/>
    <s v="تم العمل"/>
    <d v="1899-12-30T11:00:00"/>
    <d v="1899-12-30T14:00:00"/>
    <n v="0.12500000000000006"/>
    <x v="3"/>
    <n v="3.0000000000000013"/>
  </r>
  <r>
    <x v="10"/>
    <d v="2024-11-01T00:00:00"/>
    <s v="الجمعة "/>
    <x v="5"/>
    <s v="محمد ابوسريع"/>
    <s v="اعمال محارة وبناء "/>
    <s v="تم العمل"/>
    <d v="1899-12-30T10:00:00"/>
    <d v="1899-12-30T17:00:00"/>
    <n v="0.29166666666666635"/>
    <x v="0"/>
    <n v="6.9999999999999929"/>
  </r>
  <r>
    <x v="10"/>
    <d v="2024-11-02T00:00:00"/>
    <s v="السبت "/>
    <x v="0"/>
    <s v="محمد صلاح "/>
    <s v="استكمال اعمال خزان الاطفاء "/>
    <s v="تم العمل"/>
    <d v="1899-12-30T08:00:00"/>
    <d v="1899-12-30T17:00:00"/>
    <n v="0.37499999999999972"/>
    <x v="0"/>
    <n v="8.9999999999999929"/>
  </r>
  <r>
    <x v="10"/>
    <d v="2024-11-02T00:00:00"/>
    <s v="السبت "/>
    <x v="4"/>
    <s v="سعيد محمد "/>
    <s v="صيانة شبكة فودافون "/>
    <s v="تم العمل"/>
    <d v="1899-12-30T09:30:00"/>
    <d v="1899-12-30T18:00:00"/>
    <n v="0.35416666666666669"/>
    <x v="2"/>
    <n v="8.5"/>
  </r>
  <r>
    <x v="10"/>
    <d v="2024-11-02T00:00:00"/>
    <s v="السبت "/>
    <x v="0"/>
    <s v="محمد زنفل  "/>
    <s v="اعمال تركيب تريهات "/>
    <s v="تم العمل"/>
    <d v="1899-12-30T10:00:00"/>
    <d v="1899-12-30T18:00:00"/>
    <n v="0.33333333333333331"/>
    <x v="2"/>
    <n v="8"/>
  </r>
  <r>
    <x v="10"/>
    <d v="2024-11-02T00:00:00"/>
    <s v="السبت "/>
    <x v="62"/>
    <s v="ضياء عبد الله  "/>
    <s v="تركيب كاميرات "/>
    <s v="تم العمل"/>
    <d v="1899-12-30T10:00:00"/>
    <d v="1899-12-30T18:00:00"/>
    <n v="0.33333333333333331"/>
    <x v="2"/>
    <n v="8"/>
  </r>
  <r>
    <x v="10"/>
    <d v="2024-11-02T00:00:00"/>
    <s v="السبت "/>
    <x v="0"/>
    <s v="محمد زنفل  "/>
    <s v="اعمال دهانات"/>
    <s v="تم العمل"/>
    <d v="1899-12-30T10:00:00"/>
    <d v="1899-12-30T18:00:00"/>
    <n v="0.33333333333333331"/>
    <x v="2"/>
    <n v="8"/>
  </r>
  <r>
    <x v="10"/>
    <d v="2024-11-02T00:00:00"/>
    <s v="السبت "/>
    <x v="63"/>
    <s v="عبد الرحمن عامر "/>
    <s v="صيانة سيور "/>
    <s v="تم العمل"/>
    <d v="1899-12-30T11:00:00"/>
    <d v="1899-12-30T15:00:00"/>
    <n v="0.16666666666666669"/>
    <x v="3"/>
    <n v="4"/>
  </r>
  <r>
    <x v="10"/>
    <d v="2024-11-02T00:00:00"/>
    <s v="السبت "/>
    <x v="2"/>
    <s v="مصطفى محمد "/>
    <s v="تركيبات "/>
    <s v="تم العمل"/>
    <d v="1899-12-30T11:00:00"/>
    <d v="1899-12-30T20:00:00"/>
    <n v="0.37500000000000006"/>
    <x v="3"/>
    <n v="9.0000000000000018"/>
  </r>
  <r>
    <x v="10"/>
    <d v="2024-11-03T00:00:00"/>
    <s v="الاحد "/>
    <x v="2"/>
    <s v="مصطفى محمد "/>
    <s v="تركيبات "/>
    <s v="تم العمل"/>
    <d v="1899-12-30T12:30:00"/>
    <d v="1899-12-30T18:30:00"/>
    <n v="0.25"/>
    <x v="6"/>
    <n v="6"/>
  </r>
  <r>
    <x v="10"/>
    <d v="2024-11-03T00:00:00"/>
    <s v="الاحد "/>
    <x v="13"/>
    <s v="اسلام مصطفى    "/>
    <s v="صيانة ماكينة CTP"/>
    <s v="تم العمل"/>
    <d v="1899-12-30T12:30:00"/>
    <d v="1899-12-30T16:00:00"/>
    <n v="0.14583333333333326"/>
    <x v="3"/>
    <n v="3.4999999999999982"/>
  </r>
  <r>
    <x v="10"/>
    <d v="2024-11-03T00:00:00"/>
    <s v="الاحد "/>
    <x v="0"/>
    <s v="محمد صلاح "/>
    <s v="استكمال اعمال خزان الاطفاء "/>
    <s v="تم العمل"/>
    <d v="1899-12-30T08:00:00"/>
    <d v="1899-12-30T16:00:00"/>
    <n v="0.33333333333333331"/>
    <x v="0"/>
    <n v="8"/>
  </r>
  <r>
    <x v="10"/>
    <d v="2024-11-04T00:00:00"/>
    <s v="الاثنين "/>
    <x v="0"/>
    <s v="محمد زنفل  "/>
    <s v="اعمال دهانات"/>
    <s v="تم العمل"/>
    <d v="1899-12-30T10:00:00"/>
    <d v="1899-12-30T18:00:00"/>
    <n v="0.33333333333333331"/>
    <x v="2"/>
    <n v="8"/>
  </r>
  <r>
    <x v="10"/>
    <d v="2024-11-04T00:00:00"/>
    <s v="الاثنين "/>
    <x v="0"/>
    <s v="محمد صلاح "/>
    <s v="استكمال اعمال خزان الاطفاء "/>
    <s v="تم العمل"/>
    <d v="1899-12-30T08:00:00"/>
    <d v="1899-12-30T16:00:00"/>
    <n v="0.33333333333333331"/>
    <x v="0"/>
    <n v="8"/>
  </r>
  <r>
    <x v="10"/>
    <d v="2024-11-04T00:00:00"/>
    <s v="الاثنين "/>
    <x v="5"/>
    <s v="احمد سعيد"/>
    <s v="أعمال سباكة "/>
    <s v="تم العمل"/>
    <d v="1899-12-30T01:00:00"/>
    <d v="1899-12-30T17:00:00"/>
    <n v="0.66666666666666674"/>
    <x v="1"/>
    <n v="16"/>
  </r>
  <r>
    <x v="10"/>
    <d v="2024-11-04T00:00:00"/>
    <s v="الاثنين "/>
    <x v="7"/>
    <s v="محمد ماهر "/>
    <s v="مكافحة الحشرات "/>
    <s v="تم العمل"/>
    <d v="1899-12-30T01:00:00"/>
    <d v="1899-12-30T15:00:00"/>
    <n v="0.58333333333333337"/>
    <x v="1"/>
    <n v="14"/>
  </r>
  <r>
    <x v="10"/>
    <d v="2024-11-04T00:00:00"/>
    <s v="الاثنين "/>
    <x v="0"/>
    <s v="احمد على "/>
    <s v="تركيب المونتال "/>
    <s v="تم العمل"/>
    <d v="1899-12-30T10:00:00"/>
    <d v="1899-12-30T16:00:00"/>
    <n v="0.24999999999999994"/>
    <x v="1"/>
    <n v="5.9999999999999982"/>
  </r>
  <r>
    <x v="10"/>
    <d v="2024-11-05T00:00:00"/>
    <s v="الثلاثاء "/>
    <x v="0"/>
    <s v="محمد صلاح "/>
    <s v="استكمال شد الخشب  لخزان الاطفاء "/>
    <s v="تم العمل"/>
    <d v="1899-12-30T08:00:00"/>
    <d v="1899-12-30T16:00:00"/>
    <n v="0.33333333333333331"/>
    <x v="0"/>
    <n v="8"/>
  </r>
  <r>
    <x v="10"/>
    <d v="2024-11-05T00:00:00"/>
    <s v="الثلاثاء "/>
    <x v="14"/>
    <s v="انس احمد  "/>
    <s v="تركيب  المصاعد "/>
    <s v="تم العمل"/>
    <d v="1899-12-30T10:00:00"/>
    <d v="1899-12-30T16:00:00"/>
    <n v="0.24999999999999994"/>
    <x v="1"/>
    <n v="5.9999999999999982"/>
  </r>
  <r>
    <x v="10"/>
    <d v="2024-11-05T00:00:00"/>
    <s v="الثلاثاء "/>
    <x v="0"/>
    <s v="محمد زنفل  "/>
    <s v="اعمال دهانات"/>
    <s v="تم العمل"/>
    <d v="1899-12-30T10:00:00"/>
    <d v="1899-12-30T18:00:00"/>
    <n v="0.33333333333333331"/>
    <x v="2"/>
    <n v="8"/>
  </r>
  <r>
    <x v="10"/>
    <d v="2024-11-05T00:00:00"/>
    <s v="الثلاثاء "/>
    <x v="28"/>
    <s v="اسلام احمد"/>
    <s v="تركيب تكيف مركزي"/>
    <s v="تم العمل"/>
    <d v="1899-12-30T10:00:00"/>
    <d v="1899-12-30T18:00:00"/>
    <n v="0.33333333333333331"/>
    <x v="2"/>
    <n v="8"/>
  </r>
  <r>
    <x v="10"/>
    <d v="2024-11-05T00:00:00"/>
    <s v="الثلاثاء "/>
    <x v="0"/>
    <s v="محمد صلاح "/>
    <s v="شد الخشب  لخزان الاطفاء "/>
    <s v="تم العمل"/>
    <d v="1899-12-30T08:00:00"/>
    <d v="1899-12-30T16:00:00"/>
    <n v="0.33333333333333331"/>
    <x v="0"/>
    <n v="8"/>
  </r>
  <r>
    <x v="10"/>
    <d v="2024-11-06T00:00:00"/>
    <s v="الاربعاء "/>
    <x v="35"/>
    <s v="احمد حمادة "/>
    <s v="اعمال لحامات"/>
    <s v="تم العمل"/>
    <d v="1899-12-30T14:30:00"/>
    <d v="1899-12-30T20:00:00"/>
    <n v="0.22916666666666674"/>
    <x v="3"/>
    <n v="5.5000000000000018"/>
  </r>
  <r>
    <x v="10"/>
    <d v="2024-11-06T00:00:00"/>
    <s v="الاربعاء "/>
    <x v="6"/>
    <s v="عمرو نبوى "/>
    <s v="صيانة مجر الصرف "/>
    <s v="تم العمل"/>
    <d v="1899-12-30T10:00:00"/>
    <d v="1899-12-30T17:00:00"/>
    <n v="0.29166666666666669"/>
    <x v="3"/>
    <n v="7"/>
  </r>
  <r>
    <x v="10"/>
    <d v="2024-11-06T00:00:00"/>
    <s v="الاربعاء "/>
    <x v="14"/>
    <s v="انس احمد  "/>
    <s v="تركيب  المصاعد "/>
    <s v="تم العمل"/>
    <d v="1899-12-30T10:00:00"/>
    <d v="1899-12-30T17:00:00"/>
    <n v="0.29166666666666669"/>
    <x v="1"/>
    <n v="7"/>
  </r>
  <r>
    <x v="10"/>
    <d v="2024-11-06T00:00:00"/>
    <s v="الاربعاء "/>
    <x v="6"/>
    <s v="شريف  عيد "/>
    <s v="صيانة الهيدرولك"/>
    <s v="تم العمل"/>
    <d v="1899-12-30T12:00:00"/>
    <d v="1899-12-30T16:00:00"/>
    <n v="0.16666666666666663"/>
    <x v="1"/>
    <n v="3.9999999999999991"/>
  </r>
  <r>
    <x v="10"/>
    <d v="2024-11-06T00:00:00"/>
    <s v="الاربعاء "/>
    <x v="0"/>
    <s v="محمد زنفل  "/>
    <s v="اعمال دهانات"/>
    <s v="تم العمل"/>
    <d v="1899-12-30T10:00:00"/>
    <d v="1899-12-30T18:00:00"/>
    <n v="0.33333333333333331"/>
    <x v="2"/>
    <n v="8"/>
  </r>
  <r>
    <x v="10"/>
    <d v="2024-11-06T00:00:00"/>
    <s v="الاربعاء "/>
    <x v="18"/>
    <s v="فيكتور لوندي"/>
    <s v="تركيب كشافات كهرباء "/>
    <s v="تم العمل"/>
    <d v="1899-12-30T11:30:00"/>
    <d v="1899-12-30T17:30:00"/>
    <n v="0.24999999999999994"/>
    <x v="4"/>
    <n v="5.9999999999999982"/>
  </r>
  <r>
    <x v="10"/>
    <d v="2024-11-07T00:00:00"/>
    <s v="الخميس "/>
    <x v="9"/>
    <s v="سامى شعبان  "/>
    <s v="صيانة كلاركات "/>
    <s v="تم العمل"/>
    <d v="1899-12-30T14:30:00"/>
    <d v="1899-12-30T15:00:00"/>
    <n v="2.083333333333337E-2"/>
    <x v="4"/>
    <n v="0.50000000000000089"/>
  </r>
  <r>
    <x v="10"/>
    <d v="2024-11-07T00:00:00"/>
    <s v="الخميس "/>
    <x v="14"/>
    <s v="انس احمد  "/>
    <s v="تركيب  المصاعد "/>
    <s v="تم العمل"/>
    <d v="1899-12-30T10:00:00"/>
    <d v="1899-12-30T17:00:00"/>
    <n v="0.29166666666666669"/>
    <x v="1"/>
    <n v="7"/>
  </r>
  <r>
    <x v="10"/>
    <d v="2024-11-07T00:00:00"/>
    <s v="الخميس "/>
    <x v="0"/>
    <s v="محمد صلاح "/>
    <s v="استكمال شد الخشب  لخزان الاطفاء "/>
    <s v="تم العمل"/>
    <d v="1899-12-30T08:00:00"/>
    <d v="1899-12-30T16:00:00"/>
    <n v="0.33333333333333331"/>
    <x v="0"/>
    <n v="8"/>
  </r>
  <r>
    <x v="10"/>
    <d v="2024-11-07T00:00:00"/>
    <s v="الخميس "/>
    <x v="5"/>
    <s v="احمد سعيد"/>
    <s v="تركيب سخان بحمامات العمال"/>
    <s v="رفض الأعمال"/>
    <d v="1899-12-30T14:00:00"/>
    <d v="1899-12-30T16:00:00"/>
    <n v="8.3333333333333259E-2"/>
    <x v="1"/>
    <n v="1.9999999999999982"/>
  </r>
  <r>
    <x v="10"/>
    <d v="2024-11-07T00:00:00"/>
    <s v="الخميس "/>
    <x v="0"/>
    <s v="محمد زنفل  "/>
    <s v="اعمال دهانات"/>
    <s v="تم العمل"/>
    <d v="1899-12-30T10:00:00"/>
    <d v="1899-12-30T18:00:00"/>
    <n v="0.33333333333333331"/>
    <x v="2"/>
    <n v="8"/>
  </r>
  <r>
    <x v="10"/>
    <d v="2024-11-07T00:00:00"/>
    <s v="الخميس "/>
    <x v="13"/>
    <s v="اسلام مصطفى    "/>
    <s v="صيانة ماكينة CTP"/>
    <s v="تم العمل"/>
    <d v="1899-12-30T12:00:00"/>
    <d v="1899-12-30T16:00:00"/>
    <n v="0.16666666666666663"/>
    <x v="3"/>
    <n v="3.9999999999999991"/>
  </r>
  <r>
    <x v="10"/>
    <d v="2024-11-08T00:00:00"/>
    <s v="الجمعة "/>
    <x v="49"/>
    <s v="ابراهيم الخزرجي"/>
    <s v="تركيبات"/>
    <s v="تم العمل"/>
    <d v="1899-12-30T10:00:00"/>
    <d v="1899-12-30T19:30:00"/>
    <n v="0.39583333333333331"/>
    <x v="2"/>
    <n v="9.5"/>
  </r>
  <r>
    <x v="10"/>
    <d v="2024-11-09T00:00:00"/>
    <s v="السبت "/>
    <x v="6"/>
    <s v="مصطفى حسن "/>
    <s v="صيانة مجر الصرف "/>
    <s v="تم العمل"/>
    <d v="1899-12-30T09:30:00"/>
    <d v="1899-12-30T17:00:00"/>
    <n v="0.31250000000000006"/>
    <x v="3"/>
    <n v="7.5000000000000018"/>
  </r>
  <r>
    <x v="10"/>
    <d v="2024-11-09T00:00:00"/>
    <s v="السبت "/>
    <x v="14"/>
    <s v="انس احمد  "/>
    <s v="تركيب  المصاعد "/>
    <s v="تم العمل"/>
    <d v="1899-12-30T10:00:00"/>
    <d v="1899-12-30T17:00:00"/>
    <n v="0.29166666666666669"/>
    <x v="1"/>
    <n v="7"/>
  </r>
  <r>
    <x v="10"/>
    <d v="2024-11-09T00:00:00"/>
    <s v="السبت "/>
    <x v="49"/>
    <s v="ابراهيم الخزرجي"/>
    <s v="تركيبات"/>
    <s v="تم العمل"/>
    <d v="1899-12-30T09:30:00"/>
    <d v="1899-12-30T22:30:00"/>
    <n v="0.54166666666666674"/>
    <x v="2"/>
    <n v="13.000000000000002"/>
  </r>
  <r>
    <x v="10"/>
    <d v="2024-11-09T00:00:00"/>
    <s v="السبت "/>
    <x v="0"/>
    <s v="مراد صالح"/>
    <s v="استكمال شد الخشب  لخزان الاطفاء "/>
    <s v="تم العمل"/>
    <d v="1899-12-30T11:00:00"/>
    <d v="1899-12-30T13:00:00"/>
    <n v="8.3333333333333315E-2"/>
    <x v="0"/>
    <n v="1.9999999999999996"/>
  </r>
  <r>
    <x v="10"/>
    <d v="2024-11-10T00:00:00"/>
    <s v="الاحد "/>
    <x v="8"/>
    <s v=" على الشنوبى     "/>
    <s v="الزيارة الشهرية و صيانة للوح الانزار "/>
    <s v="تم العمل"/>
    <d v="1899-12-30T10:00:00"/>
    <d v="1899-12-30T11:00:00"/>
    <n v="4.166666666666663E-2"/>
    <x v="3"/>
    <n v="0.99999999999999911"/>
  </r>
  <r>
    <x v="10"/>
    <d v="2024-11-10T00:00:00"/>
    <s v="الاحد "/>
    <x v="14"/>
    <s v="انس احمد  "/>
    <s v="تركيب  المصاعد "/>
    <s v="تم العمل"/>
    <d v="1899-12-30T10:00:00"/>
    <d v="1899-12-30T17:00:00"/>
    <n v="0.29166666666666669"/>
    <x v="1"/>
    <n v="7"/>
  </r>
  <r>
    <x v="10"/>
    <d v="2024-11-10T00:00:00"/>
    <s v="الاحد "/>
    <x v="0"/>
    <s v="مراد صالح"/>
    <s v="استكمال شد الخشب  لخزان الاطفاء "/>
    <s v="تم العمل"/>
    <d v="1899-12-30T09:30:00"/>
    <d v="1899-12-30T15:30:00"/>
    <n v="0.25000000000000006"/>
    <x v="0"/>
    <n v="6.0000000000000018"/>
  </r>
  <r>
    <x v="10"/>
    <d v="2024-11-10T00:00:00"/>
    <s v="الاحد "/>
    <x v="49"/>
    <s v="ابراهيم الخزرجي"/>
    <s v="تركيبات"/>
    <s v="تم العمل"/>
    <d v="1899-12-30T10:00:00"/>
    <d v="1899-12-30T18:00:00"/>
    <n v="0.33333333333333331"/>
    <x v="2"/>
    <n v="8"/>
  </r>
  <r>
    <x v="10"/>
    <d v="2024-11-10T00:00:00"/>
    <s v="الاحد "/>
    <x v="2"/>
    <s v="مصطفى محمد "/>
    <s v="تركيبات "/>
    <s v="تم العمل"/>
    <d v="1899-12-30T04:00:00"/>
    <d v="1899-12-30T13:00:00"/>
    <n v="0.375"/>
    <x v="6"/>
    <n v="9"/>
  </r>
  <r>
    <x v="10"/>
    <d v="2024-11-10T00:00:00"/>
    <s v="الاحد "/>
    <x v="18"/>
    <s v="فيكتور لوندي"/>
    <s v="تركيب كشافات كهرباء "/>
    <s v="تم العمل"/>
    <d v="1899-12-30T11:30:00"/>
    <d v="1899-12-30T17:30:00"/>
    <n v="0.24999999999999994"/>
    <x v="4"/>
    <n v="5.9999999999999982"/>
  </r>
  <r>
    <x v="10"/>
    <d v="2024-11-10T00:00:00"/>
    <s v="الاحد "/>
    <x v="7"/>
    <s v=" اسلام ابراهيم "/>
    <s v="الزيارة الشهرية ومكافحة الحشرات "/>
    <s v="تم العمل"/>
    <d v="1899-12-30T13:00:00"/>
    <d v="1899-12-30T17:00:00"/>
    <n v="0.16666666666666674"/>
    <x v="3"/>
    <n v="4.0000000000000018"/>
  </r>
  <r>
    <x v="10"/>
    <d v="2024-11-11T00:00:00"/>
    <s v="الاثنين "/>
    <x v="14"/>
    <s v="انس احمد  "/>
    <s v="تركيب المصاعد "/>
    <s v="تم العمل"/>
    <d v="1899-12-30T10:00:00"/>
    <d v="1899-12-30T17:00:00"/>
    <n v="0.29166666666666669"/>
    <x v="1"/>
    <n v="7"/>
  </r>
  <r>
    <x v="10"/>
    <d v="2024-11-11T00:00:00"/>
    <s v="الاثنين "/>
    <x v="13"/>
    <s v="اسلام مصطفى    "/>
    <s v="صيانة ماكينة CTP"/>
    <s v="تم العمل"/>
    <d v="1899-12-30T14:30:00"/>
    <d v="1899-12-30T17:30:00"/>
    <n v="0.125"/>
    <x v="3"/>
    <n v="3"/>
  </r>
  <r>
    <x v="10"/>
    <d v="2024-11-11T00:00:00"/>
    <s v="الاثنين "/>
    <x v="49"/>
    <s v="احمد محمد "/>
    <s v="تركيبات"/>
    <s v="تم العمل"/>
    <d v="1899-12-30T10:30:00"/>
    <d v="1899-12-30T23:30:00"/>
    <n v="0.54166666666666663"/>
    <x v="2"/>
    <n v="13"/>
  </r>
  <r>
    <x v="10"/>
    <d v="2024-11-11T00:00:00"/>
    <s v="الاثنين "/>
    <x v="0"/>
    <s v="مراد صالح"/>
    <s v="اعمال صيب خرسانة "/>
    <s v="تم العمل"/>
    <d v="1899-12-30T07:00:00"/>
    <d v="1899-12-30T17:00:00"/>
    <n v="0.41666666666666669"/>
    <x v="0"/>
    <n v="10"/>
  </r>
  <r>
    <x v="10"/>
    <d v="2024-11-12T00:00:00"/>
    <s v="الثلاثاء "/>
    <x v="6"/>
    <s v="صابر ابراهيم "/>
    <s v="تركيب تندة "/>
    <s v="تم العمل"/>
    <d v="1899-12-30T11:00:00"/>
    <d v="1899-12-30T17:30:00"/>
    <n v="0.27083333333333331"/>
    <x v="3"/>
    <n v="6.5"/>
  </r>
  <r>
    <x v="10"/>
    <d v="2024-11-12T00:00:00"/>
    <s v="الثلاثاء "/>
    <x v="0"/>
    <s v="محمد زنفل  "/>
    <s v="انشائات   "/>
    <s v="تم العمل"/>
    <d v="1899-12-30T09:00:00"/>
    <d v="1899-12-30T16:00:00"/>
    <n v="0.29166666666666663"/>
    <x v="2"/>
    <n v="6.9999999999999991"/>
  </r>
  <r>
    <x v="10"/>
    <d v="2024-11-12T00:00:00"/>
    <s v="الثلاثاء "/>
    <x v="49"/>
    <s v="ابراهيم الخزرجي"/>
    <s v="تركيبات"/>
    <s v="تم العمل"/>
    <d v="1899-12-30T16:30:00"/>
    <d v="1899-12-30T19:00:00"/>
    <n v="0.10416666666666663"/>
    <x v="2"/>
    <n v="2.4999999999999991"/>
  </r>
  <r>
    <x v="10"/>
    <d v="2024-11-12T00:00:00"/>
    <s v="الثلاثاء "/>
    <x v="34"/>
    <s v="رامى محمد "/>
    <s v="صيانة لوحة اعلانات "/>
    <s v="تم العمل"/>
    <d v="1899-12-30T14:00:00"/>
    <d v="1899-12-30T16:00:00"/>
    <n v="8.3333333333333259E-2"/>
    <x v="3"/>
    <n v="1.9999999999999982"/>
  </r>
  <r>
    <x v="10"/>
    <d v="2024-11-12T00:00:00"/>
    <s v="الثلاثاء "/>
    <x v="14"/>
    <s v="انس احمد  "/>
    <s v="تركيب  المصاعد "/>
    <s v="تم العمل"/>
    <d v="1899-12-30T10:00:00"/>
    <d v="1899-12-30T17:00:00"/>
    <n v="0.29166666666666669"/>
    <x v="1"/>
    <n v="7"/>
  </r>
  <r>
    <x v="10"/>
    <d v="2024-11-13T00:00:00"/>
    <s v="الاربعاء "/>
    <x v="0"/>
    <s v="محمد صلاح "/>
    <s v="فك الخشب من حوائط خزان الاطفاء"/>
    <s v="تم العمل"/>
    <d v="1899-12-30T08:00:00"/>
    <d v="1899-12-30T16:00:00"/>
    <n v="0.33333333333333331"/>
    <x v="0"/>
    <n v="8"/>
  </r>
  <r>
    <x v="10"/>
    <d v="2024-11-13T00:00:00"/>
    <s v="الاربعاء "/>
    <x v="6"/>
    <s v="احمد ابوزيت"/>
    <s v="صيانة و نظافة مجر صرف الأمطار"/>
    <s v="تم العمل"/>
    <d v="1899-12-30T10:00:00"/>
    <d v="1899-12-30T17:30:00"/>
    <n v="0.31249999999999994"/>
    <x v="3"/>
    <n v="7.4999999999999982"/>
  </r>
  <r>
    <x v="10"/>
    <d v="2024-11-13T00:00:00"/>
    <s v="الاربعاء "/>
    <x v="0"/>
    <s v="محمد زنفل  "/>
    <s v="انشائات   "/>
    <s v="تم العمل"/>
    <d v="1899-12-30T12:00:00"/>
    <d v="1899-12-30T21:30:00"/>
    <n v="0.39583333333333337"/>
    <x v="2"/>
    <n v="9.5"/>
  </r>
  <r>
    <x v="10"/>
    <d v="2024-11-13T00:00:00"/>
    <s v="الاربعاء "/>
    <x v="14"/>
    <s v="انس احمد  "/>
    <s v="تركيب المصاعد "/>
    <s v="تم العمل"/>
    <d v="1899-12-30T10:00:00"/>
    <d v="1899-12-30T17:00:00"/>
    <n v="0.29166666666666669"/>
    <x v="1"/>
    <n v="7"/>
  </r>
  <r>
    <x v="10"/>
    <d v="2024-11-13T00:00:00"/>
    <s v="الاربعاء "/>
    <x v="5"/>
    <s v="احمد سعيد"/>
    <s v="اعمال سباكة "/>
    <s v="تم العمل"/>
    <d v="1899-12-30T12:00:00"/>
    <d v="1899-12-30T16:00:00"/>
    <n v="0.16666666666666663"/>
    <x v="1"/>
    <n v="3.9999999999999991"/>
  </r>
  <r>
    <x v="10"/>
    <d v="2024-11-14T00:00:00"/>
    <s v="الخميس "/>
    <x v="6"/>
    <s v="حسام جناد"/>
    <s v="تركيب كشافات انارة"/>
    <s v="تم العمل"/>
    <d v="1899-12-30T11:00:00"/>
    <d v="1899-12-30T15:00:00"/>
    <n v="0.16666666666666669"/>
    <x v="3"/>
    <n v="4"/>
  </r>
  <r>
    <x v="10"/>
    <d v="2024-11-14T00:00:00"/>
    <s v="الخميس "/>
    <x v="0"/>
    <s v="محمد زنفل  "/>
    <s v="انشائات   "/>
    <s v="تم العمل"/>
    <d v="1899-12-30T09:30:00"/>
    <d v="1899-12-30T15:30:00"/>
    <n v="0.25000000000000006"/>
    <x v="2"/>
    <n v="6.0000000000000018"/>
  </r>
  <r>
    <x v="10"/>
    <d v="2024-11-14T00:00:00"/>
    <s v="الخميس "/>
    <x v="0"/>
    <s v="محمد صلاح "/>
    <s v="اعمال صب الخرسانة"/>
    <s v="تم العمل"/>
    <d v="1899-12-30T08:00:00"/>
    <d v="1899-12-30T16:00:00"/>
    <n v="0.33333333333333331"/>
    <x v="0"/>
    <n v="8"/>
  </r>
  <r>
    <x v="10"/>
    <d v="2024-11-14T00:00:00"/>
    <s v="الخميس "/>
    <x v="5"/>
    <s v="احمد سعيد"/>
    <s v="تغيير صرف الامطار"/>
    <s v="تم العمل"/>
    <d v="1899-12-30T10:00:00"/>
    <d v="1899-12-30T17:00:00"/>
    <n v="0.29166666666666635"/>
    <x v="0"/>
    <n v="6.9999999999999929"/>
  </r>
  <r>
    <x v="10"/>
    <d v="2024-11-14T00:00:00"/>
    <s v="الخميس "/>
    <x v="5"/>
    <s v="محمد ابوسريع"/>
    <s v="اعمال محارة وبناء "/>
    <s v="تم العمل"/>
    <d v="1899-12-30T10:00:00"/>
    <d v="1899-12-30T17:00:00"/>
    <n v="0.29166666666666635"/>
    <x v="0"/>
    <n v="6.9999999999999929"/>
  </r>
  <r>
    <x v="10"/>
    <d v="2024-11-14T00:00:00"/>
    <s v="الخميس "/>
    <x v="14"/>
    <s v="انس احمد  "/>
    <s v="تركيب المصاعد "/>
    <s v="تم العمل"/>
    <d v="1899-12-30T10:00:00"/>
    <d v="1899-12-30T17:00:00"/>
    <n v="0.29166666666666669"/>
    <x v="1"/>
    <n v="7"/>
  </r>
  <r>
    <x v="10"/>
    <d v="2024-11-16T00:00:00"/>
    <s v="السبت "/>
    <x v="49"/>
    <s v="احمد محمد "/>
    <s v="تركيبات و لحام"/>
    <s v="تم العمل"/>
    <d v="1899-12-30T09:30:00"/>
    <d v="1899-12-30T22:30:00"/>
    <n v="0.54166666666666674"/>
    <x v="2"/>
    <n v="13.000000000000002"/>
  </r>
  <r>
    <x v="10"/>
    <d v="2024-11-16T00:00:00"/>
    <s v="السبت "/>
    <x v="10"/>
    <s v="احمد فرج    "/>
    <s v="تركيب فراشة بالشارع  "/>
    <s v="تم العمل"/>
    <d v="1899-12-30T11:00:00"/>
    <d v="1899-12-30T17:00:00"/>
    <n v="0.25000000000000006"/>
    <x v="0"/>
    <n v="6.0000000000000018"/>
  </r>
  <r>
    <x v="10"/>
    <d v="2024-11-16T00:00:00"/>
    <s v="السبت "/>
    <x v="0"/>
    <s v="محمد صلاح "/>
    <s v="اعمال صب الخرسانة"/>
    <s v="تم العمل"/>
    <d v="1899-12-30T08:00:00"/>
    <d v="1899-12-30T16:00:00"/>
    <n v="0.33333333333333331"/>
    <x v="0"/>
    <n v="8"/>
  </r>
  <r>
    <x v="10"/>
    <d v="2024-11-17T00:00:00"/>
    <s v="الاحد "/>
    <x v="0"/>
    <s v="مراد صالح"/>
    <s v="اعمال صب الخرسانة"/>
    <s v="تم العمل"/>
    <d v="1899-12-30T08:00:00"/>
    <d v="1899-12-30T16:00:00"/>
    <n v="0.33333333333333331"/>
    <x v="0"/>
    <n v="8"/>
  </r>
  <r>
    <x v="10"/>
    <d v="2024-11-17T00:00:00"/>
    <s v="الاحد "/>
    <x v="10"/>
    <s v="احمد فرج    "/>
    <s v="تركيب فراشة بالشارع  "/>
    <s v="تم العمل"/>
    <d v="1899-12-30T11:00:00"/>
    <d v="1899-12-30T17:00:00"/>
    <n v="0.25000000000000006"/>
    <x v="0"/>
    <n v="6.0000000000000018"/>
  </r>
  <r>
    <x v="10"/>
    <d v="2024-11-17T00:00:00"/>
    <s v="الاحد "/>
    <x v="0"/>
    <s v="محمد زنفل  "/>
    <s v="انشائات   "/>
    <s v="تم العمل"/>
    <d v="1899-12-30T10:00:00"/>
    <d v="1899-12-30T18:00:00"/>
    <n v="0.33333333333333331"/>
    <x v="2"/>
    <n v="8"/>
  </r>
  <r>
    <x v="10"/>
    <d v="2024-11-17T00:00:00"/>
    <s v="الاحد "/>
    <x v="14"/>
    <s v="انس احمد  "/>
    <s v="تركيب  المصاعد "/>
    <s v="تم العمل"/>
    <d v="1899-12-30T09:30:00"/>
    <d v="1899-12-30T17:30:00"/>
    <n v="0.33333333333333331"/>
    <x v="1"/>
    <n v="8"/>
  </r>
  <r>
    <x v="10"/>
    <d v="2024-11-18T00:00:00"/>
    <s v="الاثنين "/>
    <x v="0"/>
    <s v="محمد صلاح "/>
    <s v="استكمال اعمال خزان الحريق "/>
    <s v="تم العمل"/>
    <d v="1899-12-30T08:00:00"/>
    <d v="1899-12-30T17:00:00"/>
    <n v="0.37500000000000006"/>
    <x v="0"/>
    <n v="9.0000000000000018"/>
  </r>
  <r>
    <x v="10"/>
    <d v="2024-11-18T00:00:00"/>
    <s v="الاثنين "/>
    <x v="10"/>
    <s v="محمد صالح "/>
    <s v="عمل فراشة للساحات  "/>
    <s v="تم العمل"/>
    <d v="1899-12-30T10:00:00"/>
    <d v="1899-12-30T17:00:00"/>
    <n v="0.29166666666666669"/>
    <x v="0"/>
    <n v="7"/>
  </r>
  <r>
    <x v="10"/>
    <d v="2024-11-18T00:00:00"/>
    <s v="الاثنين "/>
    <x v="0"/>
    <s v="محمد زنفل  "/>
    <s v="انشائات   "/>
    <s v="تم العمل"/>
    <d v="1899-12-30T09:00:00"/>
    <d v="1899-12-30T19:30:00"/>
    <n v="0.4375"/>
    <x v="2"/>
    <n v="10.5"/>
  </r>
  <r>
    <x v="10"/>
    <d v="2024-11-18T00:00:00"/>
    <s v="الاثنين "/>
    <x v="49"/>
    <s v="احمد محمد "/>
    <s v="تركيبات و لحام"/>
    <s v="تم العمل"/>
    <d v="1899-12-30T10:30:00"/>
    <d v="1899-12-30T23:30:00"/>
    <n v="0.54166666666666663"/>
    <x v="2"/>
    <n v="13"/>
  </r>
  <r>
    <x v="10"/>
    <d v="2024-11-18T00:00:00"/>
    <s v="الاثنين "/>
    <x v="14"/>
    <s v="محمد جمال "/>
    <s v="تركيب المصاعد "/>
    <s v="تم العمل"/>
    <d v="1899-12-30T12:30:00"/>
    <d v="1899-12-30T18:00:00"/>
    <n v="0.22916666666666663"/>
    <x v="1"/>
    <n v="5.4999999999999991"/>
  </r>
  <r>
    <x v="10"/>
    <d v="2024-11-19T00:00:00"/>
    <s v="الثلاثاء "/>
    <x v="5"/>
    <s v="محمود عويس "/>
    <s v="صيانة الكولدير "/>
    <s v="تم العمل"/>
    <d v="1899-12-30T10:00:00"/>
    <d v="1899-12-30T11:00:00"/>
    <n v="4.166666666666663E-2"/>
    <x v="1"/>
    <n v="0.99999999999999911"/>
  </r>
  <r>
    <x v="10"/>
    <d v="2024-11-19T00:00:00"/>
    <s v="الثلاثاء "/>
    <x v="0"/>
    <s v="محمد زنفل  "/>
    <s v="انشائات   "/>
    <s v="تم العمل"/>
    <d v="1899-12-30T10:00:00"/>
    <d v="1899-12-30T21:00:00"/>
    <n v="0.45833333333333331"/>
    <x v="2"/>
    <n v="11"/>
  </r>
  <r>
    <x v="10"/>
    <d v="2024-11-19T00:00:00"/>
    <s v="الثلاثاء "/>
    <x v="49"/>
    <s v="احمد محمد "/>
    <s v="تركيبات و لحام"/>
    <s v="تم العمل"/>
    <d v="1899-12-30T15:00:00"/>
    <d v="1899-12-30T21:00:00"/>
    <n v="0.25"/>
    <x v="2"/>
    <n v="6"/>
  </r>
  <r>
    <x v="10"/>
    <d v="2024-11-19T00:00:00"/>
    <s v="الثلاثاء "/>
    <x v="10"/>
    <s v="احمد فرج    "/>
    <s v="تركيب فراشة بالشارع  "/>
    <s v="تم العمل"/>
    <d v="1899-12-30T08:00:00"/>
    <d v="1899-12-30T17:00:00"/>
    <n v="0.37500000000000006"/>
    <x v="0"/>
    <n v="9.0000000000000018"/>
  </r>
  <r>
    <x v="10"/>
    <d v="2024-11-19T00:00:00"/>
    <s v="الثلاثاء "/>
    <x v="6"/>
    <s v="اسلام صالح "/>
    <s v="عمل مفتاح كهربائي لطرمة الجوكي"/>
    <s v="تم العمل"/>
    <d v="1899-12-30T10:00:00"/>
    <d v="1899-12-30T17:00:00"/>
    <n v="0.29166666666666669"/>
    <x v="0"/>
    <n v="7"/>
  </r>
  <r>
    <x v="10"/>
    <d v="2024-11-19T00:00:00"/>
    <s v="الثلاثاء "/>
    <x v="0"/>
    <s v="مراد صالح"/>
    <s v="اعمال صب الخرسانة"/>
    <s v="تم العمل"/>
    <d v="1899-12-30T08:00:00"/>
    <d v="1899-12-30T17:00:00"/>
    <n v="0.37500000000000006"/>
    <x v="0"/>
    <n v="9.0000000000000018"/>
  </r>
  <r>
    <x v="10"/>
    <d v="2024-11-20T00:00:00"/>
    <s v="الاربعاء "/>
    <x v="6"/>
    <s v="محمود عويس"/>
    <s v="تركيب شبكات حماية للوحدة الخارجية للتكيف"/>
    <s v="تم العمل"/>
    <d v="1899-12-30T11:00:00"/>
    <d v="1899-12-30T13:00:00"/>
    <n v="8.3333333333333315E-2"/>
    <x v="3"/>
    <n v="1.9999999999999996"/>
  </r>
  <r>
    <x v="10"/>
    <d v="2024-11-20T00:00:00"/>
    <s v="الاربعاء "/>
    <x v="5"/>
    <s v="محمود عويس"/>
    <s v="صاينة كولدير المياه"/>
    <s v="تم العمل"/>
    <d v="1899-12-30T14:30:00"/>
    <d v="1899-12-30T15:30:00"/>
    <n v="4.1666666666666741E-2"/>
    <x v="0"/>
    <n v="1.0000000000000018"/>
  </r>
  <r>
    <x v="10"/>
    <d v="2024-11-21T00:00:00"/>
    <s v="الخميس "/>
    <x v="11"/>
    <s v="احمد شعبان "/>
    <s v="صيانة كالاركات"/>
    <s v="تم العمل"/>
    <d v="1899-12-30T10:00:00"/>
    <d v="1899-12-30T14:00:00"/>
    <n v="0.16666666666666669"/>
    <x v="4"/>
    <n v="4"/>
  </r>
  <r>
    <x v="10"/>
    <d v="2024-11-21T00:00:00"/>
    <s v="الخميس "/>
    <x v="0"/>
    <s v="محمد زنفل  "/>
    <s v="انشائات   "/>
    <s v="تم العمل"/>
    <d v="1899-12-30T11:30:00"/>
    <d v="1899-12-30T21:00:00"/>
    <n v="0.39583333333333331"/>
    <x v="2"/>
    <n v="9.5"/>
  </r>
  <r>
    <x v="10"/>
    <d v="2024-11-21T00:00:00"/>
    <s v="الخميس "/>
    <x v="49"/>
    <s v="احمد محمد "/>
    <s v="تركيبات و لحام"/>
    <s v="تم العمل"/>
    <d v="1899-12-30T10:00:00"/>
    <d v="1899-12-30T23:30:00"/>
    <n v="0.5625"/>
    <x v="2"/>
    <n v="13.5"/>
  </r>
  <r>
    <x v="10"/>
    <d v="2024-11-21T00:00:00"/>
    <s v="الخميس "/>
    <x v="14"/>
    <s v="انس احمد  "/>
    <s v="تركيب  المصاعد "/>
    <s v="تم العمل"/>
    <d v="1899-12-30T09:00:00"/>
    <d v="1899-12-30T16:00:00"/>
    <n v="0.29166666666666663"/>
    <x v="1"/>
    <n v="6.9999999999999991"/>
  </r>
  <r>
    <x v="10"/>
    <d v="2024-11-21T00:00:00"/>
    <s v="الخميس "/>
    <x v="10"/>
    <s v="احمد فرج    "/>
    <s v="تركيب فراشة بالشارع  "/>
    <s v="تم العمل"/>
    <d v="1899-12-30T12:30:00"/>
    <d v="1899-12-30T13:30:00"/>
    <n v="4.166666666666663E-2"/>
    <x v="0"/>
    <n v="0.99999999999999911"/>
  </r>
  <r>
    <x v="10"/>
    <d v="2024-11-21T00:00:00"/>
    <s v="الخميس "/>
    <x v="0"/>
    <s v="مراد صالح"/>
    <s v="اعمال صب الخرسانة"/>
    <s v="تم العمل"/>
    <d v="1899-12-30T08:00:00"/>
    <d v="1899-12-30T16:00:00"/>
    <n v="0.33333333333333331"/>
    <x v="0"/>
    <n v="8"/>
  </r>
  <r>
    <x v="10"/>
    <d v="2024-11-21T00:00:00"/>
    <s v="الخميس "/>
    <x v="11"/>
    <s v="احمد شعبان "/>
    <s v="صيانة كلارك "/>
    <s v="تم العمل"/>
    <d v="1899-12-30T10:00:00"/>
    <d v="1899-12-30T14:00:00"/>
    <n v="0.16666666666666669"/>
    <x v="4"/>
    <n v="4"/>
  </r>
  <r>
    <x v="10"/>
    <d v="2024-11-23T00:00:00"/>
    <s v="السبت "/>
    <x v="18"/>
    <s v="خليفة سليمان"/>
    <s v="صيانة غرف الطلمبات"/>
    <s v="تم العمل"/>
    <d v="1899-12-30T13:00:00"/>
    <d v="1899-12-30T17:00:00"/>
    <n v="0.16666666666666674"/>
    <x v="4"/>
    <n v="4.0000000000000018"/>
  </r>
  <r>
    <x v="10"/>
    <d v="2024-11-23T00:00:00"/>
    <s v="السبت "/>
    <x v="0"/>
    <s v="محمد زنفل  "/>
    <s v="انشائات   "/>
    <s v="تم العمل"/>
    <d v="1899-12-30T09:30:00"/>
    <d v="1899-12-30T18:00:00"/>
    <n v="0.35416666666666669"/>
    <x v="2"/>
    <n v="8.5"/>
  </r>
  <r>
    <x v="10"/>
    <d v="2024-11-23T00:00:00"/>
    <s v="السبت "/>
    <x v="0"/>
    <s v="مراد صالح"/>
    <s v="استكمال اعمال خزان الحريق "/>
    <s v="تم العمل"/>
    <d v="1899-12-30T08:00:00"/>
    <d v="1899-12-30T17:00:00"/>
    <n v="0.37500000000000006"/>
    <x v="0"/>
    <n v="9.0000000000000018"/>
  </r>
  <r>
    <x v="10"/>
    <d v="2024-11-23T00:00:00"/>
    <s v="السبت "/>
    <x v="0"/>
    <s v="محمد صلاح "/>
    <s v="استكمال اعمال شبابيك الالموتال"/>
    <s v="تم العمل"/>
    <d v="1899-12-30T10:00:00"/>
    <d v="1899-12-30T17:00:00"/>
    <n v="0.29166666666666669"/>
    <x v="1"/>
    <n v="7"/>
  </r>
  <r>
    <x v="10"/>
    <d v="2024-11-23T00:00:00"/>
    <s v="السبت "/>
    <x v="14"/>
    <s v="انس احمد  "/>
    <s v="تركيب  المصاعد "/>
    <s v="تم العمل"/>
    <d v="1899-12-30T10:00:00"/>
    <d v="1899-12-30T17:00:00"/>
    <n v="0.29166666666666669"/>
    <x v="1"/>
    <n v="7"/>
  </r>
  <r>
    <x v="10"/>
    <d v="2024-11-24T00:00:00"/>
    <s v="الاحد "/>
    <x v="0"/>
    <s v="مراد صالح"/>
    <s v="استكمال اعمال خزان الحريق "/>
    <s v="تم العمل"/>
    <d v="1899-12-30T08:00:00"/>
    <d v="1899-12-30T17:00:00"/>
    <n v="0.37500000000000006"/>
    <x v="0"/>
    <n v="9.0000000000000018"/>
  </r>
  <r>
    <x v="10"/>
    <d v="2024-11-24T00:00:00"/>
    <s v="الاحد "/>
    <x v="18"/>
    <s v="فيكتور لوندي"/>
    <s v="صيانة غرفة الطلمبات  "/>
    <s v="تم العمل"/>
    <d v="1899-12-30T10:30:00"/>
    <d v="1899-12-30T17:30:00"/>
    <n v="0.29166666666666663"/>
    <x v="4"/>
    <n v="6.9999999999999991"/>
  </r>
  <r>
    <x v="10"/>
    <d v="2024-11-24T00:00:00"/>
    <s v="الاحد "/>
    <x v="5"/>
    <s v="احمد سعيد"/>
    <s v="عمل سباكة للسخانات بالحمامات"/>
    <s v="تم العمل"/>
    <d v="1899-12-30T16:00:00"/>
    <d v="1899-12-30T17:00:00"/>
    <n v="4.1666666666666741E-2"/>
    <x v="0"/>
    <n v="1.0000000000000018"/>
  </r>
  <r>
    <x v="10"/>
    <d v="2024-11-25T00:00:00"/>
    <s v="الاثنين "/>
    <x v="14"/>
    <s v="انس احمد  "/>
    <s v="تركيب المصاعد "/>
    <s v="تم العمل"/>
    <d v="1899-12-30T10:00:00"/>
    <d v="1899-12-30T17:00:00"/>
    <n v="0.29166666666666669"/>
    <x v="1"/>
    <n v="7"/>
  </r>
  <r>
    <x v="10"/>
    <d v="2024-11-25T00:00:00"/>
    <s v="الاثنين "/>
    <x v="0"/>
    <s v="محمد صلاح "/>
    <s v="استكمال اعمال خزان الحريق "/>
    <s v="تم العمل"/>
    <d v="1899-12-30T08:00:00"/>
    <d v="1899-12-30T17:00:00"/>
    <n v="0.37500000000000006"/>
    <x v="0"/>
    <n v="9.0000000000000018"/>
  </r>
  <r>
    <x v="10"/>
    <d v="2024-11-25T00:00:00"/>
    <s v="الاثنين "/>
    <x v="0"/>
    <s v="محمد صلاح "/>
    <s v="تركيب الوميتال"/>
    <s v="تم العمل"/>
    <d v="1899-12-30T10:00:00"/>
    <d v="1899-12-30T17:00:00"/>
    <n v="0.29166666666666669"/>
    <x v="1"/>
    <n v="7"/>
  </r>
  <r>
    <x v="10"/>
    <d v="2024-11-26T00:00:00"/>
    <s v="الثلاثاء "/>
    <x v="56"/>
    <s v="حسام الدين محمد"/>
    <s v="عمل عزل بالمداخن الخاصة بماكينات الويب"/>
    <s v="تم العمل"/>
    <d v="1899-12-30T13:00:00"/>
    <d v="1899-12-30T16:00:00"/>
    <n v="0.125"/>
    <x v="3"/>
    <n v="3"/>
  </r>
  <r>
    <x v="10"/>
    <d v="2024-11-26T00:00:00"/>
    <s v="الثلاثاء "/>
    <x v="7"/>
    <s v="اسلام ابراهيم "/>
    <s v="مكافحة الحشرات "/>
    <s v="تم العمل"/>
    <d v="1899-12-30T12:00:00"/>
    <d v="1899-12-30T17:00:00"/>
    <n v="0.20833333333333337"/>
    <x v="3"/>
    <n v="5.0000000000000009"/>
  </r>
  <r>
    <x v="10"/>
    <d v="2024-11-26T00:00:00"/>
    <s v="الثلاثاء "/>
    <x v="7"/>
    <s v="اسلام ابراهيم "/>
    <s v="مكافحة الحشرات "/>
    <s v="تم العمل"/>
    <d v="1899-12-30T16:00:00"/>
    <d v="1899-12-30T17:00:00"/>
    <n v="4.1666666666666741E-2"/>
    <x v="0"/>
    <n v="1.0000000000000018"/>
  </r>
  <r>
    <x v="10"/>
    <d v="2024-11-26T00:00:00"/>
    <s v="الثلاثاء "/>
    <x v="14"/>
    <s v="انس احمد  "/>
    <s v="تركيب مصاعد"/>
    <s v="تم العمل"/>
    <d v="1899-12-30T10:00:00"/>
    <d v="1899-12-30T17:00:00"/>
    <n v="0.29166666666666669"/>
    <x v="1"/>
    <n v="7"/>
  </r>
  <r>
    <x v="10"/>
    <d v="2024-11-26T00:00:00"/>
    <s v="الثلاثاء "/>
    <x v="7"/>
    <s v="اسلام ابراهيم "/>
    <s v="مكافحة الحشرات "/>
    <s v="تم العمل"/>
    <d v="1899-12-30T15:00:00"/>
    <d v="1899-12-30T16:00:00"/>
    <n v="4.166666666666663E-2"/>
    <x v="4"/>
    <n v="0.99999999999999911"/>
  </r>
  <r>
    <x v="10"/>
    <d v="2024-11-26T00:00:00"/>
    <s v="الثلاثاء "/>
    <x v="0"/>
    <s v="ابراهيم سعد"/>
    <s v="انشائات   "/>
    <s v="تم العمل"/>
    <d v="1899-12-30T10:00:00"/>
    <d v="1899-12-30T22:00:00"/>
    <n v="0.49999999999999994"/>
    <x v="2"/>
    <n v="11.999999999999998"/>
  </r>
  <r>
    <x v="10"/>
    <d v="2024-11-26T00:00:00"/>
    <s v="الثلاثاء "/>
    <x v="36"/>
    <s v="احمد محمد "/>
    <s v="تركيبات"/>
    <s v="تم العمل"/>
    <d v="1899-12-30T14:00:00"/>
    <d v="1899-12-30T20:00:00"/>
    <n v="0.25"/>
    <x v="2"/>
    <n v="6"/>
  </r>
  <r>
    <x v="10"/>
    <d v="2024-11-27T00:00:00"/>
    <s v="الاربعاء "/>
    <x v="14"/>
    <s v="احمد السيد"/>
    <s v="تركيب مصاعد"/>
    <s v="تم العمل"/>
    <d v="1899-12-30T10:00:00"/>
    <d v="1899-12-30T17:00:00"/>
    <n v="0.29166666666666669"/>
    <x v="1"/>
    <n v="7"/>
  </r>
  <r>
    <x v="10"/>
    <d v="2024-11-27T00:00:00"/>
    <s v="الاربعاء "/>
    <x v="0"/>
    <s v="محمد صلاح "/>
    <s v="استكمال اعمال خزان الحريق "/>
    <s v="تم العمل"/>
    <d v="1899-12-30T08:00:00"/>
    <d v="1899-12-30T17:00:00"/>
    <n v="0.37500000000000006"/>
    <x v="0"/>
    <n v="9.0000000000000018"/>
  </r>
  <r>
    <x v="10"/>
    <d v="2024-11-27T00:00:00"/>
    <s v="الاربعاء "/>
    <x v="0"/>
    <s v="ابراهيم سعد"/>
    <s v="تركيبات"/>
    <s v="تم العمل"/>
    <d v="1899-12-30T10:00:00"/>
    <d v="1899-12-30T18:00:00"/>
    <n v="0.33333333333333331"/>
    <x v="2"/>
    <n v="8"/>
  </r>
  <r>
    <x v="10"/>
    <d v="2024-11-28T00:00:00"/>
    <s v="الخميس "/>
    <x v="0"/>
    <s v="محمد زنفل  "/>
    <s v="تركيبات"/>
    <s v="تم العمل"/>
    <d v="1899-12-30T09:30:00"/>
    <d v="1899-12-30T18:00:00"/>
    <n v="0.35416666666666669"/>
    <x v="2"/>
    <n v="8.5"/>
  </r>
  <r>
    <x v="10"/>
    <d v="2024-11-30T00:00:00"/>
    <s v="السبت "/>
    <x v="14"/>
    <s v="محمد احمد محمد"/>
    <s v="تركيب مصاعد"/>
    <s v="تم العمل"/>
    <d v="1899-12-30T10:00:00"/>
    <d v="1899-12-30T17:00:00"/>
    <n v="0.29166666666666669"/>
    <x v="1"/>
    <n v="7"/>
  </r>
  <r>
    <x v="10"/>
    <d v="2024-11-30T00:00:00"/>
    <s v="السبت "/>
    <x v="0"/>
    <s v="مراد صالح"/>
    <s v="استكمال اعمال خزان الحريق "/>
    <s v="تم العمل"/>
    <d v="1899-12-30T08:00:00"/>
    <d v="1899-12-30T17:00:00"/>
    <n v="0.37500000000000006"/>
    <x v="0"/>
    <n v="9.0000000000000018"/>
  </r>
  <r>
    <x v="10"/>
    <d v="2024-11-30T00:00:00"/>
    <s v="السبت "/>
    <x v="0"/>
    <s v="محمد زنفل  "/>
    <s v="انشائات   "/>
    <s v="تم العمل"/>
    <d v="1899-12-30T09:30:00"/>
    <d v="1899-12-30T21:00:00"/>
    <n v="0.47916666666666669"/>
    <x v="2"/>
    <n v="11.5"/>
  </r>
  <r>
    <x v="10"/>
    <d v="2024-11-30T00:00:00"/>
    <s v="السبت "/>
    <x v="61"/>
    <s v="سيد عادل"/>
    <s v="تركيبات"/>
    <s v="تم العمل"/>
    <d v="1899-12-30T10:15:00"/>
    <d v="1899-12-30T14:00:00"/>
    <n v="0.15625000000000006"/>
    <x v="2"/>
    <n v="3.7500000000000013"/>
  </r>
  <r>
    <x v="11"/>
    <d v="2024-12-01T00:00:00"/>
    <s v="الاحد "/>
    <x v="7"/>
    <s v="اسلام ابراهيم "/>
    <s v="مكافحة الحشرات "/>
    <s v="تم العمل"/>
    <d v="1899-12-30T10:30:00"/>
    <d v="1899-12-30T16:00:00"/>
    <n v="0.22916666666666663"/>
    <x v="3"/>
    <n v="5.4999999999999991"/>
  </r>
  <r>
    <x v="11"/>
    <d v="2024-12-01T00:00:00"/>
    <s v="الاحد "/>
    <x v="14"/>
    <s v="محمد احمد محمد"/>
    <s v="تركيب مصاعد"/>
    <s v="تم العمل"/>
    <d v="1899-12-30T10:00:00"/>
    <d v="1899-12-30T17:00:00"/>
    <n v="0.29166666666666635"/>
    <x v="1"/>
    <n v="6.9999999999999929"/>
  </r>
  <r>
    <x v="11"/>
    <d v="2024-12-01T00:00:00"/>
    <s v="الاحد "/>
    <x v="8"/>
    <s v="حامد عطوان      "/>
    <s v="صيانة غرفة الطلمبات  "/>
    <s v="تم العمل"/>
    <d v="1899-12-30T10:00:00"/>
    <d v="1899-12-30T16:00:00"/>
    <n v="0.24999999999999994"/>
    <x v="3"/>
    <n v="5.9999999999999982"/>
  </r>
  <r>
    <x v="11"/>
    <d v="2024-12-01T00:00:00"/>
    <s v="الاحد "/>
    <x v="0"/>
    <s v="محمد صلاح "/>
    <s v="استكمال اعمال خزان الحريق "/>
    <s v="تم العمل"/>
    <d v="1899-12-30T08:00:00"/>
    <d v="1899-12-30T17:00:00"/>
    <n v="0.37500000000000006"/>
    <x v="0"/>
    <n v="9.0000000000000018"/>
  </r>
  <r>
    <x v="11"/>
    <d v="2024-12-01T00:00:00"/>
    <s v="الاحد "/>
    <x v="5"/>
    <s v="احمد سعيد"/>
    <s v="تغيير صرف الامطار"/>
    <s v="تم العمل"/>
    <d v="1899-12-30T11:00:00"/>
    <d v="1899-12-30T17:00:00"/>
    <n v="0.25000000000000006"/>
    <x v="0"/>
    <n v="6.0000000000000018"/>
  </r>
  <r>
    <x v="11"/>
    <d v="2024-12-01T00:00:00"/>
    <s v="الاحد "/>
    <x v="0"/>
    <s v="ابراهيم سعد"/>
    <s v="انشائات"/>
    <s v="تم العمل"/>
    <d v="1899-12-30T10:00:00"/>
    <d v="1899-12-30T18:00:00"/>
    <n v="0.33333333333333331"/>
    <x v="2"/>
    <n v="8"/>
  </r>
  <r>
    <x v="11"/>
    <d v="2024-12-02T00:00:00"/>
    <s v="الاثنين "/>
    <x v="14"/>
    <s v="انس احمد  "/>
    <s v="تركيب مصاعد"/>
    <s v="تم العمل"/>
    <d v="1899-12-30T10:00:00"/>
    <d v="1899-12-30T17:00:00"/>
    <n v="0.29166666666666635"/>
    <x v="1"/>
    <n v="6.9999999999999929"/>
  </r>
  <r>
    <x v="11"/>
    <d v="2024-12-02T00:00:00"/>
    <s v="الاثنين "/>
    <x v="6"/>
    <s v="عبدالله عبدالعليم طه"/>
    <s v="اعمال بناء"/>
    <s v="تم العمل"/>
    <d v="1899-12-30T12:00:00"/>
    <d v="1899-12-30T17:00:00"/>
    <n v="0.20833333333333304"/>
    <x v="1"/>
    <n v="4.9999999999999929"/>
  </r>
  <r>
    <x v="11"/>
    <d v="2024-12-02T00:00:00"/>
    <s v="الاثنين "/>
    <x v="13"/>
    <s v="رامي السعيد"/>
    <s v="صيانة كراسي مكتب "/>
    <s v="تم العمل"/>
    <d v="1899-12-30T14:00:00"/>
    <d v="1899-12-30T15:00:00"/>
    <n v="4.166666666666663E-2"/>
    <x v="3"/>
    <n v="0.99999999999999911"/>
  </r>
  <r>
    <x v="11"/>
    <d v="2024-12-02T00:00:00"/>
    <s v="الاثنين "/>
    <x v="8"/>
    <s v="حامد عطوان      "/>
    <s v="صيانة غرفة الطلمبات  "/>
    <s v="تم العمل"/>
    <d v="1899-12-30T10:00:00"/>
    <d v="1899-12-30T17:00:00"/>
    <n v="0.29166666666666669"/>
    <x v="3"/>
    <n v="7"/>
  </r>
  <r>
    <x v="11"/>
    <d v="2024-12-02T00:00:00"/>
    <s v="الاثنين "/>
    <x v="0"/>
    <s v="مراد صالح"/>
    <s v="استكمال اعمال خزان الحريق "/>
    <s v="تم العمل"/>
    <d v="1899-12-30T08:00:00"/>
    <d v="1899-12-30T17:00:00"/>
    <n v="0.37500000000000006"/>
    <x v="0"/>
    <n v="9.0000000000000018"/>
  </r>
  <r>
    <x v="11"/>
    <d v="2024-12-02T00:00:00"/>
    <s v="الاثنين "/>
    <x v="0"/>
    <s v="ابراهيم سعد"/>
    <s v="انشائات"/>
    <s v="تم العمل"/>
    <d v="1899-12-30T09:30:00"/>
    <d v="1899-12-30T18:00:00"/>
    <n v="0.35416666666666669"/>
    <x v="2"/>
    <n v="8.5"/>
  </r>
  <r>
    <x v="11"/>
    <d v="2024-12-03T00:00:00"/>
    <s v="الثلاثاء "/>
    <x v="14"/>
    <s v="انس احمد  "/>
    <s v="تركيب مصاعد"/>
    <s v="تم العمل"/>
    <d v="1899-12-30T10:00:00"/>
    <d v="1899-12-30T17:30:00"/>
    <n v="0.31249999999999994"/>
    <x v="1"/>
    <n v="7.4999999999999982"/>
  </r>
  <r>
    <x v="11"/>
    <d v="2024-12-03T00:00:00"/>
    <s v="الثلاثاء "/>
    <x v="8"/>
    <s v="حامد عطوان"/>
    <s v="صيانة غرفة الطلمبات  "/>
    <s v="تم العمل"/>
    <d v="1899-12-30T10:00:00"/>
    <d v="1899-12-30T11:00:00"/>
    <n v="4.166666666666663E-2"/>
    <x v="3"/>
    <n v="0.99999999999999911"/>
  </r>
  <r>
    <x v="11"/>
    <d v="2024-12-03T00:00:00"/>
    <s v="الثلاثاء "/>
    <x v="0"/>
    <s v="محمد صلاح "/>
    <s v="استكمال اعمال خزان الحريق "/>
    <s v="تم العمل"/>
    <d v="1899-12-30T08:00:00"/>
    <d v="1899-12-30T17:00:00"/>
    <n v="0.37500000000000006"/>
    <x v="0"/>
    <n v="9.0000000000000018"/>
  </r>
  <r>
    <x v="11"/>
    <d v="2024-12-03T00:00:00"/>
    <s v="الثلاثاء "/>
    <x v="0"/>
    <s v="ابراهيم سعد"/>
    <s v="انشائات"/>
    <s v="تم العمل"/>
    <d v="1899-12-30T09:30:00"/>
    <d v="1899-12-30T18:00:00"/>
    <n v="0.35416666666666669"/>
    <x v="2"/>
    <n v="8.5"/>
  </r>
  <r>
    <x v="11"/>
    <d v="2024-12-04T00:00:00"/>
    <s v="الاربعاء "/>
    <x v="14"/>
    <s v="انس احمد  "/>
    <s v="تركيب مصاعد"/>
    <s v="تم العمل"/>
    <d v="1899-12-30T10:00:00"/>
    <d v="1899-12-30T17:00:00"/>
    <n v="0.29166666666666635"/>
    <x v="1"/>
    <n v="6.9999999999999929"/>
  </r>
  <r>
    <x v="11"/>
    <d v="2024-12-04T00:00:00"/>
    <s v="الاربعاء "/>
    <x v="0"/>
    <s v="محمد صلاح "/>
    <s v="استكمال اعمال خزان الحريق "/>
    <s v="تم العمل"/>
    <d v="1899-12-30T08:00:00"/>
    <d v="1899-12-30T17:00:00"/>
    <n v="0.37500000000000006"/>
    <x v="0"/>
    <n v="9.0000000000000018"/>
  </r>
  <r>
    <x v="11"/>
    <d v="2024-12-04T00:00:00"/>
    <s v="الاربعاء "/>
    <x v="0"/>
    <s v="ابراهيم سعد"/>
    <s v="انشائات   "/>
    <s v="تم العمل"/>
    <d v="1899-12-30T13:00:00"/>
    <d v="1899-12-30T18:00:00"/>
    <n v="0.20833333333333337"/>
    <x v="2"/>
    <n v="5.0000000000000009"/>
  </r>
  <r>
    <x v="11"/>
    <d v="2024-12-05T00:00:00"/>
    <s v="الخميس "/>
    <x v="0"/>
    <s v="مراد صالح"/>
    <s v="استكمال اعمال خزان الحريق "/>
    <s v="تم العمل"/>
    <d v="1899-12-30T08:00:00"/>
    <d v="1899-12-30T17:00:00"/>
    <n v="0.37500000000000006"/>
    <x v="0"/>
    <n v="9.0000000000000018"/>
  </r>
  <r>
    <x v="11"/>
    <d v="2024-12-05T00:00:00"/>
    <s v="الخميس "/>
    <x v="64"/>
    <s v="خليل محمود"/>
    <s v="اعمل سباكة"/>
    <s v="تم العمل"/>
    <d v="1899-12-30T10:00:00"/>
    <d v="1899-12-30T13:30:00"/>
    <n v="0.14583333333333331"/>
    <x v="3"/>
    <n v="3.4999999999999996"/>
  </r>
  <r>
    <x v="11"/>
    <d v="2024-12-05T00:00:00"/>
    <s v="الخميس "/>
    <x v="13"/>
    <s v="اسلام مصطفى    "/>
    <s v="صيانة ماكينة CTP"/>
    <s v="تم العمل"/>
    <d v="1899-12-30T12:30:00"/>
    <d v="1899-12-30T17:00:00"/>
    <n v="0.1875"/>
    <x v="3"/>
    <n v="4.5"/>
  </r>
  <r>
    <x v="11"/>
    <d v="2024-12-07T00:00:00"/>
    <s v="السبت "/>
    <x v="14"/>
    <s v="انس احمد  "/>
    <s v="تركيب مصاعد"/>
    <s v="تم العمل"/>
    <d v="1899-12-30T10:00:00"/>
    <d v="1899-12-30T17:00:00"/>
    <n v="0.29166666666666635"/>
    <x v="1"/>
    <n v="6.9999999999999929"/>
  </r>
  <r>
    <x v="11"/>
    <d v="2024-12-07T00:00:00"/>
    <s v="السبت "/>
    <x v="7"/>
    <s v="محمد مهنى  "/>
    <s v="مكافحة قوارض وحشرات"/>
    <s v="تم العمل"/>
    <d v="1899-12-30T11:00:00"/>
    <d v="1899-12-30T13:30:00"/>
    <n v="0.10416666666666702"/>
    <x v="3"/>
    <n v="2.5000000000000084"/>
  </r>
  <r>
    <x v="11"/>
    <d v="2024-12-07T00:00:00"/>
    <s v="السبت "/>
    <x v="11"/>
    <s v="احمد شعبان "/>
    <s v="صيانة كلارك"/>
    <s v="تم العمل"/>
    <d v="1899-12-30T16:30:00"/>
    <d v="1899-12-30T17:30:00"/>
    <n v="4.166666666666663E-2"/>
    <x v="3"/>
    <n v="0.99999999999999911"/>
  </r>
  <r>
    <x v="11"/>
    <d v="2024-12-07T00:00:00"/>
    <s v="السبت "/>
    <x v="0"/>
    <s v="مراد صالح"/>
    <s v="استكمال اعمال خزان الحريق "/>
    <s v="تم العمل"/>
    <d v="1899-12-30T08:00:00"/>
    <d v="1899-12-30T17:00:00"/>
    <n v="0.37500000000000006"/>
    <x v="0"/>
    <n v="9.0000000000000018"/>
  </r>
  <r>
    <x v="11"/>
    <d v="2024-12-07T00:00:00"/>
    <s v="السبت "/>
    <x v="65"/>
    <s v="محمد علي "/>
    <s v="تركيب تكييف"/>
    <s v="تم العمل"/>
    <d v="1899-12-30T11:00:00"/>
    <d v="1899-12-30T18:00:00"/>
    <n v="0.29166666666666669"/>
    <x v="2"/>
    <n v="7"/>
  </r>
  <r>
    <x v="11"/>
    <d v="2024-12-07T00:00:00"/>
    <s v="السبت "/>
    <x v="0"/>
    <s v="محمد زنفل  "/>
    <s v="انشائات"/>
    <s v="تم العمل"/>
    <d v="1899-12-30T10:00:00"/>
    <d v="1899-12-30T18:00:00"/>
    <n v="0.33333333333333331"/>
    <x v="2"/>
    <n v="8"/>
  </r>
  <r>
    <x v="11"/>
    <d v="2024-12-08T00:00:00"/>
    <s v="الاحد "/>
    <x v="8"/>
    <s v="علي الشحات "/>
    <s v="المرور الشهري على نظام الانذار"/>
    <s v="تم العمل"/>
    <d v="1899-12-30T11:00:00"/>
    <d v="1899-12-30T13:30:00"/>
    <n v="0.10416666666666702"/>
    <x v="3"/>
    <n v="2.5000000000000084"/>
  </r>
  <r>
    <x v="11"/>
    <d v="2024-12-08T00:00:00"/>
    <s v="الاحد "/>
    <x v="14"/>
    <s v="انس احمد  "/>
    <s v="تركيب مصاعد"/>
    <s v="تم العمل"/>
    <d v="1899-12-30T10:00:00"/>
    <d v="1899-12-30T17:00:00"/>
    <n v="0.29166666666666669"/>
    <x v="1"/>
    <n v="7"/>
  </r>
  <r>
    <x v="11"/>
    <d v="2024-12-08T00:00:00"/>
    <s v="الاحد "/>
    <x v="8"/>
    <s v="علي الشحات "/>
    <s v="المرور الشهري على نظام الانذار"/>
    <s v="تم العمل"/>
    <d v="1899-12-30T10:00:00"/>
    <d v="1899-12-30T11:00:00"/>
    <n v="4.166666666666663E-2"/>
    <x v="1"/>
    <n v="0.99999999999999911"/>
  </r>
  <r>
    <x v="11"/>
    <d v="2024-12-08T00:00:00"/>
    <s v="الاحد "/>
    <x v="7"/>
    <s v="محمد احمد"/>
    <s v="مكافحة قوارض وحشرات"/>
    <s v="تم العمل"/>
    <d v="1899-12-30T14:00:00"/>
    <d v="1899-12-30T15:00:00"/>
    <n v="4.166666666666663E-2"/>
    <x v="1"/>
    <n v="0.99999999999999911"/>
  </r>
  <r>
    <x v="11"/>
    <d v="2024-12-08T00:00:00"/>
    <s v="الاحد "/>
    <x v="0"/>
    <s v="مراد صالح"/>
    <s v="استكمال اعمال خزان الحريق "/>
    <s v="تم العمل"/>
    <d v="1899-12-30T08:00:00"/>
    <d v="1899-12-30T17:00:00"/>
    <n v="0.37500000000000006"/>
    <x v="0"/>
    <n v="9.0000000000000018"/>
  </r>
  <r>
    <x v="11"/>
    <d v="2024-12-08T00:00:00"/>
    <s v="الاحد "/>
    <x v="8"/>
    <s v="علي الشحات "/>
    <s v="المرور الشهري على نظام الانذار"/>
    <s v="تم العمل"/>
    <d v="1899-12-30T13:00:00"/>
    <d v="1899-12-30T14:00:00"/>
    <n v="4.1666666666666741E-2"/>
    <x v="0"/>
    <n v="1.0000000000000018"/>
  </r>
  <r>
    <x v="11"/>
    <d v="2024-12-08T00:00:00"/>
    <s v="الاحد "/>
    <x v="64"/>
    <s v="عمرو عصام"/>
    <s v="صيانة كلاركات "/>
    <s v="تم العمل"/>
    <d v="1899-12-30T14:00:00"/>
    <d v="1899-12-30T15:00:00"/>
    <n v="4.1666666666666963E-2"/>
    <x v="0"/>
    <n v="1.0000000000000071"/>
  </r>
  <r>
    <x v="11"/>
    <d v="2024-12-08T00:00:00"/>
    <s v="الاحد "/>
    <x v="8"/>
    <s v="حامد ابو المجد "/>
    <s v="المرور الشهري على نظام الانذار"/>
    <s v="تم العمل"/>
    <d v="1899-12-30T14:30:00"/>
    <d v="1899-12-30T16:00:00"/>
    <n v="6.25E-2"/>
    <x v="0"/>
    <n v="1.5"/>
  </r>
  <r>
    <x v="11"/>
    <d v="2024-12-08T00:00:00"/>
    <s v="الاحد "/>
    <x v="7"/>
    <s v="احمد محمد "/>
    <s v="مكافحة قوارض وحشرات"/>
    <s v="تم العمل"/>
    <d v="1899-12-30T15:30:00"/>
    <d v="1899-12-30T16:30:00"/>
    <n v="4.1666666666666963E-2"/>
    <x v="0"/>
    <n v="1.0000000000000071"/>
  </r>
  <r>
    <x v="11"/>
    <d v="2024-12-08T00:00:00"/>
    <s v="الاحد "/>
    <x v="0"/>
    <s v="ابراهيم سعد"/>
    <s v="انشائات   "/>
    <s v="تم العمل"/>
    <d v="1899-12-30T10:00:00"/>
    <d v="1899-12-30T20:00:00"/>
    <n v="0.41666666666666669"/>
    <x v="2"/>
    <n v="10"/>
  </r>
  <r>
    <x v="11"/>
    <d v="2024-12-09T00:00:00"/>
    <s v="الاثنين "/>
    <x v="0"/>
    <s v="ابراهيم سعد"/>
    <s v="انشائات   "/>
    <s v="تم العمل"/>
    <d v="1899-12-30T10:00:00"/>
    <d v="1899-12-30T18:00:00"/>
    <n v="0.33333333333333331"/>
    <x v="2"/>
    <n v="8"/>
  </r>
  <r>
    <x v="11"/>
    <d v="2024-12-09T00:00:00"/>
    <s v="الاثنين "/>
    <x v="0"/>
    <s v="مراد صالح"/>
    <s v="استكمال اعمال خزان الحريق "/>
    <s v="تم العمل"/>
    <d v="1899-12-30T08:00:00"/>
    <d v="1899-12-30T17:00:00"/>
    <n v="0.37500000000000006"/>
    <x v="0"/>
    <n v="9.0000000000000018"/>
  </r>
  <r>
    <x v="11"/>
    <d v="2024-12-09T00:00:00"/>
    <s v="الاثنين "/>
    <x v="14"/>
    <s v="انس احمد  "/>
    <s v="تركيب مصاعد"/>
    <s v="تم العمل"/>
    <d v="1899-12-30T10:00:00"/>
    <d v="1899-12-30T20:00:00"/>
    <n v="0.41666666666666669"/>
    <x v="1"/>
    <n v="10"/>
  </r>
  <r>
    <x v="11"/>
    <d v="2024-12-10T00:00:00"/>
    <s v="الثلاثاء "/>
    <x v="0"/>
    <s v="ابراهيم سعد"/>
    <s v="انشائات   "/>
    <s v="تم العمل"/>
    <d v="1899-12-30T10:00:00"/>
    <d v="1899-12-30T18:00:00"/>
    <n v="0.33333333333333331"/>
    <x v="2"/>
    <n v="8"/>
  </r>
  <r>
    <x v="11"/>
    <d v="2024-12-10T00:00:00"/>
    <s v="الثلاثاء "/>
    <x v="7"/>
    <s v="اسلام ابراهيم "/>
    <s v="مكافحة الحشرات "/>
    <s v="تم العمل"/>
    <d v="1899-12-30T16:30:00"/>
    <d v="1899-12-30T17:30:00"/>
    <n v="4.166666666666663E-2"/>
    <x v="3"/>
    <n v="0.99999999999999911"/>
  </r>
  <r>
    <x v="11"/>
    <d v="2024-12-11T00:00:00"/>
    <s v="الاربعاء "/>
    <x v="34"/>
    <s v="رامي محمد"/>
    <s v="صيانة شبابيك الالمونتال "/>
    <s v="تم العمل"/>
    <d v="1899-12-30T14:30:00"/>
    <d v="1899-12-30T16:00:00"/>
    <n v="6.25E-2"/>
    <x v="3"/>
    <n v="1.5"/>
  </r>
  <r>
    <x v="11"/>
    <d v="2024-12-11T00:00:00"/>
    <s v="الاربعاء "/>
    <x v="5"/>
    <s v="محمود عويس"/>
    <s v="صيانة ثلاجة تبريد "/>
    <s v="تم العمل"/>
    <d v="1899-12-30T10:30:00"/>
    <d v="1899-12-30T12:30:00"/>
    <n v="8.333333333333337E-2"/>
    <x v="3"/>
    <n v="2.0000000000000009"/>
  </r>
  <r>
    <x v="11"/>
    <d v="2024-12-11T00:00:00"/>
    <s v="الاربعاء "/>
    <x v="0"/>
    <s v="محمد صلاح "/>
    <s v="استكمال اعمال خزان الحريق "/>
    <s v="تم العمل"/>
    <d v="1899-12-30T08:00:00"/>
    <d v="1899-12-30T17:00:00"/>
    <n v="0.37500000000000006"/>
    <x v="0"/>
    <n v="9.0000000000000018"/>
  </r>
  <r>
    <x v="11"/>
    <d v="2024-12-12T00:00:00"/>
    <s v="الخميس "/>
    <x v="0"/>
    <s v="محمد صلاح "/>
    <s v="استكمال اعمال خزان الحريق "/>
    <s v="تم العمل"/>
    <d v="1899-12-30T08:00:00"/>
    <d v="1899-12-30T17:00:00"/>
    <n v="0.37500000000000006"/>
    <x v="0"/>
    <n v="9.0000000000000018"/>
  </r>
  <r>
    <x v="11"/>
    <d v="2024-12-14T00:00:00"/>
    <s v="السبت "/>
    <x v="10"/>
    <s v="فرج محمد "/>
    <s v="تركيب فراشة بالشارع  "/>
    <s v="تم العمل"/>
    <d v="1899-12-30T10:00:00"/>
    <d v="1899-12-30T18:00:00"/>
    <n v="0.33333333333333331"/>
    <x v="0"/>
    <n v="8"/>
  </r>
  <r>
    <x v="11"/>
    <d v="2024-12-14T00:00:00"/>
    <s v="السبت "/>
    <x v="14"/>
    <s v="انس احمد  "/>
    <s v="تركيب مصاعد"/>
    <s v="تم العمل"/>
    <d v="1899-12-30T10:00:00"/>
    <d v="1899-12-30T17:00:00"/>
    <n v="0.29166666666666669"/>
    <x v="1"/>
    <n v="7"/>
  </r>
  <r>
    <x v="11"/>
    <d v="2024-12-14T00:00:00"/>
    <s v="السبت "/>
    <x v="11"/>
    <s v="احمد شعبان "/>
    <s v="صيانة كلارك"/>
    <s v="تم العمل"/>
    <d v="1899-12-30T13:00:00"/>
    <d v="1899-12-30T17:30:00"/>
    <n v="0.1875"/>
    <x v="4"/>
    <n v="4.5"/>
  </r>
  <r>
    <x v="11"/>
    <d v="2024-12-14T00:00:00"/>
    <s v="السبت "/>
    <x v="0"/>
    <s v="يحيى طه"/>
    <s v="تركيب سيراميك"/>
    <s v="تم العمل"/>
    <d v="1899-12-30T09:00:00"/>
    <d v="1899-12-30T19:00:00"/>
    <n v="0.41666666666666663"/>
    <x v="2"/>
    <n v="10"/>
  </r>
  <r>
    <x v="11"/>
    <d v="2024-12-14T00:00:00"/>
    <s v="السبت "/>
    <x v="0"/>
    <s v="يحيى طه"/>
    <s v="توصيل كابلات"/>
    <s v="تم العمل"/>
    <d v="1899-12-30T09:30:00"/>
    <d v="1899-12-30T22:00:00"/>
    <n v="0.52083333333333326"/>
    <x v="2"/>
    <n v="12.499999999999998"/>
  </r>
  <r>
    <x v="11"/>
    <d v="2024-12-14T00:00:00"/>
    <s v="السبت "/>
    <x v="65"/>
    <s v="وليد فتحي"/>
    <s v="تركيب تكييفات"/>
    <s v="تم العمل"/>
    <d v="1899-12-30T11:30:00"/>
    <d v="1899-12-30T12:00:00"/>
    <n v="2.0833333333333315E-2"/>
    <x v="2"/>
    <n v="0.49999999999999956"/>
  </r>
  <r>
    <x v="11"/>
    <d v="2024-12-15T00:00:00"/>
    <s v="الاحد "/>
    <x v="34"/>
    <s v="رامي محمد"/>
    <s v="تركيب الوميتال"/>
    <s v="تم العمل"/>
    <d v="1899-12-30T14:00:00"/>
    <d v="1899-12-30T17:00:00"/>
    <n v="0.125"/>
    <x v="3"/>
    <n v="3"/>
  </r>
  <r>
    <x v="11"/>
    <d v="2024-12-15T00:00:00"/>
    <s v="الاحد "/>
    <x v="7"/>
    <s v="محمد مهنى  "/>
    <s v="مكافحة القوارض والحشرات"/>
    <s v="تم العمل"/>
    <d v="1899-12-30T13:00:00"/>
    <d v="1899-12-30T16:00:00"/>
    <n v="0.125"/>
    <x v="3"/>
    <n v="3"/>
  </r>
  <r>
    <x v="11"/>
    <d v="2024-12-15T00:00:00"/>
    <s v="الاحد "/>
    <x v="14"/>
    <s v="انس احمد  "/>
    <s v="تركيب مصاعد"/>
    <s v="تم العمل"/>
    <d v="1899-12-30T10:00:00"/>
    <d v="1899-12-30T16:00:00"/>
    <n v="0.24999999999999994"/>
    <x v="1"/>
    <n v="5.9999999999999982"/>
  </r>
  <r>
    <x v="11"/>
    <d v="2024-12-15T00:00:00"/>
    <s v="الاحد "/>
    <x v="5"/>
    <s v="احمد سعيد"/>
    <s v="اعمال سباكة "/>
    <s v="تم العمل"/>
    <d v="1899-12-30T13:00:00"/>
    <d v="1899-12-30T17:00:00"/>
    <n v="0.16666666666666641"/>
    <x v="0"/>
    <n v="3.9999999999999938"/>
  </r>
  <r>
    <x v="11"/>
    <d v="2024-12-15T00:00:00"/>
    <s v="الاحد "/>
    <x v="10"/>
    <s v="احمد فرج"/>
    <s v="اعمال فراشة"/>
    <s v="تم العمل"/>
    <d v="1899-12-30T10:00:00"/>
    <d v="1899-12-30T17:00:00"/>
    <n v="0.29166666666666669"/>
    <x v="0"/>
    <n v="7"/>
  </r>
  <r>
    <x v="11"/>
    <d v="2024-12-15T00:00:00"/>
    <s v="الاحد "/>
    <x v="0"/>
    <s v="مراد صالح"/>
    <s v="استكمال اعمال خزان الحريق "/>
    <s v="تم العمل"/>
    <d v="1899-12-30T08:00:00"/>
    <d v="1899-12-30T17:00:00"/>
    <n v="0.37500000000000006"/>
    <x v="0"/>
    <n v="9.0000000000000018"/>
  </r>
  <r>
    <x v="11"/>
    <d v="2024-12-15T00:00:00"/>
    <s v="الاحد "/>
    <x v="0"/>
    <s v="وائل انور مصطفى  "/>
    <s v="اعمال دهانات"/>
    <s v="تم العمل"/>
    <d v="1899-12-30T11:00:00"/>
    <d v="1899-12-30T17:30:00"/>
    <n v="0.27083333333333331"/>
    <x v="2"/>
    <n v="6.5"/>
  </r>
  <r>
    <x v="11"/>
    <d v="2024-12-15T00:00:00"/>
    <s v="الاحد "/>
    <x v="0"/>
    <s v="وائل انور مصطفى  "/>
    <s v="اعمال سباكة "/>
    <s v="تم العمل"/>
    <d v="1899-12-30T11:00:00"/>
    <d v="1899-12-30T17:30:00"/>
    <n v="0.27083333333333331"/>
    <x v="2"/>
    <n v="6.5"/>
  </r>
  <r>
    <x v="11"/>
    <d v="2024-12-16T00:00:00"/>
    <s v="الاثنين "/>
    <x v="14"/>
    <s v="انس احمد  "/>
    <s v="تركيب مصاعد"/>
    <s v="تم العمل"/>
    <d v="1899-12-30T10:00:00"/>
    <d v="1899-12-30T17:00:00"/>
    <n v="0.29166666666666669"/>
    <x v="1"/>
    <n v="7"/>
  </r>
  <r>
    <x v="11"/>
    <d v="2024-12-16T00:00:00"/>
    <s v="الاثنين "/>
    <x v="0"/>
    <s v="محمد زنفل  "/>
    <s v="انشائات"/>
    <s v="تم العمل"/>
    <d v="1899-12-30T10:00:00"/>
    <d v="1899-12-30T13:00:00"/>
    <n v="0.12499999999999994"/>
    <x v="2"/>
    <n v="2.9999999999999987"/>
  </r>
  <r>
    <x v="11"/>
    <d v="2024-12-16T00:00:00"/>
    <s v="الاثنين "/>
    <x v="10"/>
    <s v="احمد فرج"/>
    <s v="اعمال فراشة"/>
    <s v="تم العمل"/>
    <d v="1899-12-30T10:00:00"/>
    <d v="1899-12-30T17:00:00"/>
    <n v="0.29166666666666669"/>
    <x v="0"/>
    <n v="7"/>
  </r>
  <r>
    <x v="11"/>
    <d v="2024-12-16T00:00:00"/>
    <s v="الاثنين "/>
    <x v="0"/>
    <s v="مراد صالح"/>
    <s v="استكمال اعمال خزان الحريق "/>
    <s v="تم العمل"/>
    <d v="1899-12-30T08:00:00"/>
    <d v="1899-12-30T17:00:00"/>
    <n v="0.37500000000000006"/>
    <x v="0"/>
    <n v="9.0000000000000018"/>
  </r>
  <r>
    <x v="11"/>
    <d v="2024-12-16T00:00:00"/>
    <s v="الاثنين "/>
    <x v="11"/>
    <s v="محمد رمضان   "/>
    <s v="عمل صيانة كلاركات "/>
    <s v="تم العمل"/>
    <d v="1899-12-30T16:00:00"/>
    <d v="1899-12-30T17:30:00"/>
    <n v="6.25E-2"/>
    <x v="4"/>
    <n v="1.5"/>
  </r>
  <r>
    <x v="11"/>
    <d v="2024-12-16T00:00:00"/>
    <s v="الاثنين "/>
    <x v="5"/>
    <s v="محمد خليل     "/>
    <s v="تركيب كشاف كهرباء  "/>
    <s v="تم العمل"/>
    <d v="1899-12-30T11:30:00"/>
    <d v="1899-12-30T12:00:00"/>
    <n v="2.0833333333333315E-2"/>
    <x v="3"/>
    <n v="0.49999999999999956"/>
  </r>
  <r>
    <x v="11"/>
    <d v="2024-12-17T00:00:00"/>
    <s v="الثلاثاء "/>
    <x v="6"/>
    <s v="حسام جنات"/>
    <s v="صيانةكشاف كهربئي"/>
    <s v="تم العمل"/>
    <d v="1899-12-30T15:00:00"/>
    <d v="1899-12-30T17:00:00"/>
    <n v="8.333333333333337E-2"/>
    <x v="3"/>
    <n v="2.0000000000000009"/>
  </r>
  <r>
    <x v="11"/>
    <d v="2024-12-17T00:00:00"/>
    <s v="الثلاثاء "/>
    <x v="6"/>
    <s v="محمد على"/>
    <s v="صيانة كالاركات"/>
    <s v="تم العمل"/>
    <d v="1899-12-30T15:00:00"/>
    <d v="1899-12-30T17:00:00"/>
    <n v="8.333333333333337E-2"/>
    <x v="1"/>
    <n v="2.0000000000000009"/>
  </r>
  <r>
    <x v="11"/>
    <d v="2024-12-17T00:00:00"/>
    <s v="الثلاثاء "/>
    <x v="5"/>
    <s v="احمد سعيد"/>
    <s v="صيانة كاتور المياة"/>
    <s v="تم العمل"/>
    <d v="1899-12-30T11:00:00"/>
    <d v="1899-12-30T14:00:00"/>
    <n v="0.12500000000000006"/>
    <x v="0"/>
    <n v="3.0000000000000013"/>
  </r>
  <r>
    <x v="11"/>
    <d v="2024-12-17T00:00:00"/>
    <s v="الثلاثاء "/>
    <x v="20"/>
    <s v="خالد ممدوح"/>
    <s v="معاينة نظام الانذار"/>
    <s v="تم العمل"/>
    <d v="1899-12-30T13:00:00"/>
    <d v="1899-12-30T14:00:00"/>
    <n v="4.1666666666666741E-2"/>
    <x v="2"/>
    <n v="1.0000000000000018"/>
  </r>
  <r>
    <x v="11"/>
    <d v="2024-12-17T00:00:00"/>
    <s v="الثلاثاء "/>
    <x v="10"/>
    <s v="احمد فرج"/>
    <s v="اعمال فراشة"/>
    <s v="تم العمل"/>
    <d v="1899-12-30T09:00:00"/>
    <d v="1899-12-30T17:00:00"/>
    <n v="0.33333333333333337"/>
    <x v="0"/>
    <n v="8"/>
  </r>
  <r>
    <x v="11"/>
    <d v="2024-12-17T00:00:00"/>
    <s v="الثلاثاء "/>
    <x v="0"/>
    <s v="يحيى طه"/>
    <s v="توصيل كابلات"/>
    <s v="تم العمل"/>
    <d v="1899-12-30T11:00:00"/>
    <d v="1899-12-30T17:30:00"/>
    <n v="0.27083333333333331"/>
    <x v="2"/>
    <n v="6.5"/>
  </r>
  <r>
    <x v="11"/>
    <d v="2024-12-18T00:00:00"/>
    <s v="الاربعاء "/>
    <x v="61"/>
    <s v="سيد عادل"/>
    <s v="تركيبات"/>
    <s v="تم العمل"/>
    <d v="1899-12-30T16:30:00"/>
    <d v="1899-12-30T22:00:00"/>
    <n v="0.22916666666666663"/>
    <x v="2"/>
    <n v="5.4999999999999991"/>
  </r>
  <r>
    <x v="11"/>
    <d v="2024-12-18T00:00:00"/>
    <s v="الاربعاء "/>
    <x v="28"/>
    <s v="اسلام حسين"/>
    <s v="تركيب تكيفات"/>
    <s v="تم العمل"/>
    <d v="1899-12-30T10:30:00"/>
    <d v="1899-12-30T15:30:00"/>
    <n v="0.20833333333333337"/>
    <x v="2"/>
    <n v="5.0000000000000009"/>
  </r>
  <r>
    <x v="11"/>
    <d v="2024-12-18T00:00:00"/>
    <s v="الاربعاء "/>
    <x v="0"/>
    <s v="يحيى طه"/>
    <s v="توصيل كابلات"/>
    <s v="تم العمل"/>
    <d v="1899-12-30T10:00:00"/>
    <d v="1899-12-30T18:00:00"/>
    <n v="0.33333333333333331"/>
    <x v="2"/>
    <n v="8"/>
  </r>
  <r>
    <x v="11"/>
    <d v="2024-12-18T00:00:00"/>
    <s v="الاربعاء "/>
    <x v="5"/>
    <s v="محمد النقيب "/>
    <s v="صيانة فيشة كهربائية"/>
    <s v="تم العمل"/>
    <d v="1899-12-30T13:00:00"/>
    <d v="1899-12-30T14:00:00"/>
    <n v="4.1666666666666741E-2"/>
    <x v="1"/>
    <n v="1.0000000000000018"/>
  </r>
  <r>
    <x v="11"/>
    <d v="2024-12-18T00:00:00"/>
    <s v="الاربعاء "/>
    <x v="10"/>
    <s v="احمد فرج"/>
    <s v="اعمال فراشة"/>
    <s v="تم العمل"/>
    <d v="1899-12-30T10:00:00"/>
    <d v="1899-12-30T17:00:00"/>
    <n v="0.29166666666666669"/>
    <x v="0"/>
    <n v="7"/>
  </r>
  <r>
    <x v="11"/>
    <d v="2024-12-19T00:00:00"/>
    <s v="الخميس "/>
    <x v="0"/>
    <s v="محمد زنفل  "/>
    <s v="دهانات "/>
    <s v="تم العمل"/>
    <d v="1899-12-30T10:00:00"/>
    <d v="1899-12-30T18:00:00"/>
    <n v="0.33333333333333331"/>
    <x v="2"/>
    <n v="8"/>
  </r>
  <r>
    <x v="11"/>
    <d v="2024-12-19T00:00:00"/>
    <s v="الخميس "/>
    <x v="10"/>
    <s v="احمد فرج"/>
    <s v="اعمال فراشة"/>
    <s v="تم العمل"/>
    <d v="1899-12-30T10:00:00"/>
    <d v="1899-12-30T17:30:00"/>
    <n v="0.31249999999999994"/>
    <x v="0"/>
    <n v="7.4999999999999982"/>
  </r>
  <r>
    <x v="11"/>
    <d v="2024-12-19T00:00:00"/>
    <s v="الخميس "/>
    <x v="0"/>
    <s v="مراد صالح"/>
    <s v="استكمال اعمال خزان الحريق "/>
    <s v="تم العمل"/>
    <d v="1899-12-30T10:00:00"/>
    <d v="1899-12-30T12:00:00"/>
    <n v="8.3333333333333315E-2"/>
    <x v="0"/>
    <n v="1.9999999999999996"/>
  </r>
  <r>
    <x v="11"/>
    <d v="2024-12-20T00:00:00"/>
    <s v="الجمعة "/>
    <x v="10"/>
    <s v="احمد فرج"/>
    <s v="اعمال فراشة"/>
    <s v="تم العمل"/>
    <d v="1899-12-30T11:00:00"/>
    <d v="1899-12-30T17:30:00"/>
    <n v="0.27083333333333331"/>
    <x v="0"/>
    <n v="6.5"/>
  </r>
  <r>
    <x v="11"/>
    <d v="2024-12-21T00:00:00"/>
    <s v="السبت "/>
    <x v="0"/>
    <s v="محمد على"/>
    <s v="صيانة شبابيك الالمونتال "/>
    <s v="تم العمل"/>
    <d v="1899-12-30T11:00:00"/>
    <d v="1899-12-30T17:00:00"/>
    <n v="0.25000000000000006"/>
    <x v="1"/>
    <n v="6.0000000000000018"/>
  </r>
  <r>
    <x v="11"/>
    <d v="2024-12-21T00:00:00"/>
    <s v="السبت "/>
    <x v="0"/>
    <s v="محمد زنفل  "/>
    <s v="دهانات "/>
    <s v="تم العمل"/>
    <d v="1899-12-30T09:30:00"/>
    <d v="1899-12-30T18:00:00"/>
    <n v="0.35416666666666669"/>
    <x v="2"/>
    <n v="8.5"/>
  </r>
  <r>
    <x v="11"/>
    <d v="2024-12-21T00:00:00"/>
    <s v="السبت "/>
    <x v="14"/>
    <s v="انس احمد  "/>
    <s v="تركيب مصاعد"/>
    <s v="تم العمل"/>
    <d v="1899-12-30T09:00:00"/>
    <d v="1899-12-30T17:00:00"/>
    <n v="0.33333333333333337"/>
    <x v="1"/>
    <n v="8"/>
  </r>
  <r>
    <x v="11"/>
    <d v="2024-12-21T00:00:00"/>
    <s v="السبت "/>
    <x v="10"/>
    <s v="احمد فرج"/>
    <s v="اعمال فراشة"/>
    <s v="تم العمل"/>
    <d v="1899-12-30T10:00:00"/>
    <d v="1899-12-30T17:00:00"/>
    <n v="0.29166666666666669"/>
    <x v="0"/>
    <n v="7"/>
  </r>
  <r>
    <x v="11"/>
    <d v="2024-12-21T00:00:00"/>
    <s v="السبت "/>
    <x v="0"/>
    <s v="مراد صالح"/>
    <s v="استكمال اعمال خزان الحريق "/>
    <s v="تم العمل"/>
    <d v="1899-12-30T08:00:00"/>
    <d v="1899-12-30T17:00:00"/>
    <n v="0.37500000000000006"/>
    <x v="0"/>
    <n v="9.0000000000000018"/>
  </r>
  <r>
    <x v="11"/>
    <d v="2024-12-22T00:00:00"/>
    <s v="الاحد "/>
    <x v="8"/>
    <s v="حامد ابو المحاميد "/>
    <s v="الزيارة  الشهرية المرور على خط الحريق  "/>
    <s v="تم العمل"/>
    <d v="1899-12-30T11:30:00"/>
    <d v="1899-12-30T13:00:00"/>
    <e v="#REF!"/>
    <x v="3"/>
    <e v="#REF!"/>
  </r>
  <r>
    <x v="11"/>
    <d v="2024-12-21T00:00:00"/>
    <s v="الاحد "/>
    <x v="0"/>
    <s v="محمد زنفل  "/>
    <s v="دهانات "/>
    <s v="تم العمل"/>
    <d v="1899-12-30T10:00:00"/>
    <d v="1899-12-30T18:00:00"/>
    <n v="0.33333333333333331"/>
    <x v="2"/>
    <n v="8"/>
  </r>
  <r>
    <x v="11"/>
    <d v="2024-12-22T00:00:00"/>
    <s v="الاحد "/>
    <x v="10"/>
    <s v="احمد فرج"/>
    <s v="اعمال فراشة"/>
    <s v="تم العمل"/>
    <d v="1899-12-30T09:00:00"/>
    <d v="1899-12-30T17:00:00"/>
    <n v="0.33333333333333337"/>
    <x v="0"/>
    <n v="8"/>
  </r>
  <r>
    <x v="11"/>
    <d v="2024-12-23T00:00:00"/>
    <s v="الاثنين "/>
    <x v="0"/>
    <s v="مراد صالح"/>
    <s v="استكمال اعمال خزان الحريق "/>
    <s v="تم العمل"/>
    <d v="1899-12-30T08:00:00"/>
    <d v="1899-12-30T17:00:00"/>
    <n v="0.37500000000000006"/>
    <x v="0"/>
    <n v="9.0000000000000018"/>
  </r>
  <r>
    <x v="11"/>
    <d v="2024-12-23T00:00:00"/>
    <s v="الاثنين "/>
    <x v="6"/>
    <s v="محمد على"/>
    <s v="صيانة كالاركات"/>
    <s v="تم العمل"/>
    <d v="1899-12-30T13:00:00"/>
    <d v="1899-12-30T14:00:00"/>
    <n v="4.1666666666666741E-2"/>
    <x v="1"/>
    <n v="1.0000000000000018"/>
  </r>
  <r>
    <x v="11"/>
    <d v="2024-12-23T00:00:00"/>
    <s v="الاثنين "/>
    <x v="0"/>
    <s v="ابراهيم سعد "/>
    <s v="انشاءات"/>
    <s v="تم العمل"/>
    <d v="1899-12-30T10:00:00"/>
    <d v="1899-12-30T19:00:00"/>
    <n v="0.37499999999999994"/>
    <x v="2"/>
    <n v="8.9999999999999982"/>
  </r>
  <r>
    <x v="11"/>
    <d v="2024-12-23T00:00:00"/>
    <s v="الاثنين "/>
    <x v="14"/>
    <s v="انس احمد  "/>
    <s v="تركيب مصاعد"/>
    <s v="تم العمل"/>
    <d v="1899-12-30T10:00:00"/>
    <d v="1899-12-30T17:00:00"/>
    <n v="0.29166666666666669"/>
    <x v="1"/>
    <n v="7"/>
  </r>
  <r>
    <x v="11"/>
    <d v="2024-12-23T00:00:00"/>
    <s v="الاثنين "/>
    <x v="49"/>
    <s v="احمد محمد فخرى "/>
    <s v="تركيبات "/>
    <s v="تم العمل"/>
    <d v="1899-12-30T10:00:00"/>
    <d v="1899-12-30T19:00:00"/>
    <n v="0.37499999999999994"/>
    <x v="2"/>
    <n v="8.9999999999999982"/>
  </r>
  <r>
    <x v="11"/>
    <d v="2024-12-23T00:00:00"/>
    <s v="الاثنين "/>
    <x v="6"/>
    <s v="صابر ابراهيم "/>
    <s v="تركيب خوص حديد لباب الاسانسير"/>
    <s v="تم العمل"/>
    <d v="1899-12-30T13:00:00"/>
    <d v="1899-12-30T17:00:00"/>
    <n v="0.16666666666666674"/>
    <x v="1"/>
    <n v="4.0000000000000018"/>
  </r>
  <r>
    <x v="11"/>
    <d v="2024-12-24T00:00:00"/>
    <s v="الثلاثاء "/>
    <x v="14"/>
    <s v="انس احمد  "/>
    <s v="تركيب مصاعد"/>
    <s v="تم العمل"/>
    <d v="1899-12-30T10:00:00"/>
    <d v="1899-12-30T17:00:00"/>
    <n v="0.29166666666666669"/>
    <x v="1"/>
    <n v="7"/>
  </r>
  <r>
    <x v="11"/>
    <d v="2024-12-24T00:00:00"/>
    <s v="الثلاثاء "/>
    <x v="0"/>
    <s v="ابراهيم سعد "/>
    <s v="انشاءات"/>
    <s v="تم العمل"/>
    <d v="1899-12-30T10:00:00"/>
    <d v="1899-12-30T18:00:00"/>
    <n v="0.33333333333333331"/>
    <x v="2"/>
    <n v="8"/>
  </r>
  <r>
    <x v="11"/>
    <d v="2024-12-24T00:00:00"/>
    <s v="الثلاثاء "/>
    <x v="0"/>
    <s v="محمد على"/>
    <s v="صيانة شبابيك الالمونتال "/>
    <s v="تم العمل"/>
    <d v="1899-12-30T10:00:00"/>
    <d v="1899-12-30T17:00:00"/>
    <n v="0.29166666666666669"/>
    <x v="1"/>
    <n v="7"/>
  </r>
  <r>
    <x v="11"/>
    <d v="2024-12-24T00:00:00"/>
    <s v="الثلاثاء "/>
    <x v="6"/>
    <s v="صابر ابراهيم "/>
    <s v="تركيب خوص حديد لباب الاسانسير"/>
    <s v="تم العمل"/>
    <d v="1899-12-30T11:00:00"/>
    <d v="1899-12-30T14:00:00"/>
    <n v="0.12500000000000006"/>
    <x v="1"/>
    <n v="3.0000000000000013"/>
  </r>
  <r>
    <x v="11"/>
    <d v="2024-12-24T00:00:00"/>
    <s v="الثلاثاء "/>
    <x v="6"/>
    <s v="محمد على"/>
    <s v="صيانة كالاركات"/>
    <s v="تم العمل"/>
    <d v="1899-12-30T13:00:00"/>
    <d v="1899-12-30T14:00:00"/>
    <n v="4.1666666666666741E-2"/>
    <x v="1"/>
    <n v="1.0000000000000018"/>
  </r>
  <r>
    <x v="11"/>
    <d v="2024-12-24T00:00:00"/>
    <s v="الثلاثاء "/>
    <x v="0"/>
    <s v="مراد صالح"/>
    <s v="استكمال اعمال خزان الحريق "/>
    <s v="تم العمل"/>
    <d v="1899-12-30T08:00:00"/>
    <d v="1899-12-30T17:00:00"/>
    <n v="0.37500000000000006"/>
    <x v="0"/>
    <n v="9.0000000000000018"/>
  </r>
  <r>
    <x v="11"/>
    <d v="2024-12-24T00:00:00"/>
    <s v="الثلاثاء "/>
    <x v="6"/>
    <s v="شريف عيد"/>
    <s v="عزل كبلات كهرباء غرفة الطرمبات"/>
    <s v="تم العمل"/>
    <d v="1899-12-30T10:00:00"/>
    <d v="1899-12-30T17:00:00"/>
    <n v="0.29166666666666669"/>
    <x v="0"/>
    <n v="7"/>
  </r>
  <r>
    <x v="11"/>
    <d v="2024-12-25T00:00:00"/>
    <s v="الاربعاء "/>
    <x v="0"/>
    <s v="محمد زنفل  "/>
    <s v="دهانات "/>
    <s v="تم العمل"/>
    <d v="1899-12-30T10:00:00"/>
    <d v="1899-12-30T18:00:00"/>
    <n v="0.33333333333333331"/>
    <x v="2"/>
    <n v="8"/>
  </r>
  <r>
    <x v="11"/>
    <d v="2024-12-25T00:00:00"/>
    <s v="الاربعاء "/>
    <x v="14"/>
    <s v="انس احمد  "/>
    <s v="تركيب مصاعد"/>
    <s v="تم العمل"/>
    <d v="1899-12-30T10:00:00"/>
    <d v="1899-12-30T17:00:00"/>
    <n v="0.29166666666666669"/>
    <x v="1"/>
    <n v="7"/>
  </r>
  <r>
    <x v="11"/>
    <d v="2024-12-25T00:00:00"/>
    <s v="الاربعاء "/>
    <x v="0"/>
    <s v="مراد صالح"/>
    <s v="استكمال اعمال خزان الحريق "/>
    <s v="تم العمل"/>
    <d v="1899-12-30T08:00:00"/>
    <d v="1899-12-30T17:00:00"/>
    <n v="0.37500000000000006"/>
    <x v="0"/>
    <n v="9.0000000000000018"/>
  </r>
  <r>
    <x v="11"/>
    <d v="2024-12-26T00:00:00"/>
    <s v="الخميس "/>
    <x v="0"/>
    <s v="مراد صالح"/>
    <s v="استكمال اعمال خزان الحريق "/>
    <s v="تم العمل"/>
    <d v="1899-12-30T08:00:00"/>
    <d v="1899-12-30T17:00:00"/>
    <n v="0.37500000000000006"/>
    <x v="0"/>
    <n v="9.0000000000000018"/>
  </r>
  <r>
    <x v="11"/>
    <d v="2024-12-26T00:00:00"/>
    <s v="الخميس "/>
    <x v="14"/>
    <s v="انس احمد  "/>
    <s v="تركيب مصاعد"/>
    <s v="تم العمل"/>
    <d v="1899-12-30T10:00:00"/>
    <d v="1899-12-30T17:00:00"/>
    <n v="0.29166666666666669"/>
    <x v="1"/>
    <n v="7"/>
  </r>
  <r>
    <x v="11"/>
    <d v="2024-12-26T00:00:00"/>
    <s v="الخميس "/>
    <x v="0"/>
    <s v="محمد زنفل  "/>
    <s v="انشائات"/>
    <s v="تم العمل"/>
    <d v="1899-12-30T11:00:00"/>
    <d v="1899-12-30T18:00:00"/>
    <n v="0.29166666666666669"/>
    <x v="2"/>
    <n v="7"/>
  </r>
  <r>
    <x v="11"/>
    <d v="2024-12-26T00:00:00"/>
    <s v="الخميس "/>
    <x v="10"/>
    <s v="احمد فرج"/>
    <s v="اعمال فراشة"/>
    <s v="تم العمل"/>
    <d v="1899-12-30T12:00:00"/>
    <d v="1899-12-30T17:00:00"/>
    <n v="0.20833333333333337"/>
    <x v="0"/>
    <n v="5.0000000000000009"/>
  </r>
  <r>
    <x v="11"/>
    <d v="2024-12-28T00:00:00"/>
    <s v="السبت "/>
    <x v="66"/>
    <s v="شعبان عطا"/>
    <s v="تركيبات "/>
    <s v="تم العمل"/>
    <d v="1899-12-30T11:00:00"/>
    <d v="1899-12-30T18:00:00"/>
    <n v="0.29166666666666669"/>
    <x v="2"/>
    <n v="7"/>
  </r>
  <r>
    <x v="11"/>
    <d v="2024-12-28T00:00:00"/>
    <s v="السبت "/>
    <x v="0"/>
    <s v="مراد صالح"/>
    <s v="استكمال اعمال خزان الحريق "/>
    <s v="تم العمل"/>
    <d v="1899-12-30T08:00:00"/>
    <d v="1899-12-30T17:00:00"/>
    <n v="0.37500000000000006"/>
    <x v="0"/>
    <n v="9.0000000000000018"/>
  </r>
  <r>
    <x v="11"/>
    <d v="2024-12-28T00:00:00"/>
    <s v="السبت "/>
    <x v="14"/>
    <s v="انس احمد  "/>
    <s v="تركيب مصاعد"/>
    <s v="تم العمل"/>
    <d v="1899-12-30T10:00:00"/>
    <d v="1899-12-30T17:00:00"/>
    <n v="0.29166666666666669"/>
    <x v="1"/>
    <n v="7"/>
  </r>
  <r>
    <x v="11"/>
    <d v="2024-12-28T00:00:00"/>
    <s v="السبت "/>
    <x v="0"/>
    <s v="محمد صلاح "/>
    <s v="تركيب الوميتال"/>
    <s v="تم العمل"/>
    <d v="1899-12-30T14:00:00"/>
    <d v="1899-12-30T16:00:00"/>
    <n v="8.3333333333333259E-2"/>
    <x v="1"/>
    <n v="1.9999999999999982"/>
  </r>
  <r>
    <x v="11"/>
    <d v="2024-12-29T00:00:00"/>
    <s v="الاحد "/>
    <x v="0"/>
    <s v="مراد صالح"/>
    <s v="استكمال اعمال خزان الحريق "/>
    <s v="تم العمل"/>
    <d v="1899-12-30T08:00:00"/>
    <d v="1899-12-30T17:00:00"/>
    <n v="0.37500000000000006"/>
    <x v="0"/>
    <n v="9.0000000000000018"/>
  </r>
  <r>
    <x v="11"/>
    <d v="2024-12-29T00:00:00"/>
    <s v="الاحد "/>
    <x v="66"/>
    <s v="شعبان عطا"/>
    <s v="تركيبات "/>
    <s v="تم العمل"/>
    <d v="1899-12-30T10:30:00"/>
    <d v="1899-12-30T18:00:00"/>
    <n v="0.3125"/>
    <x v="2"/>
    <n v="7.5"/>
  </r>
  <r>
    <x v="11"/>
    <d v="2024-12-29T00:00:00"/>
    <s v="الاحد "/>
    <x v="0"/>
    <s v="ابراهيم سعد "/>
    <s v="انشاءات"/>
    <s v="تم العمل"/>
    <d v="1899-12-30T10:00:00"/>
    <d v="1899-12-30T18:00:00"/>
    <n v="0.33333333333333331"/>
    <x v="2"/>
    <n v="8"/>
  </r>
  <r>
    <x v="11"/>
    <d v="2024-12-29T00:00:00"/>
    <s v="الاحد "/>
    <x v="14"/>
    <s v="انس احمد  "/>
    <s v="تركيب مصاعد"/>
    <s v="تم العمل"/>
    <d v="1899-12-30T10:00:00"/>
    <d v="1899-12-30T17:00:00"/>
    <n v="0.29166666666666669"/>
    <x v="1"/>
    <n v="7"/>
  </r>
  <r>
    <x v="11"/>
    <d v="2024-12-29T00:00:00"/>
    <s v="الاحد "/>
    <x v="49"/>
    <s v="احمد محمد فخرى "/>
    <s v="تركيبات "/>
    <s v="تم العمل"/>
    <d v="1899-12-30T10:30:00"/>
    <d v="1899-12-30T14:00:00"/>
    <n v="0.14583333333333337"/>
    <x v="2"/>
    <n v="3.5000000000000009"/>
  </r>
  <r>
    <x v="11"/>
    <d v="2024-12-30T00:00:00"/>
    <s v="الاثنين "/>
    <x v="0"/>
    <s v="مراد صالح"/>
    <s v="استكمال اعمال خزان الحريق "/>
    <s v="تم العمل"/>
    <d v="1899-12-30T08:00:00"/>
    <d v="1899-12-30T17:00:00"/>
    <n v="0.37500000000000006"/>
    <x v="0"/>
    <n v="9.0000000000000018"/>
  </r>
  <r>
    <x v="11"/>
    <d v="2024-12-30T00:00:00"/>
    <s v="الاثنين "/>
    <x v="11"/>
    <s v="أحمد شعبان   "/>
    <s v="عمل صيانة كلاركات "/>
    <s v="تم العمل"/>
    <d v="1899-12-30T12:00:00"/>
    <d v="1899-12-30T12:30:00"/>
    <n v="2.083333333333337E-2"/>
    <x v="4"/>
    <n v="0.50000000000000089"/>
  </r>
  <r>
    <x v="11"/>
    <d v="2024-12-30T00:00:00"/>
    <s v="الاثنين "/>
    <x v="7"/>
    <s v="محمد ماهر  "/>
    <s v="مكافحة الحشرات "/>
    <s v="تم العمل"/>
    <d v="1899-12-30T14:00:00"/>
    <d v="1899-12-30T15:00:00"/>
    <n v="4.166666666666663E-2"/>
    <x v="4"/>
    <n v="0.99999999999999911"/>
  </r>
  <r>
    <x v="11"/>
    <d v="2024-12-30T00:00:00"/>
    <s v="الاثنين "/>
    <x v="7"/>
    <s v="محمد ماهر  "/>
    <s v="مكافحة الحشرات "/>
    <s v="تم العمل"/>
    <d v="1899-12-30T13:00:00"/>
    <d v="1899-12-30T14:00:00"/>
    <n v="4.1666666666666741E-2"/>
    <x v="1"/>
    <n v="1.0000000000000018"/>
  </r>
  <r>
    <x v="11"/>
    <d v="2024-12-30T00:00:00"/>
    <s v="الاثنين "/>
    <x v="11"/>
    <s v="أحمد شعبان   "/>
    <s v="عمل صيانة كلاركات "/>
    <s v="تم العمل"/>
    <d v="1899-12-30T12:00:00"/>
    <d v="1899-12-30T12:30:00"/>
    <n v="2.083333333333337E-2"/>
    <x v="1"/>
    <n v="0.50000000000000089"/>
  </r>
  <r>
    <x v="11"/>
    <d v="2024-12-31T00:00:00"/>
    <s v="الثلاثاء "/>
    <x v="14"/>
    <s v="انس احمد  "/>
    <s v="تركيب مصاعد"/>
    <s v="تم العمل"/>
    <d v="1899-12-30T10:00:00"/>
    <d v="1899-12-30T17:00:00"/>
    <n v="0.29166666666666669"/>
    <x v="1"/>
    <n v="7"/>
  </r>
  <r>
    <x v="11"/>
    <d v="2024-12-31T00:00:00"/>
    <s v="الثلاثاء "/>
    <x v="5"/>
    <s v="مجدى كرم  "/>
    <s v="صيانة خطوط التليفون والانترنت "/>
    <s v="تم العمل"/>
    <d v="1899-12-30T11:00:00"/>
    <d v="1899-12-30T12:00:00"/>
    <n v="4.1666666666666685E-2"/>
    <x v="6"/>
    <n v="1.0000000000000004"/>
  </r>
  <r>
    <x v="12"/>
    <d v="2025-01-01T00:00:00"/>
    <s v="الاربعاء "/>
    <x v="0"/>
    <s v="مراد صالح"/>
    <s v="استكمال اعمال خزان الاطفاء"/>
    <s v="تم العمل"/>
    <d v="1899-12-30T08:00:00"/>
    <d v="1899-12-30T17:00:00"/>
    <n v="0.37500000000000006"/>
    <x v="0"/>
    <n v="9.0000000000000018"/>
  </r>
  <r>
    <x v="12"/>
    <d v="2025-01-01T00:00:00"/>
    <s v="الاربعاء "/>
    <x v="14"/>
    <s v="انس احمد "/>
    <s v="تركيب مصاعد"/>
    <s v="تم العمل"/>
    <d v="1899-12-30T10:00:00"/>
    <d v="1899-12-30T17:00:00"/>
    <n v="0.29166666666666669"/>
    <x v="1"/>
    <n v="7"/>
  </r>
  <r>
    <x v="12"/>
    <d v="2025-01-01T00:00:00"/>
    <s v="الاربعاء "/>
    <x v="0"/>
    <s v="محمد صلاح"/>
    <s v="تركيب الوميتال"/>
    <s v="تم العمل"/>
    <d v="1899-12-30T11:00:00"/>
    <d v="1899-12-30T17:00:00"/>
    <n v="0.25000000000000006"/>
    <x v="1"/>
    <n v="6.0000000000000018"/>
  </r>
  <r>
    <x v="12"/>
    <d v="2025-01-02T00:00:00"/>
    <s v="الخميس "/>
    <x v="0"/>
    <s v="محمد صلاح"/>
    <s v="تركيب الوميتال"/>
    <s v="تم العمل"/>
    <d v="1899-12-30T10:00:00"/>
    <d v="1899-12-30T17:00:00"/>
    <n v="0.29166666666666669"/>
    <x v="1"/>
    <n v="7"/>
  </r>
  <r>
    <x v="12"/>
    <d v="2025-01-02T00:00:00"/>
    <s v="الخميس "/>
    <x v="14"/>
    <s v="انس احمد"/>
    <s v="تركيب مصاعد"/>
    <s v="تم العمل"/>
    <d v="1899-12-30T10:00:00"/>
    <d v="1899-12-30T17:00:00"/>
    <n v="0.29166666666666669"/>
    <x v="1"/>
    <n v="7"/>
  </r>
  <r>
    <x v="12"/>
    <d v="2025-01-04T00:00:00"/>
    <s v="السبت "/>
    <x v="0"/>
    <s v="مراد صالح"/>
    <s v="استكمال اعمال خزان الاطفاء"/>
    <s v="تم العمل"/>
    <d v="1899-12-30T08:00:00"/>
    <d v="1899-12-30T17:00:00"/>
    <n v="0.37500000000000006"/>
    <x v="0"/>
    <n v="9.0000000000000018"/>
  </r>
  <r>
    <x v="12"/>
    <d v="2025-01-04T00:00:00"/>
    <s v="السبت "/>
    <x v="64"/>
    <s v="مراد صالح"/>
    <s v="تركيب سيراميك"/>
    <s v="تم العمل"/>
    <d v="1899-12-30T10:00:00"/>
    <d v="1899-12-30T17:00:00"/>
    <n v="0.29166666666666669"/>
    <x v="0"/>
    <n v="7"/>
  </r>
  <r>
    <x v="12"/>
    <d v="2025-01-04T00:00:00"/>
    <s v="السبت "/>
    <x v="0"/>
    <s v="محمد صلاح"/>
    <s v="تركيب الوميتال"/>
    <s v="تم العمل"/>
    <d v="1899-12-30T11:00:00"/>
    <d v="1899-12-30T17:00:00"/>
    <n v="0.25000000000000006"/>
    <x v="1"/>
    <n v="6.0000000000000018"/>
  </r>
  <r>
    <x v="12"/>
    <d v="2025-01-04T00:00:00"/>
    <s v="السبت "/>
    <x v="14"/>
    <s v="انس احمد "/>
    <s v="تركيب مصاعد"/>
    <s v="تم العمل"/>
    <d v="1899-12-30T09:00:00"/>
    <d v="1899-12-30T17:00:00"/>
    <n v="0.33333333333333337"/>
    <x v="1"/>
    <n v="8"/>
  </r>
  <r>
    <x v="12"/>
    <d v="2025-01-04T00:00:00"/>
    <s v="السبت "/>
    <x v="1"/>
    <s v="مينا سامي"/>
    <s v="استكمال العمل بشبكة الاطفاء"/>
    <s v="تم العمل"/>
    <d v="1899-12-30T12:00:00"/>
    <d v="1899-12-30T17:00:00"/>
    <n v="0.20833333333333337"/>
    <x v="1"/>
    <n v="5.0000000000000009"/>
  </r>
  <r>
    <x v="12"/>
    <d v="2025-01-04T00:00:00"/>
    <s v="السبت "/>
    <x v="0"/>
    <s v="ابراهيم العيسوي"/>
    <s v="اعمال نقاشة   "/>
    <s v="تم العمل"/>
    <d v="1899-12-30T11:30:00"/>
    <d v="1899-12-30T18:00:00"/>
    <n v="0.27083333333333331"/>
    <x v="2"/>
    <n v="6.5"/>
  </r>
  <r>
    <x v="12"/>
    <d v="2025-01-04T00:00:00"/>
    <s v="السبت "/>
    <x v="49"/>
    <s v="ابراهيم الخزرجي"/>
    <s v="تركيبات"/>
    <s v="تم العمل"/>
    <d v="1899-12-30T11:30:00"/>
    <d v="1899-12-30T18:30:00"/>
    <n v="0.29166666666666669"/>
    <x v="2"/>
    <n v="7"/>
  </r>
  <r>
    <x v="12"/>
    <d v="2025-01-05T00:00:00"/>
    <s v="الاحد "/>
    <x v="64"/>
    <s v="هيثم جمال"/>
    <s v="تنظيف لوجو الشركة بالمبنى الاداري"/>
    <s v="تم العمل"/>
    <d v="1899-12-30T13:00:00"/>
    <d v="1899-12-30T17:00:00"/>
    <n v="0.16666666666666674"/>
    <x v="3"/>
    <n v="4.0000000000000018"/>
  </r>
  <r>
    <x v="12"/>
    <d v="2025-01-05T00:00:00"/>
    <s v="الاحد "/>
    <x v="64"/>
    <s v="يوسف عثمان"/>
    <s v="تغيير سخانات المياه "/>
    <s v="تم العمل"/>
    <d v="1899-12-30T14:30:00"/>
    <d v="1899-12-30T17:00:00"/>
    <n v="0.10416666666666674"/>
    <x v="3"/>
    <n v="2.5000000000000018"/>
  </r>
  <r>
    <x v="12"/>
    <d v="2025-01-06T00:00:00"/>
    <s v="الاثنين "/>
    <x v="1"/>
    <s v="سامر سامي"/>
    <s v="اعمال في شبكة الاطفاء "/>
    <s v="تم العمل"/>
    <d v="1899-12-30T10:00:00"/>
    <d v="1899-12-30T17:00:00"/>
    <n v="0.29166666666666635"/>
    <x v="1"/>
    <n v="6.9999999999999929"/>
  </r>
  <r>
    <x v="12"/>
    <d v="2025-01-06T00:00:00"/>
    <s v="الاثنين "/>
    <x v="0"/>
    <s v="محمد صلاح"/>
    <s v="تركيب الوميتال"/>
    <s v="تم العمل"/>
    <d v="1899-12-30T11:00:00"/>
    <d v="1899-12-30T17:00:00"/>
    <n v="0.25000000000000006"/>
    <x v="1"/>
    <n v="6.0000000000000018"/>
  </r>
  <r>
    <x v="12"/>
    <d v="2025-01-06T00:00:00"/>
    <s v="الاثنين "/>
    <x v="64"/>
    <s v="محمد طنطاوي"/>
    <s v="اصلاح بوابة مخزن الوزارة"/>
    <s v="تم العمل"/>
    <d v="1899-12-30T13:00:00"/>
    <d v="1899-12-30T18:00:00"/>
    <n v="0.20833333333333337"/>
    <x v="4"/>
    <n v="5.0000000000000009"/>
  </r>
  <r>
    <x v="12"/>
    <d v="2025-01-07T00:00:00"/>
    <s v="الثلاثاء "/>
    <x v="0"/>
    <s v="محمد صلاح"/>
    <s v="تركيب الوميتال"/>
    <s v="تم العمل"/>
    <d v="1899-12-30T10:00:00"/>
    <d v="1899-12-30T17:00:00"/>
    <n v="0.29166666666666669"/>
    <x v="1"/>
    <n v="7"/>
  </r>
  <r>
    <x v="12"/>
    <d v="2025-01-07T00:00:00"/>
    <s v="الثلاثاء "/>
    <x v="0"/>
    <s v="مراد صالح"/>
    <s v="استكمال اعمال خزان الاطفاء"/>
    <s v="تم العمل"/>
    <d v="1899-12-30T09:30:00"/>
    <d v="1899-12-30T17:00:00"/>
    <n v="0.31250000000000006"/>
    <x v="0"/>
    <n v="7.5000000000000018"/>
  </r>
  <r>
    <x v="12"/>
    <d v="2025-01-07T00:00:00"/>
    <s v="الثلاثاء "/>
    <x v="0"/>
    <s v="محمد زنفل  "/>
    <s v="أنشاءات"/>
    <s v="تم العمل"/>
    <d v="1899-12-30T10:00:00"/>
    <d v="1899-12-30T18:00:00"/>
    <n v="0.33333333333333331"/>
    <x v="2"/>
    <n v="8"/>
  </r>
  <r>
    <x v="12"/>
    <d v="2025-01-07T00:00:00"/>
    <s v="الثلاثاء "/>
    <x v="0"/>
    <s v="مراد صالح"/>
    <s v="تركيب سيراميك"/>
    <s v="تم العمل"/>
    <d v="1899-12-30T10:00:00"/>
    <d v="1899-12-30T17:00:00"/>
    <n v="0.29166666666666669"/>
    <x v="0"/>
    <n v="7"/>
  </r>
  <r>
    <x v="12"/>
    <d v="2025-01-07T00:00:00"/>
    <s v="الثلاثاء "/>
    <x v="5"/>
    <s v="ياسر روبي"/>
    <s v="تركيب درج رخام"/>
    <s v="تم العمل"/>
    <d v="1899-12-30T15:00:00"/>
    <d v="1899-12-30T17:30:00"/>
    <n v="0.10416666666666663"/>
    <x v="0"/>
    <n v="2.4999999999999991"/>
  </r>
  <r>
    <x v="12"/>
    <d v="2025-01-08T00:00:00"/>
    <s v="الاربعاء "/>
    <x v="11"/>
    <s v="مراد صالح"/>
    <s v="تركيب سيراميك"/>
    <s v="تم العمل"/>
    <d v="1899-12-30T12:00:00"/>
    <d v="1899-12-30T17:00:00"/>
    <n v="0.20833333333333337"/>
    <x v="0"/>
    <n v="5.0000000000000009"/>
  </r>
  <r>
    <x v="12"/>
    <d v="2025-01-08T00:00:00"/>
    <s v="الاربعاء "/>
    <x v="0"/>
    <s v="محمد زنفل  "/>
    <s v="أنشاءات"/>
    <s v="تم العمل"/>
    <d v="1899-12-30T10:00:00"/>
    <d v="1899-12-30T18:00:00"/>
    <n v="0.33333333333333331"/>
    <x v="2"/>
    <n v="8"/>
  </r>
  <r>
    <x v="12"/>
    <d v="2025-01-08T00:00:00"/>
    <s v="الاربعاء "/>
    <x v="10"/>
    <s v="رافت سعد"/>
    <s v="اعمال فراشة"/>
    <s v="تم العمل"/>
    <d v="1899-12-30T10:00:00"/>
    <d v="1899-12-30T17:00:00"/>
    <n v="0.29166666666666669"/>
    <x v="0"/>
    <n v="7"/>
  </r>
  <r>
    <x v="12"/>
    <d v="2025-01-08T00:00:00"/>
    <s v="الاربعاء "/>
    <x v="64"/>
    <s v="اشرف لطفي"/>
    <s v="عمل صيانة كلاركات "/>
    <s v="تم العمل"/>
    <d v="1899-12-30T12:00:00"/>
    <d v="1899-12-30T17:00:00"/>
    <n v="0.20833333333333337"/>
    <x v="4"/>
    <n v="5.0000000000000009"/>
  </r>
  <r>
    <x v="12"/>
    <d v="2025-01-09T00:00:00"/>
    <s v="الخميس "/>
    <x v="0"/>
    <s v="مراد صالح"/>
    <s v="تركيب سيراميك"/>
    <s v="تم العمل"/>
    <d v="1899-12-30T10:00:00"/>
    <d v="1899-12-30T17:00:00"/>
    <n v="0.29166666666666669"/>
    <x v="0"/>
    <n v="7"/>
  </r>
  <r>
    <x v="12"/>
    <d v="2025-01-09T00:00:00"/>
    <s v="الخميس "/>
    <x v="10"/>
    <s v="رافت سعد"/>
    <s v="اعمال فراشة"/>
    <s v="تم العمل"/>
    <d v="1899-12-30T10:00:00"/>
    <d v="1899-12-30T17:00:00"/>
    <n v="0.29166666666666669"/>
    <x v="0"/>
    <n v="7"/>
  </r>
  <r>
    <x v="12"/>
    <d v="2025-01-09T00:00:00"/>
    <s v="الخميس "/>
    <x v="35"/>
    <s v="احمد حماده"/>
    <s v="اعمال لحامات"/>
    <s v="تم العمل"/>
    <d v="1899-12-30T14:30:00"/>
    <d v="1899-12-30T17:00:00"/>
    <n v="0.10416666666666674"/>
    <x v="3"/>
    <n v="2.5000000000000018"/>
  </r>
  <r>
    <x v="12"/>
    <d v="2025-01-09T00:00:00"/>
    <s v="الخميس "/>
    <x v="17"/>
    <s v="احمد ابوزيد"/>
    <s v="صيانة صرف الامطار"/>
    <s v="تم العمل"/>
    <d v="1899-12-30T10:00:00"/>
    <d v="1899-12-30T15:00:00"/>
    <n v="0.20833333333333331"/>
    <x v="3"/>
    <n v="5"/>
  </r>
  <r>
    <x v="12"/>
    <d v="2025-01-09T00:00:00"/>
    <s v="الخميس "/>
    <x v="0"/>
    <s v="محمد زنفل  "/>
    <s v="أنشاءات"/>
    <s v="تم العمل"/>
    <d v="1899-12-30T10:00:00"/>
    <d v="1899-12-30T18:00:00"/>
    <n v="0.33333333333333331"/>
    <x v="2"/>
    <n v="8"/>
  </r>
  <r>
    <x v="12"/>
    <d v="2025-01-11T00:00:00"/>
    <s v="السبت "/>
    <x v="10"/>
    <s v="فرج محمد  "/>
    <s v="فك فراشة الشوارع الخارجية "/>
    <s v="تم العمل"/>
    <d v="1899-12-30T09:30:00"/>
    <d v="1899-12-30T17:00:00"/>
    <n v="0.31250000000000006"/>
    <x v="0"/>
    <n v="7.5000000000000018"/>
  </r>
  <r>
    <x v="12"/>
    <d v="2025-01-11T00:00:00"/>
    <s v="السبت "/>
    <x v="5"/>
    <s v="فؤاد سالم "/>
    <s v="دهان الكفتريا"/>
    <s v="تم العمل"/>
    <d v="1899-12-30T09:30:00"/>
    <d v="1899-12-30T17:00:00"/>
    <n v="0.31250000000000006"/>
    <x v="0"/>
    <n v="7.5000000000000018"/>
  </r>
  <r>
    <x v="12"/>
    <d v="2025-01-11T00:00:00"/>
    <s v="السبت "/>
    <x v="6"/>
    <s v="محمد رفعت  "/>
    <s v="عمل صيانة الكلارك "/>
    <s v="تم العمل"/>
    <d v="1899-12-30T09:30:00"/>
    <d v="1899-12-30T12:00:00"/>
    <n v="0.10416666666666669"/>
    <x v="0"/>
    <n v="2.5000000000000004"/>
  </r>
  <r>
    <x v="12"/>
    <d v="2025-01-12T00:00:00"/>
    <s v="الاحد "/>
    <x v="8"/>
    <s v="علاء على"/>
    <s v="تركيب لوحة انذار على غرفة المحول"/>
    <s v="تم العمل"/>
    <d v="1899-12-30T11:00:00"/>
    <d v="1899-12-30T12:00:00"/>
    <n v="4.1666666666666685E-2"/>
    <x v="3"/>
    <n v="1.0000000000000004"/>
  </r>
  <r>
    <x v="12"/>
    <d v="2025-01-12T00:00:00"/>
    <s v="الاحد "/>
    <x v="7"/>
    <s v="محمد ماهر"/>
    <s v="مكافحة الحشرات "/>
    <s v="تم العمل"/>
    <d v="1899-12-30T12:00:00"/>
    <d v="1899-12-30T15:00:00"/>
    <n v="0.125"/>
    <x v="3"/>
    <n v="3"/>
  </r>
  <r>
    <x v="12"/>
    <d v="2025-01-12T00:00:00"/>
    <s v="الاحد "/>
    <x v="0"/>
    <s v="مراد صالح"/>
    <s v="استكمال اعمال خزان الاطفاء"/>
    <s v="تم العمل"/>
    <d v="1899-12-30T09:00:00"/>
    <d v="1899-12-30T17:00:00"/>
    <n v="0.33333333333333337"/>
    <x v="0"/>
    <n v="8"/>
  </r>
  <r>
    <x v="12"/>
    <d v="2025-01-13T00:00:00"/>
    <s v="الاثنين "/>
    <x v="14"/>
    <s v="مخلص كامل "/>
    <s v="صيانة الاسانسير"/>
    <s v="تم العمل"/>
    <d v="1899-12-30T11:30:00"/>
    <d v="1899-12-30T12:30:00"/>
    <n v="4.1666666666666685E-2"/>
    <x v="3"/>
    <n v="1.0000000000000004"/>
  </r>
  <r>
    <x v="12"/>
    <d v="2025-01-13T00:00:00"/>
    <s v="الاثنين "/>
    <x v="18"/>
    <s v="فيكتور لوندي"/>
    <s v="عزل اسقف المخزن"/>
    <s v="تم العمل"/>
    <d v="1899-12-30T12:00:00"/>
    <d v="1899-12-30T15:30:00"/>
    <n v="0.14583333333333337"/>
    <x v="4"/>
    <n v="3.5000000000000009"/>
  </r>
  <r>
    <x v="12"/>
    <d v="2025-01-13T00:00:00"/>
    <s v="الاثنين "/>
    <x v="17"/>
    <s v="شريف عيد"/>
    <s v="تركيب كشافات كهرباء "/>
    <s v="تم العمل"/>
    <d v="1899-12-30T10:00:00"/>
    <d v="1899-12-30T17:00:00"/>
    <n v="0.29166666666666669"/>
    <x v="1"/>
    <n v="7"/>
  </r>
  <r>
    <x v="12"/>
    <d v="2025-01-13T00:00:00"/>
    <s v="الاثنين "/>
    <x v="14"/>
    <s v="مخلص كامل "/>
    <s v="تركيب مصاعد"/>
    <s v="تم العمل"/>
    <d v="1899-12-30T10:00:00"/>
    <d v="1899-12-30T17:00:00"/>
    <n v="0.29166666666666669"/>
    <x v="1"/>
    <n v="7"/>
  </r>
  <r>
    <x v="12"/>
    <d v="2025-01-13T00:00:00"/>
    <s v="الاثنين "/>
    <x v="0"/>
    <s v="محمد صلاح"/>
    <s v="تركيب الوميتال"/>
    <s v="تم العمل"/>
    <d v="1899-12-30T11:30:00"/>
    <d v="1899-12-30T17:00:00"/>
    <n v="0.22916666666666669"/>
    <x v="1"/>
    <n v="5.5"/>
  </r>
  <r>
    <x v="12"/>
    <d v="2025-01-13T00:00:00"/>
    <s v="الاثنين "/>
    <x v="0"/>
    <s v="مراد صالح"/>
    <s v="استكمال اعمال خزان الاطفاء"/>
    <s v="تم العمل"/>
    <d v="1899-12-30T09:00:00"/>
    <d v="1899-12-30T17:00:00"/>
    <n v="0.33333333333333337"/>
    <x v="0"/>
    <n v="8"/>
  </r>
  <r>
    <x v="12"/>
    <d v="2025-01-13T00:00:00"/>
    <s v="الاثنين "/>
    <x v="67"/>
    <s v="محمود سالم "/>
    <s v="صيانة غرفة الطلمبات  "/>
    <s v="تم العمل"/>
    <d v="1899-12-30T10:00:00"/>
    <d v="1899-12-30T11:00:00"/>
    <n v="4.1666666666666963E-2"/>
    <x v="0"/>
    <n v="1.0000000000000071"/>
  </r>
  <r>
    <x v="12"/>
    <d v="2025-01-13T00:00:00"/>
    <s v="الاثنين "/>
    <x v="5"/>
    <s v="محمود ابوشادي"/>
    <s v="اعمال نظافة"/>
    <s v="تم العمل"/>
    <d v="1899-12-30T14:00:00"/>
    <d v="1899-12-30T17:00:00"/>
    <n v="0.125"/>
    <x v="0"/>
    <n v="3"/>
  </r>
  <r>
    <x v="12"/>
    <d v="2025-01-13T00:00:00"/>
    <s v="الاثنين "/>
    <x v="5"/>
    <s v="محمود ابوشادي"/>
    <s v="صيانة كشافات الكافيتريا"/>
    <s v="تم العمل"/>
    <d v="1899-12-30T18:30:00"/>
    <d v="1899-12-30T21:00:00"/>
    <n v="0.10416666666666663"/>
    <x v="3"/>
    <n v="2.4999999999999991"/>
  </r>
  <r>
    <x v="12"/>
    <d v="2025-01-14T00:00:00"/>
    <s v="الثلاثاء "/>
    <x v="18"/>
    <s v="فيكتور لوندي"/>
    <s v="عزل اسقف المخزن"/>
    <s v="تم العمل"/>
    <d v="1899-12-30T11:30:00"/>
    <d v="1899-12-30T16:00:00"/>
    <n v="0.18749999999999994"/>
    <x v="4"/>
    <n v="4.4999999999999982"/>
  </r>
  <r>
    <x v="12"/>
    <d v="2025-01-14T00:00:00"/>
    <s v="الثلاثاء "/>
    <x v="14"/>
    <s v="احمد حسن"/>
    <s v="تركيب مصاعد"/>
    <s v="تم العمل"/>
    <d v="1899-12-30T10:00:00"/>
    <d v="1899-12-30T17:00:00"/>
    <n v="0.29166666666666669"/>
    <x v="1"/>
    <n v="7"/>
  </r>
  <r>
    <x v="12"/>
    <d v="2025-01-14T00:00:00"/>
    <s v="الثلاثاء "/>
    <x v="17"/>
    <s v="شريف عيد"/>
    <s v="تركيب كشافات كهرباء "/>
    <s v="تم العمل"/>
    <d v="1899-12-30T10:00:00"/>
    <d v="1899-12-30T17:00:00"/>
    <n v="0.29166666666666669"/>
    <x v="1"/>
    <n v="7"/>
  </r>
  <r>
    <x v="12"/>
    <d v="2025-01-14T00:00:00"/>
    <s v="الثلاثاء "/>
    <x v="5"/>
    <s v="مصطفى رشاد  "/>
    <s v="اعمال نقاشة   "/>
    <s v="تم العمل"/>
    <d v="1899-12-30T11:00:00"/>
    <d v="1899-12-30T17:00:00"/>
    <n v="0.25000000000000006"/>
    <x v="1"/>
    <n v="6.0000000000000018"/>
  </r>
  <r>
    <x v="12"/>
    <d v="2025-01-14T00:00:00"/>
    <s v="الثلاثاء "/>
    <x v="0"/>
    <s v="محمد صلاح"/>
    <s v="تركيب الوميتال"/>
    <s v="تم العمل"/>
    <d v="1899-12-30T11:00:00"/>
    <d v="1899-12-30T17:00:00"/>
    <n v="0.25000000000000006"/>
    <x v="1"/>
    <n v="6.0000000000000018"/>
  </r>
  <r>
    <x v="12"/>
    <d v="2025-01-14T00:00:00"/>
    <s v="الثلاثاء "/>
    <x v="1"/>
    <s v="سامر سامي"/>
    <s v="اعمال في شبكة الاطفاء "/>
    <s v="تم العمل"/>
    <d v="1899-12-30T12:00:00"/>
    <d v="1899-12-30T17:00:00"/>
    <n v="0.20833333333333337"/>
    <x v="1"/>
    <n v="5.0000000000000009"/>
  </r>
  <r>
    <x v="12"/>
    <d v="2025-01-14T00:00:00"/>
    <s v="الثلاثاء "/>
    <x v="0"/>
    <s v="محمد زنفل  "/>
    <s v="انشاءات"/>
    <s v="تم العمل"/>
    <d v="1899-12-30T10:00:00"/>
    <d v="1899-12-30T18:00:00"/>
    <n v="0.33333333333333331"/>
    <x v="2"/>
    <n v="8"/>
  </r>
  <r>
    <x v="12"/>
    <d v="2025-01-15T00:00:00"/>
    <s v="الاربعاء "/>
    <x v="18"/>
    <s v="فيكتور لوندي"/>
    <s v="عزل اسقف المخزن"/>
    <s v="تم العمل"/>
    <d v="1899-12-30T11:00:00"/>
    <d v="1899-12-30T14:30:00"/>
    <n v="0.14583333333333331"/>
    <x v="4"/>
    <n v="3.4999999999999996"/>
  </r>
  <r>
    <x v="12"/>
    <d v="2025-01-15T00:00:00"/>
    <s v="الاربعاء "/>
    <x v="1"/>
    <s v="سامر سامي"/>
    <s v="اعمال في شبكة الاطفاء "/>
    <s v="تم العمل"/>
    <d v="1899-12-30T10:00:00"/>
    <d v="1899-12-30T17:00:00"/>
    <n v="0.29166666666666669"/>
    <x v="1"/>
    <n v="7"/>
  </r>
  <r>
    <x v="12"/>
    <d v="2025-01-15T00:00:00"/>
    <s v="الاربعاء "/>
    <x v="17"/>
    <s v="شريف عيد"/>
    <s v="تركيب كشافات كهرباء "/>
    <s v="تم العمل"/>
    <d v="1899-12-30T10:00:00"/>
    <d v="1899-12-30T17:00:00"/>
    <n v="0.29166666666666669"/>
    <x v="1"/>
    <n v="7"/>
  </r>
  <r>
    <x v="12"/>
    <d v="2025-01-15T00:00:00"/>
    <s v="الاربعاء "/>
    <x v="7"/>
    <s v="كريم عبداالناصر"/>
    <s v="مكافحة الحشرات "/>
    <s v="تم العمل"/>
    <d v="1899-12-30T15:00:00"/>
    <d v="1899-12-30T16:00:00"/>
    <n v="4.166666666666663E-2"/>
    <x v="1"/>
    <n v="0.99999999999999911"/>
  </r>
  <r>
    <x v="12"/>
    <d v="2025-01-15T00:00:00"/>
    <s v="الاربعاء "/>
    <x v="5"/>
    <s v="مصطفى رشاد  "/>
    <s v="اعمال نقاشة   "/>
    <s v="تم العمل"/>
    <d v="1899-12-30T16:00:00"/>
    <d v="1899-12-30T17:00:00"/>
    <n v="4.1666666666666075E-2"/>
    <x v="1"/>
    <n v="0.99999999999998579"/>
  </r>
  <r>
    <x v="12"/>
    <d v="2025-01-15T00:00:00"/>
    <s v="الاربعاء "/>
    <x v="0"/>
    <s v="محمد زنفل  "/>
    <s v="انشاءات"/>
    <s v="تم العمل"/>
    <d v="1899-12-30T10:00:00"/>
    <d v="1899-12-30T18:00:00"/>
    <n v="0.33333333333333331"/>
    <x v="2"/>
    <n v="8"/>
  </r>
  <r>
    <x v="12"/>
    <d v="2025-01-16T00:00:00"/>
    <s v="الخميس "/>
    <x v="5"/>
    <s v="ادم محمد "/>
    <s v="تركيب سيراميك"/>
    <s v="تم العمل"/>
    <d v="1899-12-30T10:00:00"/>
    <d v="1899-12-30T17:00:00"/>
    <n v="0.29166666666666669"/>
    <x v="3"/>
    <n v="7"/>
  </r>
  <r>
    <x v="12"/>
    <d v="2025-01-16T00:00:00"/>
    <s v="الخميس "/>
    <x v="14"/>
    <s v="انس احمد"/>
    <s v="تركيب مصاعد"/>
    <s v="تم العمل"/>
    <d v="1899-12-30T10:00:00"/>
    <d v="1899-12-30T17:00:00"/>
    <n v="0.29166666666666669"/>
    <x v="1"/>
    <n v="7"/>
  </r>
  <r>
    <x v="12"/>
    <d v="2025-01-16T00:00:00"/>
    <s v="الخميس "/>
    <x v="1"/>
    <s v="سامر سامي"/>
    <s v="اعمال في شبكة الاطفاء "/>
    <s v="تم العمل"/>
    <d v="1899-12-30T10:00:00"/>
    <d v="1899-12-30T17:00:00"/>
    <n v="0.29166666666666669"/>
    <x v="1"/>
    <n v="7"/>
  </r>
  <r>
    <x v="12"/>
    <d v="2025-01-16T00:00:00"/>
    <s v="الخميس "/>
    <x v="0"/>
    <s v="مراد صالح"/>
    <s v="استكمال اعمال خزان الاطفاء"/>
    <s v="تم العمل"/>
    <d v="1899-12-30T09:00:00"/>
    <d v="1899-12-30T17:00:00"/>
    <n v="0.33333333333333337"/>
    <x v="0"/>
    <n v="8"/>
  </r>
  <r>
    <x v="12"/>
    <d v="2025-01-18T00:00:00"/>
    <s v="السبت "/>
    <x v="0"/>
    <s v="مراد صالح"/>
    <s v="استكمال اعمال خزان الاطفاء"/>
    <s v="تم العمل"/>
    <d v="1899-12-30T09:00:00"/>
    <d v="1899-12-30T17:00:00"/>
    <n v="0.33333333333333337"/>
    <x v="0"/>
    <n v="8"/>
  </r>
  <r>
    <x v="12"/>
    <d v="2025-01-18T00:00:00"/>
    <s v="السبت "/>
    <x v="10"/>
    <s v="فرج محمد"/>
    <s v="فك فراشة الشوارع الخارجية "/>
    <s v="تم العمل"/>
    <d v="1899-12-30T09:30:00"/>
    <d v="1899-12-30T17:00:00"/>
    <n v="0.31250000000000006"/>
    <x v="0"/>
    <n v="7.5000000000000018"/>
  </r>
  <r>
    <x v="12"/>
    <d v="2025-01-18T00:00:00"/>
    <s v="السبت "/>
    <x v="1"/>
    <s v="سامر سامي"/>
    <s v="استكمال الاعمال في شبكة الاطفاء"/>
    <s v="تم العمل"/>
    <d v="1899-12-30T10:00:00"/>
    <d v="1899-12-30T17:00:00"/>
    <n v="0.29166666666666669"/>
    <x v="1"/>
    <n v="7"/>
  </r>
  <r>
    <x v="12"/>
    <d v="2025-01-18T00:00:00"/>
    <s v="السبت "/>
    <x v="14"/>
    <s v="انس احمد"/>
    <s v="تركيب مصاعد"/>
    <s v="تم العمل"/>
    <d v="1899-12-30T10:00:00"/>
    <d v="1899-12-30T17:00:00"/>
    <n v="0.29166666666666669"/>
    <x v="1"/>
    <n v="7"/>
  </r>
  <r>
    <x v="12"/>
    <d v="2025-01-19T00:00:00"/>
    <s v="الاحد "/>
    <x v="17"/>
    <s v="شريف عيد"/>
    <s v="تركيب كشافات كهرباء "/>
    <s v="تم العمل"/>
    <d v="1899-12-30T10:00:00"/>
    <d v="1899-12-30T16:00:00"/>
    <n v="0.24999999999999994"/>
    <x v="1"/>
    <n v="5.9999999999999982"/>
  </r>
  <r>
    <x v="12"/>
    <d v="2025-01-19T00:00:00"/>
    <s v="الاحد "/>
    <x v="14"/>
    <s v="انس احمد"/>
    <s v="تركيب مصاعد"/>
    <s v="تم العمل"/>
    <d v="1899-12-30T10:00:00"/>
    <d v="1899-12-30T16:00:00"/>
    <n v="0.24999999999999994"/>
    <x v="1"/>
    <n v="5.9999999999999982"/>
  </r>
  <r>
    <x v="12"/>
    <d v="2025-01-20T00:00:00"/>
    <s v="الاثنين "/>
    <x v="14"/>
    <s v="انس احمد"/>
    <s v="تركيب مصاعد"/>
    <s v="تم العمل"/>
    <d v="1899-12-30T10:00:00"/>
    <d v="1899-12-30T17:00:00"/>
    <n v="0.29166666666666669"/>
    <x v="1"/>
    <n v="7"/>
  </r>
  <r>
    <x v="12"/>
    <d v="2025-01-20T00:00:00"/>
    <s v="الاثنين "/>
    <x v="1"/>
    <s v="سامر سامي"/>
    <s v="صيانة خط الحريق "/>
    <s v="تم العمل"/>
    <d v="1899-12-30T10:00:00"/>
    <d v="1899-12-30T17:00:00"/>
    <n v="0.29166666666666669"/>
    <x v="1"/>
    <n v="7"/>
  </r>
  <r>
    <x v="12"/>
    <d v="2025-01-21T00:00:00"/>
    <s v="الثلاثاء "/>
    <x v="26"/>
    <s v="احمد محمود "/>
    <s v="صيانة دورية لغرف ومحابس الغاز     "/>
    <s v="تم العمل"/>
    <d v="1899-12-30T10:30:00"/>
    <d v="1899-12-30T11:30:00"/>
    <n v="4.1666666666666685E-2"/>
    <x v="3"/>
    <n v="1.0000000000000004"/>
  </r>
  <r>
    <x v="12"/>
    <d v="2025-01-21T00:00:00"/>
    <s v="الثلاثاء "/>
    <x v="0"/>
    <s v="مراد صالح"/>
    <s v="استكمال اعمال خزان الاطفاء"/>
    <s v="تم العمل"/>
    <d v="1899-12-30T08:00:00"/>
    <d v="1899-12-30T17:00:00"/>
    <n v="0.37500000000000006"/>
    <x v="0"/>
    <n v="9.0000000000000018"/>
  </r>
  <r>
    <x v="12"/>
    <d v="2025-01-21T00:00:00"/>
    <s v="الثلاثاء "/>
    <x v="14"/>
    <s v="انس احمد"/>
    <s v="تركيب مصاعد"/>
    <s v="تم العمل"/>
    <d v="1899-12-30T10:00:00"/>
    <d v="1899-12-30T17:00:00"/>
    <n v="0.29166666666666669"/>
    <x v="1"/>
    <n v="7"/>
  </r>
  <r>
    <x v="12"/>
    <d v="2025-01-21T00:00:00"/>
    <s v="الثلاثاء "/>
    <x v="17"/>
    <s v="شريف عيد"/>
    <s v="تركيب كشافات كهرباء "/>
    <s v="تم العمل"/>
    <d v="1899-12-30T10:00:00"/>
    <d v="1899-12-30T17:00:00"/>
    <n v="0.29166666666666735"/>
    <x v="1"/>
    <n v="7.000000000000016"/>
  </r>
  <r>
    <x v="12"/>
    <d v="2025-01-22T00:00:00"/>
    <s v="الاربعاء "/>
    <x v="1"/>
    <s v="سامر سامي"/>
    <s v="توصيل لوحة الانذار"/>
    <s v="تم العمل"/>
    <d v="1899-12-30T11:00:00"/>
    <d v="1899-12-30T16:00:00"/>
    <n v="0.20833333333333331"/>
    <x v="1"/>
    <n v="5"/>
  </r>
  <r>
    <x v="12"/>
    <d v="2025-01-22T00:00:00"/>
    <s v="الاربعاء "/>
    <x v="5"/>
    <s v="محمود عويس"/>
    <s v="تركيب فليسكبل ب  لكابلات تكيفات المبمى الاداري"/>
    <s v="تم العمل"/>
    <d v="1899-12-30T13:30:00"/>
    <d v="1899-12-30T15:00:00"/>
    <n v="6.25E-2"/>
    <x v="3"/>
    <n v="1.5"/>
  </r>
  <r>
    <x v="12"/>
    <d v="2025-01-22T00:00:00"/>
    <s v="الاربعاء "/>
    <x v="17"/>
    <s v="شريف عيد"/>
    <s v="تركيب كشافات كهرباء "/>
    <s v="تم العمل"/>
    <d v="1899-12-30T10:00:00"/>
    <d v="1899-12-30T17:00:00"/>
    <n v="0.29166666666666735"/>
    <x v="1"/>
    <n v="7.000000000000016"/>
  </r>
  <r>
    <x v="12"/>
    <d v="2025-01-22T00:00:00"/>
    <s v="الاربعاء "/>
    <x v="14"/>
    <s v="احمد السيد"/>
    <s v="تركيب مصاعد"/>
    <s v="تم العمل"/>
    <d v="1899-12-30T10:00:00"/>
    <d v="1899-12-30T17:00:00"/>
    <n v="0.29166666666666735"/>
    <x v="1"/>
    <n v="7.000000000000016"/>
  </r>
  <r>
    <x v="12"/>
    <d v="2025-01-23T00:00:00"/>
    <s v="الخميس "/>
    <x v="1"/>
    <s v="سامر سامي"/>
    <s v="توصيل لوحة الانذار"/>
    <s v="تم العمل"/>
    <d v="1899-12-30T11:00:00"/>
    <d v="1899-12-30T16:00:00"/>
    <n v="0.20833333333333365"/>
    <x v="1"/>
    <n v="5.0000000000000071"/>
  </r>
  <r>
    <x v="12"/>
    <d v="2025-01-23T00:00:00"/>
    <s v="الخميس "/>
    <x v="14"/>
    <s v="احمد السيد"/>
    <s v="تركيب مصاعد"/>
    <s v="تم العمل"/>
    <d v="1899-12-30T10:00:00"/>
    <d v="1899-12-30T17:00:00"/>
    <n v="0.29166666666666735"/>
    <x v="1"/>
    <n v="7.000000000000016"/>
  </r>
  <r>
    <x v="12"/>
    <d v="2025-01-25T00:00:00"/>
    <s v="السبت "/>
    <x v="0"/>
    <s v="مراد صالح"/>
    <s v="تركيب سيراميك لغرفة الطلمبات"/>
    <s v="تم العمل"/>
    <d v="1899-12-30T09:00:00"/>
    <d v="1899-12-30T17:00:00"/>
    <n v="0.33333333333333337"/>
    <x v="0"/>
    <n v="8"/>
  </r>
  <r>
    <x v="12"/>
    <d v="2025-01-26T00:00:00"/>
    <s v="الاحد "/>
    <x v="17"/>
    <s v="صابر ابراهيم "/>
    <s v="تركيب استاند"/>
    <s v="تم العمل"/>
    <d v="1899-12-30T13:00:00"/>
    <d v="1899-12-30T15:00:00"/>
    <n v="8.333333333333337E-2"/>
    <x v="3"/>
    <n v="2.0000000000000009"/>
  </r>
  <r>
    <x v="12"/>
    <d v="2025-01-26T00:00:00"/>
    <s v="الاحد "/>
    <x v="14"/>
    <s v="انس احمد"/>
    <s v="تركيب مصاعد"/>
    <s v="تم العمل"/>
    <d v="1899-12-30T11:00:00"/>
    <d v="1899-12-30T17:00:00"/>
    <n v="0.25000000000000006"/>
    <x v="1"/>
    <n v="6.0000000000000018"/>
  </r>
  <r>
    <x v="12"/>
    <d v="2025-01-26T00:00:00"/>
    <s v="الاحد "/>
    <x v="7"/>
    <s v="اسلام ابراهيم "/>
    <s v="مكافحة حشرات "/>
    <s v="تم العمل"/>
    <d v="1899-12-30T12:00:00"/>
    <d v="1899-12-30T13:30:00"/>
    <n v="6.25E-2"/>
    <x v="1"/>
    <n v="1.5"/>
  </r>
  <r>
    <x v="12"/>
    <d v="2025-01-27T00:00:00"/>
    <s v="الاثنين "/>
    <x v="0"/>
    <s v="محمد صلاح"/>
    <s v="استكمال اعمال خزان الاطفاء"/>
    <s v="تم العمل"/>
    <d v="1899-12-30T09:00:00"/>
    <d v="1899-12-30T17:00:00"/>
    <n v="0.33333333333333337"/>
    <x v="0"/>
    <n v="8"/>
  </r>
  <r>
    <x v="12"/>
    <d v="2025-01-27T00:00:00"/>
    <s v="الاثنين "/>
    <x v="14"/>
    <s v="ابراهيم هارون"/>
    <s v="تركيب مصاعد"/>
    <s v="تم العمل"/>
    <d v="1899-12-30T12:00:00"/>
    <d v="1899-12-30T17:00:00"/>
    <n v="0.20833333333333337"/>
    <x v="1"/>
    <n v="5.0000000000000009"/>
  </r>
  <r>
    <x v="12"/>
    <d v="2025-01-27T00:00:00"/>
    <s v="الاثنين "/>
    <x v="1"/>
    <s v="سامر سامي"/>
    <s v="تركيب شبكة انذار"/>
    <s v="تم العمل"/>
    <d v="1899-12-30T11:00:00"/>
    <d v="1899-12-30T14:00:00"/>
    <n v="0.12500000000000006"/>
    <x v="1"/>
    <n v="3.0000000000000013"/>
  </r>
  <r>
    <x v="12"/>
    <d v="2025-01-27T00:00:00"/>
    <s v="الاثنين "/>
    <x v="17"/>
    <s v="شريف عيد"/>
    <s v="اعمال كهرباء"/>
    <s v="تم العمل"/>
    <d v="1899-12-30T10:00:00"/>
    <d v="1899-12-30T17:00:00"/>
    <n v="0.29166666666666669"/>
    <x v="1"/>
    <n v="7"/>
  </r>
  <r>
    <x v="12"/>
    <d v="2025-01-28T00:00:00"/>
    <s v="الثلاثاء "/>
    <x v="34"/>
    <s v="رامي محمد"/>
    <s v="صيانة الوميتال"/>
    <s v="تم العمل"/>
    <d v="1899-12-30T14:30:00"/>
    <d v="1899-12-30T15:30:00"/>
    <n v="4.1666666666666741E-2"/>
    <x v="3"/>
    <n v="1.0000000000000018"/>
  </r>
  <r>
    <x v="12"/>
    <d v="2025-01-28T00:00:00"/>
    <s v="الثلاثاء "/>
    <x v="0"/>
    <s v="مراد صالح"/>
    <s v="استكمال اعمال خزان الاطفاء"/>
    <s v="تم العمل"/>
    <d v="1899-12-30T09:00:00"/>
    <d v="1899-12-30T17:00:00"/>
    <n v="0.33333333333333337"/>
    <x v="0"/>
    <n v="8"/>
  </r>
  <r>
    <x v="12"/>
    <d v="2025-01-28T00:00:00"/>
    <s v="الثلاثاء "/>
    <x v="14"/>
    <s v="احمد السيد"/>
    <s v="تركيب مصاعد"/>
    <s v="تم العمل"/>
    <d v="1899-12-30T11:00:00"/>
    <d v="1899-12-30T17:00:00"/>
    <n v="0.25000000000000006"/>
    <x v="1"/>
    <n v="6.0000000000000018"/>
  </r>
  <r>
    <x v="12"/>
    <d v="2025-01-28T00:00:00"/>
    <s v="الثلاثاء "/>
    <x v="17"/>
    <s v="شريف عيد"/>
    <s v="اعمال كهرباء"/>
    <s v="تم العمل"/>
    <d v="1899-12-30T10:00:00"/>
    <d v="1899-12-30T17:00:00"/>
    <n v="0.29166666666666669"/>
    <x v="1"/>
    <n v="7"/>
  </r>
  <r>
    <x v="12"/>
    <d v="2025-01-29T00:00:00"/>
    <s v="الاربعاء "/>
    <x v="17"/>
    <s v="محمود عويس"/>
    <s v="صيانة تكييف"/>
    <s v="تم العمل"/>
    <d v="1899-12-30T10:30:00"/>
    <d v="1899-12-30T13:00:00"/>
    <n v="0.10416666666666663"/>
    <x v="3"/>
    <n v="2.4999999999999991"/>
  </r>
  <r>
    <x v="12"/>
    <d v="2025-01-29T00:00:00"/>
    <s v="الاربعاء "/>
    <x v="64"/>
    <s v="ابراهيم عبدالحليم"/>
    <s v="صيانة كلاركات "/>
    <s v="تم العمل"/>
    <d v="1899-12-30T10:00:00"/>
    <d v="1899-12-30T12:00:00"/>
    <n v="8.3333333333333315E-2"/>
    <x v="1"/>
    <n v="1.9999999999999996"/>
  </r>
  <r>
    <x v="12"/>
    <d v="2025-01-29T00:00:00"/>
    <s v="الاربعاء "/>
    <x v="17"/>
    <s v="محمد نقيب"/>
    <s v="اعمال كهرباء"/>
    <s v="تم العمل"/>
    <d v="1899-12-30T10:00:00"/>
    <d v="1899-12-30T17:00:00"/>
    <n v="0.29166666666666635"/>
    <x v="1"/>
    <n v="6.9999999999999929"/>
  </r>
  <r>
    <x v="12"/>
    <d v="2025-01-29T00:00:00"/>
    <s v="الاربعاء "/>
    <x v="0"/>
    <s v="مراد صالح"/>
    <s v="استكمال اعمال خزان الاطفاء"/>
    <s v="تم العمل"/>
    <d v="1899-12-30T10:00:00"/>
    <d v="1899-12-30T17:00:00"/>
    <n v="0.29166666666666635"/>
    <x v="0"/>
    <n v="6.9999999999999929"/>
  </r>
  <r>
    <x v="12"/>
    <d v="2025-01-30T00:00:00"/>
    <s v="الخميس "/>
    <x v="0"/>
    <s v="محمد رمضان   "/>
    <s v="تركيب الوميتال"/>
    <s v="تم العمل"/>
    <d v="1899-12-30T11:00:00"/>
    <d v="1899-12-30T17:00:00"/>
    <n v="0.25000000000000006"/>
    <x v="1"/>
    <n v="6.0000000000000018"/>
  </r>
  <r>
    <x v="12"/>
    <d v="2025-01-30T00:00:00"/>
    <s v="الخميس "/>
    <x v="5"/>
    <s v="مصطفى رشاد  "/>
    <s v="اعمال نقاشة   "/>
    <s v="تم العمل"/>
    <d v="1899-12-30T10:00:00"/>
    <d v="1899-12-30T12:00:00"/>
    <n v="8.3333333333333315E-2"/>
    <x v="1"/>
    <n v="1.9999999999999996"/>
  </r>
  <r>
    <x v="12"/>
    <d v="2025-01-30T00:00:00"/>
    <s v="الخميس "/>
    <x v="0"/>
    <s v="مراد صالح"/>
    <s v="استكمال اعمال خزان الاطفاء"/>
    <s v="تم العمل"/>
    <d v="1899-12-30T10:00:00"/>
    <d v="1899-12-30T16:00:00"/>
    <n v="0.24999999999999994"/>
    <x v="0"/>
    <n v="5.9999999999999982"/>
  </r>
  <r>
    <x v="12"/>
    <d v="2025-01-30T00:00:00"/>
    <s v="الخميس "/>
    <x v="8"/>
    <s v="حامد ابوالمجد"/>
    <s v="تركيب ماسورة حريق في عنبر 2"/>
    <s v="تم العمل"/>
    <d v="1899-12-30T10:30:00"/>
    <d v="1899-12-30T15:00:00"/>
    <n v="0.1875"/>
    <x v="0"/>
    <n v="4.5"/>
  </r>
  <r>
    <x v="13"/>
    <d v="2025-02-01T00:00:00"/>
    <s v="السبت "/>
    <x v="24"/>
    <s v="محمد مصطفى"/>
    <s v="تركيب طلمبات الحريق"/>
    <s v="تم العمل"/>
    <d v="1899-12-30T13:00:00"/>
    <d v="1899-12-30T17:00:00"/>
    <n v="0.16666666666666674"/>
    <x v="0"/>
    <n v="4.0000000000000018"/>
  </r>
  <r>
    <x v="13"/>
    <d v="2025-02-01T00:00:00"/>
    <s v="السبت "/>
    <x v="0"/>
    <s v="ابراهيم سعد "/>
    <s v="تركيبات"/>
    <s v="تم العمل"/>
    <d v="1899-12-30T10:00:00"/>
    <d v="1899-12-30T18:00:00"/>
    <n v="0.33333333333333331"/>
    <x v="2"/>
    <n v="8"/>
  </r>
  <r>
    <x v="13"/>
    <d v="2025-02-02T00:00:00"/>
    <s v="الاحد "/>
    <x v="0"/>
    <s v="محمد صلاح"/>
    <s v="تركيب الوميتال"/>
    <s v="تم العمل"/>
    <d v="1899-12-30T10:00:00"/>
    <d v="1899-12-30T17:00:00"/>
    <n v="0.29166666666666669"/>
    <x v="1"/>
    <n v="7"/>
  </r>
  <r>
    <x v="13"/>
    <d v="2025-02-02T00:00:00"/>
    <s v="الاحد "/>
    <x v="1"/>
    <s v="اسامة ابراهيم "/>
    <s v="توصيل لوحة الانذار"/>
    <s v="تم العمل"/>
    <d v="1899-12-30T11:00:00"/>
    <d v="1899-12-30T12:00:00"/>
    <n v="4.1666666666666685E-2"/>
    <x v="1"/>
    <n v="1.0000000000000004"/>
  </r>
  <r>
    <x v="13"/>
    <d v="2025-02-02T00:00:00"/>
    <s v="الاحد "/>
    <x v="24"/>
    <s v="محمد مصطفى"/>
    <s v="تركيب طلمبات الحريق"/>
    <s v="تم العمل"/>
    <d v="1899-12-30T08:00:00"/>
    <d v="1899-12-30T17:00:00"/>
    <n v="0.37500000000000006"/>
    <x v="0"/>
    <n v="9.0000000000000018"/>
  </r>
  <r>
    <x v="13"/>
    <d v="2025-02-02T00:00:00"/>
    <s v="الاحد "/>
    <x v="5"/>
    <s v="محمد نقيب"/>
    <s v="صيانة كشافات الانارة"/>
    <s v="تم العمل"/>
    <d v="1899-12-30T10:00:00"/>
    <d v="1899-12-30T17:00:00"/>
    <n v="0.29166666666666669"/>
    <x v="0"/>
    <n v="7"/>
  </r>
  <r>
    <x v="13"/>
    <d v="2025-02-03T00:00:00"/>
    <s v="الاثنين "/>
    <x v="0"/>
    <s v="مراد صالح"/>
    <s v="استكمال اعمال خزان الاطفاء"/>
    <s v="تم العمل"/>
    <d v="1899-12-30T09:00:00"/>
    <d v="1899-12-30T17:00:00"/>
    <n v="0.33333333333333337"/>
    <x v="0"/>
    <n v="8"/>
  </r>
  <r>
    <x v="13"/>
    <d v="2025-02-03T00:00:00"/>
    <s v="الاثنين "/>
    <x v="5"/>
    <s v="محمد نقيب"/>
    <s v="صيانة كشافات الانارة"/>
    <s v="تم العمل"/>
    <d v="1899-12-30T10:00:00"/>
    <d v="1899-12-30T17:00:00"/>
    <n v="0.29166666666666669"/>
    <x v="0"/>
    <n v="7"/>
  </r>
  <r>
    <x v="13"/>
    <d v="2025-02-04T00:00:00"/>
    <s v="الثلاثاء "/>
    <x v="0"/>
    <s v="محمد صلاح"/>
    <s v="تركيب الوميتال"/>
    <s v="تم العمل"/>
    <d v="1899-12-30T10:00:00"/>
    <d v="1899-12-30T17:00:00"/>
    <n v="0.29166666666666669"/>
    <x v="1"/>
    <n v="7"/>
  </r>
  <r>
    <x v="13"/>
    <d v="2025-02-04T00:00:00"/>
    <s v="الثلاثاء "/>
    <x v="24"/>
    <s v="محمد مصطفى"/>
    <s v="تركيب طلمبات الحريق"/>
    <s v="تم العمل"/>
    <d v="1899-12-30T09:00:00"/>
    <d v="1899-12-30T17:00:00"/>
    <n v="0.33333333333333337"/>
    <x v="0"/>
    <n v="8"/>
  </r>
  <r>
    <x v="13"/>
    <d v="2025-02-04T00:00:00"/>
    <s v="الثلاثاء "/>
    <x v="5"/>
    <s v="محمد نقيب"/>
    <s v="صيانة كشافات الانارة"/>
    <s v="تم العمل"/>
    <d v="1899-12-30T10:00:00"/>
    <d v="1899-12-30T17:00:00"/>
    <n v="0.29166666666666669"/>
    <x v="0"/>
    <n v="7"/>
  </r>
  <r>
    <x v="13"/>
    <d v="2025-02-04T00:00:00"/>
    <s v="الثلاثاء "/>
    <x v="61"/>
    <s v="سيد عادل"/>
    <s v="تركيبات"/>
    <s v="تم العمل"/>
    <d v="1899-12-30T11:30:00"/>
    <d v="1899-12-30T17:00:00"/>
    <n v="0.22916666666666669"/>
    <x v="2"/>
    <n v="5.5"/>
  </r>
  <r>
    <x v="13"/>
    <d v="2025-02-07T00:00:00"/>
    <s v="الخميس "/>
    <x v="17"/>
    <s v="شريف عيد"/>
    <s v="اعمال كهرباء"/>
    <s v="تم العمل"/>
    <d v="1899-12-30T10:00:00"/>
    <d v="1899-12-30T12:00:00"/>
    <n v="8.3333333333333315E-2"/>
    <x v="1"/>
    <n v="1.9999999999999996"/>
  </r>
  <r>
    <x v="13"/>
    <d v="2025-02-08T00:00:00"/>
    <s v="السبت "/>
    <x v="4"/>
    <s v="سيد عاطف"/>
    <s v="صيانة"/>
    <s v="تم العمل"/>
    <d v="1899-12-30T10:00:00"/>
    <d v="1899-12-30T14:00:00"/>
    <n v="0.16666666666666669"/>
    <x v="2"/>
    <n v="4"/>
  </r>
  <r>
    <x v="13"/>
    <d v="2025-02-08T00:00:00"/>
    <s v="السبت "/>
    <x v="54"/>
    <s v="عاطف كمال"/>
    <s v="تركيبات"/>
    <s v="تم العمل"/>
    <d v="1899-12-30T10:30:00"/>
    <d v="1899-12-30T14:00:00"/>
    <n v="0.14583333333333337"/>
    <x v="2"/>
    <n v="3.5000000000000009"/>
  </r>
  <r>
    <x v="13"/>
    <d v="2025-02-09T00:00:00"/>
    <s v="الاحد "/>
    <x v="68"/>
    <s v="محمد عبدالوهاب"/>
    <s v="صيانة ماكينة السلوفان"/>
    <s v="تم العمل"/>
    <d v="1899-12-30T10:30:00"/>
    <d v="1899-12-30T18:00:00"/>
    <n v="0.3125"/>
    <x v="3"/>
    <n v="7.5"/>
  </r>
  <r>
    <x v="13"/>
    <d v="2025-02-09T00:00:00"/>
    <s v="الاحد "/>
    <x v="69"/>
    <s v="احمد محمد"/>
    <s v="تركيب كاميرات"/>
    <s v="تم العمل"/>
    <d v="1899-12-30T12:00:00"/>
    <d v="1899-12-30T17:00:00"/>
    <n v="0.20833333333333337"/>
    <x v="1"/>
    <n v="5.0000000000000009"/>
  </r>
  <r>
    <x v="13"/>
    <d v="2025-02-09T00:00:00"/>
    <s v="الاحد "/>
    <x v="14"/>
    <s v="جورج يونان"/>
    <s v="تركيب مصاعد"/>
    <s v="تم العمل"/>
    <d v="1899-12-30T11:00:00"/>
    <d v="1899-12-30T17:00:00"/>
    <n v="0.25000000000000006"/>
    <x v="1"/>
    <n v="6.0000000000000018"/>
  </r>
  <r>
    <x v="13"/>
    <d v="2025-02-09T00:00:00"/>
    <s v="الاحد "/>
    <x v="70"/>
    <s v="محمد مصطفى"/>
    <s v="تركيب طلمبات الحريق"/>
    <s v="تم العمل"/>
    <d v="1899-12-30T10:00:00"/>
    <d v="1899-12-30T17:00:00"/>
    <n v="0.29166666666666669"/>
    <x v="0"/>
    <n v="7"/>
  </r>
  <r>
    <x v="13"/>
    <d v="2025-02-09T00:00:00"/>
    <s v="الاحد "/>
    <x v="7"/>
    <s v="محمد ماهر"/>
    <s v="مكافحة حشرات "/>
    <s v="تم العمل"/>
    <d v="1899-12-30T15:00:00"/>
    <d v="1899-12-30T16:00:00"/>
    <n v="4.166666666666663E-2"/>
    <x v="1"/>
    <n v="0.99999999999999911"/>
  </r>
  <r>
    <x v="13"/>
    <d v="2025-02-10T00:00:00"/>
    <s v="الاثنين "/>
    <x v="68"/>
    <s v="محمد الزيني"/>
    <s v="صيانة ماكينة السلوفان"/>
    <s v="تم العمل"/>
    <d v="1899-12-30T10:30:00"/>
    <d v="1899-12-30T17:30:00"/>
    <n v="0.29166666666666663"/>
    <x v="3"/>
    <n v="6.9999999999999991"/>
  </r>
  <r>
    <x v="13"/>
    <d v="2025-02-10T00:00:00"/>
    <s v="الاثنين "/>
    <x v="8"/>
    <s v="علي الشحات "/>
    <s v="المرور الشهري على نظام الانذار"/>
    <s v="تم العمل"/>
    <d v="1899-12-30T12:00:00"/>
    <d v="1899-12-30T13:00:00"/>
    <n v="4.166666666666663E-2"/>
    <x v="3"/>
    <n v="0.99999999999999911"/>
  </r>
  <r>
    <x v="13"/>
    <d v="2025-02-11T00:00:00"/>
    <s v="الثلاثاء "/>
    <x v="68"/>
    <s v="ضياء ابراهيم"/>
    <s v="صيانة ماكينة السلوفان"/>
    <s v="تم العمل"/>
    <d v="1899-12-30T10:30:00"/>
    <d v="1899-12-30T17:00:00"/>
    <n v="0.27083333333333337"/>
    <x v="3"/>
    <n v="6.5000000000000009"/>
  </r>
  <r>
    <x v="13"/>
    <d v="2025-02-11T00:00:00"/>
    <s v="الثلاثاء "/>
    <x v="48"/>
    <s v="اسلام شديد"/>
    <s v="صيانة ماكينة التكويد"/>
    <s v="تم العمل"/>
    <d v="1899-12-30T11:00:00"/>
    <d v="1899-12-30T14:00:00"/>
    <n v="0.12500000000000006"/>
    <x v="3"/>
    <n v="3.0000000000000013"/>
  </r>
  <r>
    <x v="13"/>
    <d v="2025-02-11T00:00:00"/>
    <s v="الثلاثاء "/>
    <x v="8"/>
    <s v="احمد فوزي"/>
    <s v="صيانة لوحات الانذار"/>
    <s v="تم العمل"/>
    <d v="1899-12-30T13:30:00"/>
    <d v="1899-12-30T15:00:00"/>
    <n v="6.25E-2"/>
    <x v="3"/>
    <n v="1.5"/>
  </r>
  <r>
    <x v="13"/>
    <d v="2025-02-12T00:00:00"/>
    <s v="الاربعاء "/>
    <x v="61"/>
    <s v="سيد عادل"/>
    <s v="توصيل كابلات"/>
    <s v="تم العمل"/>
    <d v="1899-12-30T10:30:00"/>
    <d v="1899-12-30T18:30:00"/>
    <n v="0.33333333333333337"/>
    <x v="3"/>
    <n v="8"/>
  </r>
  <r>
    <x v="13"/>
    <d v="2025-02-12T00:00:00"/>
    <s v="الاربعاء "/>
    <x v="68"/>
    <s v="ضياء ابراهيم"/>
    <s v="صيانة ماكينة SPOT"/>
    <s v="تم العمل"/>
    <d v="1899-12-30T11:00:00"/>
    <d v="1899-12-30T17:30:00"/>
    <n v="0.27083333333333331"/>
    <x v="3"/>
    <n v="6.5"/>
  </r>
  <r>
    <x v="13"/>
    <d v="2025-02-12T00:00:00"/>
    <s v="الاربعاء "/>
    <x v="5"/>
    <s v="محمد نقيب"/>
    <s v="صيانة كشافات الانارة"/>
    <s v="تم العمل"/>
    <d v="1899-12-30T10:00:00"/>
    <d v="1899-12-30T17:00:00"/>
    <n v="0.29166666666666669"/>
    <x v="0"/>
    <n v="7"/>
  </r>
  <r>
    <x v="13"/>
    <d v="2025-02-12T00:00:00"/>
    <s v="الاربعاء "/>
    <x v="70"/>
    <s v="محمد مصطفى"/>
    <s v="تركيب طلمبات الحريق"/>
    <s v="تم العمل"/>
    <d v="1899-12-30T11:00:00"/>
    <d v="1899-12-30T20:30:00"/>
    <n v="0.39583333333333331"/>
    <x v="0"/>
    <n v="9.5"/>
  </r>
  <r>
    <x v="13"/>
    <d v="2025-02-13T00:00:00"/>
    <s v="الخميس "/>
    <x v="70"/>
    <s v="محمد مصطفى"/>
    <s v="تركيب طلمبات الحريق"/>
    <s v="تم العمل"/>
    <d v="1899-12-30T10:00:00"/>
    <d v="1899-12-30T18:00:00"/>
    <n v="0.33333333333333331"/>
    <x v="0"/>
    <n v="8"/>
  </r>
  <r>
    <x v="13"/>
    <d v="2025-02-15T00:00:00"/>
    <s v="السبت "/>
    <x v="71"/>
    <s v="محمد محمود"/>
    <s v="صيانة زجاج"/>
    <s v="تم العمل"/>
    <d v="1899-12-30T16:00:00"/>
    <d v="1899-12-30T18:00:00"/>
    <n v="8.333333333333337E-2"/>
    <x v="2"/>
    <n v="2.0000000000000009"/>
  </r>
  <r>
    <x v="13"/>
    <d v="2025-02-16T00:00:00"/>
    <s v="الاحد "/>
    <x v="7"/>
    <s v="محمد ماهر"/>
    <s v="مكافحة حشرات "/>
    <s v="تم العمل"/>
    <d v="1899-12-30T12:30:00"/>
    <d v="1899-12-30T14:00:00"/>
    <n v="6.25E-2"/>
    <x v="3"/>
    <n v="1.5"/>
  </r>
  <r>
    <x v="13"/>
    <d v="2025-02-16T00:00:00"/>
    <s v="الاحد "/>
    <x v="70"/>
    <s v="محمد مصطفى"/>
    <s v="تركيب طلمبات الحريق"/>
    <s v="تم العمل"/>
    <d v="1899-12-30T10:00:00"/>
    <d v="1899-12-30T17:00:00"/>
    <n v="0.29166666666666669"/>
    <x v="0"/>
    <n v="7"/>
  </r>
  <r>
    <x v="13"/>
    <d v="2025-02-16T00:00:00"/>
    <s v="الاحد "/>
    <x v="5"/>
    <s v="محمد نقيب"/>
    <s v="صيانة كشافات الانارة"/>
    <s v="تم العمل"/>
    <d v="1899-12-30T10:00:00"/>
    <d v="1899-12-30T17:00:00"/>
    <n v="0.29166666666666669"/>
    <x v="0"/>
    <n v="7"/>
  </r>
  <r>
    <x v="13"/>
    <d v="2025-02-18T00:00:00"/>
    <s v="الثلاثاء "/>
    <x v="18"/>
    <s v="فيكتور لوندي"/>
    <s v="صيانة الديزل "/>
    <s v="تم العمل"/>
    <d v="1899-12-30T13:00:00"/>
    <d v="1899-12-30T17:00:00"/>
    <n v="0.16666666666666674"/>
    <x v="4"/>
    <n v="4.0000000000000018"/>
  </r>
  <r>
    <x v="13"/>
    <d v="2025-02-20T00:00:00"/>
    <s v="الخميس "/>
    <x v="14"/>
    <s v="محمد عادل  "/>
    <s v="صيانة المصاعد "/>
    <s v="تم العمل"/>
    <d v="1899-12-30T12:00:00"/>
    <d v="1899-12-30T13:00:00"/>
    <n v="4.166666666666663E-2"/>
    <x v="3"/>
    <n v="0.99999999999999911"/>
  </r>
  <r>
    <x v="13"/>
    <d v="2025-02-20T00:00:00"/>
    <s v="الخميس "/>
    <x v="18"/>
    <s v="فيكتور لوندي"/>
    <s v="صيانة الديزل "/>
    <s v="تم العمل"/>
    <d v="1899-12-30T12:00:00"/>
    <d v="1899-12-30T13:00:00"/>
    <n v="4.166666666666663E-2"/>
    <x v="4"/>
    <n v="0.99999999999999911"/>
  </r>
  <r>
    <x v="13"/>
    <d v="2025-02-20T00:00:00"/>
    <s v="الخميس "/>
    <x v="17"/>
    <s v="شريف عيد"/>
    <s v="صيانة غرفة الكهرباء"/>
    <s v="تم العمل"/>
    <d v="1899-12-30T10:00:00"/>
    <d v="1899-12-30T12:00:00"/>
    <n v="8.3333333333333315E-2"/>
    <x v="1"/>
    <n v="1.9999999999999996"/>
  </r>
  <r>
    <x v="13"/>
    <d v="2025-02-20T00:00:00"/>
    <s v="الخميس "/>
    <x v="14"/>
    <s v="محمد عادل  "/>
    <s v="تركيب مصاعد"/>
    <s v="تم العمل"/>
    <d v="1899-12-30T13:00:00"/>
    <d v="1899-12-30T15:00:00"/>
    <n v="8.333333333333337E-2"/>
    <x v="1"/>
    <n v="2.0000000000000009"/>
  </r>
  <r>
    <x v="13"/>
    <d v="2025-02-22T00:00:00"/>
    <s v="السبت "/>
    <x v="17"/>
    <s v="شريف عيد"/>
    <s v="سحب كابلات لغرفة الطلمبات"/>
    <s v="تم العمل"/>
    <d v="1899-12-30T10:00:00"/>
    <d v="1899-12-30T17:00:00"/>
    <n v="0.29166666666666669"/>
    <x v="0"/>
    <n v="7"/>
  </r>
  <r>
    <x v="13"/>
    <d v="2025-02-22T00:00:00"/>
    <s v="السبت "/>
    <x v="70"/>
    <s v="محمد سعيد"/>
    <s v="اعمال لحامات"/>
    <s v="تم العمل"/>
    <d v="1899-12-30T11:00:00"/>
    <d v="1899-12-30T17:00:00"/>
    <n v="0.25000000000000006"/>
    <x v="0"/>
    <n v="6.0000000000000018"/>
  </r>
  <r>
    <x v="13"/>
    <d v="2025-02-23T00:00:00"/>
    <s v="الاحد "/>
    <x v="7"/>
    <s v="محمد احمد"/>
    <s v="مكافحة حشرات "/>
    <s v="تم العمل"/>
    <d v="1899-12-30T11:00:00"/>
    <d v="1899-12-30T13:00:00"/>
    <n v="8.3333333333333315E-2"/>
    <x v="1"/>
    <n v="1.9999999999999996"/>
  </r>
  <r>
    <x v="13"/>
    <d v="2025-02-23T00:00:00"/>
    <s v="الاحد "/>
    <x v="7"/>
    <s v="محمد احمد"/>
    <s v="مكافحة حشرات "/>
    <s v="تم العمل"/>
    <d v="1899-12-30T13:00:00"/>
    <d v="1899-12-30T14:00:00"/>
    <n v="4.1666666666666741E-2"/>
    <x v="4"/>
    <n v="1.0000000000000018"/>
  </r>
  <r>
    <x v="14"/>
    <d v="2025-03-02T00:00:00"/>
    <s v="الاحد "/>
    <x v="7"/>
    <s v="نادر ياسر"/>
    <s v="مكافحة حشرات "/>
    <s v="تم العمل"/>
    <d v="1899-12-30T12:30:00"/>
    <d v="1899-12-30T15:30:00"/>
    <n v="0.125"/>
    <x v="3"/>
    <n v="3"/>
  </r>
  <r>
    <x v="14"/>
    <d v="2025-03-02T00:00:00"/>
    <s v="الاحد "/>
    <x v="7"/>
    <s v="محمد ماهر"/>
    <s v="مكافحة حشرات "/>
    <s v="تم العمل"/>
    <d v="1899-12-30T10:00:00"/>
    <d v="1899-12-30T11:00:00"/>
    <n v="4.166666666666663E-2"/>
    <x v="0"/>
    <n v="0.99999999999999911"/>
  </r>
  <r>
    <x v="14"/>
    <d v="2025-03-03T00:00:00"/>
    <s v="الاثنين "/>
    <x v="14"/>
    <s v="مخلص كامل "/>
    <s v="صيانة مصاعد"/>
    <s v="تم العمل"/>
    <d v="1899-12-30T12:00:00"/>
    <d v="1899-12-30T14:30:00"/>
    <n v="0.10416666666666663"/>
    <x v="3"/>
    <n v="2.4999999999999991"/>
  </r>
  <r>
    <x v="14"/>
    <d v="2025-03-06T00:00:00"/>
    <s v="الخميس "/>
    <x v="64"/>
    <s v="عبدالسلام محمد"/>
    <s v="ترميم ارضيات المطابع"/>
    <s v="تم العمل"/>
    <d v="1899-12-30T10:00:00"/>
    <d v="1899-12-30T16:00:00"/>
    <n v="0.24999999999999994"/>
    <x v="3"/>
    <n v="5.9999999999999982"/>
  </r>
  <r>
    <x v="14"/>
    <d v="2025-03-06T00:00:00"/>
    <s v="الخميس "/>
    <x v="8"/>
    <s v="حامد ابوالمجد"/>
    <s v="المرور الشهري على نظام الانذار"/>
    <s v="تم العمل"/>
    <d v="1899-12-30T10:00:00"/>
    <d v="1899-12-30T12:00:00"/>
    <n v="8.3333333333333315E-2"/>
    <x v="3"/>
    <n v="1.9999999999999996"/>
  </r>
  <r>
    <x v="14"/>
    <d v="2025-03-08T00:00:00"/>
    <s v="السبت "/>
    <x v="0"/>
    <s v="محمد زنفل  "/>
    <s v="تركيبات"/>
    <s v="تم العمل"/>
    <d v="1899-12-30T09:30:00"/>
    <d v="1899-12-30T16:00:00"/>
    <n v="0.27083333333333331"/>
    <x v="2"/>
    <n v="6.5"/>
  </r>
  <r>
    <x v="14"/>
    <d v="2025-03-08T00:00:00"/>
    <s v="السبت "/>
    <x v="0"/>
    <s v="يحيى طه"/>
    <s v="اعمال دهانات"/>
    <s v="تم العمل"/>
    <d v="1899-12-30T11:00:00"/>
    <d v="1899-12-30T16:00:00"/>
    <n v="0.20833333333333331"/>
    <x v="2"/>
    <n v="5"/>
  </r>
  <r>
    <x v="14"/>
    <d v="2025-03-08T00:00:00"/>
    <s v="السبت "/>
    <x v="71"/>
    <s v="اسامة داغر"/>
    <s v="اعمال صيانة"/>
    <s v="تم العمل"/>
    <d v="1899-12-30T13:00:00"/>
    <d v="1899-12-30T16:00:00"/>
    <n v="0.125"/>
    <x v="2"/>
    <n v="3"/>
  </r>
  <r>
    <x v="14"/>
    <d v="2025-03-09T00:00:00"/>
    <s v="الاحد "/>
    <x v="64"/>
    <s v="احمد علي"/>
    <s v="صيانة السلم المتحرك"/>
    <s v="تم العمل"/>
    <d v="1899-12-30T13:00:00"/>
    <d v="1899-12-30T16:00:00"/>
    <n v="0.125"/>
    <x v="1"/>
    <n v="3"/>
  </r>
  <r>
    <x v="14"/>
    <d v="2025-03-09T00:00:00"/>
    <s v="الاحد "/>
    <x v="7"/>
    <s v="محمد ماهر"/>
    <s v="مكافحة حشرات "/>
    <s v="تم العمل"/>
    <d v="1899-12-30T11:00:00"/>
    <d v="1899-12-30T12:00:00"/>
    <n v="4.1666666666666685E-2"/>
    <x v="1"/>
    <n v="1.0000000000000004"/>
  </r>
  <r>
    <x v="14"/>
    <d v="2025-03-09T00:00:00"/>
    <s v="الاحد "/>
    <x v="64"/>
    <s v="عبدالسلام محمد"/>
    <s v="ترميم ارضيات المطابع"/>
    <s v="تم العمل"/>
    <d v="1899-12-30T10:00:00"/>
    <d v="1899-12-30T15:00:00"/>
    <n v="0.20833333333333331"/>
    <x v="3"/>
    <n v="5"/>
  </r>
  <r>
    <x v="14"/>
    <d v="2025-03-10T00:00:00"/>
    <s v="الاثنين "/>
    <x v="8"/>
    <s v="المهندس علاء"/>
    <s v="المرور الشهري على نظام الانذار"/>
    <s v="تم العمل"/>
    <d v="1899-12-30T10:30:00"/>
    <d v="1899-12-30T11:00:00"/>
    <n v="2.0833333333333315E-2"/>
    <x v="3"/>
    <n v="0.49999999999999956"/>
  </r>
  <r>
    <x v="14"/>
    <d v="2025-03-10T00:00:00"/>
    <s v="الاثنين "/>
    <x v="14"/>
    <s v="مخلص كامل "/>
    <s v="صيانة مصاعد"/>
    <s v="تم العمل"/>
    <d v="1899-12-30T11:00:00"/>
    <d v="1899-12-30T14:00:00"/>
    <n v="0.12500000000000006"/>
    <x v="1"/>
    <n v="3.0000000000000013"/>
  </r>
  <r>
    <x v="14"/>
    <d v="2025-03-10T00:00:00"/>
    <s v="الاثنين "/>
    <x v="8"/>
    <s v="المهندس علاء"/>
    <s v="المرور الشهري على نظام الانذار"/>
    <s v="تم العمل"/>
    <d v="1899-12-30T10:00:00"/>
    <d v="1899-12-30T11:00:00"/>
    <n v="4.166666666666663E-2"/>
    <x v="1"/>
    <n v="0.99999999999999911"/>
  </r>
  <r>
    <x v="14"/>
    <d v="2025-03-10T00:00:00"/>
    <s v="الاثنين "/>
    <x v="8"/>
    <s v="مصطفى عبدالفتاح"/>
    <s v="صيانة طلمبات"/>
    <s v="تم العمل"/>
    <d v="1899-12-30T09:00:00"/>
    <d v="1899-12-30T11:00:00"/>
    <n v="8.3333333333333315E-2"/>
    <x v="1"/>
    <n v="1.9999999999999996"/>
  </r>
  <r>
    <x v="14"/>
    <d v="2025-03-11T00:00:00"/>
    <s v="الثلاثاء "/>
    <x v="17"/>
    <s v="شريف عيد"/>
    <s v="استكمال اعمال الكهرباء"/>
    <s v="تم العمل"/>
    <d v="1899-12-30T10:00:00"/>
    <d v="1899-12-30T13:00:00"/>
    <n v="0.12499999999999994"/>
    <x v="1"/>
    <n v="2.9999999999999987"/>
  </r>
  <r>
    <x v="14"/>
    <d v="2025-03-11T00:00:00"/>
    <s v="الثلاثاء "/>
    <x v="18"/>
    <s v="فيكتور لوندي"/>
    <s v="صيانة طلمبات"/>
    <s v="تم العمل"/>
    <d v="1899-12-30T04:00:00"/>
    <d v="1899-12-30T04:30:00"/>
    <n v="2.0833333333333343E-2"/>
    <x v="4"/>
    <n v="0.50000000000000022"/>
  </r>
  <r>
    <x v="14"/>
    <d v="2025-03-12T00:00:00"/>
    <s v="الاربعاء "/>
    <x v="18"/>
    <s v="فيكتور لوندي"/>
    <s v="صيانة طلمبات"/>
    <s v="تم العمل"/>
    <d v="1899-12-30T10:00:00"/>
    <d v="1899-12-30T11:00:00"/>
    <n v="4.166666666666663E-2"/>
    <x v="4"/>
    <n v="0.99999999999999911"/>
  </r>
  <r>
    <x v="14"/>
    <d v="2025-03-12T00:00:00"/>
    <s v="الاربعاء "/>
    <x v="72"/>
    <s v="محمد احمد"/>
    <s v="صيانة ماكينة سبيد ماستر 4"/>
    <s v="تم العمل"/>
    <d v="1899-12-30T11:30:00"/>
    <d v="1899-12-30T15:00:00"/>
    <n v="0.14583333333333331"/>
    <x v="3"/>
    <n v="3.4999999999999996"/>
  </r>
  <r>
    <x v="14"/>
    <d v="2025-03-13T00:00:00"/>
    <s v="الخميس "/>
    <x v="17"/>
    <s v="صابر ابراهيم "/>
    <s v="تركيب ركات"/>
    <s v="تم العمل"/>
    <d v="1899-12-30T09:30:00"/>
    <d v="1899-12-30T14:00:00"/>
    <n v="0.18750000000000006"/>
    <x v="1"/>
    <n v="4.5000000000000018"/>
  </r>
  <r>
    <x v="14"/>
    <d v="2025-03-15T00:00:00"/>
    <s v="السبت "/>
    <x v="8"/>
    <s v="حامد ابو المجد"/>
    <s v="صيانة غرفة الطلمبات  "/>
    <s v="تم العمل"/>
    <d v="1899-12-30T11:00:00"/>
    <d v="1899-12-30T14:00:00"/>
    <n v="0.12500000000000006"/>
    <x v="1"/>
    <n v="3.0000000000000013"/>
  </r>
  <r>
    <x v="14"/>
    <d v="2025-03-16T00:00:00"/>
    <s v="الاحد "/>
    <x v="17"/>
    <s v="صابر ابراهيم "/>
    <s v="اعمال لحامات"/>
    <s v="تم العمل"/>
    <d v="1899-12-30T10:00:00"/>
    <d v="1899-12-30T14:00:00"/>
    <n v="0.16666666666666669"/>
    <x v="1"/>
    <n v="4"/>
  </r>
  <r>
    <x v="14"/>
    <d v="2025-03-16T00:00:00"/>
    <s v="الاحد "/>
    <x v="17"/>
    <s v="صابر احمد"/>
    <s v="تركيب راكات "/>
    <s v="تم العمل"/>
    <d v="1899-12-30T10:00:00"/>
    <d v="1899-12-30T15:00:00"/>
    <n v="0.20833333333333331"/>
    <x v="1"/>
    <n v="5"/>
  </r>
  <r>
    <x v="14"/>
    <d v="2025-03-16T00:00:00"/>
    <s v="الاحد "/>
    <x v="7"/>
    <s v="محمد ماهر"/>
    <s v="مكافحة حشرات "/>
    <s v="تم العمل"/>
    <d v="1899-12-30T12:00:00"/>
    <d v="1899-12-30T14:30:00"/>
    <n v="0.10416666666666663"/>
    <x v="3"/>
    <n v="2.4999999999999991"/>
  </r>
  <r>
    <x v="14"/>
    <d v="2025-03-16T00:00:00"/>
    <s v="الاحد "/>
    <x v="73"/>
    <s v="المهندس محمد"/>
    <s v="اعمال صيانة غرف الكهرباء"/>
    <s v="تم العمل"/>
    <d v="1899-12-30T14:30:00"/>
    <d v="1899-12-30T17:00:00"/>
    <n v="0.10416666666666674"/>
    <x v="3"/>
    <n v="2.5000000000000018"/>
  </r>
  <r>
    <x v="14"/>
    <d v="2025-03-16T00:00:00"/>
    <s v="الاحد "/>
    <x v="61"/>
    <s v="سيد عادل"/>
    <s v="تركيبات"/>
    <s v="تم العمل"/>
    <d v="1899-12-30T12:30:00"/>
    <d v="1899-12-30T16:00:00"/>
    <n v="0.14583333333333326"/>
    <x v="2"/>
    <n v="3.4999999999999982"/>
  </r>
  <r>
    <x v="14"/>
    <d v="2025-03-17T00:00:00"/>
    <s v="الاثنين "/>
    <x v="11"/>
    <s v="احمد شعبان"/>
    <s v="صيانة كلاركات "/>
    <s v="تم العمل"/>
    <d v="1899-12-30T09:30:00"/>
    <d v="1899-12-30T11:30:00"/>
    <n v="8.333333333333337E-2"/>
    <x v="3"/>
    <n v="2.0000000000000009"/>
  </r>
  <r>
    <x v="14"/>
    <d v="2025-03-17T00:00:00"/>
    <s v="الاثنين "/>
    <x v="7"/>
    <s v="وائل حلمي"/>
    <s v="مكافحة حشرات "/>
    <s v="تم العمل"/>
    <d v="1899-12-30T11:00:00"/>
    <d v="1899-12-30T12:00:00"/>
    <n v="4.1666666666666685E-2"/>
    <x v="3"/>
    <n v="1.0000000000000004"/>
  </r>
  <r>
    <x v="14"/>
    <d v="2025-03-17T00:00:00"/>
    <s v="الاثنين "/>
    <x v="17"/>
    <s v="صابر ابراهيم "/>
    <s v="اعمال لحامات"/>
    <s v="تم العمل"/>
    <d v="1899-12-30T10:00:00"/>
    <d v="1899-12-30T14:00:00"/>
    <n v="0.16666666666666669"/>
    <x v="1"/>
    <n v="4"/>
  </r>
  <r>
    <x v="14"/>
    <d v="2025-03-18T00:00:00"/>
    <s v="الثلاثاء "/>
    <x v="17"/>
    <s v="صابر ابراهيم "/>
    <s v="اعمال لحامات"/>
    <s v="تم العمل"/>
    <d v="1899-12-30T10:00:00"/>
    <d v="1899-12-30T14:00:00"/>
    <n v="0.16666666666666669"/>
    <x v="1"/>
    <n v="4"/>
  </r>
  <r>
    <x v="14"/>
    <d v="2025-03-22T00:00:00"/>
    <s v="السبت "/>
    <x v="70"/>
    <s v="ابراهيم كمال"/>
    <s v="تركيب طلمبات الحريق"/>
    <s v="تم العمل"/>
    <d v="1899-12-30T10:30:00"/>
    <d v="1899-12-30T13:30:00"/>
    <n v="0.125"/>
    <x v="0"/>
    <n v="3"/>
  </r>
  <r>
    <x v="14"/>
    <d v="2025-03-23T00:00:00"/>
    <s v="الاحد "/>
    <x v="61"/>
    <s v="سيد عادل"/>
    <s v="تركيبات"/>
    <s v="تم العمل"/>
    <d v="1899-12-30T12:00:00"/>
    <d v="1899-12-30T14:00:00"/>
    <n v="8.333333333333337E-2"/>
    <x v="2"/>
    <n v="2.0000000000000009"/>
  </r>
  <r>
    <x v="14"/>
    <d v="2025-03-24T00:00:00"/>
    <s v="الاثنين "/>
    <x v="14"/>
    <s v="محمد عادل  "/>
    <s v="صيانة مصاعد"/>
    <s v="تم العمل"/>
    <d v="1899-12-30T12:30:00"/>
    <d v="1899-12-30T13:15:00"/>
    <n v="3.125E-2"/>
    <x v="3"/>
    <n v="0.75"/>
  </r>
  <r>
    <x v="14"/>
    <d v="2025-03-24T00:00:00"/>
    <s v="الاثنين "/>
    <x v="14"/>
    <s v="محسن جمال"/>
    <s v="صيانة مصاعد"/>
    <s v="تم العمل"/>
    <d v="1899-12-30T10:00:00"/>
    <d v="1899-12-30T14:00:00"/>
    <n v="0.16666666666666669"/>
    <x v="1"/>
    <n v="4"/>
  </r>
  <r>
    <x v="14"/>
    <d v="2025-03-25T00:00:00"/>
    <s v="الثلاثاء "/>
    <x v="18"/>
    <s v="فيكتور لوندي"/>
    <s v="صيانة طلمبات"/>
    <s v="تم العمل"/>
    <d v="1899-12-30T14:00:00"/>
    <d v="1899-12-30T17:00:00"/>
    <n v="0.125"/>
    <x v="4"/>
    <n v="3"/>
  </r>
  <r>
    <x v="14"/>
    <d v="2025-03-25T00:00:00"/>
    <s v="الثلاثاء "/>
    <x v="36"/>
    <s v="محمد عطية السيد"/>
    <s v="صيانة السلم المتحرك"/>
    <s v="تم العمل"/>
    <d v="1899-12-30T10:00:00"/>
    <d v="1899-12-30T15:00:00"/>
    <n v="0.20833333333333331"/>
    <x v="1"/>
    <n v="5"/>
  </r>
  <r>
    <x v="14"/>
    <d v="2025-03-26T00:00:00"/>
    <s v="الاربعاء "/>
    <x v="14"/>
    <s v="محسن جمال"/>
    <s v="صيانة مصاعد"/>
    <s v="تم العمل"/>
    <d v="1899-12-30T10:00:00"/>
    <d v="1899-12-30T15:00:00"/>
    <n v="0.20833333333333331"/>
    <x v="1"/>
    <n v="5"/>
  </r>
  <r>
    <x v="14"/>
    <d v="2025-03-27T00:00:00"/>
    <s v="الخميس "/>
    <x v="8"/>
    <s v="حامد ابوالمجد"/>
    <s v="تركيب ريليف فالف"/>
    <s v="تم العمل"/>
    <d v="1899-12-30T10:00:00"/>
    <d v="1899-12-30T12:00:00"/>
    <n v="8.3333333333333315E-2"/>
    <x v="1"/>
    <n v="1.9999999999999996"/>
  </r>
  <r>
    <x v="14"/>
    <d v="2025-03-27T00:00:00"/>
    <s v="الخميس "/>
    <x v="18"/>
    <s v="فيكتور لوندي"/>
    <s v="صيانة طلمبات"/>
    <s v="تم العمل"/>
    <d v="1899-12-30T13:00:00"/>
    <d v="1899-12-30T19:00:00"/>
    <n v="0.25"/>
    <x v="4"/>
    <n v="6"/>
  </r>
  <r>
    <x v="14"/>
    <d v="2025-03-27T00:00:00"/>
    <s v="الخميس "/>
    <x v="72"/>
    <s v="احمد وهبة"/>
    <s v="صيانة ماكينة uv"/>
    <s v="تم العمل"/>
    <d v="1899-12-30T22:00:00"/>
    <d v="1899-12-30T23:59:00"/>
    <n v="8.2638888888888928E-2"/>
    <x v="3"/>
    <n v="1.9833333333333343"/>
  </r>
  <r>
    <x v="15"/>
    <d v="2025-06-01T00:00:00"/>
    <s v="الاحد "/>
    <x v="5"/>
    <s v="محمود عويس"/>
    <s v="صيانة تكييفات"/>
    <s v="تم العمل"/>
    <d v="1899-12-30T16:00:00"/>
    <d v="1899-12-30T17:00:00"/>
    <n v="4.1666666666666741E-2"/>
    <x v="1"/>
    <n v="1.0000000000000018"/>
  </r>
  <r>
    <x v="15"/>
    <d v="2025-06-02T00:00:00"/>
    <s v="الاثنين "/>
    <x v="6"/>
    <s v="صابر ايبراهيم "/>
    <s v="تركيب شفاط فى الطبع شيت "/>
    <s v="تم العمل"/>
    <d v="1899-12-30T14:30:00"/>
    <d v="1899-12-30T16:00:00"/>
    <n v="6.25E-2"/>
    <x v="3"/>
    <n v="1.5"/>
  </r>
  <r>
    <x v="15"/>
    <d v="2025-06-02T00:00:00"/>
    <s v="الاثنين "/>
    <x v="13"/>
    <s v="اسلام مصطفى  "/>
    <s v="عمل صيانة  ماكينة CTB"/>
    <s v="تم العمل"/>
    <d v="1899-12-30T13:00:00"/>
    <d v="1899-12-30T17:00:00"/>
    <n v="0.16666666666666674"/>
    <x v="3"/>
    <n v="4.0000000000000018"/>
  </r>
  <r>
    <x v="15"/>
    <d v="2025-06-02T00:00:00"/>
    <s v="الاثنين "/>
    <x v="7"/>
    <s v="كامل جمعة  "/>
    <s v="الزيارة الشهرية للمكافحة "/>
    <s v="تم العمل"/>
    <d v="1899-12-30T12:00:00"/>
    <d v="1899-12-30T14:00:00"/>
    <n v="8.333333333333337E-2"/>
    <x v="1"/>
    <n v="2.0000000000000009"/>
  </r>
  <r>
    <x v="15"/>
    <d v="2025-06-02T00:00:00"/>
    <s v="الاثنين "/>
    <x v="5"/>
    <s v="حازم عاطف "/>
    <s v="صيانة غرفة USB "/>
    <s v="تم العمل"/>
    <d v="1899-12-30T19:30:00"/>
    <d v="1899-12-30T21:00:00"/>
    <n v="6.25E-2"/>
    <x v="6"/>
    <n v="1.5"/>
  </r>
  <r>
    <x v="15"/>
    <d v="2025-06-02T00:00:00"/>
    <s v="الاثنين "/>
    <x v="6"/>
    <s v="شريف عيد  "/>
    <s v="عمل صيانة بغرفة الكهرباء "/>
    <s v="تم العمل"/>
    <d v="1899-12-30T11:00:00"/>
    <d v="1899-12-30T17:00:00"/>
    <n v="0.25000000000000006"/>
    <x v="0"/>
    <n v="6.0000000000000018"/>
  </r>
  <r>
    <x v="15"/>
    <d v="2025-06-02T00:00:00"/>
    <s v="الاثنين "/>
    <x v="7"/>
    <s v="كامل جمعة  "/>
    <s v="الزيارة الشهرية للمكافحة "/>
    <s v="تم العمل"/>
    <d v="1899-12-30T12:00:00"/>
    <d v="1899-12-30T14:00:00"/>
    <n v="8.333333333333337E-2"/>
    <x v="0"/>
    <n v="2.0000000000000009"/>
  </r>
  <r>
    <x v="15"/>
    <d v="2025-06-02T00:00:00"/>
    <s v="الاثنين "/>
    <x v="5"/>
    <s v="احمد سعيد"/>
    <s v="تركيب كولدير مياه "/>
    <s v="تم العمل"/>
    <d v="1899-12-30T12:00:00"/>
    <d v="1899-12-30T15:00:00"/>
    <n v="0.125"/>
    <x v="0"/>
    <n v="3"/>
  </r>
  <r>
    <x v="15"/>
    <d v="2025-06-03T00:00:00"/>
    <s v="الثلاثاء "/>
    <x v="5"/>
    <s v="أحمد حسن "/>
    <s v="دهانات حديد فى مخزن هدايا"/>
    <s v="تم العمل"/>
    <d v="1899-12-30T13:00:00"/>
    <d v="1899-12-30T15:00:00"/>
    <n v="8.333333333333337E-2"/>
    <x v="6"/>
    <n v="2.0000000000000009"/>
  </r>
  <r>
    <x v="15"/>
    <d v="2025-06-04T00:00:00"/>
    <s v="الاربعاء "/>
    <x v="6"/>
    <s v="ابراهيم  عبد الحليم   "/>
    <s v="صيانة الكلاركات"/>
    <s v="تم العمل"/>
    <d v="1899-12-30T11:00:00"/>
    <d v="1899-12-30T12:00:00"/>
    <n v="4.1666666666666685E-2"/>
    <x v="1"/>
    <n v="1.0000000000000004"/>
  </r>
  <r>
    <x v="15"/>
    <d v="2025-06-11T00:00:00"/>
    <s v="الاربعاء "/>
    <x v="64"/>
    <s v="علاء شحات على "/>
    <s v="صيانة  خط الحريق فى مخزن الوزارة "/>
    <s v="تم العمل"/>
    <d v="1899-12-30T13:00:00"/>
    <d v="1899-12-30T17:00:00"/>
    <n v="0.16666666666666674"/>
    <x v="4"/>
    <n v="4.0000000000000018"/>
  </r>
  <r>
    <x v="15"/>
    <d v="2025-06-11T00:00:00"/>
    <s v="الاربعاء "/>
    <x v="57"/>
    <s v="مصطفى مهدى  "/>
    <s v="صيانة  الشلندرات  "/>
    <s v="تم العمل"/>
    <d v="1899-12-30T12:00:00"/>
    <d v="1899-12-30T16:00:00"/>
    <n v="0.16666666666666663"/>
    <x v="3"/>
    <n v="3.9999999999999991"/>
  </r>
  <r>
    <x v="15"/>
    <d v="2025-06-11T00:00:00"/>
    <s v="الاربعاء "/>
    <x v="13"/>
    <s v="اسلام  "/>
    <s v="صيانة  ماكينة CTB"/>
    <s v="تم العمل"/>
    <d v="1899-12-30T13:00:00"/>
    <d v="1899-12-30T15:00:00"/>
    <n v="8.333333333333337E-2"/>
    <x v="3"/>
    <n v="2.0000000000000009"/>
  </r>
  <r>
    <x v="15"/>
    <d v="2025-06-12T00:00:00"/>
    <s v="الخميس "/>
    <x v="64"/>
    <s v="علاء شحات على "/>
    <s v="صيانة  خط الحريق فى مخزن الوزارة "/>
    <s v="تم العمل"/>
    <d v="1899-12-30T09:30:00"/>
    <d v="1899-12-30T21:00:00"/>
    <n v="0.47916666666666669"/>
    <x v="4"/>
    <n v="11.5"/>
  </r>
  <r>
    <x v="15"/>
    <d v="2025-06-12T00:00:00"/>
    <s v="الخميس "/>
    <x v="13"/>
    <s v="هشام  حسين  "/>
    <s v="صيانة تنك الاحبار"/>
    <s v="تم العمل"/>
    <d v="1899-12-30T13:00:00"/>
    <d v="1899-12-30T16:00:00"/>
    <n v="0.125"/>
    <x v="0"/>
    <n v="3"/>
  </r>
  <r>
    <x v="15"/>
    <d v="2025-06-12T00:00:00"/>
    <s v="الخميس "/>
    <x v="57"/>
    <s v="احمد عبد العزيز "/>
    <s v="صيانة  الشلندرات  "/>
    <s v="تم العمل"/>
    <d v="1899-12-30T15:00:00"/>
    <d v="1899-12-30T17:00:00"/>
    <n v="8.333333333333337E-2"/>
    <x v="3"/>
    <n v="2.0000000000000009"/>
  </r>
  <r>
    <x v="15"/>
    <d v="2025-06-15T00:00:00"/>
    <s v="الاحد "/>
    <x v="74"/>
    <s v="محمد راضى "/>
    <s v="صيانة  ماكينة التصوير  "/>
    <s v="تم العمل"/>
    <d v="1899-12-30T10:00:00"/>
    <d v="1899-12-30T11:00:00"/>
    <n v="4.166666666666663E-2"/>
    <x v="3"/>
    <n v="0.99999999999999911"/>
  </r>
  <r>
    <x v="15"/>
    <d v="2025-06-14T00:00:00"/>
    <s v="السبت "/>
    <x v="8"/>
    <s v="محمد عيسى "/>
    <s v="تركيبات "/>
    <s v="تم العمل"/>
    <d v="1899-12-30T12:00:00"/>
    <d v="1899-12-30T18:30:00"/>
    <n v="0.27083333333333337"/>
    <x v="2"/>
    <n v="6.5000000000000009"/>
  </r>
  <r>
    <x v="15"/>
    <d v="2025-06-16T00:00:00"/>
    <s v="الاثنين "/>
    <x v="6"/>
    <s v="شريف عيد "/>
    <s v="صيانة فيشة كهربائية"/>
    <s v="تم العمل"/>
    <d v="1899-12-30T11:00:00"/>
    <d v="1899-12-30T12:30:00"/>
    <n v="6.2500000000000056E-2"/>
    <x v="1"/>
    <n v="1.5000000000000013"/>
  </r>
  <r>
    <x v="15"/>
    <d v="2025-06-16T00:00:00"/>
    <s v="الاثنين "/>
    <x v="5"/>
    <s v="محمود عويس"/>
    <s v="صيانة تكييفات  "/>
    <s v="تم العمل"/>
    <d v="1899-12-30T11:30:00"/>
    <d v="1899-12-30T17:00:00"/>
    <n v="0.22916666666666669"/>
    <x v="3"/>
    <n v="5.5"/>
  </r>
  <r>
    <x v="15"/>
    <d v="2025-06-16T00:00:00"/>
    <s v="الاثنين "/>
    <x v="0"/>
    <s v="محمد عيسى "/>
    <s v="تركيبات "/>
    <s v="تم العمل"/>
    <d v="1899-12-30T17:30:00"/>
    <d v="1899-12-30T21:00:00"/>
    <n v="0.14583333333333337"/>
    <x v="2"/>
    <n v="3.5000000000000009"/>
  </r>
  <r>
    <x v="15"/>
    <d v="2025-06-17T00:00:00"/>
    <s v="الثلاثاء "/>
    <x v="6"/>
    <s v="ابراهيم عبدالحليم"/>
    <s v="صيانة كلاركات "/>
    <s v="تم العمل"/>
    <d v="1899-12-30T11:00:00"/>
    <d v="1899-12-30T13:00:00"/>
    <n v="8.3333333333333315E-2"/>
    <x v="1"/>
    <n v="1.9999999999999996"/>
  </r>
  <r>
    <x v="15"/>
    <d v="2025-06-17T00:00:00"/>
    <s v="الثلاثاء "/>
    <x v="13"/>
    <s v="هشام  حسين  "/>
    <s v="صيانة تنك الاحبار"/>
    <s v="تم العمل"/>
    <d v="1899-12-30T14:00:00"/>
    <d v="1899-12-30T17:30:00"/>
    <n v="0.14583333333333326"/>
    <x v="0"/>
    <n v="3.4999999999999982"/>
  </r>
  <r>
    <x v="15"/>
    <d v="2025-06-18T00:00:00"/>
    <s v="الاربعاء "/>
    <x v="13"/>
    <s v="ايمن محمد كامل"/>
    <s v="صيانة تنك الاحبار"/>
    <s v="تم العمل"/>
    <d v="1899-12-30T12:00:00"/>
    <d v="1899-12-30T17:00:00"/>
    <n v="0.20833333333333337"/>
    <x v="0"/>
    <n v="5.0000000000000009"/>
  </r>
  <r>
    <x v="15"/>
    <d v="2025-06-18T00:00:00"/>
    <s v="الاربعاء "/>
    <x v="5"/>
    <s v="محمود عويس"/>
    <s v="صيانة تكييفات التسليمات "/>
    <s v="تم العمل"/>
    <d v="1899-12-30T15:00:00"/>
    <d v="1899-12-30T17:00:00"/>
    <n v="8.333333333333337E-2"/>
    <x v="3"/>
    <n v="2.0000000000000009"/>
  </r>
  <r>
    <x v="15"/>
    <d v="2025-06-18T00:00:00"/>
    <s v="الاربعاء "/>
    <x v="38"/>
    <s v="محمود عويس"/>
    <s v="صيانة فلتر المياه "/>
    <s v="تم العمل"/>
    <d v="1899-12-30T11:00:00"/>
    <d v="1899-12-30T12:00:00"/>
    <n v="4.1666666666666685E-2"/>
    <x v="3"/>
    <n v="1.0000000000000004"/>
  </r>
  <r>
    <x v="15"/>
    <d v="2025-06-18T00:00:00"/>
    <s v="الاربعاء "/>
    <x v="38"/>
    <s v="اسلام مليجي"/>
    <s v="صيانة فلتر المياه "/>
    <s v="تم العمل"/>
    <d v="1899-12-30T12:00:00"/>
    <d v="1899-12-30T14:00:00"/>
    <n v="8.333333333333337E-2"/>
    <x v="1"/>
    <n v="2.0000000000000009"/>
  </r>
  <r>
    <x v="15"/>
    <d v="2025-06-18T00:00:00"/>
    <s v="الاربعاء "/>
    <x v="5"/>
    <s v="احمد حسين "/>
    <s v="صيانة اجهزة التكيف "/>
    <s v="تم العمل"/>
    <d v="1899-12-30T13:30:00"/>
    <d v="1899-12-30T15:00:00"/>
    <n v="6.25E-2"/>
    <x v="6"/>
    <n v="1.5"/>
  </r>
  <r>
    <x v="15"/>
    <d v="2025-06-18T00:00:00"/>
    <s v="الاربعاء "/>
    <x v="5"/>
    <s v="احمد عبد الله "/>
    <s v="تركيب كولدير  مياه جديد "/>
    <s v="تم العمل"/>
    <d v="1899-12-30T18:30:00"/>
    <d v="1899-12-30T21:00:00"/>
    <n v="0.10416666666666663"/>
    <x v="6"/>
    <n v="2.4999999999999991"/>
  </r>
  <r>
    <x v="15"/>
    <d v="2025-06-19T00:00:00"/>
    <s v="الخميس "/>
    <x v="13"/>
    <s v="اسلام  "/>
    <s v="صيانة  ماكينة CTB"/>
    <s v="تم العمل"/>
    <d v="1899-12-30T13:00:00"/>
    <d v="1899-12-30T17:30:00"/>
    <n v="0.1875"/>
    <x v="3"/>
    <n v="4.5"/>
  </r>
  <r>
    <x v="15"/>
    <d v="2025-06-19T00:00:00"/>
    <s v="الخميس "/>
    <x v="14"/>
    <s v="مخلص كامل "/>
    <s v="اعمال صيانة الاسانسير "/>
    <s v="تم العمل"/>
    <d v="1899-12-30T14:00:00"/>
    <d v="1899-12-30T17:00:00"/>
    <n v="0.125"/>
    <x v="1"/>
    <n v="3"/>
  </r>
  <r>
    <x v="15"/>
    <d v="2025-06-19T00:00:00"/>
    <s v="الخميس "/>
    <x v="64"/>
    <s v="محمد سعيد محمد"/>
    <s v="تركيب استيكر على الاستاندات"/>
    <s v="تم العمل"/>
    <d v="1899-12-30T13:00:00"/>
    <d v="1899-12-30T15:00:00"/>
    <n v="8.333333333333337E-2"/>
    <x v="1"/>
    <n v="2.0000000000000009"/>
  </r>
  <r>
    <x v="15"/>
    <d v="2025-06-20T00:00:00"/>
    <s v="الخميس "/>
    <x v="7"/>
    <s v="سيد جاد  "/>
    <s v="الزيارة الشهرية للمكافحة  الافات والقوارض"/>
    <s v="تم العمل"/>
    <d v="1899-12-30T16:00:00"/>
    <d v="1899-12-30T17:30:00"/>
    <n v="6.25E-2"/>
    <x v="6"/>
    <n v="1.5"/>
  </r>
  <r>
    <x v="15"/>
    <d v="2025-06-21T00:00:00"/>
    <s v="السبت "/>
    <x v="60"/>
    <s v="السيد ابراهيم "/>
    <s v="صيانة دورية "/>
    <s v="تم العمل"/>
    <d v="1899-12-30T10:30:00"/>
    <d v="1899-12-30T17:00:00"/>
    <n v="0.27083333333333337"/>
    <x v="2"/>
    <n v="6.5000000000000009"/>
  </r>
  <r>
    <x v="15"/>
    <d v="2025-06-21T00:00:00"/>
    <s v="السبت "/>
    <x v="0"/>
    <s v="عمرو فاروق      "/>
    <s v="انشاءات"/>
    <s v="تم العمل"/>
    <d v="1899-12-30T09:30:00"/>
    <d v="1899-12-30T17:00:00"/>
    <n v="0.31250000000000006"/>
    <x v="2"/>
    <n v="7.5000000000000018"/>
  </r>
  <r>
    <x v="15"/>
    <d v="2025-06-22T00:00:00"/>
    <s v="الاحد "/>
    <x v="14"/>
    <s v="محمد عادل  "/>
    <s v="اعمال صيانة الاسانسير "/>
    <s v="تم العمل"/>
    <d v="1899-12-30T11:30:00"/>
    <d v="1899-12-30T12:30:00"/>
    <n v="4.1666666666666685E-2"/>
    <x v="3"/>
    <n v="1.0000000000000004"/>
  </r>
  <r>
    <x v="15"/>
    <d v="2025-06-22T00:00:00"/>
    <s v="الاحد "/>
    <x v="13"/>
    <s v="اسلام مصطفى  "/>
    <s v="عمل صيانة  ماكينة CTB"/>
    <s v="تم العمل"/>
    <d v="1899-12-30T13:00:00"/>
    <d v="1899-12-30T16:00:00"/>
    <n v="0.125"/>
    <x v="3"/>
    <n v="3"/>
  </r>
  <r>
    <x v="15"/>
    <d v="2025-06-22T00:00:00"/>
    <s v="الاحد "/>
    <x v="22"/>
    <s v="محمود عويس"/>
    <s v="صيانة تكييفات  "/>
    <s v="تم العمل"/>
    <d v="1899-12-30T12:00:00"/>
    <d v="1899-12-30T13:00:00"/>
    <n v="4.166666666666663E-2"/>
    <x v="3"/>
    <n v="0.99999999999999911"/>
  </r>
  <r>
    <x v="15"/>
    <d v="2025-06-22T00:00:00"/>
    <s v="الاحد "/>
    <x v="7"/>
    <s v="كامل جمعة  "/>
    <s v="الزيارة الشهرية للمكافحة  الافات والقوارض"/>
    <s v="تم العمل"/>
    <d v="1899-12-30T11:00:00"/>
    <d v="1899-12-30T12:00:00"/>
    <n v="4.1666666666666685E-2"/>
    <x v="0"/>
    <n v="1.0000000000000004"/>
  </r>
  <r>
    <x v="15"/>
    <d v="2025-06-22T00:00:00"/>
    <s v="الاحد "/>
    <x v="7"/>
    <s v="كامل جمعة  "/>
    <s v="الزيارة الشهرية للمكافحة  الافات والقوارض"/>
    <s v="تم العمل"/>
    <d v="1899-12-30T12:00:00"/>
    <d v="1899-12-30T13:00:00"/>
    <n v="4.166666666666663E-2"/>
    <x v="1"/>
    <n v="0.99999999999999911"/>
  </r>
  <r>
    <x v="15"/>
    <d v="2025-06-23T00:00:00"/>
    <s v="الاثنين "/>
    <x v="61"/>
    <s v="سيد عادل  "/>
    <s v="صيانة  "/>
    <s v="تم العمل"/>
    <d v="1899-12-30T15:30:00"/>
    <d v="1899-12-30T18:00:00"/>
    <n v="0.10416666666666663"/>
    <x v="2"/>
    <n v="2.4999999999999991"/>
  </r>
  <r>
    <x v="15"/>
    <d v="2025-06-23T00:00:00"/>
    <s v="الاثنين "/>
    <x v="5"/>
    <s v="محمود عويس"/>
    <s v="صيانة تكييفات"/>
    <s v="تم العمل"/>
    <d v="1899-12-30T10:00:00"/>
    <d v="1899-12-30T17:00:00"/>
    <n v="0.29166666666666669"/>
    <x v="3"/>
    <n v="7"/>
  </r>
  <r>
    <x v="15"/>
    <d v="2025-06-23T00:00:00"/>
    <s v="الاثنين "/>
    <x v="6"/>
    <s v="سيد رفاعي"/>
    <s v="تنزيل ماكينة من حاوية"/>
    <s v="تم العمل"/>
    <d v="1899-12-30T13:00:00"/>
    <d v="1899-12-30T14:00:00"/>
    <n v="4.1666666666666741E-2"/>
    <x v="3"/>
    <n v="1.0000000000000018"/>
  </r>
  <r>
    <x v="15"/>
    <d v="2025-06-23T00:00:00"/>
    <s v="الاثنين "/>
    <x v="13"/>
    <s v="ايمن محمد كامل"/>
    <s v="صيانة تانك الاحبار"/>
    <s v="تم العمل"/>
    <d v="1899-12-30T11:00:00"/>
    <d v="1899-12-30T17:00:00"/>
    <n v="0.25000000000000006"/>
    <x v="0"/>
    <n v="6.0000000000000018"/>
  </r>
  <r>
    <x v="15"/>
    <d v="2025-06-23T00:00:00"/>
    <s v="الاثنين "/>
    <x v="5"/>
    <s v="ادم حسن"/>
    <s v="تركيب انتر لوك"/>
    <s v="تم العمل"/>
    <d v="1899-12-30T11:00:00"/>
    <d v="1899-12-30T17:00:00"/>
    <n v="0.25000000000000006"/>
    <x v="0"/>
    <n v="6.0000000000000018"/>
  </r>
  <r>
    <x v="15"/>
    <d v="2025-06-24T00:00:00"/>
    <s v="الثلاثاء "/>
    <x v="6"/>
    <s v="عيد احمد"/>
    <s v="صيانة ماكينة sp4"/>
    <s v="تم العمل"/>
    <d v="1899-12-30T10:30:00"/>
    <d v="1899-12-30T17:00:00"/>
    <n v="0.27083333333333337"/>
    <x v="3"/>
    <n v="6.5000000000000009"/>
  </r>
  <r>
    <x v="15"/>
    <d v="2025-06-24T00:00:00"/>
    <s v="الثلاثاء "/>
    <x v="5"/>
    <s v="محمود عويس"/>
    <s v="صيانة تكييفات"/>
    <s v="تم العمل"/>
    <d v="1899-12-30T10:00:00"/>
    <d v="1899-12-30T11:00:00"/>
    <n v="4.166666666666663E-2"/>
    <x v="0"/>
    <n v="0.99999999999999911"/>
  </r>
  <r>
    <x v="15"/>
    <d v="2025-06-24T00:00:00"/>
    <s v="الثلاثاء "/>
    <x v="5"/>
    <s v="ادم حسن"/>
    <s v="تركيب انتر لوك"/>
    <s v="تم العمل"/>
    <d v="1899-12-30T11:00:00"/>
    <d v="1899-12-30T17:00:00"/>
    <n v="0.25000000000000006"/>
    <x v="0"/>
    <n v="6.0000000000000018"/>
  </r>
  <r>
    <x v="15"/>
    <d v="2025-06-25T00:00:00"/>
    <s v="الاربعاء "/>
    <x v="13"/>
    <s v="ايمن محمد كامل"/>
    <s v="صيانة تانك الاحبار"/>
    <s v="تم العمل"/>
    <d v="1899-12-30T12:00:00"/>
    <d v="1899-12-30T17:00:00"/>
    <n v="0.20833333333333337"/>
    <x v="0"/>
    <n v="5.0000000000000009"/>
  </r>
  <r>
    <x v="15"/>
    <d v="2025-06-25T00:00:00"/>
    <s v="الاربعاء "/>
    <x v="26"/>
    <s v="محمد حسنى  "/>
    <s v="عمل صيانة لغرفة الغاز "/>
    <s v="تم العمل"/>
    <d v="1899-12-30T10:00:00"/>
    <d v="1899-12-30T10:30:00"/>
    <n v="2.0833333333333315E-2"/>
    <x v="3"/>
    <n v="0.49999999999999956"/>
  </r>
  <r>
    <x v="15"/>
    <d v="2025-06-26T00:00:00"/>
    <s v="الخميس "/>
    <x v="0"/>
    <s v="يحيى طه "/>
    <s v="تركيبات "/>
    <s v="تم العمل"/>
    <d v="1899-12-30T10:30:00"/>
    <d v="1899-12-30T21:30:00"/>
    <n v="0.45833333333333337"/>
    <x v="2"/>
    <n v="11"/>
  </r>
  <r>
    <x v="15"/>
    <d v="2025-06-26T00:00:00"/>
    <s v="الخميس "/>
    <x v="35"/>
    <s v="مصطفى مهدى  "/>
    <s v="صيانة شيلر الويب الجديد"/>
    <s v="تم العمل"/>
    <d v="1899-12-30T13:00:00"/>
    <d v="1899-12-30T15:00:00"/>
    <n v="8.333333333333337E-2"/>
    <x v="3"/>
    <n v="2.0000000000000009"/>
  </r>
  <r>
    <x v="16"/>
    <d v="2025-07-01T00:00:00"/>
    <s v="الثلاثاء "/>
    <x v="5"/>
    <s v="محمود عويس"/>
    <s v="صيانة مبرد مياه الشرب "/>
    <s v="تم العمل"/>
    <n v="0.58333333333333337"/>
    <d v="1899-12-30T17:00:00"/>
    <n v="0.125"/>
    <x v="3"/>
    <n v="3"/>
  </r>
  <r>
    <x v="16"/>
    <d v="2025-07-02T00:00:00"/>
    <s v="الاربعاء "/>
    <x v="5"/>
    <s v="محمود عويس"/>
    <s v="صيانة مبرد مياه الشرب "/>
    <s v="تم العمل"/>
    <n v="0.41666666666666669"/>
    <d v="1899-12-30T13:00:00"/>
    <n v="0.12499999999999994"/>
    <x v="3"/>
    <n v="2.9999999999999987"/>
  </r>
  <r>
    <x v="16"/>
    <d v="2025-07-02T00:00:00"/>
    <s v="الاربعاء "/>
    <x v="13"/>
    <s v="ايمن محمد كامل "/>
    <s v="صيانة تانك الاحبار"/>
    <s v="تم العمل"/>
    <n v="0.5"/>
    <d v="1899-12-30T17:00:00"/>
    <n v="0.20833333333333337"/>
    <x v="0"/>
    <n v="5.0000000000000009"/>
  </r>
  <r>
    <x v="16"/>
    <d v="2025-07-02T00:00:00"/>
    <s v="الاربعاء "/>
    <x v="12"/>
    <s v="رامى محمد "/>
    <s v="صيانة ابواب الوميتال المبنى الاداري"/>
    <s v="تم العمل"/>
    <n v="0.625"/>
    <d v="1899-12-30T16:00:00"/>
    <n v="4.166666666666663E-2"/>
    <x v="3"/>
    <n v="0.99999999999999911"/>
  </r>
  <r>
    <x v="16"/>
    <d v="2025-07-03T00:00:00"/>
    <s v="الخميس "/>
    <x v="13"/>
    <s v="ايمن محمد كامل "/>
    <s v="صيانة تانك الاحبار"/>
    <s v="تم العمل"/>
    <n v="0.5"/>
    <d v="1899-12-30T17:00:00"/>
    <n v="0.20833333333333337"/>
    <x v="0"/>
    <n v="5.0000000000000009"/>
  </r>
  <r>
    <x v="16"/>
    <d v="2025-07-04T00:00:00"/>
    <s v="الجمعة "/>
    <x v="6"/>
    <s v="مصطفى نصار  "/>
    <s v="لحام سيور بخط الكولبس "/>
    <s v="تم العمل"/>
    <n v="0.41666666666666669"/>
    <d v="1899-12-30T11:00:00"/>
    <n v="4.166666666666663E-2"/>
    <x v="3"/>
    <n v="0.99999999999999911"/>
  </r>
  <r>
    <x v="15"/>
    <d v="2025-07-05T00:00:00"/>
    <s v="السبت "/>
    <x v="0"/>
    <s v="يحيى طه "/>
    <s v="تركيبات "/>
    <s v="تم العمل"/>
    <n v="0.58333333333333337"/>
    <d v="1899-12-30T17:30:00"/>
    <n v="0.14583333333333326"/>
    <x v="2"/>
    <n v="3.4999999999999982"/>
  </r>
  <r>
    <x v="16"/>
    <d v="2025-07-06T00:00:00"/>
    <s v="الاحد "/>
    <x v="64"/>
    <s v="عبدالرحمن احمد"/>
    <s v="رفع وتثبيت تشيلر اعلى ويب 3"/>
    <s v="تم العمل"/>
    <n v="0.45833333333333331"/>
    <d v="1899-12-30T13:00:00"/>
    <n v="8.3333333333333315E-2"/>
    <x v="3"/>
    <n v="1.9999999999999996"/>
  </r>
  <r>
    <x v="16"/>
    <d v="2025-07-06T00:00:00"/>
    <s v="الاحد "/>
    <x v="7"/>
    <s v="كامل جمعة  "/>
    <s v="مكافحة قوارض وحشرات"/>
    <s v="تم العمل"/>
    <n v="0.45833333333333331"/>
    <d v="1899-12-30T13:00:00"/>
    <n v="8.3333333333333315E-2"/>
    <x v="3"/>
    <n v="1.9999999999999996"/>
  </r>
  <r>
    <x v="16"/>
    <d v="2025-07-06T00:00:00"/>
    <s v="الاحد "/>
    <x v="5"/>
    <s v="مصطفى رشاد  "/>
    <s v="ترميم حائط غرفة السيرفر"/>
    <s v="تم العمل"/>
    <n v="0.5"/>
    <d v="1899-12-30T16:00:00"/>
    <n v="0.16666666666666663"/>
    <x v="3"/>
    <n v="3.9999999999999991"/>
  </r>
  <r>
    <x v="16"/>
    <d v="2025-07-06T00:00:00"/>
    <s v="الاحد "/>
    <x v="13"/>
    <s v="ايمن محمد كامل "/>
    <s v="صيانة تانك الاحبار"/>
    <s v="تم العمل"/>
    <n v="0.5"/>
    <d v="1899-12-30T17:00:00"/>
    <n v="0.20833333333333337"/>
    <x v="0"/>
    <n v="5.0000000000000009"/>
  </r>
  <r>
    <x v="15"/>
    <d v="2025-07-07T00:00:00"/>
    <s v="الاحد "/>
    <x v="14"/>
    <s v="ملخص  كامل   "/>
    <s v=" صيانة المصاعد "/>
    <s v="تم العمل"/>
    <n v="0.5"/>
    <d v="1899-12-30T16:00:00"/>
    <n v="0.16666666666666663"/>
    <x v="1"/>
    <n v="3.9999999999999991"/>
  </r>
  <r>
    <x v="16"/>
    <d v="2025-07-07T00:00:00"/>
    <s v="الاحد "/>
    <x v="5"/>
    <s v="مصطفى رشاد  "/>
    <s v="ترميم حائط غرفة السيرفر"/>
    <s v="تم العمل"/>
    <d v="1899-12-30T10:00:00"/>
    <d v="1899-12-30T14:00:00"/>
    <n v="0.16666666666666669"/>
    <x v="3"/>
    <n v="4"/>
  </r>
  <r>
    <x v="15"/>
    <d v="2025-07-07T00:00:00"/>
    <s v="الاثنين "/>
    <x v="5"/>
    <s v="محدى كرم "/>
    <s v="لحام جنشات  فى كمر السقف "/>
    <s v="تم العمل"/>
    <d v="1899-12-30T16:30:00"/>
    <d v="1899-12-30T18:00:00"/>
    <n v="6.25E-2"/>
    <x v="6"/>
    <n v="1.5"/>
  </r>
  <r>
    <x v="16"/>
    <d v="2025-07-07T00:00:00"/>
    <s v="الاثنين "/>
    <x v="5"/>
    <s v="محمد سعيد "/>
    <s v="تركيب مراوح سقف "/>
    <s v="تم العمل"/>
    <d v="1899-12-30T06:00:00"/>
    <d v="1899-12-30T14:00:00"/>
    <n v="0.33333333333333337"/>
    <x v="6"/>
    <n v="8"/>
  </r>
  <r>
    <x v="16"/>
    <d v="2025-07-08T00:00:00"/>
    <s v="الثلاثاء "/>
    <x v="5"/>
    <s v="مصطفى رشاد"/>
    <s v="عمل نقاشة وترميم للحائط "/>
    <s v="تم العمل"/>
    <d v="1899-12-30T12:30:00"/>
    <d v="1899-12-30T16:00:00"/>
    <n v="0.14583333333333326"/>
    <x v="3"/>
    <n v="3.4999999999999982"/>
  </r>
  <r>
    <x v="16"/>
    <d v="2025-07-08T00:00:00"/>
    <s v="الثلاثاء "/>
    <x v="12"/>
    <s v="رامى محمد "/>
    <s v="صيانة ابواب مكتب الحركة "/>
    <s v="تم العمل"/>
    <d v="1899-12-30T15:30:00"/>
    <d v="1899-12-30T17:00:00"/>
    <n v="6.25E-2"/>
    <x v="3"/>
    <n v="1.5"/>
  </r>
  <r>
    <x v="16"/>
    <d v="2025-07-08T00:00:00"/>
    <s v="الثلاثاء "/>
    <x v="5"/>
    <s v="محمود الدروى "/>
    <s v="صيانة تكييف غرفة السيرفر"/>
    <s v="تم العمل"/>
    <d v="1899-12-30T11:30:00"/>
    <d v="1899-12-30T17:00:00"/>
    <n v="0.22916666666666669"/>
    <x v="3"/>
    <n v="5.5"/>
  </r>
  <r>
    <x v="16"/>
    <d v="2025-07-09T00:00:00"/>
    <s v="الاربعاء "/>
    <x v="5"/>
    <s v="ممدوح محمد "/>
    <s v="صيانة ادوات الاوراق  "/>
    <s v="تم العمل"/>
    <d v="1899-12-30T14:00:00"/>
    <d v="1899-12-30T17:00:00"/>
    <n v="0.125"/>
    <x v="6"/>
    <n v="3"/>
  </r>
  <r>
    <x v="16"/>
    <d v="2025-07-09T00:00:00"/>
    <s v="الاربعاء "/>
    <x v="5"/>
    <s v="مصطفى محمود  "/>
    <s v="تغيير بطارية عداد المياه الديجتال "/>
    <s v="تم العمل"/>
    <d v="1899-12-30T11:30:00"/>
    <d v="1899-12-30T12:30:00"/>
    <n v="4.1666666666666685E-2"/>
    <x v="3"/>
    <n v="1.0000000000000004"/>
  </r>
  <r>
    <x v="16"/>
    <d v="2025-07-09T00:00:00"/>
    <s v="الاربعاء "/>
    <x v="13"/>
    <s v="ايمن محمد كامل "/>
    <s v="لحام تنكات الاحبار"/>
    <s v="تم العمل"/>
    <d v="1899-12-30T12:00:00"/>
    <d v="1899-12-30T17:00:00"/>
    <n v="0.20833333333333337"/>
    <x v="0"/>
    <n v="5.0000000000000009"/>
  </r>
  <r>
    <x v="16"/>
    <d v="2025-07-09T00:00:00"/>
    <s v="الاربعاء "/>
    <x v="61"/>
    <s v="سيد عادل  "/>
    <s v="صيانة دورية"/>
    <s v="تم العمل"/>
    <d v="1899-12-30T12:00:00"/>
    <d v="1899-12-30T15:30:00"/>
    <n v="0.14583333333333337"/>
    <x v="2"/>
    <n v="3.5000000000000009"/>
  </r>
  <r>
    <x v="16"/>
    <d v="2025-07-09T00:00:00"/>
    <s v="الاربعاء "/>
    <x v="5"/>
    <s v="مصطفى رشاد  "/>
    <s v="دهان سلم المبنى الادارى "/>
    <s v="تم العمل"/>
    <d v="1899-12-30T12:00:00"/>
    <d v="1899-12-30T16:00:00"/>
    <n v="0.16666666666666663"/>
    <x v="3"/>
    <n v="3.9999999999999991"/>
  </r>
  <r>
    <x v="16"/>
    <d v="2025-07-09T00:00:00"/>
    <s v="الاربعاء "/>
    <x v="13"/>
    <s v="اسلام مصطفى  "/>
    <s v="عمل صيانة  ماكينة CTB"/>
    <s v="تم العمل"/>
    <d v="1899-12-30T16:00:00"/>
    <d v="1899-12-30T17:00:00"/>
    <n v="4.1666666666666741E-2"/>
    <x v="3"/>
    <n v="1.0000000000000018"/>
  </r>
  <r>
    <x v="16"/>
    <d v="2025-07-09T00:00:00"/>
    <s v="الاربعاء "/>
    <x v="32"/>
    <s v="على اشرف "/>
    <s v="معايرة الموازين "/>
    <s v="تم العمل"/>
    <d v="1899-12-30T16:00:00"/>
    <d v="1899-12-30T17:00:00"/>
    <n v="4.1666666666666741E-2"/>
    <x v="1"/>
    <n v="1.0000000000000018"/>
  </r>
  <r>
    <x v="16"/>
    <d v="2025-07-10T00:00:00"/>
    <s v="الخميس "/>
    <x v="22"/>
    <s v="محمود عويس"/>
    <s v="صيانة التكيفات "/>
    <s v="تم العمل"/>
    <d v="1899-12-30T10:00:00"/>
    <d v="1899-12-30T16:00:00"/>
    <n v="0.24999999999999994"/>
    <x v="3"/>
    <n v="5.9999999999999982"/>
  </r>
  <r>
    <x v="16"/>
    <d v="2025-07-10T00:00:00"/>
    <s v="الخميس "/>
    <x v="36"/>
    <s v="كريم محممود   "/>
    <s v="عزل حوائط "/>
    <s v="تم العمل"/>
    <d v="1899-12-30T05:00:00"/>
    <d v="1899-12-30T14:00:00"/>
    <n v="0.375"/>
    <x v="2"/>
    <n v="9"/>
  </r>
  <r>
    <x v="16"/>
    <d v="2025-07-10T00:00:00"/>
    <s v="الخميس "/>
    <x v="5"/>
    <s v="عبد الله محمد "/>
    <s v="تغيير حبارات "/>
    <s v="تم العمل"/>
    <d v="1899-12-30T10:00:00"/>
    <d v="1899-12-30T10:30:00"/>
    <n v="2.0833333333333315E-2"/>
    <x v="3"/>
    <n v="0.49999999999999956"/>
  </r>
  <r>
    <x v="16"/>
    <d v="2025-07-10T00:00:00"/>
    <s v="الخميس "/>
    <x v="13"/>
    <s v="ايمن محمد كامل "/>
    <s v="لحام تنكات الاحبار"/>
    <s v="تم العمل"/>
    <d v="1899-12-30T12:00:00"/>
    <d v="1899-12-30T17:00:00"/>
    <n v="0.20833333333333337"/>
    <x v="0"/>
    <n v="5.0000000000000009"/>
  </r>
  <r>
    <x v="16"/>
    <d v="2025-07-10T00:00:00"/>
    <s v="الخميس "/>
    <x v="5"/>
    <s v="محمود عويس"/>
    <s v="صيانة تكييف غرفة السيرفر "/>
    <s v="تم العمل"/>
    <d v="1899-12-30T15:30:00"/>
    <d v="1899-12-30T17:00:00"/>
    <n v="6.25E-2"/>
    <x v="3"/>
    <n v="1.5"/>
  </r>
  <r>
    <x v="16"/>
    <d v="2025-07-12T00:00:00"/>
    <s v="السبت "/>
    <x v="6"/>
    <s v="سيد على "/>
    <s v="صيانة كلارك "/>
    <s v="تم العمل"/>
    <d v="1899-12-30T12:00:00"/>
    <d v="1899-12-30T17:00:00"/>
    <n v="0.20833333333333337"/>
    <x v="1"/>
    <n v="5.0000000000000009"/>
  </r>
  <r>
    <x v="16"/>
    <d v="2025-07-12T00:00:00"/>
    <s v="السبت "/>
    <x v="36"/>
    <s v="كريم محممود   "/>
    <s v="عزل حوائط "/>
    <s v="تم العمل"/>
    <d v="1899-12-30T11:00:00"/>
    <d v="1899-12-30T19:00:00"/>
    <n v="0.33333333333333331"/>
    <x v="2"/>
    <n v="8"/>
  </r>
  <r>
    <x v="16"/>
    <d v="2025-07-12T00:00:00"/>
    <s v="السبت "/>
    <x v="13"/>
    <s v="محسن عبد الباسط  "/>
    <s v="لحام تنكات الاحبار"/>
    <s v="تم العمل"/>
    <d v="1899-12-30T10:00:00"/>
    <d v="1899-12-30T17:00:00"/>
    <n v="0.29166666666666669"/>
    <x v="0"/>
    <n v="7"/>
  </r>
  <r>
    <x v="16"/>
    <d v="2025-07-13T00:00:00"/>
    <s v="الاحد "/>
    <x v="13"/>
    <s v="اسلام مصطفى  "/>
    <s v="عمل صيانة  ماكينة CTB"/>
    <s v="تم العمل"/>
    <d v="1899-12-30T13:00:00"/>
    <d v="1899-12-30T17:00:00"/>
    <n v="0.16666666666666674"/>
    <x v="3"/>
    <n v="4.0000000000000018"/>
  </r>
  <r>
    <x v="16"/>
    <d v="2025-07-13T00:00:00"/>
    <s v="الاحد "/>
    <x v="75"/>
    <s v="احمد محمد   "/>
    <s v="صيانة "/>
    <s v="تم العمل"/>
    <d v="1899-12-30T13:15:00"/>
    <d v="1899-12-30T14:00:00"/>
    <n v="3.125E-2"/>
    <x v="2"/>
    <n v="0.75"/>
  </r>
  <r>
    <x v="16"/>
    <d v="2025-07-13T00:00:00"/>
    <s v="الاحد "/>
    <x v="7"/>
    <s v="محمد احمد "/>
    <s v="الزيارة الشهرية لمكافحة القوارض والحشرات "/>
    <s v="تم العمل"/>
    <d v="1899-12-30T12:00:00"/>
    <d v="1899-12-30T17:00:00"/>
    <n v="0.20833333333333337"/>
    <x v="3"/>
    <n v="5.0000000000000009"/>
  </r>
  <r>
    <x v="16"/>
    <d v="2025-07-13T00:00:00"/>
    <s v="الاحد "/>
    <x v="7"/>
    <s v="محمد احمد "/>
    <s v="الزيارة الشهرية لمكافحة القوارض والحشرات "/>
    <s v="تم العمل"/>
    <d v="1899-12-30T13:00:00"/>
    <d v="1899-12-30T14:00:00"/>
    <n v="4.1666666666666741E-2"/>
    <x v="1"/>
    <n v="1.0000000000000018"/>
  </r>
  <r>
    <x v="16"/>
    <d v="2025-07-13T00:00:00"/>
    <s v="الاحد "/>
    <x v="5"/>
    <s v="محمود عويس"/>
    <s v="صيانة تكييف "/>
    <s v="تم العمل"/>
    <d v="1899-12-30T12:00:00"/>
    <d v="1899-12-30T14:00:00"/>
    <n v="8.333333333333337E-2"/>
    <x v="1"/>
    <n v="2.0000000000000009"/>
  </r>
  <r>
    <x v="16"/>
    <d v="2025-07-14T00:00:00"/>
    <s v="الاثنين "/>
    <x v="5"/>
    <s v="احمد سيد"/>
    <s v="صيانة أدوات ادارية "/>
    <s v="تم العمل"/>
    <d v="1899-12-30T13:00:00"/>
    <d v="1899-12-30T14:30:00"/>
    <n v="6.25E-2"/>
    <x v="6"/>
    <n v="1.5"/>
  </r>
  <r>
    <x v="16"/>
    <d v="2025-07-14T00:00:00"/>
    <s v="الاثنين "/>
    <x v="10"/>
    <s v="فرج محمد "/>
    <s v="تركيب فراشة بالشوارع الخارجية "/>
    <s v="تم العمل"/>
    <d v="1899-12-30T10:30:00"/>
    <d v="1899-12-30T17:00:00"/>
    <n v="0.27083333333333337"/>
    <x v="0"/>
    <n v="6.5000000000000009"/>
  </r>
  <r>
    <x v="16"/>
    <d v="2025-07-14T00:00:00"/>
    <s v="الاثنين "/>
    <x v="5"/>
    <s v="محمد النقيب "/>
    <s v="اعمال الكهرباء "/>
    <s v="تم العمل"/>
    <d v="1899-12-30T10:30:00"/>
    <d v="1899-12-30T17:00:00"/>
    <n v="0.27083333333333337"/>
    <x v="0"/>
    <n v="6.5000000000000009"/>
  </r>
  <r>
    <x v="16"/>
    <d v="2025-07-15T00:00:00"/>
    <s v="الثلاثاء "/>
    <x v="3"/>
    <s v="علاء احمد "/>
    <s v="صيانة "/>
    <s v="تم العمل"/>
    <d v="1899-12-30T09:00:00"/>
    <d v="1899-12-30T10:00:00"/>
    <n v="4.1666666666666685E-2"/>
    <x v="2"/>
    <n v="1.0000000000000004"/>
  </r>
  <r>
    <x v="16"/>
    <d v="2025-07-15T00:00:00"/>
    <s v="الثلاثاء "/>
    <x v="75"/>
    <s v="احمد محمد   "/>
    <s v="صيانة "/>
    <s v="تم العمل"/>
    <d v="1899-12-30T13:15:00"/>
    <d v="1899-12-30T14:00:00"/>
    <n v="3.125E-2"/>
    <x v="2"/>
    <n v="0.75"/>
  </r>
  <r>
    <x v="16"/>
    <d v="2025-07-15T00:00:00"/>
    <s v="الثلاثاء "/>
    <x v="10"/>
    <s v="فرج محمد "/>
    <s v="تركيب فراشة بالشوارع الخارجية "/>
    <s v="تم العمل"/>
    <d v="1899-12-30T11:00:00"/>
    <d v="1899-12-30T17:00:00"/>
    <n v="0.25000000000000006"/>
    <x v="0"/>
    <n v="6.0000000000000018"/>
  </r>
  <r>
    <x v="16"/>
    <d v="2025-07-16T00:00:00"/>
    <s v="الاربعاء "/>
    <x v="5"/>
    <s v="اسلام السيد "/>
    <s v="تغيير شمعات فلتر المياه"/>
    <s v="تم العمل"/>
    <d v="1899-12-30T12:00:00"/>
    <d v="1899-12-30T13:00:00"/>
    <n v="4.166666666666663E-2"/>
    <x v="3"/>
    <n v="0.99999999999999911"/>
  </r>
  <r>
    <x v="16"/>
    <d v="2025-07-16T00:00:00"/>
    <s v="الاربعاء "/>
    <x v="6"/>
    <s v="صابر ابراهيم  "/>
    <s v="اصلاح بوابة المخزن "/>
    <s v="تم العمل"/>
    <d v="1899-12-30T12:00:00"/>
    <d v="1899-12-30T17:00:00"/>
    <n v="0.20833333333333337"/>
    <x v="0"/>
    <n v="5.0000000000000009"/>
  </r>
  <r>
    <x v="16"/>
    <d v="2025-07-16T00:00:00"/>
    <s v="الاربعاء "/>
    <x v="5"/>
    <s v="محمود عويس"/>
    <s v="صيانة تكييف مخزن قطع الغيار "/>
    <s v="تم العمل"/>
    <d v="1899-12-30T10:00:00"/>
    <d v="1899-12-30T17:00:00"/>
    <n v="0.29166666666666669"/>
    <x v="3"/>
    <n v="7"/>
  </r>
  <r>
    <x v="16"/>
    <d v="2025-07-16T00:00:00"/>
    <s v="الاربعاء "/>
    <x v="13"/>
    <s v="ايمن محمد كامل "/>
    <s v="لحام تنكات الاحبار"/>
    <s v="تم العمل"/>
    <d v="1899-12-30T12:00:00"/>
    <d v="1899-12-30T17:00:00"/>
    <n v="0.20833333333333337"/>
    <x v="0"/>
    <n v="5.0000000000000009"/>
  </r>
  <r>
    <x v="16"/>
    <d v="2025-07-16T00:00:00"/>
    <s v="الاربعاء "/>
    <x v="10"/>
    <s v="فرج محمد "/>
    <s v="عمل  فراشة باالمخزن  "/>
    <s v="تم العمل"/>
    <d v="1899-12-30T11:00:00"/>
    <d v="1899-12-30T17:00:00"/>
    <n v="0.25000000000000006"/>
    <x v="0"/>
    <n v="6.0000000000000018"/>
  </r>
  <r>
    <x v="16"/>
    <d v="2025-07-16T00:00:00"/>
    <s v="الاربعاء "/>
    <x v="5"/>
    <s v="اسلام السيد "/>
    <s v="تغيير شمعات فلتر المياه"/>
    <s v="تم العمل"/>
    <d v="1899-12-30T13:30:00"/>
    <d v="1899-12-30T14:00:00"/>
    <n v="2.083333333333337E-2"/>
    <x v="1"/>
    <n v="0.50000000000000089"/>
  </r>
  <r>
    <x v="16"/>
    <d v="2025-07-16T00:00:00"/>
    <s v="الاربعاء "/>
    <x v="5"/>
    <s v="محمود عويس"/>
    <s v="صيانة تكييفات الادارى "/>
    <s v="تم العمل"/>
    <d v="1899-12-30T11:00:00"/>
    <d v="1899-12-30T12:00:00"/>
    <n v="4.1666666666666685E-2"/>
    <x v="0"/>
    <n v="1.0000000000000004"/>
  </r>
  <r>
    <x v="16"/>
    <d v="2025-07-16T00:00:00"/>
    <s v="الاربعاء "/>
    <x v="5"/>
    <s v="محمود عويس"/>
    <s v="صيانة تكييف "/>
    <s v="تم العمل"/>
    <d v="1899-12-30T10:00:00"/>
    <d v="1899-12-30T16:00:00"/>
    <n v="0.24999999999999994"/>
    <x v="3"/>
    <n v="5.9999999999999982"/>
  </r>
  <r>
    <x v="16"/>
    <d v="2025-07-17T00:00:00"/>
    <s v="الخميس "/>
    <x v="76"/>
    <s v="محمد عبد النبى  "/>
    <s v="عمل صيانة الكمبروسر  رقم 1 "/>
    <s v="تم العمل"/>
    <d v="1899-12-30T11:00:00"/>
    <d v="1899-12-30T11:30:00"/>
    <n v="2.083333333333337E-2"/>
    <x v="3"/>
    <n v="0.50000000000000089"/>
  </r>
  <r>
    <x v="16"/>
    <d v="2025-07-17T00:00:00"/>
    <s v="الخميس "/>
    <x v="30"/>
    <s v="معروف محمد   "/>
    <s v="عمل صيانة الكمبروسر  "/>
    <s v="تم العمل"/>
    <d v="1899-12-30T12:15:00"/>
    <d v="1899-12-30T14:00:00"/>
    <n v="7.2916666666666741E-2"/>
    <x v="3"/>
    <n v="1.7500000000000018"/>
  </r>
  <r>
    <x v="16"/>
    <d v="2025-07-17T00:00:00"/>
    <s v="الخميس "/>
    <x v="7"/>
    <s v="محمد احمد "/>
    <s v="الزيارة الشهرية لمكافحة القوارض والحشرات "/>
    <s v="تم العمل"/>
    <d v="1899-12-30T15:30:00"/>
    <d v="1899-12-30T17:00:00"/>
    <n v="6.25E-2"/>
    <x v="3"/>
    <n v="1.5"/>
  </r>
  <r>
    <x v="16"/>
    <d v="2025-07-17T00:00:00"/>
    <s v="الخميس "/>
    <x v="10"/>
    <s v="فرج محمد "/>
    <s v="استكمال  فراشة باالمخزن  "/>
    <s v="تم العمل"/>
    <d v="1899-12-30T11:00:00"/>
    <d v="1899-12-30T17:00:00"/>
    <n v="0.25000000000000006"/>
    <x v="0"/>
    <n v="6.0000000000000018"/>
  </r>
  <r>
    <x v="16"/>
    <d v="2025-07-17T00:00:00"/>
    <s v="الخميس "/>
    <x v="5"/>
    <s v="محمود عويس"/>
    <s v="عمل صيانة تكييف "/>
    <s v="تم العمل"/>
    <d v="1899-12-30T14:00:00"/>
    <d v="1899-12-30T16:00:00"/>
    <n v="8.3333333333333259E-2"/>
    <x v="3"/>
    <n v="1.9999999999999982"/>
  </r>
  <r>
    <x v="16"/>
    <d v="2025-07-17T00:00:00"/>
    <s v="الخميس "/>
    <x v="13"/>
    <s v="ايمن محمد كامل "/>
    <s v="لحام تسريب  الاحبار"/>
    <s v="تم العمل"/>
    <d v="1899-12-30T12:00:00"/>
    <d v="1899-12-30T17:00:00"/>
    <n v="0.20833333333333337"/>
    <x v="0"/>
    <n v="5.0000000000000009"/>
  </r>
  <r>
    <x v="16"/>
    <d v="2025-07-19T00:00:00"/>
    <s v="السبت "/>
    <x v="60"/>
    <s v="السيد ابراهيم  "/>
    <s v="صيانة دورية "/>
    <s v="تم العمل"/>
    <d v="1899-12-30T10:30:00"/>
    <d v="1899-12-30T14:00:00"/>
    <n v="0.14583333333333337"/>
    <x v="2"/>
    <n v="3.5000000000000009"/>
  </r>
  <r>
    <x v="16"/>
    <d v="2025-07-19T00:00:00"/>
    <s v="السبت "/>
    <x v="10"/>
    <s v="فرج محمد "/>
    <s v="استكمال  فراشة باالمخزن  "/>
    <s v="تم العمل"/>
    <d v="1899-12-30T10:00:00"/>
    <d v="1899-12-30T17:00:00"/>
    <n v="0.29166666666666669"/>
    <x v="0"/>
    <n v="7"/>
  </r>
  <r>
    <x v="16"/>
    <d v="2025-07-20T00:00:00"/>
    <s v="الاحد "/>
    <x v="10"/>
    <s v="فرج محمد "/>
    <s v="عمل  فراشة باالمخزن  "/>
    <s v="تم العمل"/>
    <d v="1899-12-30T10:00:00"/>
    <d v="1899-12-30T17:00:00"/>
    <n v="0.29166666666666669"/>
    <x v="0"/>
    <n v="7"/>
  </r>
  <r>
    <x v="16"/>
    <d v="2025-07-20T00:00:00"/>
    <s v="الاحد "/>
    <x v="13"/>
    <s v="ايمن محمد كامل "/>
    <s v="عمل معالجة تسريب للاحبار "/>
    <s v="تم العمل"/>
    <d v="1899-12-30T12:30:00"/>
    <d v="1899-12-30T17:00:00"/>
    <n v="0.1875"/>
    <x v="0"/>
    <n v="4.5"/>
  </r>
  <r>
    <x v="16"/>
    <d v="2025-07-20T00:00:00"/>
    <s v="الاحد "/>
    <x v="5"/>
    <s v="علاء احمد "/>
    <s v="صيانةالتكييف فى المبنى الادارى "/>
    <s v="تم العمل"/>
    <d v="1899-12-30T14:00:00"/>
    <d v="1899-12-30T15:00:00"/>
    <n v="4.166666666666663E-2"/>
    <x v="6"/>
    <n v="0.99999999999999911"/>
  </r>
  <r>
    <x v="16"/>
    <d v="2025-07-21T00:00:00"/>
    <s v="الاثنين "/>
    <x v="77"/>
    <s v="محمد دسوقى  "/>
    <s v="لحام وتقطيع  "/>
    <s v="تم العمل"/>
    <d v="1899-12-30T11:30:00"/>
    <d v="1899-12-30T17:00:00"/>
    <n v="0.22916666666666669"/>
    <x v="3"/>
    <n v="5.5"/>
  </r>
  <r>
    <x v="16"/>
    <d v="2025-07-21T00:00:00"/>
    <s v="الاثنين "/>
    <x v="7"/>
    <s v="محمد احمد   "/>
    <s v="الزيارة الشهرية للمكافحة  الافات والقوارض"/>
    <s v="تم العمل"/>
    <d v="1899-12-30T14:00:00"/>
    <d v="1899-12-30T16:00:00"/>
    <n v="8.3333333333333259E-2"/>
    <x v="3"/>
    <n v="1.9999999999999982"/>
  </r>
  <r>
    <x v="16"/>
    <d v="2025-07-21T00:00:00"/>
    <s v="الاثنين "/>
    <x v="5"/>
    <s v="محمد النقيب "/>
    <s v="صيانة فيشة الكهرباء "/>
    <s v="تم العمل"/>
    <d v="1899-12-30T10:00:00"/>
    <d v="1899-12-30T11:00:00"/>
    <n v="4.166666666666663E-2"/>
    <x v="3"/>
    <n v="0.99999999999999911"/>
  </r>
  <r>
    <x v="16"/>
    <d v="2025-07-21T00:00:00"/>
    <s v="الاثنين "/>
    <x v="5"/>
    <s v="محمود عويس"/>
    <s v="عمل صيانة تكييف "/>
    <s v="تم العمل"/>
    <d v="1899-12-30T13:00:00"/>
    <d v="1899-12-30T15:00:00"/>
    <n v="8.333333333333337E-2"/>
    <x v="1"/>
    <n v="2.0000000000000009"/>
  </r>
  <r>
    <x v="16"/>
    <d v="2025-07-21T00:00:00"/>
    <s v="الاثنين "/>
    <x v="10"/>
    <s v="فرج محمد "/>
    <s v="عمل  فراشة باالمخزن  "/>
    <s v="تم العمل"/>
    <d v="1899-12-30T10:00:00"/>
    <d v="1899-12-30T17:00:00"/>
    <n v="0.29166666666666669"/>
    <x v="0"/>
    <n v="7"/>
  </r>
  <r>
    <x v="16"/>
    <d v="2025-07-21T00:00:00"/>
    <s v="الاثنين "/>
    <x v="13"/>
    <s v="ايمن محمد كامل "/>
    <s v="لحام تسريب  الاحبار"/>
    <s v="تم العمل"/>
    <d v="1899-12-30T12:00:00"/>
    <d v="1899-12-30T17:00:00"/>
    <n v="0.20833333333333337"/>
    <x v="0"/>
    <n v="5.0000000000000009"/>
  </r>
  <r>
    <x v="16"/>
    <d v="2025-07-21T00:00:00"/>
    <s v="الاثنين "/>
    <x v="5"/>
    <s v="محمود عويس"/>
    <s v="عمل صيانة تكييف "/>
    <s v="تم العمل"/>
    <d v="1899-12-30T12:00:00"/>
    <d v="1899-12-30T17:00:00"/>
    <n v="0.20833333333333337"/>
    <x v="0"/>
    <n v="5.0000000000000009"/>
  </r>
  <r>
    <x v="16"/>
    <d v="2025-07-21T00:00:00"/>
    <s v="الاثنين "/>
    <x v="5"/>
    <s v="محمود عويس"/>
    <s v="عمل صيانة تكييف "/>
    <s v="تم العمل"/>
    <d v="1899-12-30T12:00:00"/>
    <d v="1899-12-30T14:00:00"/>
    <n v="8.333333333333337E-2"/>
    <x v="1"/>
    <n v="2.0000000000000009"/>
  </r>
  <r>
    <x v="16"/>
    <d v="2025-07-22T00:00:00"/>
    <s v="الثلاثاء "/>
    <x v="5"/>
    <s v="مجدى كرم "/>
    <s v="صيانة أعمال سباكة  "/>
    <s v="تم العمل"/>
    <d v="1899-12-30T17:00:00"/>
    <d v="1899-12-30T18:00:00"/>
    <n v="4.166666666666663E-2"/>
    <x v="6"/>
    <n v="0.99999999999999911"/>
  </r>
  <r>
    <x v="16"/>
    <d v="2025-07-22T00:00:00"/>
    <s v="الثلاثاء "/>
    <x v="6"/>
    <s v="ابراهيم  عبد الحليم   "/>
    <s v="صيانة كلارك "/>
    <s v="تم العمل"/>
    <d v="1899-12-30T12:00:00"/>
    <d v="1899-12-30T13:00:00"/>
    <n v="4.166666666666663E-2"/>
    <x v="1"/>
    <n v="0.99999999999999911"/>
  </r>
  <r>
    <x v="16"/>
    <d v="2025-07-22T00:00:00"/>
    <s v="الثلاثاء "/>
    <x v="5"/>
    <s v="محمود عويس"/>
    <s v="عمل صيانة تكييف "/>
    <s v="تم العمل"/>
    <d v="1899-12-30T13:00:00"/>
    <d v="1899-12-30T14:00:00"/>
    <n v="4.1666666666666741E-2"/>
    <x v="1"/>
    <n v="1.0000000000000018"/>
  </r>
  <r>
    <x v="16"/>
    <d v="2025-07-22T00:00:00"/>
    <s v="الثلاثاء "/>
    <x v="69"/>
    <s v="احمد بدوى "/>
    <s v="المرور على الكاميرات "/>
    <s v="تم العمل"/>
    <d v="1899-12-30T12:00:00"/>
    <d v="1899-12-30T16:00:00"/>
    <n v="0.16666666666666663"/>
    <x v="1"/>
    <n v="3.9999999999999991"/>
  </r>
  <r>
    <x v="16"/>
    <d v="2025-07-22T00:00:00"/>
    <s v="الثلاثاء "/>
    <x v="5"/>
    <s v="محمود الدروي"/>
    <s v="صيانةالتكييف فى استراحه المهندسين"/>
    <s v="تم العمل"/>
    <d v="1899-12-30T11:30:00"/>
    <d v="1899-12-30T14:00:00"/>
    <n v="0.10416666666666669"/>
    <x v="3"/>
    <n v="2.5000000000000004"/>
  </r>
  <r>
    <x v="16"/>
    <d v="2025-07-23T00:00:00"/>
    <s v="الثلاثاء "/>
    <x v="77"/>
    <s v="محمد الدسوقى "/>
    <s v="لحام وتجميع وصلات اللتشلر "/>
    <s v="تم العمل"/>
    <d v="1899-12-30T11:00:00"/>
    <d v="1899-12-30T17:30:00"/>
    <n v="0.27083333333333331"/>
    <x v="3"/>
    <n v="6.5"/>
  </r>
  <r>
    <x v="16"/>
    <d v="2025-07-23T00:00:00"/>
    <s v="الاربعاء "/>
    <x v="13"/>
    <s v="ايمن محمد كامل "/>
    <s v="لحام تسريب  الاحبار"/>
    <s v="تم العمل"/>
    <d v="1899-12-30T14:00:00"/>
    <d v="1899-12-30T17:00:00"/>
    <n v="0.125"/>
    <x v="0"/>
    <n v="3"/>
  </r>
  <r>
    <x v="16"/>
    <d v="2025-07-23T00:00:00"/>
    <s v="الاربعاء "/>
    <x v="77"/>
    <s v="محمد الدسوقى "/>
    <s v="لحام وتجميع وصلات اللتشلر "/>
    <s v="تم العمل"/>
    <d v="1899-12-30T10:30:00"/>
    <d v="1899-12-30T17:30:00"/>
    <n v="0.29166666666666663"/>
    <x v="3"/>
    <n v="6.9999999999999991"/>
  </r>
  <r>
    <x v="16"/>
    <d v="2025-07-22T00:00:00"/>
    <s v="الثلاثاء "/>
    <x v="5"/>
    <s v="مجدى كرم "/>
    <s v="صيانة أعمال سباكة  "/>
    <s v="تم العمل"/>
    <d v="1899-12-30T17:00:00"/>
    <d v="1899-12-30T18:00:00"/>
    <n v="4.166666666666663E-2"/>
    <x v="6"/>
    <n v="0.99999999999999911"/>
  </r>
  <r>
    <x v="16"/>
    <d v="2025-07-23T00:00:00"/>
    <s v="الاربعاء "/>
    <x v="7"/>
    <s v="محمود ماهر  "/>
    <s v="الزيارة الشهرية لمكافحة القوارض والحشرات "/>
    <s v="تم العمل"/>
    <d v="1899-12-30T11:00:00"/>
    <d v="1899-12-30T12:00:00"/>
    <n v="4.1666666666666685E-2"/>
    <x v="6"/>
    <n v="1.0000000000000004"/>
  </r>
  <r>
    <x v="16"/>
    <d v="2025-07-23T00:00:00"/>
    <s v="الاربعاء "/>
    <x v="6"/>
    <s v="ابراهيم فتح الله"/>
    <s v="صيانةكلاركات "/>
    <s v="تم العمل"/>
    <d v="1899-12-30T11:00:00"/>
    <d v="1899-12-30T15:00:00"/>
    <n v="0.16666666666666669"/>
    <x v="1"/>
    <n v="4"/>
  </r>
  <r>
    <x v="16"/>
    <d v="2025-07-23T00:00:00"/>
    <s v="الاربعاء "/>
    <x v="5"/>
    <s v="محمود الدروي"/>
    <s v="صيانةالتكيفات "/>
    <s v="تم العمل"/>
    <d v="1899-12-30T12:00:00"/>
    <d v="1899-12-30T15:00:00"/>
    <n v="0.125"/>
    <x v="1"/>
    <n v="3"/>
  </r>
  <r>
    <x v="16"/>
    <d v="2025-07-23T00:00:00"/>
    <s v="الاربعاء "/>
    <x v="14"/>
    <s v="محمد عادل  "/>
    <s v="المرور الشهرية على الاسناسير "/>
    <s v="تم العمل"/>
    <d v="1899-12-30T15:00:00"/>
    <d v="1899-12-30T16:00:00"/>
    <n v="4.166666666666663E-2"/>
    <x v="1"/>
    <n v="0.99999999999999911"/>
  </r>
  <r>
    <x v="16"/>
    <d v="2025-07-24T00:00:00"/>
    <s v="الخميس "/>
    <x v="77"/>
    <s v="محمد الدسوقى "/>
    <s v="تركيب شيلر قسم ويب 3"/>
    <s v="تم العمل"/>
    <d v="1899-12-30T10:30:00"/>
    <d v="1899-12-30T17:30:00"/>
    <n v="0.29166666666666663"/>
    <x v="3"/>
    <n v="6.9999999999999991"/>
  </r>
  <r>
    <x v="16"/>
    <d v="2025-07-27T00:00:00"/>
    <s v="الاحد "/>
    <x v="5"/>
    <s v="محمود عويس"/>
    <s v="عمل صيانة تكييف "/>
    <s v="تم العمل"/>
    <d v="1899-12-30T10:00:00"/>
    <d v="1899-12-30T14:00:00"/>
    <n v="0.16666666666666669"/>
    <x v="1"/>
    <n v="4"/>
  </r>
  <r>
    <x v="16"/>
    <d v="2025-07-27T00:00:00"/>
    <s v="الاحد "/>
    <x v="5"/>
    <s v="احمد سعيد "/>
    <s v="اعمال سباكة "/>
    <s v="تم العمل"/>
    <d v="1899-12-30T11:00:00"/>
    <d v="1899-12-30T14:00:00"/>
    <n v="0.12500000000000006"/>
    <x v="1"/>
    <n v="3.0000000000000013"/>
  </r>
  <r>
    <x v="16"/>
    <d v="2025-07-27T00:00:00"/>
    <s v="الاحد "/>
    <x v="77"/>
    <s v="محمد الدسوقى "/>
    <s v="تركيب شيلر قسم ويب 3"/>
    <s v="تم العمل"/>
    <d v="1899-12-30T10:30:00"/>
    <d v="1899-12-30T16:30:00"/>
    <n v="0.25"/>
    <x v="3"/>
    <n v="6"/>
  </r>
  <r>
    <x v="16"/>
    <d v="2025-07-28T00:00:00"/>
    <s v="الاثنين "/>
    <x v="7"/>
    <s v="كامل جمعة  "/>
    <s v="الزيارة الشهرية لمكافحة القوارض والحشرات "/>
    <s v="تم العمل"/>
    <d v="1899-12-30T12:00:00"/>
    <d v="1899-12-30T14:00:00"/>
    <n v="8.333333333333337E-2"/>
    <x v="3"/>
    <n v="2.0000000000000009"/>
  </r>
  <r>
    <x v="16"/>
    <d v="2025-07-28T00:00:00"/>
    <s v="الاثنين "/>
    <x v="77"/>
    <s v="محمد الدسوقى "/>
    <s v="لحام وتجميع وصلات اللتشلر "/>
    <s v="تم العمل"/>
    <d v="1899-12-30T10:30:00"/>
    <d v="1899-12-30T17:00:00"/>
    <n v="0.27083333333333337"/>
    <x v="3"/>
    <n v="6.5000000000000009"/>
  </r>
  <r>
    <x v="16"/>
    <d v="2025-07-28T00:00:00"/>
    <s v="الاثنين "/>
    <x v="13"/>
    <s v="ايمن محمد كامل "/>
    <s v="لحام تسريب  الاحبار"/>
    <s v="تم العمل"/>
    <d v="1899-12-30T14:00:00"/>
    <d v="1899-12-30T17:00:00"/>
    <n v="0.125"/>
    <x v="0"/>
    <n v="3"/>
  </r>
  <r>
    <x v="16"/>
    <d v="2025-07-28T00:00:00"/>
    <s v="الاثنين "/>
    <x v="7"/>
    <s v="ايمن كامل   "/>
    <s v="الزيارة الشهرية لمكافحة القوارض والحشرات "/>
    <s v="تم العمل"/>
    <d v="1899-12-30T14:00:00"/>
    <d v="1899-12-30T17:00:00"/>
    <n v="0.125"/>
    <x v="0"/>
    <n v="3"/>
  </r>
  <r>
    <x v="16"/>
    <d v="2025-07-28T00:00:00"/>
    <s v="الاثنين "/>
    <x v="5"/>
    <s v="محمود عويس"/>
    <s v="عمل صيانة تكييف "/>
    <s v="تم العمل"/>
    <d v="1899-12-30T10:30:00"/>
    <d v="1899-12-30T14:00:00"/>
    <n v="0.14583333333333337"/>
    <x v="3"/>
    <n v="3.5000000000000009"/>
  </r>
  <r>
    <x v="16"/>
    <d v="2025-07-28T00:00:00"/>
    <s v="الاثنين "/>
    <x v="5"/>
    <s v="محمود عويس"/>
    <s v="عمل صيانة تكييف "/>
    <s v="تم العمل"/>
    <d v="1899-12-30T10:30:00"/>
    <d v="1899-12-30T14:00:00"/>
    <n v="0.14583333333333337"/>
    <x v="1"/>
    <n v="3.5000000000000009"/>
  </r>
  <r>
    <x v="16"/>
    <d v="2025-07-29T00:00:00"/>
    <s v="الثلاثاء "/>
    <x v="5"/>
    <s v="محمود عويس"/>
    <s v="عمل صيانة تكييف "/>
    <s v="تم العمل"/>
    <d v="1899-12-30T16:00:00"/>
    <d v="1899-12-30T17:00:00"/>
    <n v="4.1666666666666741E-2"/>
    <x v="3"/>
    <n v="1.0000000000000018"/>
  </r>
  <r>
    <x v="16"/>
    <d v="2025-07-29T00:00:00"/>
    <s v="الثلاثاء "/>
    <x v="5"/>
    <s v="أحمد حسين  "/>
    <s v="الزيارة الشهرية لصيانة الاسانسير "/>
    <s v="تم العمل"/>
    <d v="1899-12-30T15:00:00"/>
    <d v="1899-12-30T16:00:00"/>
    <n v="4.166666666666663E-2"/>
    <x v="6"/>
    <n v="0.99999999999999911"/>
  </r>
  <r>
    <x v="16"/>
    <d v="2025-07-30T00:00:00"/>
    <s v="الاربعاء "/>
    <x v="6"/>
    <s v="صابر ابراهيم "/>
    <s v="اعمال لحام فى  سندرة بسح عنبر ويب 3 "/>
    <s v="تم العمل"/>
    <d v="1899-12-30T11:00:00"/>
    <d v="1899-12-30T17:30:00"/>
    <n v="0.27083333333333331"/>
    <x v="3"/>
    <n v="6.5"/>
  </r>
  <r>
    <x v="16"/>
    <d v="2025-07-30T00:00:00"/>
    <s v="الاربعاء "/>
    <x v="5"/>
    <s v="محمد النقيب "/>
    <s v="تركيب كشاف بالكفتريا "/>
    <s v="تم العمل"/>
    <d v="1899-12-30T10:00:00"/>
    <d v="1899-12-30T11:00:00"/>
    <n v="4.166666666666663E-2"/>
    <x v="3"/>
    <n v="0.99999999999999911"/>
  </r>
  <r>
    <x v="17"/>
    <d v="2025-08-01T00:00:00"/>
    <s v="الجمعة "/>
    <x v="32"/>
    <s v="ابو المجد  "/>
    <s v="اعمال صيانة لعربيات  الهيدورليك "/>
    <s v="تم العمل"/>
    <d v="1899-12-30T14:30:00"/>
    <d v="1899-12-30T15:00:00"/>
    <n v="2.0833333333333402E-2"/>
    <x v="6"/>
    <n v="0.50000000000000089"/>
  </r>
  <r>
    <x v="17"/>
    <d v="2025-08-02T00:00:00"/>
    <s v="السبت "/>
    <x v="5"/>
    <s v="محمد ابراهيم "/>
    <s v="اعمال محارة "/>
    <s v="تم العمل"/>
    <d v="1899-12-30T10:00:00"/>
    <d v="1899-12-30T16:00:00"/>
    <n v="0.24999999999999994"/>
    <x v="0"/>
    <n v="5.9999999999999982"/>
  </r>
  <r>
    <x v="17"/>
    <d v="2025-08-02T00:00:00"/>
    <s v="السبت "/>
    <x v="3"/>
    <s v="محمود مرعى "/>
    <s v="اعمال لحام  شبكة الاطفاء "/>
    <s v="تم العمل"/>
    <d v="1899-12-30T11:00:00"/>
    <d v="1899-12-30T15:00:00"/>
    <n v="0.16666666666666669"/>
    <x v="2"/>
    <n v="4"/>
  </r>
  <r>
    <x v="17"/>
    <d v="2025-08-02T00:00:00"/>
    <s v="السبت "/>
    <x v="66"/>
    <s v="على فريد عبد الله "/>
    <s v="تركيبات "/>
    <s v="تم العمل"/>
    <d v="1899-12-30T15:00:00"/>
    <d v="1899-12-30T23:00:00"/>
    <n v="0.33333333333333337"/>
    <x v="2"/>
    <n v="8"/>
  </r>
  <r>
    <x v="17"/>
    <d v="2025-08-02T00:00:00"/>
    <s v="السبت "/>
    <x v="60"/>
    <s v="السيد ابراهيم  "/>
    <s v="صيانة دورية "/>
    <s v="تم العمل"/>
    <d v="1899-12-30T11:00:00"/>
    <d v="1899-12-30T14:00:00"/>
    <n v="0.12500000000000006"/>
    <x v="2"/>
    <n v="3.0000000000000013"/>
  </r>
  <r>
    <x v="17"/>
    <d v="2025-08-02T00:00:00"/>
    <s v="السبت "/>
    <x v="5"/>
    <s v="جمعة محمد "/>
    <s v="صيانة كلارك "/>
    <s v="تم العمل"/>
    <d v="1899-12-30T10:00:00"/>
    <d v="1899-12-30T11:00:00"/>
    <n v="4.166666666666663E-2"/>
    <x v="0"/>
    <n v="0.99999999999999911"/>
  </r>
  <r>
    <x v="17"/>
    <d v="2025-08-03T00:00:00"/>
    <s v="الاحد "/>
    <x v="5"/>
    <s v="محمود عويس"/>
    <s v="عمل صيانة تكييف استراحة المهندسين الخزينة "/>
    <s v="تم العمل"/>
    <d v="1899-12-30T13:00:00"/>
    <d v="1899-12-30T17:00:00"/>
    <n v="0.16666666666666674"/>
    <x v="3"/>
    <n v="4.0000000000000018"/>
  </r>
  <r>
    <x v="17"/>
    <d v="2025-08-03T00:00:00"/>
    <s v="الاحد "/>
    <x v="13"/>
    <s v="ايمن محمد كامل "/>
    <s v="عمل لحام  تسريب للاحبار "/>
    <s v="تم العمل"/>
    <d v="1899-12-30T14:00:00"/>
    <d v="1899-12-30T17:00:00"/>
    <n v="0.125"/>
    <x v="0"/>
    <n v="3"/>
  </r>
  <r>
    <x v="17"/>
    <d v="2025-08-03T00:00:00"/>
    <s v="الاحد "/>
    <x v="77"/>
    <s v="محمد الدسوقى "/>
    <s v="اعمال تركيب الشلر"/>
    <s v="تم العمل"/>
    <d v="1899-12-30T12:30:00"/>
    <d v="1899-12-30T17:00:00"/>
    <n v="0.1875"/>
    <x v="3"/>
    <n v="4.5"/>
  </r>
  <r>
    <x v="17"/>
    <d v="2025-08-03T00:00:00"/>
    <s v="الاحد "/>
    <x v="66"/>
    <s v="على فريد عبد الله "/>
    <s v="تركيبات "/>
    <s v="تم العمل"/>
    <d v="1899-12-30T10:00:00"/>
    <d v="1899-12-30T16:00:00"/>
    <n v="0.24999999999999994"/>
    <x v="2"/>
    <n v="5.9999999999999982"/>
  </r>
  <r>
    <x v="17"/>
    <d v="2025-08-04T00:00:00"/>
    <s v="الاثنين "/>
    <x v="78"/>
    <s v="اسلام محمد "/>
    <s v="عمل صيانة لوحدة السوفتير "/>
    <s v="تم العمل"/>
    <d v="1899-12-30T11:30:00"/>
    <d v="1899-12-30T13:30:00"/>
    <n v="8.3333333333333315E-2"/>
    <x v="3"/>
    <n v="1.9999999999999996"/>
  </r>
  <r>
    <x v="17"/>
    <d v="2025-08-04T00:00:00"/>
    <s v="الاثنين "/>
    <x v="7"/>
    <s v="محمد ماهر    "/>
    <s v="الزيارة الشهرية لمكافحة القوارض والحشرات "/>
    <s v="تم العمل"/>
    <d v="1899-12-30T12:00:00"/>
    <d v="1899-12-30T14:00:00"/>
    <n v="8.333333333333337E-2"/>
    <x v="3"/>
    <n v="2.0000000000000009"/>
  </r>
  <r>
    <x v="17"/>
    <d v="2025-08-04T00:00:00"/>
    <s v="الاثنين "/>
    <x v="79"/>
    <s v="نادر اسكندر "/>
    <s v="اعمال لحام لتجهيز  شبكة اطفاء تلقائى "/>
    <s v="تم العمل"/>
    <d v="1899-12-30T12:30:00"/>
    <d v="1899-12-30T17:00:00"/>
    <n v="0.1875"/>
    <x v="5"/>
    <n v="4.5"/>
  </r>
  <r>
    <x v="17"/>
    <d v="2025-08-04T00:00:00"/>
    <s v="الاثنين "/>
    <x v="7"/>
    <s v="محمد ماهر    "/>
    <s v="الزيارة الشهرية لمكافحة القوارض والحشرات "/>
    <s v="تم العمل"/>
    <d v="1899-12-30T14:00:00"/>
    <d v="1899-12-30T15:00:00"/>
    <n v="4.166666666666663E-2"/>
    <x v="1"/>
    <n v="0.99999999999999911"/>
  </r>
  <r>
    <x v="17"/>
    <d v="2025-08-04T00:00:00"/>
    <s v="الاثنين "/>
    <x v="7"/>
    <s v="محمد ماهر    "/>
    <s v="الزيارة الشهرية لمكافحة القوارض والحشرات "/>
    <s v="تم العمل"/>
    <d v="1899-12-30T15:00:00"/>
    <d v="1899-12-30T17:00:00"/>
    <n v="8.333333333333337E-2"/>
    <x v="0"/>
    <n v="2.0000000000000009"/>
  </r>
  <r>
    <x v="17"/>
    <d v="2025-08-04T00:00:00"/>
    <s v="الاثنين "/>
    <x v="13"/>
    <s v="ايمن محمد كامل "/>
    <s v="عمل لحام  تسريب للاحبار "/>
    <s v="تم العمل"/>
    <d v="1899-12-30T14:00:00"/>
    <d v="1899-12-30T17:00:00"/>
    <n v="0.125"/>
    <x v="0"/>
    <n v="3"/>
  </r>
  <r>
    <x v="17"/>
    <d v="2025-08-05T00:00:00"/>
    <s v="الثلاثاء "/>
    <x v="7"/>
    <s v="محمد ماهر    "/>
    <s v="الزيارة الشهرية لمكافحة القوارض والحشرات "/>
    <s v="تم العمل"/>
    <d v="1899-12-30T13:00:00"/>
    <d v="1899-12-30T17:00:00"/>
    <n v="0.16666666666666674"/>
    <x v="6"/>
    <n v="4.0000000000000018"/>
  </r>
  <r>
    <x v="17"/>
    <d v="2025-08-05T00:00:00"/>
    <s v="الثلاثاء "/>
    <x v="5"/>
    <s v="محمود عويس"/>
    <s v="عمل صيانة صيانة لوحدات التكييف بالمطبعة"/>
    <s v="تم العمل"/>
    <d v="1899-12-30T10:00:00"/>
    <d v="1899-12-30T17:00:00"/>
    <n v="0.29166666666666669"/>
    <x v="3"/>
    <n v="7"/>
  </r>
  <r>
    <x v="17"/>
    <d v="2025-08-05T00:00:00"/>
    <s v="الثلاثاء "/>
    <x v="5"/>
    <s v="ادم محمد "/>
    <s v="عمل انشائات معمارية "/>
    <s v="تم العمل"/>
    <d v="1899-12-30T12:00:00"/>
    <d v="1899-12-30T17:00:00"/>
    <n v="0.20833333333333337"/>
    <x v="0"/>
    <n v="5.0000000000000009"/>
  </r>
  <r>
    <x v="17"/>
    <d v="2025-08-05T00:00:00"/>
    <s v="الثلاثاء "/>
    <x v="3"/>
    <s v="علاء احمد "/>
    <s v="صيانة"/>
    <s v="تم العمل"/>
    <d v="1899-12-30T11:00:00"/>
    <d v="1899-12-30T13:00:00"/>
    <n v="8.3333333333333315E-2"/>
    <x v="2"/>
    <n v="1.9999999999999996"/>
  </r>
  <r>
    <x v="17"/>
    <d v="2025-08-05T00:00:00"/>
    <s v="الثلاثاء "/>
    <x v="13"/>
    <s v="ايمن محمد كامل "/>
    <s v="عمل لحام  تسريب للاحبار "/>
    <s v="تم العمل"/>
    <d v="1899-12-30T15:00:00"/>
    <d v="1899-12-30T17:00:00"/>
    <n v="8.333333333333337E-2"/>
    <x v="0"/>
    <n v="2.0000000000000009"/>
  </r>
  <r>
    <x v="17"/>
    <d v="2025-08-06T00:00:00"/>
    <s v="الاربعاء "/>
    <x v="5"/>
    <s v="محمود عويس"/>
    <s v="عمل صيانة تكييف استراحة المهندسين"/>
    <s v="تم العمل"/>
    <d v="1899-12-30T12:30:00"/>
    <d v="1899-12-30T13:30:00"/>
    <n v="4.166666666666663E-2"/>
    <x v="3"/>
    <n v="0.99999999999999911"/>
  </r>
  <r>
    <x v="17"/>
    <d v="2025-08-06T00:00:00"/>
    <s v="الاربعاء "/>
    <x v="12"/>
    <s v="رامى محمد "/>
    <s v="صيانة ابواب الالمونتال"/>
    <s v="تم العمل"/>
    <d v="1899-12-30T15:00:00"/>
    <d v="1899-12-30T17:00:00"/>
    <n v="8.333333333333337E-2"/>
    <x v="3"/>
    <n v="2.0000000000000009"/>
  </r>
  <r>
    <x v="17"/>
    <d v="2025-08-07T00:00:00"/>
    <s v="الخميس "/>
    <x v="2"/>
    <s v="كمال احمد  "/>
    <s v="تركيبات "/>
    <s v="تم العمل"/>
    <d v="1899-12-30T17:00:00"/>
    <d v="1899-12-30T20:00:00"/>
    <n v="0.125"/>
    <x v="2"/>
    <n v="3"/>
  </r>
  <r>
    <x v="17"/>
    <d v="2025-08-07T00:00:00"/>
    <s v="الخميس "/>
    <x v="66"/>
    <s v="على فريد عبد الله "/>
    <s v="تركيبات "/>
    <s v="تم العمل"/>
    <d v="1899-12-30T16:45:00"/>
    <d v="1899-12-30T22:00:00"/>
    <n v="0.21875"/>
    <x v="2"/>
    <n v="5.25"/>
  </r>
  <r>
    <x v="17"/>
    <d v="2025-08-07T00:00:00"/>
    <s v="الخميس "/>
    <x v="12"/>
    <s v="رامى محمد "/>
    <s v="صيانة ابواب الالمونتال"/>
    <s v="تم العمل"/>
    <d v="1899-12-30T15:00:00"/>
    <d v="1899-12-30T17:00:00"/>
    <n v="8.333333333333337E-2"/>
    <x v="3"/>
    <n v="2.0000000000000009"/>
  </r>
  <r>
    <x v="17"/>
    <d v="2025-08-07T00:00:00"/>
    <s v="الخميس "/>
    <x v="75"/>
    <s v="احمد محمد "/>
    <s v="تركيبات "/>
    <s v="تم العمل"/>
    <d v="1899-12-30T12:00:00"/>
    <d v="1899-12-30T18:00:00"/>
    <n v="0.25"/>
    <x v="2"/>
    <n v="6"/>
  </r>
  <r>
    <x v="17"/>
    <d v="2025-08-07T00:00:00"/>
    <s v="الخميس "/>
    <x v="5"/>
    <s v="محمود عويس"/>
    <s v="عمل صيانة تكييف للطبع شيت "/>
    <s v="تم العمل"/>
    <d v="1899-12-30T11:00:00"/>
    <d v="1899-12-30T12:00:00"/>
    <n v="4.1666666666666685E-2"/>
    <x v="3"/>
    <n v="1.0000000000000004"/>
  </r>
  <r>
    <x v="17"/>
    <d v="2025-08-09T00:00:00"/>
    <s v="السبت "/>
    <x v="79"/>
    <s v="نادر اسكندر "/>
    <s v="اعمال لحام لتجهيز  شبكة اطفاء تلقائى "/>
    <s v="تم العمل"/>
    <d v="1899-12-30T10:00:00"/>
    <d v="1899-12-30T17:00:00"/>
    <n v="0.29166666666666669"/>
    <x v="5"/>
    <n v="7"/>
  </r>
  <r>
    <x v="17"/>
    <d v="2025-08-09T00:00:00"/>
    <s v="السبت "/>
    <x v="80"/>
    <s v="محمد احمد "/>
    <s v="تركيبات "/>
    <s v="تم العمل"/>
    <d v="1899-12-30T10:00:00"/>
    <d v="1899-12-30T20:00:00"/>
    <n v="0.41666666666666669"/>
    <x v="2"/>
    <n v="10"/>
  </r>
  <r>
    <x v="17"/>
    <d v="2025-08-10T00:00:00"/>
    <s v="الاحد "/>
    <x v="8"/>
    <s v="حامد عطوان"/>
    <s v="الزيارة الشهرية  على نقاط الاطفاء وصناديق الحريق "/>
    <s v="تم العمل"/>
    <d v="1899-12-30T12:00:00"/>
    <d v="1899-12-30T15:00:00"/>
    <n v="0.125"/>
    <x v="3"/>
    <n v="3"/>
  </r>
  <r>
    <x v="17"/>
    <d v="2025-08-10T00:00:00"/>
    <s v="الاحد "/>
    <x v="5"/>
    <s v="احمد سعيد  "/>
    <s v="صيانة الماتور "/>
    <s v="تم العمل"/>
    <d v="1899-12-30T13:00:00"/>
    <d v="1899-12-30T15:00:00"/>
    <n v="8.333333333333337E-2"/>
    <x v="1"/>
    <n v="2.0000000000000009"/>
  </r>
  <r>
    <x v="17"/>
    <d v="2025-08-10T00:00:00"/>
    <s v="الاحد "/>
    <x v="8"/>
    <s v="حامد عطوان"/>
    <s v="الزيارة الشهرية  على نقاط الاطفاء وصناديق الحريق "/>
    <s v="تم العمل"/>
    <d v="1899-12-30T15:30:00"/>
    <d v="1899-12-30T17:00:00"/>
    <n v="6.25E-2"/>
    <x v="0"/>
    <n v="1.5"/>
  </r>
  <r>
    <x v="17"/>
    <d v="2025-08-10T00:00:00"/>
    <s v="الاحد "/>
    <x v="13"/>
    <s v="ايمن محمد كامل "/>
    <s v="عمل لحام  تسريب للاحبار "/>
    <s v="تم العمل"/>
    <d v="1899-12-30T10:00:00"/>
    <d v="1899-12-30T17:00:00"/>
    <n v="0.29166666666666669"/>
    <x v="0"/>
    <n v="7"/>
  </r>
  <r>
    <x v="17"/>
    <d v="2025-08-10T00:00:00"/>
    <s v="الاحد "/>
    <x v="5"/>
    <s v="ادم محمد  "/>
    <s v="اعمال تركيب انتر لك "/>
    <s v="تم العمل"/>
    <d v="1899-12-30T11:00:00"/>
    <d v="1899-12-30T17:00:00"/>
    <n v="0.25000000000000006"/>
    <x v="0"/>
    <n v="6.0000000000000018"/>
  </r>
  <r>
    <x v="17"/>
    <d v="2025-08-11T00:00:00"/>
    <s v="الاثنين "/>
    <x v="79"/>
    <s v="سامى سامى "/>
    <s v="اعمال لحام لتجهيز  شبكة اطفاء تلقائى "/>
    <s v="تم العمل"/>
    <d v="1899-12-30T10:00:00"/>
    <d v="1899-12-30T17:00:00"/>
    <n v="0.29166666666666669"/>
    <x v="5"/>
    <n v="7"/>
  </r>
  <r>
    <x v="17"/>
    <d v="2025-08-11T00:00:00"/>
    <s v="الاثنين "/>
    <x v="8"/>
    <s v="على شحات "/>
    <s v="الزيارة الشهرية  على الانزار "/>
    <s v="تم العمل"/>
    <d v="1899-12-30T11:00:00"/>
    <d v="1899-12-30T12:00:00"/>
    <n v="4.1666666666666685E-2"/>
    <x v="3"/>
    <n v="1.0000000000000004"/>
  </r>
  <r>
    <x v="17"/>
    <d v="2025-08-11T00:00:00"/>
    <s v="الاثنين "/>
    <x v="8"/>
    <s v="على شحات "/>
    <s v="الزيارة الشهرية  على الانزار "/>
    <s v="تم العمل"/>
    <d v="1899-12-30T15:30:00"/>
    <d v="1899-12-30T17:00:00"/>
    <n v="6.25E-2"/>
    <x v="0"/>
    <n v="1.5"/>
  </r>
  <r>
    <x v="17"/>
    <d v="2025-08-11T00:00:00"/>
    <s v="الاثنين "/>
    <x v="11"/>
    <s v="سيد على "/>
    <s v="صيانة الكلارك "/>
    <s v="تم العمل"/>
    <d v="1899-12-30T12:30:00"/>
    <d v="1899-12-30T16:00:00"/>
    <n v="0.14583333333333326"/>
    <x v="0"/>
    <n v="3.4999999999999982"/>
  </r>
  <r>
    <x v="17"/>
    <d v="2025-08-11T00:00:00"/>
    <s v="الاثنين "/>
    <x v="13"/>
    <s v="محسن عبد الباسط  "/>
    <s v="لحام تنك  للاحبار "/>
    <s v="تم العمل"/>
    <d v="1899-12-30T12:30:00"/>
    <d v="1899-12-30T17:00:00"/>
    <n v="0.1875"/>
    <x v="0"/>
    <n v="4.5"/>
  </r>
  <r>
    <x v="17"/>
    <d v="2025-08-11T00:00:00"/>
    <s v="الاثنين "/>
    <x v="8"/>
    <s v="على شحات "/>
    <s v="الزيارة الشهرية  على الانزار "/>
    <s v="تم العمل"/>
    <d v="1899-12-30T11:00:00"/>
    <d v="1899-12-30T17:00:00"/>
    <n v="0.25000000000000006"/>
    <x v="1"/>
    <n v="6.0000000000000018"/>
  </r>
  <r>
    <x v="17"/>
    <d v="2025-08-11T00:00:00"/>
    <s v="الاثنين "/>
    <x v="5"/>
    <s v="علاء احمد "/>
    <s v="صيانة تكيفات  غرفة السيرفر "/>
    <s v="تم العمل"/>
    <d v="1899-12-30T12:00:00"/>
    <d v="1899-12-30T13:30:00"/>
    <n v="6.25E-2"/>
    <x v="6"/>
    <n v="1.5"/>
  </r>
  <r>
    <x v="17"/>
    <d v="2025-08-12T00:00:00"/>
    <s v="الثلاثاء "/>
    <x v="13"/>
    <s v="اسلام مصطفى  "/>
    <s v="صيانة ctp"/>
    <s v="تم العمل"/>
    <d v="1899-12-30T14:00:00"/>
    <d v="1899-12-30T17:00:00"/>
    <n v="0.125"/>
    <x v="3"/>
    <n v="3"/>
  </r>
  <r>
    <x v="17"/>
    <d v="2025-08-12T00:00:00"/>
    <s v="الثلاثاء "/>
    <x v="13"/>
    <s v="محسن عبد الباسط  "/>
    <s v="لحام تسريب  للاحبار "/>
    <s v="تم العمل"/>
    <d v="1899-12-30T13:00:00"/>
    <d v="1899-12-30T17:00:00"/>
    <n v="0.16666666666666674"/>
    <x v="0"/>
    <n v="4.0000000000000018"/>
  </r>
  <r>
    <x v="17"/>
    <d v="2025-08-12T00:00:00"/>
    <s v="الثلاثاء "/>
    <x v="10"/>
    <s v="فرج محمد   "/>
    <s v="فرج الفراشة "/>
    <s v="تم العمل"/>
    <d v="1899-12-30T10:00:00"/>
    <d v="1899-12-30T12:00:00"/>
    <n v="8.3333333333333315E-2"/>
    <x v="0"/>
    <n v="1.9999999999999996"/>
  </r>
  <r>
    <x v="17"/>
    <d v="2025-08-12T00:00:00"/>
    <s v="الثلاثاء "/>
    <x v="5"/>
    <s v="ادم محمد  "/>
    <s v="اعمال تركيب انتر لك "/>
    <s v="تم العمل"/>
    <d v="1899-12-30T12:00:00"/>
    <d v="1899-12-30T17:00:00"/>
    <n v="0.20833333333333337"/>
    <x v="0"/>
    <n v="5.0000000000000009"/>
  </r>
  <r>
    <x v="17"/>
    <d v="2025-08-13T00:00:00"/>
    <s v="الاربعاء "/>
    <x v="13"/>
    <s v="محسن عبد الباسط  "/>
    <s v="لحام تنك  للاحبار "/>
    <s v="تم العمل"/>
    <d v="1899-12-30T14:00:00"/>
    <d v="1899-12-30T17:00:00"/>
    <n v="0.125"/>
    <x v="0"/>
    <n v="3"/>
  </r>
  <r>
    <x v="17"/>
    <d v="2025-08-14T00:00:00"/>
    <s v="الخميس "/>
    <x v="75"/>
    <s v="احمد محمد "/>
    <s v="تركيبات "/>
    <s v="تم العمل"/>
    <d v="1899-12-30T12:00:00"/>
    <d v="1899-12-30T18:00:00"/>
    <n v="0.25"/>
    <x v="2"/>
    <n v="6"/>
  </r>
  <r>
    <x v="17"/>
    <d v="2025-08-14T00:00:00"/>
    <s v="الخميس "/>
    <x v="13"/>
    <s v="محسن عبد الباسط  "/>
    <s v="لحام تنك  للاحبار "/>
    <s v="تم العمل"/>
    <d v="1899-12-30T13:00:00"/>
    <d v="1899-12-30T17:00:00"/>
    <n v="0.16666666666666674"/>
    <x v="0"/>
    <n v="4.0000000000000018"/>
  </r>
  <r>
    <x v="17"/>
    <d v="2025-08-16T00:00:00"/>
    <s v="السبت "/>
    <x v="3"/>
    <s v="امير حجازى "/>
    <s v="تركيب خط الفايبر "/>
    <s v="تم العمل"/>
    <d v="1899-12-30T10:00:00"/>
    <d v="1899-12-30T17:00:00"/>
    <n v="0.29166666666666669"/>
    <x v="3"/>
    <n v="7"/>
  </r>
  <r>
    <x v="17"/>
    <d v="2025-08-16T00:00:00"/>
    <s v="السبت "/>
    <x v="75"/>
    <s v="احمد محمد "/>
    <s v="تركيبات "/>
    <s v="تم العمل"/>
    <d v="1899-12-30T11:00:00"/>
    <d v="1899-12-30T18:00:00"/>
    <n v="0.29166666666666669"/>
    <x v="2"/>
    <n v="7"/>
  </r>
  <r>
    <x v="17"/>
    <d v="2025-08-16T00:00:00"/>
    <s v="السبت "/>
    <x v="0"/>
    <s v="يحيى طه "/>
    <s v="تركيبات "/>
    <s v="تم العمل"/>
    <d v="1899-12-30T11:00:00"/>
    <d v="1899-12-30T18:00:00"/>
    <n v="0.29166666666666669"/>
    <x v="2"/>
    <n v="7"/>
  </r>
  <r>
    <x v="17"/>
    <d v="2025-08-17T00:00:00"/>
    <s v="الاحد "/>
    <x v="3"/>
    <s v="امير حجازى "/>
    <s v="استكمال تركيب خط الفايبر "/>
    <s v="تم العمل"/>
    <d v="1899-12-30T10:30:00"/>
    <d v="1899-12-30T17:00:00"/>
    <n v="0.27083333333333337"/>
    <x v="3"/>
    <n v="6.5000000000000009"/>
  </r>
  <r>
    <x v="17"/>
    <d v="2025-08-17T00:00:00"/>
    <s v="الاحد "/>
    <x v="5"/>
    <s v="احمد سعيد  "/>
    <s v="عمل صرف للتكيفات "/>
    <s v="تم العمل"/>
    <d v="1899-12-30T14:00:00"/>
    <d v="1899-12-30T17:00:00"/>
    <n v="0.125"/>
    <x v="3"/>
    <n v="3"/>
  </r>
  <r>
    <x v="17"/>
    <d v="2025-08-17T00:00:00"/>
    <s v="الاحد "/>
    <x v="6"/>
    <s v="صابر ابراهيم "/>
    <s v="صيانة ابواب العنابر "/>
    <s v="تم العمل"/>
    <d v="1899-12-30T11:00:00"/>
    <d v="1899-12-30T16:00:00"/>
    <n v="0.20833333333333331"/>
    <x v="3"/>
    <n v="5"/>
  </r>
  <r>
    <x v="17"/>
    <d v="2025-08-18T00:00:00"/>
    <s v="الاثنين "/>
    <x v="6"/>
    <s v="محمود الدروى"/>
    <s v="صيانة تكييف ويب 11"/>
    <s v="تم العمل"/>
    <d v="1899-12-30T10:00:00"/>
    <d v="1899-12-30T15:00:00"/>
    <n v="0.20833333333333331"/>
    <x v="3"/>
    <n v="5"/>
  </r>
  <r>
    <x v="17"/>
    <d v="2025-08-18T00:00:00"/>
    <s v="الاثنين "/>
    <x v="5"/>
    <s v="محمد نقيب "/>
    <s v="عمل صيانة كهرباء بالعنابر"/>
    <s v="تم العمل"/>
    <d v="1899-12-30T11:00:00"/>
    <d v="1899-12-30T17:00:00"/>
    <n v="0.25000000000000006"/>
    <x v="3"/>
    <n v="6.0000000000000018"/>
  </r>
  <r>
    <x v="17"/>
    <d v="2025-08-18T00:00:00"/>
    <s v="الاثنين "/>
    <x v="5"/>
    <s v="أحمد سعيد "/>
    <s v="اعمال سباكة "/>
    <s v="تم العمل"/>
    <d v="1899-12-30T14:00:00"/>
    <d v="1899-12-30T15:00:00"/>
    <n v="4.166666666666663E-2"/>
    <x v="1"/>
    <n v="0.99999999999999911"/>
  </r>
  <r>
    <x v="17"/>
    <d v="2025-08-18T00:00:00"/>
    <s v="الاثنين "/>
    <x v="5"/>
    <s v="محمد نقيب "/>
    <s v=" صيانة كهرباء "/>
    <s v="تم العمل"/>
    <d v="1899-12-30T10:00:00"/>
    <d v="1899-12-30T11:00:00"/>
    <n v="4.166666666666663E-2"/>
    <x v="1"/>
    <n v="0.99999999999999911"/>
  </r>
  <r>
    <x v="17"/>
    <d v="2025-08-18T00:00:00"/>
    <s v="الاثنين "/>
    <x v="13"/>
    <s v="محسن عبد الباسط  "/>
    <s v="لحام تسريب  تنك  للاحبار "/>
    <s v="تم العمل"/>
    <d v="1899-12-30T14:00:00"/>
    <d v="1899-12-30T17:00:00"/>
    <n v="0.125"/>
    <x v="0"/>
    <n v="3"/>
  </r>
  <r>
    <x v="17"/>
    <d v="2025-08-18T00:00:00"/>
    <s v="الاثنين "/>
    <x v="5"/>
    <s v="احمد سعيد  "/>
    <s v="استكمال عمل صرف للتكيفات "/>
    <s v="تم العمل"/>
    <d v="1899-12-30T14:00:00"/>
    <d v="1899-12-30T17:00:00"/>
    <n v="0.125"/>
    <x v="0"/>
    <n v="3"/>
  </r>
  <r>
    <x v="17"/>
    <d v="2025-08-18T00:00:00"/>
    <s v="الاثنين "/>
    <x v="7"/>
    <s v="كامل جمعة     "/>
    <s v="الزيارة الشهرية لمكافحة القوارض والحشرات "/>
    <s v="تم العمل"/>
    <d v="1899-12-30T12:00:00"/>
    <d v="1899-12-30T17:00:00"/>
    <n v="0.20833333333333337"/>
    <x v="0"/>
    <n v="5.0000000000000009"/>
  </r>
  <r>
    <x v="17"/>
    <d v="2025-08-18T00:00:00"/>
    <s v="الاثنين "/>
    <x v="6"/>
    <s v="صابر ابراهيم      "/>
    <s v="عمل تنده لخزان السولار  للماكينة الديزل"/>
    <s v="تم العمل"/>
    <d v="1899-12-30T11:00:00"/>
    <d v="1899-12-30T17:00:00"/>
    <n v="0.25000000000000006"/>
    <x v="1"/>
    <n v="6.0000000000000018"/>
  </r>
  <r>
    <x v="17"/>
    <d v="2025-08-18T00:00:00"/>
    <s v="الاثنين "/>
    <x v="7"/>
    <s v="كامل جمعة     "/>
    <s v="الزيارة الشهرية لمكافحة القوارض والحشرات "/>
    <s v="تم العمل"/>
    <d v="1899-12-30T14:00:00"/>
    <d v="1899-12-30T15:00:00"/>
    <n v="4.166666666666663E-2"/>
    <x v="1"/>
    <n v="0.99999999999999911"/>
  </r>
  <r>
    <x v="17"/>
    <d v="2025-08-19T00:00:00"/>
    <s v="الثلاثاء "/>
    <x v="6"/>
    <s v="أحمد ابوزيد    "/>
    <s v="لحام وقطع فى باب  طوارىء بجوار ويب 2"/>
    <s v="تم العمل"/>
    <d v="1899-12-30T15:30:00"/>
    <d v="1899-12-30T16:30:00"/>
    <n v="4.166666666666663E-2"/>
    <x v="3"/>
    <n v="0.99999999999999911"/>
  </r>
  <r>
    <x v="17"/>
    <d v="2025-08-19T00:00:00"/>
    <s v="الثلاثاء "/>
    <x v="10"/>
    <s v="فرج محمد   "/>
    <s v="فرج الفراشة "/>
    <s v="تم العمل"/>
    <d v="1899-12-30T11:00:00"/>
    <d v="1899-12-30T17:00:00"/>
    <n v="0.25000000000000006"/>
    <x v="0"/>
    <n v="6.0000000000000018"/>
  </r>
  <r>
    <x v="17"/>
    <d v="2025-08-20T00:00:00"/>
    <s v="الاربعاء "/>
    <x v="5"/>
    <s v="محمود عويس  "/>
    <s v="صيانة الثلاجة "/>
    <s v="تم العمل"/>
    <d v="1899-12-30T13:00:00"/>
    <d v="1899-12-30T15:00:00"/>
    <n v="8.333333333333337E-2"/>
    <x v="1"/>
    <n v="2.0000000000000009"/>
  </r>
  <r>
    <x v="17"/>
    <d v="2025-08-20T00:00:00"/>
    <s v="الاربعاء "/>
    <x v="66"/>
    <s v="مصطفى سليم  "/>
    <s v="تركيبات "/>
    <s v="تم العمل"/>
    <d v="1899-12-30T10:00:00"/>
    <d v="1899-12-30T20:00:00"/>
    <n v="0.41666666666666669"/>
    <x v="2"/>
    <n v="10"/>
  </r>
  <r>
    <x v="17"/>
    <d v="2025-08-20T00:00:00"/>
    <s v="الاربعاء "/>
    <x v="38"/>
    <s v="اسلام  مليجى "/>
    <s v="تغيير فلتر "/>
    <s v="تم العمل"/>
    <d v="1899-12-30T13:00:00"/>
    <d v="1899-12-30T15:00:00"/>
    <n v="8.333333333333337E-2"/>
    <x v="1"/>
    <n v="2.0000000000000009"/>
  </r>
  <r>
    <x v="17"/>
    <d v="2025-08-20T00:00:00"/>
    <s v="الاربعاء "/>
    <x v="13"/>
    <s v="محسن عبد الباسط  "/>
    <s v="لحام تسريب  تنك  للاحبار "/>
    <s v="تم العمل"/>
    <d v="1899-12-30T14:00:00"/>
    <d v="1899-12-30T17:00:00"/>
    <n v="0.125"/>
    <x v="0"/>
    <n v="3"/>
  </r>
  <r>
    <x v="17"/>
    <d v="2025-08-20T00:00:00"/>
    <s v="الاربعاء "/>
    <x v="5"/>
    <s v="أحمد سعيد "/>
    <s v="عمل صرف للتكيفات "/>
    <s v="تم العمل"/>
    <d v="1899-12-30T11:00:00"/>
    <d v="1899-12-30T17:00:00"/>
    <n v="0.25000000000000006"/>
    <x v="0"/>
    <n v="6.0000000000000018"/>
  </r>
  <r>
    <x v="17"/>
    <d v="2025-08-21T00:00:00"/>
    <s v="الخميس "/>
    <x v="3"/>
    <s v="مصطغى  عماد "/>
    <s v=" تركيب خط الفايبر  فى غرفة السيرفر"/>
    <s v="تم العمل"/>
    <d v="1899-12-30T12:00:00"/>
    <d v="1899-12-30T15:00:00"/>
    <n v="0.125"/>
    <x v="3"/>
    <n v="3"/>
  </r>
  <r>
    <x v="17"/>
    <d v="2025-08-21T00:00:00"/>
    <s v="الخميس "/>
    <x v="5"/>
    <s v="أحمد سعيد "/>
    <s v="عمل صرف للتكيفات "/>
    <s v="تم العمل"/>
    <d v="1899-12-30T10:00:00"/>
    <d v="1899-12-30T17:00:00"/>
    <n v="0.29166666666666669"/>
    <x v="0"/>
    <n v="7"/>
  </r>
  <r>
    <x v="17"/>
    <d v="2025-08-21T00:00:00"/>
    <s v="الخميس "/>
    <x v="13"/>
    <s v="محسن عبد الباسط  "/>
    <s v="صيانة تنكات الاحبار "/>
    <s v="تم العمل"/>
    <d v="1899-12-30T15:00:00"/>
    <d v="1899-12-30T17:00:00"/>
    <n v="8.333333333333337E-2"/>
    <x v="0"/>
    <n v="2.0000000000000009"/>
  </r>
  <r>
    <x v="17"/>
    <d v="2025-08-21T00:00:00"/>
    <s v="الخميس "/>
    <x v="5"/>
    <s v="محمود الدروى"/>
    <s v="صيانة تكييف "/>
    <s v="تم العمل"/>
    <d v="1899-12-30T13:00:00"/>
    <d v="1899-12-30T16:00:00"/>
    <n v="0.125"/>
    <x v="0"/>
    <n v="3"/>
  </r>
  <r>
    <x v="17"/>
    <d v="2025-08-21T00:00:00"/>
    <s v="الخميس "/>
    <x v="7"/>
    <s v="محمد ماهر    "/>
    <s v="الزيارة الشهرية لمكافحة القوارض والحشرات "/>
    <s v="تم العمل"/>
    <d v="1899-12-30T16:30:00"/>
    <d v="1899-12-30T17:30:00"/>
    <n v="4.166666666666663E-2"/>
    <x v="6"/>
    <n v="0.99999999999999911"/>
  </r>
  <r>
    <x v="17"/>
    <d v="2025-08-21T00:00:00"/>
    <s v="الخميس "/>
    <x v="3"/>
    <s v="سيد ممدوح  "/>
    <s v="صيانة اجهزة التكييف فى المبنى الادارى  "/>
    <s v="تم العمل"/>
    <d v="1899-12-30T13:30:00"/>
    <d v="1899-12-30T15:00:00"/>
    <n v="6.25E-2"/>
    <x v="6"/>
    <n v="1.5"/>
  </r>
  <r>
    <x v="17"/>
    <d v="2025-08-21T00:00:00"/>
    <s v="الخميس "/>
    <x v="3"/>
    <s v="على الشحات  "/>
    <s v="الزيارة الشهرية لشركة الكريم شبكة الانزار "/>
    <s v="تم العمل"/>
    <d v="1899-12-30T13:30:00"/>
    <d v="1899-12-30T23:30:00"/>
    <n v="0.41666666666666663"/>
    <x v="6"/>
    <n v="10"/>
  </r>
  <r>
    <x v="17"/>
    <d v="2025-08-23T00:00:00"/>
    <s v="السبت "/>
    <x v="66"/>
    <s v="مصطفى سليم  "/>
    <s v="تركيبات "/>
    <s v="تم العمل"/>
    <d v="1899-12-30T12:00:00"/>
    <d v="1899-12-30T18:00:00"/>
    <n v="0.25"/>
    <x v="2"/>
    <n v="6"/>
  </r>
  <r>
    <x v="17"/>
    <d v="2025-08-23T00:00:00"/>
    <s v="السبت "/>
    <x v="0"/>
    <s v="مصطفى سليم  "/>
    <s v="تركيبات "/>
    <s v="تم العمل"/>
    <d v="1899-12-30T15:00:00"/>
    <d v="1899-12-30T18:00:00"/>
    <n v="0.125"/>
    <x v="2"/>
    <n v="3"/>
  </r>
  <r>
    <x v="17"/>
    <d v="2025-08-23T00:00:00"/>
    <s v="السبت "/>
    <x v="5"/>
    <s v="ياسر روبى  "/>
    <s v="اعمال تركيب انتر لك "/>
    <s v="تم العمل"/>
    <d v="1899-12-30T10:00:00"/>
    <d v="1899-12-30T16:00:00"/>
    <n v="0.24999999999999994"/>
    <x v="1"/>
    <n v="5.9999999999999982"/>
  </r>
  <r>
    <x v="17"/>
    <d v="2025-08-24T00:00:00"/>
    <s v="الاحد "/>
    <x v="13"/>
    <s v="ايمن محمد كامل   "/>
    <s v="لحام تسريب  تنك  للاحبار "/>
    <s v="تم العمل"/>
    <d v="1899-12-30T14:00:00"/>
    <d v="1899-12-30T17:00:00"/>
    <n v="0.125"/>
    <x v="0"/>
    <n v="3"/>
  </r>
  <r>
    <x v="17"/>
    <d v="2025-08-25T00:00:00"/>
    <s v="الاثنين "/>
    <x v="14"/>
    <s v="محمد عابد    "/>
    <s v="صيانة الاسانسير  "/>
    <s v="تم العمل"/>
    <d v="1899-12-30T11:00:00"/>
    <d v="1899-12-30T12:00:00"/>
    <n v="4.1666666666666685E-2"/>
    <x v="3"/>
    <n v="1.0000000000000004"/>
  </r>
  <r>
    <x v="17"/>
    <d v="2025-08-25T00:00:00"/>
    <s v="الاثنين "/>
    <x v="13"/>
    <s v="اسلام مصطفى  "/>
    <s v="صيانة ماكينة CTB"/>
    <s v="تم العمل"/>
    <d v="1899-12-30T13:00:00"/>
    <d v="1899-12-30T16:00:00"/>
    <n v="0.125"/>
    <x v="3"/>
    <n v="3"/>
  </r>
  <r>
    <x v="17"/>
    <d v="2025-08-25T00:00:00"/>
    <s v="الاثنين "/>
    <x v="0"/>
    <s v="عبد الفتاح خضير  "/>
    <s v="سقى بلاط المطبخ "/>
    <s v="تم العمل"/>
    <d v="1899-12-30T17:30:00"/>
    <d v="1899-12-30T22:00:00"/>
    <n v="0.1875"/>
    <x v="3"/>
    <n v="4.5"/>
  </r>
  <r>
    <x v="17"/>
    <d v="2025-08-25T00:00:00"/>
    <s v="الاثنين "/>
    <x v="13"/>
    <s v="محسن عبد الباسط  "/>
    <s v="لحام تسريب  تنك  للاحبار "/>
    <s v="تم العمل"/>
    <d v="1899-12-30T10:00:00"/>
    <d v="1899-12-30T17:00:00"/>
    <n v="0.29166666666666669"/>
    <x v="0"/>
    <n v="7"/>
  </r>
  <r>
    <x v="17"/>
    <d v="2025-08-25T00:00:00"/>
    <s v="الاثنين "/>
    <x v="7"/>
    <s v="كامل  جمعة    "/>
    <s v="الزيارة الشهرية لمكافحة القوارض والحشرات "/>
    <s v="تم العمل"/>
    <d v="1899-12-30T15:00:00"/>
    <d v="1899-12-30T17:00:00"/>
    <n v="8.333333333333337E-2"/>
    <x v="3"/>
    <n v="2.0000000000000009"/>
  </r>
  <r>
    <x v="17"/>
    <d v="2025-08-25T00:00:00"/>
    <s v="الاثنين "/>
    <x v="70"/>
    <s v="اجمد فتحى "/>
    <s v="صيانة الاساسنسير "/>
    <s v="تم العمل"/>
    <d v="1899-12-30T14:00:00"/>
    <d v="1899-12-30T14:30:00"/>
    <n v="2.0833333333333259E-2"/>
    <x v="6"/>
    <n v="0.49999999999999822"/>
  </r>
  <r>
    <x v="17"/>
    <d v="2025-08-26T00:00:00"/>
    <s v="الثلاثاء "/>
    <x v="5"/>
    <s v="محمود عويس  "/>
    <s v="صيانة تكييف ماكينة ATM "/>
    <s v="تم العمل"/>
    <d v="1899-12-30T13:00:00"/>
    <d v="1899-12-30T15:00:00"/>
    <n v="8.333333333333337E-2"/>
    <x v="3"/>
    <n v="2.0000000000000009"/>
  </r>
  <r>
    <x v="17"/>
    <d v="2025-08-26T00:00:00"/>
    <s v="الثلاثاء "/>
    <x v="13"/>
    <s v="محسن عبد الباسط  "/>
    <s v="لحام تسريب  تنك  للاحبار "/>
    <s v="تم العمل"/>
    <d v="1899-12-30T16:00:00"/>
    <d v="1899-12-30T17:00:00"/>
    <n v="4.1666666666666741E-2"/>
    <x v="0"/>
    <n v="1.0000000000000018"/>
  </r>
  <r>
    <x v="17"/>
    <d v="2025-08-31T00:00:00"/>
    <s v="الاحد "/>
    <x v="81"/>
    <s v="احمد حسين "/>
    <s v="صيانة سقف عنبر 2"/>
    <s v="تم العمل"/>
    <d v="1899-12-30T11:00:00"/>
    <d v="1899-12-30T15:30:00"/>
    <n v="0.18750000000000006"/>
    <x v="5"/>
    <n v="4.5000000000000018"/>
  </r>
  <r>
    <x v="17"/>
    <d v="2025-08-31T00:00:00"/>
    <s v="الاحد "/>
    <x v="82"/>
    <s v="محمود ابوشادي"/>
    <s v="دهان طرقة المسجد"/>
    <s v="تم العمل"/>
    <d v="1899-12-30T11:30:00"/>
    <d v="1899-12-30T16:00:00"/>
    <n v="0.18749999999999994"/>
    <x v="3"/>
    <n v="4.4999999999999982"/>
  </r>
  <r>
    <x v="17"/>
    <d v="2025-08-31T00:00:00"/>
    <s v="الاحد "/>
    <x v="83"/>
    <s v="محسن عبد الباسط  "/>
    <s v="لحام تسريب  تانك الاحبار"/>
    <s v="تم العمل"/>
    <d v="1899-12-30T16:00:00"/>
    <d v="1899-12-30T21:00:00"/>
    <n v="0.20833333333333337"/>
    <x v="0"/>
    <n v="5.0000000000000009"/>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r>
    <x v="18"/>
    <m/>
    <m/>
    <x v="84"/>
    <m/>
    <m/>
    <m/>
    <m/>
    <m/>
    <m/>
    <x v="7"/>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77">
  <r>
    <d v="2024-01-01T00:00:00"/>
    <d v="2024-01-01T00:00:00"/>
    <s v="الاثنين "/>
    <s v="شركة اوزوريون "/>
    <s v="محمد زقل  جاد "/>
    <s v="تركيب سيراميك حمامات "/>
    <s v="تم العمل"/>
    <d v="1899-12-30T10:30:00"/>
    <d v="1899-12-30T17:00:00"/>
    <n v="0.27083333333333337"/>
    <s v="المخزن القديم "/>
    <n v="6.5000000000000009"/>
    <m/>
    <m/>
    <x v="0"/>
    <n v="5"/>
    <m/>
    <n v="1"/>
    <m/>
    <m/>
    <s v="الجمعة "/>
    <s v="الزامل "/>
    <s v="مخزن الوزارة"/>
    <s v="محمد فؤاد خليل ابراهيم "/>
    <m/>
    <s v="تم العمل"/>
  </r>
  <r>
    <d v="2024-01-01T00:00:00"/>
    <d v="2024-01-01T00:00:00"/>
    <s v="الاثنين "/>
    <s v="بازان "/>
    <s v="محمود سعيد "/>
    <s v="تركيب خط الحريق  "/>
    <s v="تم العمل"/>
    <d v="1899-12-30T10:00:00"/>
    <d v="1899-12-30T16:00:00"/>
    <n v="0.24999999999999994"/>
    <s v="المخزن الجديد "/>
    <n v="5.9999999999999982"/>
    <m/>
    <m/>
    <x v="1"/>
    <n v="5"/>
    <m/>
    <n v="2"/>
    <m/>
    <m/>
    <s v="السبت "/>
    <s v="الشركة الالمانية "/>
    <s v="الفجالة"/>
    <s v="عبد العاطى سعيد عبد العاطى "/>
    <m/>
    <s v="رفض الأعمال"/>
  </r>
  <r>
    <d v="2024-01-01T00:00:00"/>
    <d v="2024-01-01T00:00:00"/>
    <s v="الاثنين "/>
    <s v="شركة اوزوريون "/>
    <s v="مراد صالح"/>
    <s v="اعمال بناء "/>
    <s v="تم العمل"/>
    <d v="1899-12-30T10:00:00"/>
    <d v="1899-12-30T17:00:00"/>
    <n v="0.29166666666666669"/>
    <s v="المخزن القديم "/>
    <n v="7"/>
    <m/>
    <m/>
    <x v="2"/>
    <n v="5"/>
    <m/>
    <n v="3"/>
    <m/>
    <m/>
    <s v="الاحد "/>
    <s v="الشؤون الادارية "/>
    <s v="البرج"/>
    <s v="على صلاح على حسين   "/>
    <m/>
    <m/>
  </r>
  <r>
    <d v="2024-01-01T00:00:00"/>
    <d v="2024-01-02T00:00:00"/>
    <s v="الثلاثاء "/>
    <s v="KUC  شركة "/>
    <s v="محمد رجب  "/>
    <s v="تركيبات  "/>
    <s v="تم العمل"/>
    <d v="1899-12-30T09:30:00"/>
    <d v="1899-12-30T18:00:00"/>
    <n v="0.35416666666666669"/>
    <s v="البرج"/>
    <n v="8.5"/>
    <m/>
    <m/>
    <x v="3"/>
    <n v="5"/>
    <m/>
    <n v="4"/>
    <m/>
    <m/>
    <s v="الاثنين "/>
    <s v="شركة اوزوريون "/>
    <s v="المطابع "/>
    <s v="علاء عنتر  محمد "/>
    <m/>
    <m/>
  </r>
  <r>
    <d v="2024-01-01T00:00:00"/>
    <d v="2024-01-02T00:00:00"/>
    <s v="الثلاثاء "/>
    <s v="الشركة المصرية "/>
    <s v="محمود ربيع  "/>
    <s v="تركيبات  "/>
    <s v="تم العمل"/>
    <d v="1899-12-30T10:00:00"/>
    <d v="1899-12-30T17:00:00"/>
    <n v="0.29166666666666669"/>
    <s v="البرج"/>
    <n v="7"/>
    <m/>
    <m/>
    <x v="3"/>
    <n v="5"/>
    <m/>
    <n v="5"/>
    <m/>
    <m/>
    <s v="الثلاثاء "/>
    <s v="داود تك "/>
    <s v="المخزن الجديد "/>
    <s v="احمد مرسى مرسى جبر "/>
    <m/>
    <m/>
  </r>
  <r>
    <d v="2024-01-01T00:00:00"/>
    <d v="2024-01-02T00:00:00"/>
    <s v="الثلاثاء "/>
    <s v="شركة اوزوريون "/>
    <s v="مراد صالح"/>
    <s v="نظافة العنبر "/>
    <s v="تم العمل"/>
    <d v="1899-12-30T09:00:00"/>
    <d v="1899-12-30T15:00:00"/>
    <n v="0.25"/>
    <s v="المخزن القديم "/>
    <n v="6"/>
    <m/>
    <m/>
    <x v="4"/>
    <n v="5"/>
    <m/>
    <m/>
    <m/>
    <m/>
    <s v="الاربعاء "/>
    <s v=" شركة الفتح "/>
    <s v="المخزن القديم "/>
    <s v="احمد محمود بكرى "/>
    <m/>
    <m/>
  </r>
  <r>
    <d v="2024-01-01T00:00:00"/>
    <d v="2024-01-02T00:00:00"/>
    <s v="الثلاثاء "/>
    <s v="بازان "/>
    <s v="سعداوى "/>
    <s v="تركيب كهرباء وعمل دهان "/>
    <s v="تم العمل"/>
    <d v="1899-12-30T10:00:00"/>
    <d v="1899-12-30T17:00:00"/>
    <n v="0.29166666666666669"/>
    <s v="المخزن الجديد "/>
    <n v="7"/>
    <m/>
    <m/>
    <x v="4"/>
    <n v="4"/>
    <s v="لم يتم غلق التصريح "/>
    <m/>
    <m/>
    <m/>
    <s v="الخميس "/>
    <s v="شركة اكوا تراست "/>
    <s v="دويتش "/>
    <s v="احمد سعد طلبة "/>
    <m/>
    <m/>
  </r>
  <r>
    <d v="2024-01-01T00:00:00"/>
    <d v="2024-01-02T00:00:00"/>
    <s v="الثلاثاء "/>
    <s v="شركة اوزوريون "/>
    <s v="محمد زقل  جاد "/>
    <s v="تركيب سيراميك حمامات "/>
    <s v="تم العمل"/>
    <d v="1899-12-30T12:30:00"/>
    <d v="1899-12-30T17:00:00"/>
    <n v="0.1875"/>
    <s v="المخزن القديم "/>
    <n v="4.5"/>
    <m/>
    <m/>
    <x v="0"/>
    <n v="5"/>
    <m/>
    <m/>
    <m/>
    <m/>
    <s v="الجمعة "/>
    <s v="فرانس ميتال "/>
    <m/>
    <s v="محمد محمود عبد العال "/>
    <m/>
    <m/>
  </r>
  <r>
    <d v="2024-01-01T00:00:00"/>
    <d v="2024-01-03T00:00:00"/>
    <s v="الاربعاء "/>
    <s v="شركة اوزوريون "/>
    <s v="مراد صالح"/>
    <s v="نظافة العنبر "/>
    <s v="تم العمل"/>
    <d v="1899-12-30T11:00:00"/>
    <d v="1899-12-30T16:00:00"/>
    <n v="0.20833333333333331"/>
    <s v="المخزن القديم "/>
    <n v="5"/>
    <m/>
    <m/>
    <x v="1"/>
    <n v="5"/>
    <m/>
    <m/>
    <m/>
    <m/>
    <m/>
    <s v="الشركة الوطنية "/>
    <m/>
    <s v="محمود مصطفى سيد "/>
    <m/>
    <m/>
  </r>
  <r>
    <d v="2024-01-01T00:00:00"/>
    <d v="2024-01-03T00:00:00"/>
    <s v="الاربعاء "/>
    <s v="شركة فودافون "/>
    <s v="محمد رجب "/>
    <s v="تركيبات  "/>
    <s v="تم العمل"/>
    <d v="1899-12-30T09:00:00"/>
    <d v="1899-12-30T18:00:00"/>
    <n v="0.375"/>
    <s v="البرج"/>
    <n v="9"/>
    <m/>
    <m/>
    <x v="3"/>
    <n v="5"/>
    <m/>
    <m/>
    <m/>
    <m/>
    <m/>
    <s v="ادارة المتابعة والمراقبة "/>
    <m/>
    <s v="محمد موسى اسماعيل  "/>
    <m/>
    <m/>
  </r>
  <r>
    <d v="2024-01-01T00:00:00"/>
    <d v="2024-01-03T00:00:00"/>
    <s v="الاربعاء "/>
    <s v="الشركة المصرية "/>
    <s v="محمود ربيع  "/>
    <s v="تركيبات  "/>
    <s v="تم العمل"/>
    <d v="1899-12-30T09:00:00"/>
    <d v="1899-12-30T18:00:00"/>
    <n v="0.375"/>
    <s v="البرج"/>
    <n v="9"/>
    <m/>
    <m/>
    <x v="3"/>
    <n v="5"/>
    <m/>
    <m/>
    <m/>
    <m/>
    <m/>
    <s v="ستار كول  للتبريد والتكيف "/>
    <m/>
    <s v="ادهم مصطفى عبد العليم "/>
    <m/>
    <m/>
  </r>
  <r>
    <d v="2024-01-01T00:00:00"/>
    <d v="2024-01-03T00:00:00"/>
    <s v="الاربعاء "/>
    <s v="بازان "/>
    <s v="محمود سعيد "/>
    <s v="تركيب الفاير "/>
    <s v="تم العمل"/>
    <d v="1899-12-30T10:00:00"/>
    <d v="1899-12-30T16:00:00"/>
    <n v="0.24999999999999994"/>
    <s v="المخزن الجديد "/>
    <n v="5.9999999999999982"/>
    <m/>
    <m/>
    <x v="1"/>
    <n v="5"/>
    <s v="لم يتم غلق التصريح "/>
    <m/>
    <m/>
    <m/>
    <m/>
    <s v="ترى تك لا نظمة التحكم والمراقبة "/>
    <m/>
    <s v="هانى لطفى الميلجي عبد الحميد"/>
    <m/>
    <m/>
  </r>
  <r>
    <d v="2024-01-01T00:00:00"/>
    <d v="2024-01-03T00:00:00"/>
    <s v="الاربعاء "/>
    <s v="الشؤون الادارية "/>
    <s v="محمد خليل النقيب "/>
    <s v="تركيب مروحة سقف فى مبيت الامن "/>
    <s v="تم العمل"/>
    <d v="1899-12-30T09:30:00"/>
    <d v="1899-12-30T12:00:00"/>
    <n v="0.10416666666666669"/>
    <s v="المخزن القديم "/>
    <n v="0.99999999999999911"/>
    <m/>
    <m/>
    <x v="0"/>
    <n v="5"/>
    <m/>
    <m/>
    <m/>
    <m/>
    <m/>
    <s v="لفت ايجبت "/>
    <m/>
    <s v="محمود عبد التواب  عبد الحميد"/>
    <m/>
    <m/>
  </r>
  <r>
    <d v="2024-01-01T00:00:00"/>
    <d v="2024-01-03T00:00:00"/>
    <s v="الاربعاء "/>
    <s v="شركة اوزوريون "/>
    <s v="محمد زقل  جاد "/>
    <s v="تركيب سيراميك حمامات "/>
    <s v="تم العمل"/>
    <d v="1899-12-30T10:00:00"/>
    <d v="1899-12-30T17:00:00"/>
    <n v="0.29166666666666669"/>
    <s v="المخزن القديم "/>
    <n v="7"/>
    <m/>
    <m/>
    <x v="0"/>
    <n v="4"/>
    <s v="لم يتم غلق التصريح "/>
    <m/>
    <m/>
    <m/>
    <m/>
    <s v="شركة جلوب ويل "/>
    <m/>
    <s v=" كريم مجدى "/>
    <m/>
    <m/>
  </r>
  <r>
    <d v="2024-01-01T00:00:00"/>
    <d v="2024-01-04T00:00:00"/>
    <s v="الخميس "/>
    <s v="القطاع الهندسى "/>
    <s v="صابر ابراهيم"/>
    <s v="اعمال لحام "/>
    <s v="تم العمل"/>
    <d v="1899-12-30T11:00:00"/>
    <d v="1899-12-30T13:00:00"/>
    <n v="8.3333333333333315E-2"/>
    <s v="المطابع "/>
    <n v="1.9999999999999996"/>
    <m/>
    <m/>
    <x v="4"/>
    <n v="5"/>
    <m/>
    <m/>
    <m/>
    <m/>
    <m/>
    <s v="شركة الفرج"/>
    <m/>
    <s v="محمد السيد عبد التواب "/>
    <m/>
    <m/>
  </r>
  <r>
    <d v="2024-01-01T00:00:00"/>
    <d v="2024-01-04T00:00:00"/>
    <s v="الخميس "/>
    <s v="الشركة الالمانية "/>
    <s v="زياد "/>
    <s v="الزيارة الشهرية ومكافحة حشرات "/>
    <s v="تم العمل"/>
    <d v="1899-12-30T11:00:00"/>
    <d v="1899-12-30T16:00:00"/>
    <n v="0.20833333333333331"/>
    <s v="المطابع "/>
    <n v="5"/>
    <m/>
    <m/>
    <x v="2"/>
    <n v="4"/>
    <s v="لم يتم غلق التصريح "/>
    <m/>
    <m/>
    <m/>
    <m/>
    <s v="شركة فودافون "/>
    <m/>
    <m/>
    <m/>
    <m/>
  </r>
  <r>
    <d v="2024-01-01T00:00:00"/>
    <d v="2024-01-04T00:00:00"/>
    <s v="الخميس "/>
    <s v="شركة الكريم "/>
    <s v="    ممدوح عبد التواب     "/>
    <s v=" الزيارة الشهرية والمرور على لوح انزار غرف الكهرباء "/>
    <s v="تم العمل"/>
    <d v="1899-12-30T10:30:00"/>
    <d v="1899-12-30T14:00:00"/>
    <n v="0.14583333333333337"/>
    <s v="المطابع "/>
    <n v="3.5000000000000009"/>
    <m/>
    <m/>
    <x v="5"/>
    <n v="5"/>
    <m/>
    <m/>
    <m/>
    <m/>
    <m/>
    <s v="شركة المتحدة للمصاعد "/>
    <m/>
    <m/>
    <m/>
    <m/>
  </r>
  <r>
    <d v="2024-01-01T00:00:00"/>
    <d v="2024-01-04T00:00:00"/>
    <s v="الخميس "/>
    <s v="بازان "/>
    <s v="محمود سعيد "/>
    <s v="سعداوى رياض "/>
    <s v="تم العمل"/>
    <d v="1899-12-30T10:00:00"/>
    <d v="1899-12-30T16:30:00"/>
    <n v="0.27083333333333331"/>
    <s v="المخزن الجديد "/>
    <n v="6.5"/>
    <m/>
    <m/>
    <x v="1"/>
    <n v="4"/>
    <s v="لم يتم غلق التصريح "/>
    <m/>
    <m/>
    <m/>
    <m/>
    <s v="ادارة المتابعة والمراقبة "/>
    <m/>
    <m/>
    <m/>
    <m/>
  </r>
  <r>
    <d v="2024-01-01T00:00:00"/>
    <d v="2024-01-04T00:00:00"/>
    <s v="الخميس "/>
    <s v="شركة اوزوريون "/>
    <s v="محمد زقل  جاد "/>
    <s v="تركيب كهرباء المبنى الادارى "/>
    <s v="تم العمل"/>
    <d v="1899-12-30T10:00:00"/>
    <d v="1899-12-30T17:00:00"/>
    <n v="0.29166666666666669"/>
    <s v="المخزن القديم "/>
    <n v="7"/>
    <m/>
    <m/>
    <x v="0"/>
    <n v="5"/>
    <m/>
    <m/>
    <m/>
    <m/>
    <m/>
    <s v="شركة الامل للالمونتال"/>
    <m/>
    <m/>
    <m/>
    <m/>
  </r>
  <r>
    <d v="2024-01-01T00:00:00"/>
    <d v="2024-01-04T00:00:00"/>
    <s v="الخميس "/>
    <s v="شركة اوزوريون "/>
    <s v="محمد زقل  جاد "/>
    <s v="تركيب سيراميك الحمامات "/>
    <s v="تم العمل"/>
    <d v="1899-12-30T10:30:00"/>
    <d v="1899-12-30T17:00:00"/>
    <n v="0.29166666666666669"/>
    <s v="المخزن القديم "/>
    <n v="7"/>
    <m/>
    <m/>
    <x v="0"/>
    <n v="5"/>
    <m/>
    <m/>
    <m/>
    <m/>
    <m/>
    <s v="شركة الايمان "/>
    <m/>
    <m/>
    <m/>
    <m/>
  </r>
  <r>
    <d v="2024-01-01T00:00:00"/>
    <d v="2024-01-05T00:00:00"/>
    <s v="الجمعة "/>
    <s v="بازان "/>
    <s v="سعداوى  رياض "/>
    <s v="تجميع وتركيب تريهات الكهرباء "/>
    <s v="تم العمل"/>
    <d v="1899-12-30T10:00:00"/>
    <d v="1899-12-30T17:30:00"/>
    <n v="0.31249999999999994"/>
    <s v="المخزن الجديد "/>
    <n v="7.4999999999999982"/>
    <m/>
    <m/>
    <x v="0"/>
    <n v="5"/>
    <m/>
    <m/>
    <m/>
    <m/>
    <m/>
    <s v="شركة نات جاز "/>
    <m/>
    <m/>
    <m/>
    <m/>
  </r>
  <r>
    <d v="2024-01-01T00:00:00"/>
    <d v="2024-01-06T00:00:00"/>
    <s v="السبت "/>
    <s v="شركة اوزوريون "/>
    <s v="مراد صالح  "/>
    <s v="تركيب سيراميك مكتب د/ احمد "/>
    <s v="تم العمل"/>
    <d v="1899-12-30T11:30:00"/>
    <d v="1899-12-30T17:00:00"/>
    <n v="0.22916666666666669"/>
    <s v="المخزن القديم "/>
    <n v="5.5"/>
    <m/>
    <m/>
    <x v="0"/>
    <n v="5"/>
    <m/>
    <m/>
    <m/>
    <m/>
    <m/>
    <s v="شركة نيو بيلنتج"/>
    <m/>
    <m/>
    <m/>
    <m/>
  </r>
  <r>
    <d v="2024-01-01T00:00:00"/>
    <d v="2024-01-06T00:00:00"/>
    <s v="السبت "/>
    <s v="بازان "/>
    <s v="سعداوى  رياض "/>
    <s v="تجميع وتركيب تريهات الكهرباء "/>
    <s v="تم العمل"/>
    <d v="1899-12-30T10:00:00"/>
    <d v="1899-12-30T16:00:00"/>
    <n v="0.24999999999999994"/>
    <s v="المخزن الجديد "/>
    <n v="5.9999999999999982"/>
    <m/>
    <m/>
    <x v="6"/>
    <n v="5"/>
    <m/>
    <m/>
    <m/>
    <m/>
    <m/>
    <s v="شركة المصرية المتحدة "/>
    <m/>
    <m/>
    <m/>
    <m/>
  </r>
  <r>
    <d v="2024-01-01T00:00:00"/>
    <d v="2024-01-06T00:00:00"/>
    <s v="السبت "/>
    <s v="بازان "/>
    <s v="سعداوى  رياض "/>
    <s v="تركيب شبكة الحريق "/>
    <s v="تم العمل"/>
    <d v="1899-12-30T09:30:00"/>
    <d v="1899-12-30T16:00:00"/>
    <n v="0.27083333333333331"/>
    <s v="المخزن الجديد "/>
    <n v="6.5"/>
    <m/>
    <m/>
    <x v="6"/>
    <n v="5"/>
    <m/>
    <m/>
    <m/>
    <m/>
    <m/>
    <s v="شركة الهدى "/>
    <m/>
    <m/>
    <m/>
    <m/>
  </r>
  <r>
    <d v="2024-01-01T00:00:00"/>
    <d v="2024-01-06T00:00:00"/>
    <s v="السبت "/>
    <s v="لفت ايجبت "/>
    <s v="سامى شعبان  "/>
    <s v="تركيب عفشة لكلارك 29 "/>
    <s v="تم العمل"/>
    <d v="1899-12-30T10:00:00"/>
    <d v="1899-12-30T14:00:00"/>
    <n v="0.16666666666666669"/>
    <s v="المخزن القديم "/>
    <n v="4"/>
    <m/>
    <m/>
    <x v="7"/>
    <n v="5"/>
    <m/>
    <m/>
    <m/>
    <m/>
    <m/>
    <s v="شركة فاكتو "/>
    <m/>
    <m/>
    <m/>
    <m/>
  </r>
  <r>
    <d v="2024-01-01T00:00:00"/>
    <d v="2024-01-07T00:00:00"/>
    <s v="الاحد "/>
    <s v="الشركة الالمانية "/>
    <s v="محمد ماهر "/>
    <s v="مكافحة حشرات "/>
    <s v="تم العمل"/>
    <d v="1899-12-30T10:00:00"/>
    <d v="1899-12-30T14:00:00"/>
    <n v="0.16666666666666669"/>
    <s v="المطابع "/>
    <n v="4"/>
    <m/>
    <m/>
    <x v="3"/>
    <n v="5"/>
    <m/>
    <m/>
    <m/>
    <m/>
    <m/>
    <s v="الشركة الهندسية"/>
    <m/>
    <m/>
    <m/>
    <m/>
  </r>
  <r>
    <d v="2024-01-01T00:00:00"/>
    <d v="2024-01-07T00:00:00"/>
    <s v="الاحد "/>
    <s v="القطاع الهندسى "/>
    <s v="صابر ابراهيم"/>
    <s v="اعمال لحام "/>
    <s v="تم العمل"/>
    <d v="1899-12-30T09:30:00"/>
    <d v="1899-12-30T11:00:00"/>
    <n v="6.25E-2"/>
    <s v="المطابع "/>
    <n v="1.5"/>
    <m/>
    <m/>
    <x v="3"/>
    <n v="5"/>
    <m/>
    <m/>
    <m/>
    <m/>
    <m/>
    <s v="الورشة الهندسية "/>
    <m/>
    <m/>
    <m/>
    <m/>
  </r>
  <r>
    <d v="2024-01-01T00:00:00"/>
    <d v="2024-01-07T00:00:00"/>
    <s v="الاحد "/>
    <s v="الشؤون الادارية "/>
    <s v="ياسر روبى  "/>
    <s v=" تركيب سيراميك غرفة شؤون الطلبة  الاكادمية "/>
    <s v="تم العمل"/>
    <d v="1899-12-30T12:00:00"/>
    <d v="1899-12-30T17:00:00"/>
    <n v="0.20833333333333337"/>
    <s v="المطابع "/>
    <n v="0.99999999999999911"/>
    <m/>
    <m/>
    <x v="3"/>
    <n v="5"/>
    <m/>
    <m/>
    <m/>
    <m/>
    <m/>
    <s v="الشركة المصرية للعمارة الحديثة "/>
    <m/>
    <m/>
    <m/>
    <m/>
  </r>
  <r>
    <d v="2024-01-01T00:00:00"/>
    <d v="2024-01-07T00:00:00"/>
    <s v="الاحد "/>
    <s v="بازان "/>
    <s v="احمد على فؤاد "/>
    <s v="تجميع وتركيب تريهات الكهرباء "/>
    <s v="تم العمل"/>
    <d v="1899-12-30T10:00:00"/>
    <d v="1899-12-30T17:30:00"/>
    <n v="0.31249999999999994"/>
    <s v="المخزن الجديد "/>
    <n v="7.4999999999999982"/>
    <m/>
    <m/>
    <x v="5"/>
    <n v="5"/>
    <m/>
    <m/>
    <m/>
    <m/>
    <m/>
    <s v="الورشة الفنية لتشغيلات المعدنية "/>
    <m/>
    <m/>
    <m/>
    <m/>
  </r>
  <r>
    <d v="2024-01-01T00:00:00"/>
    <d v="2024-01-07T00:00:00"/>
    <s v="الاحد "/>
    <s v="شركة الفرج"/>
    <s v="فرج محمد "/>
    <s v="فك الفراشة الموجودة فى الشوارع الخارجية "/>
    <s v="تم العمل"/>
    <d v="1899-12-30T10:00:00"/>
    <d v="1899-12-30T17:00:00"/>
    <n v="0.27079999999999999"/>
    <s v="المخزن القديم "/>
    <n v="6.5"/>
    <m/>
    <m/>
    <x v="0"/>
    <n v="5"/>
    <m/>
    <m/>
    <m/>
    <m/>
    <m/>
    <s v="شركة اوزوريون "/>
    <m/>
    <m/>
    <m/>
    <m/>
  </r>
  <r>
    <d v="2024-01-01T00:00:00"/>
    <d v="2024-01-07T00:00:00"/>
    <s v="الاحد "/>
    <s v="الشؤون الادارية "/>
    <s v="مصطفى محمود "/>
    <s v="دهان تندة خزانات المياه والطلمبة الاحتياطى  "/>
    <s v="تم العمل"/>
    <d v="1899-12-30T15:00:00"/>
    <d v="1899-12-30T16:00:00"/>
    <n v="4.166666666666663E-2"/>
    <s v="المخزن القديم "/>
    <n v="0.99999999999999911"/>
    <m/>
    <m/>
    <x v="0"/>
    <n v="4"/>
    <s v="ناقص  تويقعات  "/>
    <m/>
    <m/>
    <m/>
    <m/>
    <s v="شركة الدروى "/>
    <m/>
    <m/>
    <m/>
    <m/>
  </r>
  <r>
    <d v="2024-01-01T00:00:00"/>
    <d v="2024-01-08T00:00:00"/>
    <s v="الاثنين "/>
    <s v="بازان "/>
    <s v="صفوت شفيق "/>
    <s v="تجميع وتركيب تريهات الكهرباء "/>
    <s v="تم العمل"/>
    <d v="1899-12-30T09:30:00"/>
    <d v="1899-12-30T17:00:00"/>
    <n v="0.31250000000000006"/>
    <s v="المخزن الجديد "/>
    <n v="7.5000000000000018"/>
    <m/>
    <m/>
    <x v="5"/>
    <n v="5"/>
    <m/>
    <m/>
    <m/>
    <m/>
    <m/>
    <s v="شركة اشتيكس "/>
    <m/>
    <m/>
    <m/>
    <m/>
  </r>
  <r>
    <d v="2024-01-01T00:00:00"/>
    <d v="2024-01-08T00:00:00"/>
    <s v="الاثنين "/>
    <s v="شركة الفرج"/>
    <s v="فرج محمد "/>
    <s v="فك الفراشة الموجودة فى الشوارع الخارجية "/>
    <s v="تم العمل"/>
    <d v="1899-12-30T10:30:00"/>
    <d v="1899-12-30T17:00:00"/>
    <n v="0.27079999999999999"/>
    <s v="المخزن القديم "/>
    <n v="6.5"/>
    <m/>
    <m/>
    <x v="0"/>
    <n v="5"/>
    <m/>
    <m/>
    <m/>
    <m/>
    <m/>
    <s v="الشركة المتحدة "/>
    <m/>
    <m/>
    <m/>
    <m/>
  </r>
  <r>
    <d v="2024-01-01T00:00:00"/>
    <d v="2024-01-08T00:00:00"/>
    <s v="الاثنين "/>
    <s v="شركة اوزوريون "/>
    <s v="محمد زقل  جاد "/>
    <s v="تركيب كهرباء المبنى الادارى "/>
    <s v="تم العمل"/>
    <d v="1899-12-30T10:00:00"/>
    <d v="1899-12-30T17:00:00"/>
    <n v="0.29166666666666669"/>
    <s v="المخزن القديم "/>
    <n v="7"/>
    <m/>
    <m/>
    <x v="0"/>
    <n v="5"/>
    <m/>
    <m/>
    <m/>
    <m/>
    <m/>
    <s v="الورشة الهندسية للخراطة"/>
    <m/>
    <m/>
    <m/>
    <m/>
  </r>
  <r>
    <d v="2024-01-01T00:00:00"/>
    <d v="2024-01-08T00:00:00"/>
    <s v="الاثنين "/>
    <s v="القطاع الهندسى "/>
    <s v="صابر ابراهيم"/>
    <s v="لحام باب الامن  وباب عنبر رقم د"/>
    <s v="تم العمل"/>
    <d v="1899-12-30T12:00:00"/>
    <d v="1899-12-30T17:00:00"/>
    <n v="0.20833333333333337"/>
    <s v="المطابع "/>
    <n v="5.0000000000000009"/>
    <m/>
    <m/>
    <x v="0"/>
    <n v="5"/>
    <m/>
    <m/>
    <m/>
    <m/>
    <m/>
    <s v="شركة فودافون "/>
    <m/>
    <m/>
    <m/>
    <m/>
  </r>
  <r>
    <d v="2024-01-01T00:00:00"/>
    <d v="2024-01-08T00:00:00"/>
    <s v="الاثنين "/>
    <s v="الشركة الوطنية "/>
    <s v="محمد رمضان   "/>
    <s v="تركيب عفشة لكلارك 29 "/>
    <s v="تم العمل"/>
    <d v="1899-12-30T10:00:00"/>
    <d v="1899-12-30T14:00:00"/>
    <n v="0.16666666666666669"/>
    <s v="المطابع "/>
    <n v="4"/>
    <m/>
    <m/>
    <x v="6"/>
    <n v="5"/>
    <m/>
    <m/>
    <m/>
    <m/>
    <m/>
    <s v="الشركة المصرية "/>
    <m/>
    <m/>
    <m/>
    <m/>
  </r>
  <r>
    <d v="2024-01-01T00:00:00"/>
    <d v="2024-01-08T00:00:00"/>
    <s v="الاثنين "/>
    <s v="شركة اوزوريون "/>
    <s v="محمود ربيع  "/>
    <s v="تركيبات  "/>
    <s v="تم العمل"/>
    <d v="1899-12-30T09:30:00"/>
    <d v="1899-12-30T18:00:00"/>
    <n v="0.35416666666666669"/>
    <s v="البرج"/>
    <n v="8.5"/>
    <m/>
    <m/>
    <x v="3"/>
    <n v="5"/>
    <m/>
    <m/>
    <m/>
    <m/>
    <m/>
    <s v="شركة انت فاير "/>
    <m/>
    <m/>
    <m/>
    <m/>
  </r>
  <r>
    <d v="2024-01-01T00:00:00"/>
    <d v="2024-01-09T00:00:00"/>
    <s v="الثلاثاء "/>
    <s v="الشركة الوطنية "/>
    <s v="محمد رمضان   "/>
    <s v="صيانة الكلاركات "/>
    <s v="تم العمل"/>
    <d v="1899-12-30T10:00:00"/>
    <d v="1899-12-30T16:00:00"/>
    <n v="0.24999999999999994"/>
    <s v="المطابع "/>
    <n v="5.9999999999999982"/>
    <m/>
    <m/>
    <x v="6"/>
    <n v="5"/>
    <m/>
    <m/>
    <m/>
    <m/>
    <m/>
    <s v="شركة جيلا  "/>
    <m/>
    <m/>
    <m/>
    <m/>
  </r>
  <r>
    <d v="2024-01-01T00:00:00"/>
    <d v="2024-01-09T00:00:00"/>
    <s v="الثلاثاء "/>
    <s v="بازان "/>
    <s v="صفوت شفيق "/>
    <s v="تجميع وتركيب تريهات الكهرباء "/>
    <s v="تم العمل"/>
    <d v="1899-12-30T09:30:00"/>
    <d v="1899-12-30T12:30:00"/>
    <n v="0.12500000000000006"/>
    <s v="المخزن الجديد "/>
    <n v="3.0000000000000013"/>
    <m/>
    <m/>
    <x v="5"/>
    <n v="5"/>
    <m/>
    <m/>
    <m/>
    <m/>
    <m/>
    <s v="الشركة العالمية لاعمال الهندسية  "/>
    <m/>
    <m/>
    <m/>
    <m/>
  </r>
  <r>
    <d v="2024-01-01T00:00:00"/>
    <d v="2024-01-09T00:00:00"/>
    <s v="الثلاثاء "/>
    <s v="شركة الفرج"/>
    <s v="فرج محمد "/>
    <s v="فك الفراشة الموجودة فى الشوارع الخارجية "/>
    <s v="تم العمل"/>
    <d v="1899-12-30T10:00:00"/>
    <d v="1899-12-30T17:00:00"/>
    <n v="0.27079999999999999"/>
    <s v="المخزن القديم "/>
    <n v="6.5"/>
    <m/>
    <m/>
    <x v="0"/>
    <n v="5"/>
    <m/>
    <m/>
    <m/>
    <m/>
    <m/>
    <s v="شركة ابداع "/>
    <m/>
    <m/>
    <m/>
    <m/>
  </r>
  <r>
    <d v="2024-01-01T00:00:00"/>
    <d v="2024-01-09T00:00:00"/>
    <s v="الثلاثاء "/>
    <s v="شركة اوزوريون "/>
    <s v="مراد صالح  "/>
    <s v="استكمال تركيب كهرباء المبنى الادارى "/>
    <s v="تم العمل"/>
    <d v="1899-12-30T11:00:00"/>
    <d v="1899-12-30T17:00:00"/>
    <n v="0.27079999999999999"/>
    <s v="المطابع "/>
    <n v="6.5"/>
    <m/>
    <m/>
    <x v="0"/>
    <n v="5"/>
    <m/>
    <m/>
    <m/>
    <m/>
    <m/>
    <s v="الهندسية لضواغط الهواء "/>
    <m/>
    <m/>
    <m/>
    <m/>
  </r>
  <r>
    <d v="2024-01-01T00:00:00"/>
    <d v="2024-01-09T00:00:00"/>
    <s v="الثلاثاء "/>
    <s v="شركة اوزوريون "/>
    <s v="مراد صالح  "/>
    <s v="استكمال اعمال السباكة المبنى الادارى "/>
    <s v="تم العمل"/>
    <d v="1899-12-30T11:00:00"/>
    <d v="1899-12-30T17:00:00"/>
    <n v="0.27079999999999999"/>
    <s v="المخزن القديم "/>
    <n v="6.5"/>
    <m/>
    <m/>
    <x v="0"/>
    <n v="5"/>
    <m/>
    <m/>
    <m/>
    <m/>
    <m/>
    <s v="ماجيك تاتش "/>
    <m/>
    <m/>
    <m/>
    <m/>
  </r>
  <r>
    <d v="2024-01-01T00:00:00"/>
    <d v="2024-01-09T00:00:00"/>
    <s v="الثلاثاء "/>
    <s v="شركة الامل للالمونتال"/>
    <s v="رامى "/>
    <s v="تركيب شباك المونتال فى حمام الادارى "/>
    <s v="تم العمل"/>
    <d v="1899-12-30T16:30:00"/>
    <d v="1899-12-30T17:00:00"/>
    <n v="0.27079999999999999"/>
    <s v="المخزن القديم "/>
    <n v="6.5"/>
    <m/>
    <m/>
    <x v="0"/>
    <n v="5"/>
    <m/>
    <m/>
    <m/>
    <m/>
    <m/>
    <s v="ادارة المخازن "/>
    <m/>
    <m/>
    <m/>
    <m/>
  </r>
  <r>
    <d v="2024-01-01T00:00:00"/>
    <d v="2024-01-10T00:00:00"/>
    <s v="الاربعاء "/>
    <s v="شركة اوزوريون "/>
    <s v="عمرو الجندى "/>
    <s v="انشائات  "/>
    <s v="تم العمل"/>
    <d v="1899-12-30T09:00:00"/>
    <d v="1899-12-30T18:00:00"/>
    <n v="0.375"/>
    <s v="البرج"/>
    <n v="9"/>
    <m/>
    <m/>
    <x v="3"/>
    <n v="5"/>
    <m/>
    <m/>
    <m/>
    <m/>
    <m/>
    <s v="شركة هيدروليك ميكانيك "/>
    <m/>
    <m/>
    <m/>
    <m/>
  </r>
  <r>
    <d v="2024-01-01T00:00:00"/>
    <d v="2024-01-10T00:00:00"/>
    <s v="الاربعاء "/>
    <s v="الشركة الالمانية "/>
    <s v="محمد ماهر "/>
    <s v="الزيارة الشهرية و مكافحة حشرات "/>
    <s v="تم العمل"/>
    <d v="1899-12-30T11:00:00"/>
    <d v="1899-12-30T12:30:00"/>
    <n v="6.2500000000000056E-2"/>
    <s v="المخزن الجديد "/>
    <n v="1.5000000000000013"/>
    <m/>
    <m/>
    <x v="0"/>
    <n v="5"/>
    <m/>
    <m/>
    <m/>
    <m/>
    <m/>
    <s v="شركة الامل "/>
    <m/>
    <m/>
    <m/>
    <m/>
  </r>
  <r>
    <d v="2024-01-01T00:00:00"/>
    <d v="2024-01-10T00:00:00"/>
    <s v="الاربعاء "/>
    <s v="شركة اوزوريون "/>
    <s v="عمرو الجندى "/>
    <s v="انشائات  "/>
    <s v="تم العمل"/>
    <d v="1899-12-30T09:00:00"/>
    <d v="1899-12-30T15:30:00"/>
    <n v="0.27083333333333337"/>
    <s v="البرج"/>
    <n v="6.5000000000000009"/>
    <m/>
    <m/>
    <x v="3"/>
    <n v="5"/>
    <m/>
    <m/>
    <m/>
    <m/>
    <m/>
    <s v="شركة سكوير "/>
    <m/>
    <m/>
    <m/>
    <m/>
  </r>
  <r>
    <d v="2024-01-01T00:00:00"/>
    <d v="2024-01-10T00:00:00"/>
    <s v="الاربعاء "/>
    <s v="الشؤون الادارية "/>
    <s v="مصطفى  احمد "/>
    <s v="تغير السقف المعلق بالاكادمية    "/>
    <s v="تم العمل"/>
    <d v="1899-12-30T10:00:00"/>
    <d v="1899-12-30T17:00:00"/>
    <n v="0.29166666666666669"/>
    <s v="المطابع "/>
    <n v="0.99999999999999911"/>
    <m/>
    <m/>
    <x v="6"/>
    <n v="5"/>
    <m/>
    <m/>
    <m/>
    <m/>
    <m/>
    <s v="شركة اتصلات "/>
    <m/>
    <m/>
    <m/>
    <m/>
  </r>
  <r>
    <d v="2024-01-01T00:00:00"/>
    <d v="2024-01-10T00:00:00"/>
    <s v="الاربعاء "/>
    <s v="شركة اوزوريون "/>
    <s v="احمد عامر "/>
    <s v="انشائات  "/>
    <s v="تم العمل"/>
    <d v="1899-12-30T09:00:00"/>
    <d v="1899-12-30T18:00:00"/>
    <n v="0.375"/>
    <s v="المطابع "/>
    <n v="9"/>
    <m/>
    <m/>
    <x v="3"/>
    <n v="5"/>
    <m/>
    <m/>
    <m/>
    <m/>
    <m/>
    <s v="KUC  شركة "/>
    <m/>
    <m/>
    <m/>
    <m/>
  </r>
  <r>
    <d v="2024-01-01T00:00:00"/>
    <d v="2024-01-10T00:00:00"/>
    <s v="الاربعاء "/>
    <s v="الشركة الالمانية "/>
    <s v="محمد ماهر "/>
    <s v="الزيارة الشهرية ومكافحة حشرات "/>
    <s v="تم العمل"/>
    <d v="1899-12-30T14:00:00"/>
    <d v="1899-12-30T15:00:00"/>
    <n v="4.166666666666663E-2"/>
    <s v="المخزن القديم "/>
    <n v="0.99999999999999911"/>
    <m/>
    <m/>
    <x v="0"/>
    <n v="5"/>
    <m/>
    <m/>
    <m/>
    <m/>
    <m/>
    <s v="شركة شلاندر "/>
    <m/>
    <m/>
    <m/>
    <m/>
  </r>
  <r>
    <d v="2024-01-01T00:00:00"/>
    <d v="2024-01-10T00:00:00"/>
    <s v="الاربعاء "/>
    <s v="الشؤون الادارية "/>
    <s v="محمد جابر "/>
    <s v="تركيب  شفاط الكهرباء فى غرفة تغيير الملابس   "/>
    <s v="تم العمل"/>
    <d v="1899-12-30T11:00:00"/>
    <d v="1899-12-30T17:00:00"/>
    <n v="0.25000000000000006"/>
    <s v="المطابع "/>
    <n v="0.99999999999999911"/>
    <m/>
    <m/>
    <x v="0"/>
    <n v="5"/>
    <m/>
    <m/>
    <m/>
    <m/>
    <m/>
    <s v="ماستر برنت "/>
    <m/>
    <m/>
    <m/>
    <m/>
  </r>
  <r>
    <d v="2024-01-01T00:00:00"/>
    <d v="2024-01-10T00:00:00"/>
    <s v="الاربعاء "/>
    <s v="بازان "/>
    <s v="صفوت شفيق "/>
    <s v="تجميع وتركيب تريهات الكهرباء "/>
    <s v="تم العمل"/>
    <d v="1899-12-30T09:30:00"/>
    <d v="1899-12-30T11:30:00"/>
    <n v="8.333333333333337E-2"/>
    <s v="المخزن الجديد "/>
    <n v="2.0000000000000009"/>
    <m/>
    <m/>
    <x v="5"/>
    <n v="5"/>
    <m/>
    <m/>
    <m/>
    <m/>
    <m/>
    <s v="القطاع الهندسى "/>
    <m/>
    <m/>
    <m/>
    <m/>
  </r>
  <r>
    <d v="2024-01-01T00:00:00"/>
    <d v="2024-01-10T00:00:00"/>
    <s v="الاربعاء "/>
    <s v="القطاع الهندسى "/>
    <s v="صابر ابراهيم "/>
    <s v="عمل تقوية لحوامل خط الحريق "/>
    <s v="تم العمل"/>
    <d v="1899-12-30T11:30:00"/>
    <d v="1899-12-30T16:30:00"/>
    <n v="0.20833333333333331"/>
    <s v="المخزن الجديد "/>
    <n v="5"/>
    <m/>
    <m/>
    <x v="5"/>
    <n v="5"/>
    <m/>
    <m/>
    <m/>
    <m/>
    <m/>
    <s v="شركة الكريم "/>
    <m/>
    <m/>
    <m/>
    <m/>
  </r>
  <r>
    <d v="2024-01-01T00:00:00"/>
    <d v="2024-01-10T00:00:00"/>
    <s v="الاربعاء "/>
    <s v="الشركة الالمانية "/>
    <s v="محمد ماهر "/>
    <s v="الزيارة الشهرية ومكافحة حشرات "/>
    <s v="تم العمل"/>
    <d v="1899-12-30T11:00:00"/>
    <d v="1899-12-30T12:30:00"/>
    <n v="6.2500000000000056E-2"/>
    <s v="مخزن الوزارة"/>
    <n v="1.5000000000000013"/>
    <m/>
    <m/>
    <x v="5"/>
    <n v="5"/>
    <m/>
    <m/>
    <m/>
    <m/>
    <m/>
    <s v="بازان "/>
    <m/>
    <m/>
    <m/>
    <m/>
  </r>
  <r>
    <d v="2024-01-01T00:00:00"/>
    <d v="2024-01-10T00:00:00"/>
    <s v="الاربعاء "/>
    <s v="شركة الفرج"/>
    <s v="فرج محمد "/>
    <s v="فك الفراشة الموجودة فى الشوارع الخارجية "/>
    <s v="تم العمل"/>
    <d v="1899-12-30T10:00:00"/>
    <d v="1899-12-30T17:00:00"/>
    <n v="0.27079999999999999"/>
    <s v="المخزن القديم "/>
    <n v="6.5"/>
    <m/>
    <m/>
    <x v="0"/>
    <n v="5"/>
    <m/>
    <m/>
    <m/>
    <m/>
    <m/>
    <s v="المصرية للاسكان "/>
    <m/>
    <m/>
    <m/>
    <m/>
  </r>
  <r>
    <d v="2024-01-01T00:00:00"/>
    <d v="2024-01-11T00:00:00"/>
    <s v="الخميس "/>
    <s v="شركة الفرج"/>
    <s v="فرج محمد "/>
    <s v="فك الفراشة الموجودة فى الشوارع الخارجية "/>
    <s v="تم العمل"/>
    <d v="1899-12-30T09:30:00"/>
    <d v="1899-12-30T17:00:00"/>
    <n v="0.27079999999999999"/>
    <s v="المخزن القديم "/>
    <n v="6.5"/>
    <m/>
    <m/>
    <x v="0"/>
    <n v="4"/>
    <s v="ناقص  توقيعات "/>
    <m/>
    <m/>
    <m/>
    <m/>
    <s v="مالك المخزن "/>
    <m/>
    <m/>
    <m/>
    <m/>
  </r>
  <r>
    <d v="2024-01-01T00:00:00"/>
    <d v="2024-01-11T00:00:00"/>
    <s v="الخميس "/>
    <s v="شركة اوزوريون "/>
    <s v="محمد زقل  جاد "/>
    <s v="عمل نجارة ابواب الخشب  فى المبنى الادارى "/>
    <s v="تم العمل"/>
    <d v="1899-12-30T11:00:00"/>
    <d v="1899-12-30T17:00:00"/>
    <n v="0.25000000000000006"/>
    <s v="المخزن القديم "/>
    <n v="6.0000000000000018"/>
    <m/>
    <m/>
    <x v="0"/>
    <n v="5"/>
    <m/>
    <m/>
    <m/>
    <m/>
    <m/>
    <s v="شركة الدلتا "/>
    <m/>
    <m/>
    <m/>
    <m/>
  </r>
  <r>
    <d v="2024-01-01T00:00:00"/>
    <d v="2024-01-11T00:00:00"/>
    <s v="الخميس "/>
    <s v="القطاع الهندسى "/>
    <s v="صابر ابراهيم "/>
    <s v="عمل تقوية لحوامل خط الحريق "/>
    <s v="تم العمل"/>
    <d v="1899-12-30T11:30:00"/>
    <d v="1899-12-30T17:00:00"/>
    <n v="0.22916666666666669"/>
    <s v="المخزن الجديد "/>
    <n v="5.5"/>
    <m/>
    <m/>
    <x v="5"/>
    <n v="5"/>
    <m/>
    <m/>
    <m/>
    <m/>
    <m/>
    <s v="شركة راية "/>
    <m/>
    <m/>
    <m/>
    <m/>
  </r>
  <r>
    <d v="2024-01-01T00:00:00"/>
    <d v="2024-01-12T00:00:00"/>
    <s v="الجمعة "/>
    <s v="بازان "/>
    <s v="سعداوى رياض "/>
    <s v="تجميع وتركيب شبكة الحريق "/>
    <s v="تم العمل"/>
    <d v="1899-12-30T09:30:00"/>
    <d v="1899-12-30T17:30:00"/>
    <n v="0.33333333333333331"/>
    <s v="المخزن الجديد "/>
    <n v="8"/>
    <m/>
    <m/>
    <x v="5"/>
    <n v="5"/>
    <m/>
    <m/>
    <m/>
    <m/>
    <m/>
    <s v="العشرى للمقاولات "/>
    <m/>
    <m/>
    <m/>
    <m/>
  </r>
  <r>
    <d v="2024-01-01T00:00:00"/>
    <d v="2024-01-12T00:00:00"/>
    <s v="الجمعة "/>
    <s v="بازان "/>
    <s v="سعداوى رياض "/>
    <s v="تركيبات  "/>
    <s v="تم العمل"/>
    <d v="1899-12-30T09:30:00"/>
    <d v="1899-12-30T17:30:00"/>
    <n v="0.33333333333333331"/>
    <s v="المخزن الجديد "/>
    <n v="8"/>
    <m/>
    <m/>
    <x v="3"/>
    <n v="5"/>
    <m/>
    <m/>
    <m/>
    <m/>
    <m/>
    <s v="شركة نما "/>
    <m/>
    <m/>
    <m/>
    <m/>
  </r>
  <r>
    <d v="2024-01-01T00:00:00"/>
    <d v="2024-01-13T00:00:00"/>
    <s v="السبت "/>
    <s v="شركة الكريم "/>
    <s v="حامد  ابو المحاميد    "/>
    <s v="الزيارة الشهرية وصيانة خط الحريق "/>
    <s v="تم العمل"/>
    <d v="1899-12-30T08:00:00"/>
    <d v="1899-12-30T09:30:00"/>
    <n v="6.25E-2"/>
    <s v="المطابع "/>
    <n v="1.5"/>
    <m/>
    <m/>
    <x v="1"/>
    <n v="4"/>
    <s v="ناقص  توقيعات "/>
    <m/>
    <m/>
    <m/>
    <m/>
    <s v="شركة منصور للتبريد والتكيف "/>
    <m/>
    <m/>
    <m/>
    <m/>
  </r>
  <r>
    <d v="2024-01-01T00:00:00"/>
    <d v="2024-01-13T00:00:00"/>
    <s v="السبت "/>
    <s v="بازان "/>
    <s v="سعداوى رياض "/>
    <s v="تجميع وتركيب شبكة الحريق "/>
    <s v="تم العمل"/>
    <d v="1899-12-30T09:30:00"/>
    <d v="1899-12-30T21:00:00"/>
    <n v="0.47916666666666669"/>
    <s v="المخزن الجديد "/>
    <n v="11.5"/>
    <m/>
    <m/>
    <x v="5"/>
    <n v="5"/>
    <m/>
    <m/>
    <m/>
    <m/>
    <m/>
    <s v="شركةأودك "/>
    <m/>
    <m/>
    <m/>
    <m/>
  </r>
  <r>
    <d v="2024-01-01T00:00:00"/>
    <d v="2024-01-14T00:00:00"/>
    <s v="الاحد "/>
    <s v="بازان "/>
    <s v="سعداوى رياض "/>
    <s v="تجميع وتركيب شبكة الحريق "/>
    <s v="تم العمل"/>
    <d v="1899-12-30T09:30:00"/>
    <d v="1899-12-30T17:30:00"/>
    <n v="0.33333333333333331"/>
    <s v="المخزن الجديد "/>
    <n v="8"/>
    <m/>
    <m/>
    <x v="5"/>
    <n v="5"/>
    <m/>
    <m/>
    <m/>
    <m/>
    <m/>
    <s v="شركة هاى سكيور"/>
    <m/>
    <m/>
    <m/>
    <m/>
  </r>
  <r>
    <d v="2024-01-01T00:00:00"/>
    <d v="2024-01-14T00:00:00"/>
    <s v="الاحد "/>
    <s v="شركة اوزوريون "/>
    <s v="مراد صالح  "/>
    <s v="عمل نقاشة فى مكتب  د/ احمد"/>
    <s v="تم العمل"/>
    <d v="1899-12-30T10:00:00"/>
    <d v="1899-12-30T17:00:00"/>
    <n v="0.27079999999999999"/>
    <s v="المطابع "/>
    <n v="6.5"/>
    <m/>
    <m/>
    <x v="0"/>
    <n v="5"/>
    <m/>
    <m/>
    <m/>
    <m/>
    <m/>
    <s v="شركة MFP"/>
    <m/>
    <m/>
    <m/>
    <m/>
  </r>
  <r>
    <d v="2024-01-01T00:00:00"/>
    <d v="2024-01-14T00:00:00"/>
    <s v="الاحد "/>
    <s v="شركة الكريم "/>
    <s v="مصطفى عاشور       "/>
    <s v="صيانة الطلمبة جوكى "/>
    <s v="تم العمل"/>
    <d v="1899-12-30T13:00:00"/>
    <d v="1899-12-30T17:00:00"/>
    <n v="0.16666666666666674"/>
    <s v="المخزن القديم "/>
    <n v="4.0000000000000018"/>
    <m/>
    <m/>
    <x v="0"/>
    <n v="5"/>
    <m/>
    <m/>
    <m/>
    <m/>
    <m/>
    <s v="نظم المعلومات (IT)"/>
    <m/>
    <m/>
    <m/>
    <m/>
  </r>
  <r>
    <d v="2024-01-01T00:00:00"/>
    <d v="2024-01-15T00:00:00"/>
    <s v="الاثنين "/>
    <s v="القطاع الهندسى "/>
    <s v="صابر ابراهيم "/>
    <s v="تركيب تندة حديد لخزان المياه "/>
    <s v="تم العمل"/>
    <d v="1899-12-30T11:30:00"/>
    <d v="1899-12-30T17:00:00"/>
    <n v="0.22916666666666669"/>
    <s v="المخزن القديم "/>
    <n v="5.5"/>
    <m/>
    <m/>
    <x v="0"/>
    <n v="4"/>
    <s v="ناقص  توقيعات "/>
    <m/>
    <m/>
    <m/>
    <m/>
    <s v="شركة سيتا "/>
    <m/>
    <m/>
    <m/>
    <m/>
  </r>
  <r>
    <d v="2024-01-01T00:00:00"/>
    <d v="2024-01-15T00:00:00"/>
    <s v="الاثنين "/>
    <s v="شركة اوزوريون "/>
    <s v="مراد صالح  "/>
    <s v="عمل نقاشة فى مكتب  د/ احمد"/>
    <s v="تم العمل"/>
    <d v="1899-12-30T10:00:00"/>
    <d v="1899-12-30T17:00:00"/>
    <n v="0.27079999999999999"/>
    <s v="المخزن القديم "/>
    <n v="6.5"/>
    <m/>
    <m/>
    <x v="0"/>
    <n v="4"/>
    <s v="ناقص  توقيعات "/>
    <m/>
    <m/>
    <m/>
    <m/>
    <s v="شركة لنك مصر "/>
    <m/>
    <m/>
    <m/>
    <m/>
  </r>
  <r>
    <d v="2024-01-01T00:00:00"/>
    <d v="2024-01-15T00:00:00"/>
    <s v="الاثنين "/>
    <s v="لفت ايجبت "/>
    <s v="سامى شعبان  "/>
    <s v="صيانة كلارك "/>
    <s v="تم العمل"/>
    <d v="1899-12-30T13:00:00"/>
    <d v="1899-12-30T16:00:00"/>
    <n v="0.125"/>
    <s v="المطابع "/>
    <n v="3"/>
    <m/>
    <m/>
    <x v="2"/>
    <n v="5"/>
    <m/>
    <m/>
    <m/>
    <m/>
    <m/>
    <s v="شركة فينسيا للستائر "/>
    <m/>
    <m/>
    <m/>
    <m/>
  </r>
  <r>
    <d v="2024-01-01T00:00:00"/>
    <d v="2024-01-16T00:00:00"/>
    <s v="الثلاثاء "/>
    <s v="لفت ايجبت "/>
    <s v="سامى شعبان  "/>
    <s v="صيانة كلارك "/>
    <s v="تم العمل"/>
    <d v="1899-12-30T14:00:00"/>
    <d v="1899-12-30T16:00:00"/>
    <n v="8.3333333333333259E-2"/>
    <s v="المخزن القديم "/>
    <n v="1.9999999999999982"/>
    <m/>
    <m/>
    <x v="2"/>
    <n v="5"/>
    <m/>
    <m/>
    <m/>
    <m/>
    <m/>
    <s v="شركة ايكو ماستر "/>
    <m/>
    <m/>
    <m/>
    <m/>
  </r>
  <r>
    <d v="2024-01-01T00:00:00"/>
    <d v="2024-01-16T00:00:00"/>
    <s v="الثلاثاء "/>
    <s v="بازان "/>
    <s v="سعداوى رياض "/>
    <s v="تجميع وتركيب شبكة الحريق "/>
    <s v="تم العمل"/>
    <d v="1899-12-30T09:30:00"/>
    <d v="1899-12-30T11:30:00"/>
    <n v="8.333333333333337E-2"/>
    <s v="المخزن الجديد "/>
    <n v="2.0000000000000009"/>
    <m/>
    <m/>
    <x v="5"/>
    <n v="5"/>
    <m/>
    <m/>
    <m/>
    <m/>
    <m/>
    <s v="الشركة الدولية الاعمال الهندسية "/>
    <m/>
    <m/>
    <m/>
    <m/>
  </r>
  <r>
    <d v="2024-01-01T00:00:00"/>
    <d v="2024-01-16T00:00:00"/>
    <s v="الثلاثاء "/>
    <s v="بازان "/>
    <s v="سعداوى رياض "/>
    <s v="تجميع وتركيب شبكة الحريق "/>
    <s v="تم العمل"/>
    <d v="1899-12-30T09:30:00"/>
    <d v="1899-12-30T15:00:00"/>
    <n v="0.22916666666666669"/>
    <s v="المخزن الجديد "/>
    <n v="5.5"/>
    <m/>
    <m/>
    <x v="5"/>
    <n v="5"/>
    <m/>
    <m/>
    <m/>
    <m/>
    <m/>
    <s v="شركة استار كول "/>
    <m/>
    <m/>
    <m/>
    <m/>
  </r>
  <r>
    <d v="2024-01-01T00:00:00"/>
    <d v="2024-01-16T00:00:00"/>
    <s v="الثلاثاء "/>
    <s v="الشؤون الادارية "/>
    <s v="محمد خليل النقيب "/>
    <s v="تركيب كشاف على المبنى الادارى من الخارج    "/>
    <s v="تم العمل"/>
    <d v="1899-12-30T14:30:00"/>
    <d v="1899-12-30T17:00:00"/>
    <n v="0.10416666666666674"/>
    <s v="المخزن القديم "/>
    <n v="0.99999999999999911"/>
    <m/>
    <m/>
    <x v="0"/>
    <n v="5"/>
    <m/>
    <m/>
    <m/>
    <m/>
    <m/>
    <s v="3M شركة "/>
    <m/>
    <m/>
    <m/>
    <m/>
  </r>
  <r>
    <d v="2024-01-01T00:00:00"/>
    <d v="2024-01-16T00:00:00"/>
    <s v="الثلاثاء "/>
    <s v="شركة اوزوريون "/>
    <s v="مراد صالح  "/>
    <s v="استكمال اعمال  نقاشة فى مكتب  د/ احمد"/>
    <s v="تم العمل"/>
    <d v="1899-12-30T10:00:00"/>
    <d v="1899-12-30T17:00:00"/>
    <n v="0.27079999999999999"/>
    <s v="المخزن القديم "/>
    <n v="6.5"/>
    <m/>
    <m/>
    <x v="0"/>
    <n v="5"/>
    <m/>
    <m/>
    <m/>
    <m/>
    <m/>
    <s v="شركة NCR"/>
    <m/>
    <m/>
    <m/>
    <m/>
  </r>
  <r>
    <d v="2024-01-01T00:00:00"/>
    <d v="2024-01-16T00:00:00"/>
    <s v="الثلاثاء "/>
    <s v="شركة الكريم "/>
    <s v=" على الشنوبى     "/>
    <s v="الزيارة الشهرية و صيانة للوح الانزار "/>
    <s v="تم العمل"/>
    <d v="1899-12-30T12:30:00"/>
    <d v="1899-12-30T13:30:00"/>
    <n v="4.166666666666663E-2"/>
    <s v="المخزن الجديد "/>
    <n v="0.99999999999999911"/>
    <m/>
    <m/>
    <x v="5"/>
    <n v="5"/>
    <m/>
    <m/>
    <m/>
    <m/>
    <m/>
    <s v="شركة وان كونكت"/>
    <m/>
    <m/>
    <m/>
    <m/>
  </r>
  <r>
    <d v="2024-01-01T00:00:00"/>
    <d v="2024-01-16T00:00:00"/>
    <s v="الثلاثاء "/>
    <s v="شركة الكريم "/>
    <s v=" على الشنوبى     "/>
    <s v="المرور على لوح انزار غرف الكهرباء "/>
    <s v="تم العمل"/>
    <d v="1899-12-30T12:00:00"/>
    <d v="1899-12-30T13:00:00"/>
    <n v="4.166666666666663E-2"/>
    <s v="المخزن القديم "/>
    <n v="0.99999999999999911"/>
    <m/>
    <m/>
    <x v="0"/>
    <n v="5"/>
    <m/>
    <m/>
    <m/>
    <m/>
    <m/>
    <s v="شركة كايرو تريد "/>
    <m/>
    <m/>
    <m/>
    <m/>
  </r>
  <r>
    <d v="2024-01-01T00:00:00"/>
    <d v="2024-01-16T00:00:00"/>
    <s v="الثلاثاء "/>
    <s v="شركة اوزوريون "/>
    <s v="مراد صالح  "/>
    <s v="دهان تندة خزانات المياه والطلمبة الاحتياطى  "/>
    <s v="تم العمل"/>
    <d v="1899-12-30T10:00:00"/>
    <d v="1899-12-30T17:00:00"/>
    <n v="0.27079999999999999"/>
    <s v="المخزن القديم "/>
    <n v="6.5"/>
    <m/>
    <m/>
    <x v="0"/>
    <n v="4"/>
    <s v="ناقص  توقيعات "/>
    <m/>
    <m/>
    <m/>
    <m/>
    <m/>
    <m/>
    <m/>
    <m/>
    <m/>
  </r>
  <r>
    <d v="2024-01-01T00:00:00"/>
    <d v="2024-01-17T00:00:00"/>
    <s v="الاربعاء "/>
    <s v="بازان "/>
    <s v="سعداوى رياض "/>
    <s v="تجميع وتركيب شبكة الحريق "/>
    <s v="تم العمل"/>
    <d v="1899-12-30T09:30:00"/>
    <d v="1899-12-30T11:30:00"/>
    <n v="8.333333333333337E-2"/>
    <s v="المطابع "/>
    <n v="2.0000000000000009"/>
    <m/>
    <m/>
    <x v="5"/>
    <n v="5"/>
    <m/>
    <m/>
    <m/>
    <m/>
    <m/>
    <m/>
    <m/>
    <m/>
    <m/>
    <m/>
  </r>
  <r>
    <d v="2024-01-01T00:00:00"/>
    <d v="2024-01-17T00:00:00"/>
    <s v="الاربعاء "/>
    <s v="القطاع الهندسى "/>
    <s v="صابر ابراهيم "/>
    <s v=" استكمال تركيب تندة حديد لخزان المياه "/>
    <s v="تم العمل"/>
    <d v="1899-12-30T11:00:00"/>
    <d v="1899-12-30T17:00:00"/>
    <n v="0.27079999999999999"/>
    <s v="المخزن القديم "/>
    <n v="6.5"/>
    <m/>
    <m/>
    <x v="0"/>
    <n v="5"/>
    <m/>
    <m/>
    <m/>
    <m/>
    <m/>
    <m/>
    <m/>
    <m/>
    <m/>
    <m/>
  </r>
  <r>
    <d v="2024-01-01T00:00:00"/>
    <d v="2024-01-17T00:00:00"/>
    <s v="الاربعاء "/>
    <s v="القطاع الهندسى "/>
    <s v="حسام جناد "/>
    <s v="تركيب لوحة ويب 9"/>
    <s v="تم العمل"/>
    <d v="1899-12-30T15:00:00"/>
    <d v="1899-12-30T16:00:00"/>
    <n v="4.166666666666663E-2"/>
    <s v="المطابع "/>
    <n v="0.99999999999999911"/>
    <m/>
    <m/>
    <x v="1"/>
    <n v="5"/>
    <m/>
    <m/>
    <m/>
    <m/>
    <m/>
    <m/>
    <m/>
    <m/>
    <m/>
    <m/>
  </r>
  <r>
    <d v="2024-01-01T00:00:00"/>
    <d v="2024-01-17T00:00:00"/>
    <s v="الاربعاء "/>
    <s v="شركة الهدى "/>
    <s v="اسلام مصطفى  "/>
    <s v="عمل صيانة الكنترول  CTB"/>
    <s v="تم العمل"/>
    <d v="1899-12-30T14:00:00"/>
    <d v="1899-12-30T17:00:00"/>
    <n v="0.125"/>
    <s v="المطابع "/>
    <n v="3"/>
    <m/>
    <m/>
    <x v="2"/>
    <n v="5"/>
    <m/>
    <m/>
    <m/>
    <m/>
    <m/>
    <m/>
    <m/>
    <m/>
    <m/>
    <m/>
  </r>
  <r>
    <d v="2024-01-01T00:00:00"/>
    <d v="2024-01-17T00:00:00"/>
    <s v="الاربعاء "/>
    <s v="شركة شلاندر "/>
    <s v="محمد عادل  "/>
    <s v="صيانة المصاعد    "/>
    <s v="تم العمل"/>
    <d v="1899-12-30T10:00:00"/>
    <d v="1899-12-30T12:00:00"/>
    <n v="2.0799999999999999E-2"/>
    <s v="المخزن الجديد "/>
    <n v="1"/>
    <m/>
    <m/>
    <x v="2"/>
    <n v="5"/>
    <m/>
    <m/>
    <m/>
    <m/>
    <m/>
    <m/>
    <m/>
    <m/>
    <m/>
    <m/>
  </r>
  <r>
    <d v="2024-01-01T00:00:00"/>
    <d v="2024-01-18T00:00:00"/>
    <s v="الخميس "/>
    <s v="بازان "/>
    <s v="سعداوى رياض "/>
    <s v="تجميع وتركيب شبكة الحريق "/>
    <s v="تم العمل"/>
    <d v="1899-12-30T09:30:00"/>
    <d v="1899-12-30T15:00:00"/>
    <n v="0.22916666666666669"/>
    <s v="المخزن الجديد "/>
    <n v="5.5"/>
    <m/>
    <m/>
    <x v="5"/>
    <n v="5"/>
    <m/>
    <m/>
    <m/>
    <m/>
    <m/>
    <m/>
    <m/>
    <m/>
    <m/>
    <m/>
  </r>
  <r>
    <d v="2024-01-01T00:00:00"/>
    <d v="2024-01-18T00:00:00"/>
    <s v="الخميس "/>
    <s v="شركة الكريم "/>
    <s v="    ممدوح عبد التواب     "/>
    <s v="نظام الانزار "/>
    <s v="تم العمل"/>
    <d v="1899-12-30T12:00:00"/>
    <d v="1899-12-30T14:00:00"/>
    <n v="8.333333333333337E-2"/>
    <s v="المطابع "/>
    <n v="2.0000000000000009"/>
    <m/>
    <m/>
    <x v="5"/>
    <n v="5"/>
    <m/>
    <m/>
    <m/>
    <m/>
    <m/>
    <s v=" "/>
    <m/>
    <m/>
    <m/>
    <m/>
  </r>
  <r>
    <d v="2024-01-01T00:00:00"/>
    <d v="2024-01-18T00:00:00"/>
    <s v="الخميس "/>
    <s v="شركة الكريم "/>
    <s v="حامد ابو المحاميد   "/>
    <s v="فك الطلمبة الجوكى واصلاحها  وعمل صيانة "/>
    <s v="تم العمل"/>
    <d v="1899-12-30T11:30:00"/>
    <d v="1899-12-30T17:00:00"/>
    <n v="0.22916666666666669"/>
    <s v="المخزن القديم "/>
    <n v="5.5"/>
    <m/>
    <m/>
    <x v="0"/>
    <n v="5"/>
    <m/>
    <m/>
    <m/>
    <m/>
    <m/>
    <m/>
    <m/>
    <m/>
    <m/>
    <m/>
  </r>
  <r>
    <d v="2024-01-01T00:00:00"/>
    <d v="2024-01-18T00:00:00"/>
    <s v="الخميس "/>
    <s v="الشؤون الادارية "/>
    <s v="احمد سعيد  "/>
    <s v="تركيب مواسير صرف الامطار العنابر     "/>
    <s v="تم العمل"/>
    <d v="1899-12-30T13:00:00"/>
    <d v="1899-12-30T17:00:00"/>
    <n v="0.16666666666666674"/>
    <s v="المطابع "/>
    <n v="0.99999999999999911"/>
    <m/>
    <m/>
    <x v="0"/>
    <n v="5"/>
    <m/>
    <m/>
    <m/>
    <m/>
    <m/>
    <m/>
    <m/>
    <m/>
    <m/>
    <m/>
  </r>
  <r>
    <d v="2024-01-01T00:00:00"/>
    <d v="2024-01-18T00:00:00"/>
    <s v="الخميس "/>
    <s v="بازان "/>
    <s v="سعداوى رياض "/>
    <s v="تجميع وتركيب شبكة الحريق "/>
    <s v="تم العمل"/>
    <d v="1899-12-30T09:30:00"/>
    <d v="1899-12-30T15:00:00"/>
    <n v="0.22916666666666669"/>
    <s v="المخزن الجديد "/>
    <n v="5.5"/>
    <m/>
    <m/>
    <x v="5"/>
    <n v="5"/>
    <m/>
    <m/>
    <m/>
    <m/>
    <m/>
    <m/>
    <m/>
    <m/>
    <m/>
    <m/>
  </r>
  <r>
    <d v="2024-01-01T00:00:00"/>
    <d v="2024-01-20T00:00:00"/>
    <s v="السبت "/>
    <s v="الشؤون الادارية "/>
    <s v="احمد سعيد  "/>
    <s v="تركيب مواسير صرف الامطارفى  العنابر     "/>
    <s v="تم العمل"/>
    <d v="1899-12-30T10:00:00"/>
    <d v="1899-12-30T17:00:00"/>
    <n v="0.29166666666666669"/>
    <s v="المطابع "/>
    <n v="0.99999999999999911"/>
    <m/>
    <m/>
    <x v="0"/>
    <n v="5"/>
    <m/>
    <m/>
    <m/>
    <m/>
    <m/>
    <m/>
    <m/>
    <m/>
    <m/>
    <m/>
  </r>
  <r>
    <d v="2024-01-01T00:00:00"/>
    <d v="2024-01-20T00:00:00"/>
    <s v="السبت "/>
    <s v="بازان "/>
    <s v="سعداوى رياض "/>
    <s v="تجميع وتركيب شبكة الحريق والكهرباء "/>
    <s v="تم العمل"/>
    <d v="1899-12-30T09:30:00"/>
    <d v="1899-12-30T17:00:00"/>
    <n v="0.31250000000000006"/>
    <s v="المخزن الجديد "/>
    <n v="7.5000000000000018"/>
    <m/>
    <m/>
    <x v="5"/>
    <n v="5"/>
    <m/>
    <m/>
    <m/>
    <m/>
    <m/>
    <m/>
    <m/>
    <m/>
    <m/>
    <m/>
  </r>
  <r>
    <d v="2024-01-01T00:00:00"/>
    <d v="2024-01-20T00:00:00"/>
    <s v="السبت "/>
    <s v="الشؤون الادارية "/>
    <s v="ياسر ابراهيم  "/>
    <s v="تركيب رخام المطبخ فى المبنى الادارى      "/>
    <s v="تم العمل"/>
    <d v="1899-12-30T14:30:00"/>
    <d v="1899-12-30T17:00:00"/>
    <n v="0.10416666666666674"/>
    <s v="المطابع "/>
    <n v="0.99999999999999911"/>
    <m/>
    <m/>
    <x v="0"/>
    <n v="5"/>
    <m/>
    <m/>
    <m/>
    <m/>
    <m/>
    <m/>
    <m/>
    <m/>
    <m/>
    <m/>
  </r>
  <r>
    <d v="2024-01-01T00:00:00"/>
    <d v="2024-01-20T00:00:00"/>
    <s v="السبت "/>
    <s v="شركة اوزوريون "/>
    <s v="مراد صالح  "/>
    <s v="استكمال اعمال النجارة فى ابواب الخشب المبنى  "/>
    <s v="تم العمل"/>
    <d v="1899-12-30T14:30:00"/>
    <d v="1899-12-30T17:00:00"/>
    <n v="0.10416666666666674"/>
    <s v="المخزن القديم "/>
    <n v="0.99999999999999911"/>
    <m/>
    <m/>
    <x v="0"/>
    <n v="5"/>
    <m/>
    <m/>
    <m/>
    <m/>
    <m/>
    <m/>
    <m/>
    <m/>
    <m/>
    <m/>
  </r>
  <r>
    <d v="2024-01-01T00:00:00"/>
    <d v="2024-01-21T00:00:00"/>
    <s v="الاحد "/>
    <s v="الشركة الوطنية "/>
    <s v="محمد رمضان   "/>
    <s v="صيانة الكلاركات "/>
    <s v="تم العمل"/>
    <d v="1899-12-30T10:00:00"/>
    <d v="1899-12-30T13:00:00"/>
    <n v="0.12499999999999994"/>
    <s v="المطابع "/>
    <n v="2.9999999999999987"/>
    <m/>
    <m/>
    <x v="6"/>
    <n v="5"/>
    <m/>
    <m/>
    <m/>
    <m/>
    <m/>
    <s v=" "/>
    <m/>
    <m/>
    <m/>
    <m/>
  </r>
  <r>
    <d v="2024-01-01T00:00:00"/>
    <d v="2024-01-21T00:00:00"/>
    <s v="الاحد "/>
    <s v="بازان "/>
    <s v="سعداوى رياض "/>
    <s v="تجميع وتركيب شبكة الحريق والكهرباء "/>
    <s v="تم العمل"/>
    <d v="1899-12-30T09:30:00"/>
    <d v="1899-12-30T17:00:00"/>
    <n v="0.31250000000000006"/>
    <s v="المخزن الجديد "/>
    <n v="7.5000000000000018"/>
    <m/>
    <m/>
    <x v="5"/>
    <n v="5"/>
    <m/>
    <m/>
    <m/>
    <m/>
    <m/>
    <m/>
    <m/>
    <m/>
    <m/>
    <m/>
  </r>
  <r>
    <d v="2024-01-01T00:00:00"/>
    <d v="2024-01-21T00:00:00"/>
    <s v="الاحد "/>
    <s v="الشركة الالمانية "/>
    <s v="محمد ماهر "/>
    <s v=" الزيارة الشهرية و مكافحة حشرات "/>
    <s v="تم العمل"/>
    <d v="1899-12-30T12:00:00"/>
    <d v="1899-12-30T15:00:00"/>
    <n v="0.125"/>
    <s v="المطابع "/>
    <n v="3"/>
    <m/>
    <m/>
    <x v="2"/>
    <n v="5"/>
    <m/>
    <m/>
    <m/>
    <m/>
    <m/>
    <m/>
    <m/>
    <m/>
    <m/>
    <m/>
  </r>
  <r>
    <d v="2024-01-01T00:00:00"/>
    <d v="2024-01-22T00:00:00"/>
    <s v="الاثنين "/>
    <s v="بازان "/>
    <s v="سعداوى رياض "/>
    <s v="تجميع وتركيب شبكة الحريق والكهرباء "/>
    <s v="تم العمل"/>
    <d v="1899-12-30T09:30:00"/>
    <d v="1899-12-30T17:00:00"/>
    <n v="0.31250000000000006"/>
    <s v="المخزن الجديد "/>
    <n v="7.5000000000000018"/>
    <m/>
    <m/>
    <x v="5"/>
    <n v="5"/>
    <m/>
    <m/>
    <m/>
    <m/>
    <m/>
    <m/>
    <m/>
    <m/>
    <m/>
    <m/>
  </r>
  <r>
    <d v="2024-01-01T00:00:00"/>
    <d v="2024-01-22T00:00:00"/>
    <s v="الاثنين "/>
    <s v="شركة اوزوريون "/>
    <s v="عمرو الجندى "/>
    <s v="انشائات  "/>
    <s v="تم العمل"/>
    <d v="1899-12-30T09:30:00"/>
    <d v="1899-12-30T18:00:00"/>
    <n v="0.35416666666666669"/>
    <s v="البرج"/>
    <n v="8.5"/>
    <m/>
    <m/>
    <x v="3"/>
    <n v="5"/>
    <m/>
    <m/>
    <m/>
    <m/>
    <m/>
    <m/>
    <m/>
    <m/>
    <m/>
    <m/>
  </r>
  <r>
    <d v="2024-01-01T00:00:00"/>
    <d v="2024-01-23T00:00:00"/>
    <s v="الثلاثاء "/>
    <s v="بازان "/>
    <s v="سعداوى رياض "/>
    <s v="تجميع وتركيب شبكة الحريق والكهرباء "/>
    <s v="تم العمل"/>
    <d v="1899-12-30T09:30:00"/>
    <d v="1899-12-30T20:30:00"/>
    <n v="0.45833333333333331"/>
    <s v="المخزن الجديد "/>
    <n v="11"/>
    <m/>
    <m/>
    <x v="5"/>
    <n v="5"/>
    <m/>
    <m/>
    <m/>
    <m/>
    <m/>
    <m/>
    <m/>
    <m/>
    <m/>
    <m/>
  </r>
  <r>
    <d v="2024-01-01T00:00:00"/>
    <d v="2024-01-23T00:00:00"/>
    <s v="الثلاثاء "/>
    <s v="شركة الكريم "/>
    <s v="حامد عطوان   "/>
    <s v="الزيارة الشهرية و اختبار صناديق الحريق  1.5 بوصة "/>
    <s v="تم العمل"/>
    <d v="1899-12-30T11:30:00"/>
    <d v="1899-12-30T13:30:00"/>
    <n v="8.3333333333333315E-2"/>
    <s v="المخزن الجديد "/>
    <n v="1.9999999999999996"/>
    <m/>
    <m/>
    <x v="5"/>
    <n v="5"/>
    <m/>
    <m/>
    <m/>
    <m/>
    <m/>
    <m/>
    <m/>
    <m/>
    <m/>
    <m/>
  </r>
  <r>
    <d v="2024-01-01T00:00:00"/>
    <d v="2024-01-23T00:00:00"/>
    <s v="الثلاثاء "/>
    <s v="شركة الكريم "/>
    <s v=" على الشحات "/>
    <s v="تركيب انزار المبنى الادارى  "/>
    <s v="تم العمل"/>
    <d v="1899-12-30T10:00:00"/>
    <d v="1899-12-30T11:30:00"/>
    <n v="6.25E-2"/>
    <s v="المخزن القديم "/>
    <n v="1.5"/>
    <m/>
    <m/>
    <x v="0"/>
    <n v="5"/>
    <m/>
    <m/>
    <m/>
    <m/>
    <m/>
    <m/>
    <m/>
    <m/>
    <m/>
    <m/>
  </r>
  <r>
    <d v="2024-01-01T00:00:00"/>
    <d v="2024-01-24T00:00:00"/>
    <s v="الاربعاء "/>
    <s v="لفت ايجبت "/>
    <s v="سامى شعبان  "/>
    <s v="صيانة كلارك "/>
    <s v="تم العمل"/>
    <d v="1899-12-30T13:00:00"/>
    <d v="1899-12-30T17:00:00"/>
    <n v="0.16666666666666674"/>
    <s v="المطابع "/>
    <n v="4.0000000000000018"/>
    <m/>
    <m/>
    <x v="0"/>
    <n v="5"/>
    <m/>
    <m/>
    <m/>
    <m/>
    <m/>
    <m/>
    <m/>
    <m/>
    <m/>
    <m/>
  </r>
  <r>
    <d v="2024-01-01T00:00:00"/>
    <d v="2024-01-24T00:00:00"/>
    <s v="الاربعاء "/>
    <s v="شركة اوزوريون "/>
    <s v="مراد صالح  "/>
    <s v="تركيب كوالين  الابواب الخشب  وعمل نجارة "/>
    <s v="تم العمل"/>
    <d v="1899-12-30T14:30:00"/>
    <d v="1899-12-30T17:00:00"/>
    <n v="0.10416666666666674"/>
    <s v="المخزن القديم "/>
    <n v="0.99999999999999911"/>
    <m/>
    <m/>
    <x v="0"/>
    <n v="5"/>
    <m/>
    <m/>
    <m/>
    <m/>
    <m/>
    <m/>
    <m/>
    <m/>
    <m/>
    <m/>
  </r>
  <r>
    <d v="2024-01-01T00:00:00"/>
    <d v="2024-01-24T00:00:00"/>
    <s v="الاربعاء "/>
    <s v="بازان "/>
    <s v="سعداوى رياض "/>
    <s v="تجميع وتركيب شبكة الحريق والكهرباء "/>
    <s v="تم العمل"/>
    <d v="1899-12-30T09:30:00"/>
    <d v="1899-12-30T20:30:00"/>
    <n v="0.45833333333333331"/>
    <s v="المطابع "/>
    <n v="11"/>
    <m/>
    <m/>
    <x v="5"/>
    <n v="5"/>
    <m/>
    <m/>
    <m/>
    <m/>
    <m/>
    <m/>
    <m/>
    <m/>
    <m/>
    <m/>
  </r>
  <r>
    <d v="2024-01-01T00:00:00"/>
    <d v="2024-01-25T00:00:00"/>
    <s v="الخميس "/>
    <s v="الشؤون الادارية "/>
    <s v="ادم محمد   "/>
    <s v="صيانة  ماسورة  صرف الامطارفى عنبر  ويب 2     "/>
    <s v="تم العمل"/>
    <d v="1899-12-30T11:00:00"/>
    <d v="1899-12-30T13:00:00"/>
    <n v="8.3333333333333315E-2"/>
    <s v="المطابع "/>
    <n v="0.99999999999999911"/>
    <m/>
    <m/>
    <x v="2"/>
    <n v="4"/>
    <s v="توضيح  مكان العمل ونوع العمل "/>
    <m/>
    <m/>
    <m/>
    <m/>
    <m/>
    <m/>
    <m/>
    <m/>
    <m/>
  </r>
  <r>
    <d v="2024-01-01T00:00:00"/>
    <d v="2024-01-25T00:00:00"/>
    <s v="الخميس "/>
    <s v="شركة الكريم "/>
    <s v="    ممدوح عبد التواب     "/>
    <s v="الزيارة الشهرية وتركيب لوحات انزار غرف الكهرباء  "/>
    <s v="تم العمل"/>
    <d v="1899-12-30T10:00:00"/>
    <d v="1899-12-30T16:00:00"/>
    <n v="0.24999999999999994"/>
    <s v="المطابع "/>
    <n v="5.9999999999999982"/>
    <m/>
    <m/>
    <x v="2"/>
    <n v="5"/>
    <m/>
    <m/>
    <m/>
    <m/>
    <m/>
    <m/>
    <m/>
    <m/>
    <m/>
    <m/>
  </r>
  <r>
    <d v="2024-01-01T00:00:00"/>
    <d v="2024-01-25T00:00:00"/>
    <s v="الخميس "/>
    <s v="بازان "/>
    <s v="سعداوى رياض "/>
    <s v="تجميع وتركيب شبكة الحريق والكهرباء "/>
    <s v="تم العمل"/>
    <d v="1899-12-30T09:30:00"/>
    <d v="1899-12-30T17:30:00"/>
    <n v="0.33333333333333331"/>
    <s v="المخزن الجديد "/>
    <n v="8"/>
    <m/>
    <m/>
    <x v="5"/>
    <n v="5"/>
    <m/>
    <m/>
    <m/>
    <m/>
    <m/>
    <m/>
    <m/>
    <m/>
    <m/>
    <m/>
  </r>
  <r>
    <d v="2024-01-01T00:00:00"/>
    <d v="2024-01-26T00:00:00"/>
    <s v="الجمعة "/>
    <s v="بازان "/>
    <s v="سعداوى رياض "/>
    <s v="تجميع وتركيب شبكة الحريق والكهرباء "/>
    <s v="تم العمل"/>
    <d v="1899-12-30T11:00:00"/>
    <d v="1899-12-30T15:00:00"/>
    <n v="0.16666666666666669"/>
    <s v="المخزن الجديد "/>
    <n v="4"/>
    <m/>
    <m/>
    <x v="3"/>
    <n v="5"/>
    <m/>
    <m/>
    <m/>
    <m/>
    <m/>
    <m/>
    <m/>
    <m/>
    <m/>
    <m/>
  </r>
  <r>
    <d v="2024-01-01T00:00:00"/>
    <d v="2024-01-26T00:00:00"/>
    <s v="الجمعة "/>
    <s v="بازان "/>
    <s v="احمد على فؤاد "/>
    <s v="تركيبات ولحام  "/>
    <s v="تم العمل"/>
    <d v="1899-12-30T09:30:00"/>
    <d v="1899-12-30T17:30:00"/>
    <n v="0.33333333333333331"/>
    <s v="المخزن الجديد "/>
    <n v="8"/>
    <m/>
    <m/>
    <x v="3"/>
    <n v="5"/>
    <m/>
    <m/>
    <m/>
    <m/>
    <m/>
    <m/>
    <m/>
    <m/>
    <m/>
    <m/>
  </r>
  <r>
    <d v="2024-01-01T00:00:00"/>
    <d v="2024-01-27T00:00:00"/>
    <s v="السبت "/>
    <s v="بازان "/>
    <s v="سعداوى رياض "/>
    <s v="تجميع وتركيب شبكة  والكهرباء "/>
    <s v="تم العمل"/>
    <d v="1899-12-30T09:30:00"/>
    <d v="1899-12-30T20:30:00"/>
    <n v="0.45833333333333331"/>
    <s v="المخزن الجديد "/>
    <n v="11"/>
    <m/>
    <m/>
    <x v="6"/>
    <n v="5"/>
    <m/>
    <m/>
    <m/>
    <m/>
    <m/>
    <m/>
    <m/>
    <m/>
    <m/>
    <m/>
  </r>
  <r>
    <d v="2024-01-01T00:00:00"/>
    <d v="2024-01-27T00:00:00"/>
    <s v="السبت "/>
    <s v="بازان "/>
    <s v="سعداوى رياض "/>
    <s v="تجميع وتركيب شبكةا لحريق "/>
    <s v="تم العمل"/>
    <d v="1899-12-30T09:30:00"/>
    <d v="1899-12-30T15:00:00"/>
    <n v="0.22916666666666669"/>
    <s v="المخزن الجديد "/>
    <n v="5.5"/>
    <m/>
    <m/>
    <x v="6"/>
    <n v="5"/>
    <m/>
    <m/>
    <m/>
    <m/>
    <m/>
    <m/>
    <m/>
    <m/>
    <m/>
    <m/>
  </r>
  <r>
    <d v="2024-01-01T00:00:00"/>
    <d v="2024-01-28T00:00:00"/>
    <s v="الاحد "/>
    <s v="لفت ايجبت "/>
    <s v="سامى شعبان  "/>
    <s v="صيانة كلارك "/>
    <s v="تم العمل"/>
    <d v="1899-12-30T15:00:00"/>
    <d v="1899-12-30T18:00:00"/>
    <n v="0.125"/>
    <s v="المطابع "/>
    <n v="3"/>
    <m/>
    <m/>
    <x v="6"/>
    <n v="5"/>
    <m/>
    <m/>
    <m/>
    <m/>
    <m/>
    <m/>
    <m/>
    <m/>
    <m/>
    <m/>
  </r>
  <r>
    <d v="2024-01-01T00:00:00"/>
    <d v="2024-01-28T00:00:00"/>
    <s v="الاحد "/>
    <s v="بازان "/>
    <s v="سعداوى رياض "/>
    <s v="تجميع وتركيب شبكة الحريق والكهرباء "/>
    <s v="تم العمل"/>
    <d v="1899-12-30T09:30:00"/>
    <d v="1899-12-30T17:30:00"/>
    <n v="0.33333333333333331"/>
    <s v="المخزن الجديد "/>
    <n v="8"/>
    <m/>
    <m/>
    <x v="5"/>
    <n v="5"/>
    <m/>
    <m/>
    <m/>
    <m/>
    <m/>
    <m/>
    <m/>
    <m/>
    <m/>
    <m/>
  </r>
  <r>
    <d v="2024-01-01T00:00:00"/>
    <d v="2024-01-28T00:00:00"/>
    <s v="الاحد "/>
    <s v="الشركة الالمانية "/>
    <s v="محمد ماهر "/>
    <s v=" الزيارة الشهرية و مكافحة حشرات "/>
    <s v="تم العمل"/>
    <d v="1899-12-30T13:00:00"/>
    <d v="1899-12-30T14:00:00"/>
    <n v="4.1666666666666741E-2"/>
    <s v="المخزن القديم "/>
    <n v="1.0000000000000018"/>
    <m/>
    <m/>
    <x v="0"/>
    <n v="4"/>
    <s v="الاهتمام بشكل التصريح "/>
    <m/>
    <m/>
    <m/>
    <m/>
    <m/>
    <m/>
    <m/>
    <m/>
    <m/>
  </r>
  <r>
    <d v="2024-01-01T00:00:00"/>
    <d v="2024-01-28T00:00:00"/>
    <s v="الاحد "/>
    <s v="الشركة الالمانية "/>
    <s v="محمد ماهر "/>
    <s v=" الزيارة الشهرية و مكافحة حشرات "/>
    <s v="تم العمل"/>
    <d v="1899-12-30T10:00:00"/>
    <d v="1899-12-30T11:30:00"/>
    <n v="6.25E-2"/>
    <s v="المخزن الجديد "/>
    <n v="1.5"/>
    <m/>
    <m/>
    <x v="0"/>
    <n v="4"/>
    <s v="الاهتمام بشكل التصريح "/>
    <m/>
    <m/>
    <m/>
    <m/>
    <m/>
    <m/>
    <m/>
    <m/>
    <m/>
  </r>
  <r>
    <d v="2024-01-01T00:00:00"/>
    <d v="2024-01-29T00:00:00"/>
    <s v="الاثنين "/>
    <s v="الشؤون الادارية "/>
    <s v="مصطفى رشاد    "/>
    <s v="دهان حوائط الكفتريا      "/>
    <s v="تم العمل"/>
    <d v="1899-12-30T13:00:00"/>
    <d v="1899-12-30T15:00:00"/>
    <n v="8.333333333333337E-2"/>
    <s v="المطابع "/>
    <n v="0.99999999999999911"/>
    <m/>
    <m/>
    <x v="0"/>
    <n v="4"/>
    <s v="توضيح  مكان العمل ونوع العمل "/>
    <m/>
    <m/>
    <m/>
    <m/>
    <m/>
    <m/>
    <m/>
    <m/>
    <m/>
  </r>
  <r>
    <d v="2024-01-01T00:00:00"/>
    <d v="2024-01-29T00:00:00"/>
    <s v="الاثنين "/>
    <s v="بازان "/>
    <s v="سعداوى رياض "/>
    <s v="تجميع وتركيب شبكة الحريق والكهرباء "/>
    <s v="تم العمل"/>
    <d v="1899-12-30T09:30:00"/>
    <d v="1899-12-30T17:30:00"/>
    <n v="0.33333333333333331"/>
    <s v="المخزن الجديد "/>
    <n v="8"/>
    <m/>
    <m/>
    <x v="5"/>
    <n v="5"/>
    <m/>
    <m/>
    <m/>
    <m/>
    <m/>
    <m/>
    <m/>
    <m/>
    <m/>
    <m/>
  </r>
  <r>
    <d v="2024-01-01T00:00:00"/>
    <d v="2024-01-29T00:00:00"/>
    <s v="الاثنين "/>
    <s v="لفت ايجبت "/>
    <s v="سامى شعبان  "/>
    <s v="صيانة كلارك "/>
    <s v="تم العمل"/>
    <d v="1899-12-30T13:30:00"/>
    <d v="1899-12-30T17:00:00"/>
    <n v="0.14583333333333337"/>
    <s v="المطابع "/>
    <n v="3.5000000000000009"/>
    <m/>
    <m/>
    <x v="6"/>
    <n v="5"/>
    <m/>
    <m/>
    <m/>
    <m/>
    <m/>
    <m/>
    <m/>
    <m/>
    <m/>
    <m/>
  </r>
  <r>
    <d v="2024-01-01T00:00:00"/>
    <d v="2024-01-30T00:00:00"/>
    <s v="الثلاثاء "/>
    <s v="الشركة الوطنية "/>
    <s v="محمد رمضان   "/>
    <s v="صيانة الكلاركات "/>
    <s v="تم العمل"/>
    <d v="1899-12-30T13:00:00"/>
    <d v="1899-12-30T15:30:00"/>
    <n v="0.10416666666666674"/>
    <s v="المطابع "/>
    <n v="2.5000000000000018"/>
    <m/>
    <m/>
    <x v="6"/>
    <n v="5"/>
    <m/>
    <m/>
    <m/>
    <m/>
    <m/>
    <s v=" "/>
    <m/>
    <m/>
    <m/>
    <m/>
  </r>
  <r>
    <d v="2024-01-01T00:00:00"/>
    <d v="2024-01-30T00:00:00"/>
    <s v="الثلاثاء "/>
    <s v="القطاع الهندسى "/>
    <s v="صابر ابراهيم "/>
    <s v="تقطيع بالصاروخ "/>
    <s v="تم العمل"/>
    <d v="1899-12-30T15:00:00"/>
    <d v="1899-12-30T16:30:00"/>
    <n v="0.27079999999999999"/>
    <s v="المطابع "/>
    <n v="6.5"/>
    <m/>
    <m/>
    <x v="6"/>
    <n v="5"/>
    <m/>
    <m/>
    <m/>
    <m/>
    <m/>
    <m/>
    <m/>
    <m/>
    <m/>
    <m/>
  </r>
  <r>
    <d v="2024-01-01T00:00:00"/>
    <d v="2024-01-30T00:00:00"/>
    <s v="الثلاثاء "/>
    <s v="بازان "/>
    <s v="سعداوى رياض "/>
    <s v="تجميع وتركيب شبكة الحريق والكهرباء "/>
    <s v="تم العمل"/>
    <d v="1899-12-30T09:30:00"/>
    <d v="1899-12-30T17:30:00"/>
    <n v="0.33333333333333331"/>
    <s v="المخزن الجديد "/>
    <n v="8"/>
    <m/>
    <m/>
    <x v="5"/>
    <n v="5"/>
    <m/>
    <m/>
    <m/>
    <m/>
    <m/>
    <m/>
    <m/>
    <m/>
    <m/>
    <m/>
  </r>
  <r>
    <d v="2024-01-01T00:00:00"/>
    <d v="2024-01-30T00:00:00"/>
    <s v="الثلاثاء "/>
    <s v="شركة فاكتو "/>
    <s v="ياسر ابراهيم  "/>
    <s v="تصليح باب مخزن الوزارة "/>
    <s v="تم العمل"/>
    <d v="1899-12-30T11:30:00"/>
    <d v="1899-12-30T15:00:00"/>
    <n v="0.14583333333333331"/>
    <s v="المطابع "/>
    <n v="3.4999999999999996"/>
    <m/>
    <m/>
    <x v="0"/>
    <n v="4"/>
    <s v="توضيع ساعات الانتهاء من العمل "/>
    <m/>
    <m/>
    <m/>
    <m/>
    <m/>
    <m/>
    <m/>
    <m/>
    <m/>
  </r>
  <r>
    <d v="2024-01-01T00:00:00"/>
    <d v="2024-01-31T00:00:00"/>
    <s v="الاربعاء "/>
    <s v="بازان "/>
    <s v="سعداوى رياض "/>
    <s v="تجميع وتركيب شبكة الكهرباء "/>
    <s v="تم العمل"/>
    <d v="1899-12-30T09:30:00"/>
    <d v="1899-12-30T17:30:00"/>
    <n v="0.33333333333333331"/>
    <s v="المخزن الجديد "/>
    <n v="8"/>
    <m/>
    <m/>
    <x v="6"/>
    <n v="5"/>
    <m/>
    <m/>
    <m/>
    <m/>
    <m/>
    <m/>
    <m/>
    <m/>
    <m/>
    <m/>
  </r>
  <r>
    <d v="2024-01-01T00:00:00"/>
    <d v="2024-01-31T00:00:00"/>
    <s v="الاربعاء "/>
    <s v="بازان "/>
    <s v="سعداوى رياض "/>
    <s v="تجميع وتركيب شبكة الحريق"/>
    <s v="تم العمل"/>
    <d v="1899-12-30T09:30:00"/>
    <d v="1899-12-30T17:30:00"/>
    <n v="0.33333333333333331"/>
    <s v="المخزن الجديد "/>
    <n v="8"/>
    <m/>
    <m/>
    <x v="6"/>
    <n v="5"/>
    <m/>
    <m/>
    <m/>
    <m/>
    <m/>
    <m/>
    <m/>
    <m/>
    <m/>
    <m/>
  </r>
  <r>
    <d v="2024-02-01T00:00:00"/>
    <d v="2024-02-01T00:00:00"/>
    <s v="الخميس "/>
    <s v="بازان "/>
    <s v="سعداوى رياض "/>
    <s v="تجميع وتركيب شبكة الحريق والكهرباء "/>
    <s v="تم العمل"/>
    <d v="1899-12-30T09:30:00"/>
    <d v="1899-12-30T16:00:00"/>
    <n v="0.27083333333333331"/>
    <s v="المخزن الجديد "/>
    <n v="6.5"/>
    <m/>
    <m/>
    <x v="5"/>
    <n v="5"/>
    <m/>
    <m/>
    <m/>
    <m/>
    <m/>
    <m/>
    <m/>
    <m/>
    <m/>
    <m/>
  </r>
  <r>
    <d v="2024-02-01T00:00:00"/>
    <d v="2024-02-03T00:00:00"/>
    <s v="السبت "/>
    <s v="بازان "/>
    <s v="سعداوى رياض "/>
    <s v="تجميع وتركيب شبكة الحريق والكهرباء "/>
    <s v="تم العمل"/>
    <d v="1899-12-30T09:30:00"/>
    <d v="1899-12-30T17:30:00"/>
    <n v="0.33333333333333331"/>
    <s v="المخزن الجديد "/>
    <n v="8"/>
    <m/>
    <m/>
    <x v="5"/>
    <n v="5"/>
    <m/>
    <m/>
    <m/>
    <m/>
    <m/>
    <m/>
    <m/>
    <m/>
    <m/>
    <m/>
  </r>
  <r>
    <d v="2024-02-01T00:00:00"/>
    <d v="2024-02-04T00:00:00"/>
    <s v="الاحد "/>
    <s v="القطاع الهندسى "/>
    <s v="صابر ابراهيم "/>
    <s v="لحام مجرى الباب الرئيسى "/>
    <s v="تم العمل"/>
    <d v="1899-12-30T13:00:00"/>
    <d v="1899-12-30T14:00:00"/>
    <n v="0.27079999999999999"/>
    <s v="المطابع "/>
    <n v="6.5"/>
    <m/>
    <m/>
    <x v="2"/>
    <n v="5"/>
    <m/>
    <m/>
    <m/>
    <m/>
    <m/>
    <m/>
    <m/>
    <m/>
    <m/>
    <m/>
  </r>
  <r>
    <d v="2024-02-01T00:00:00"/>
    <d v="2024-02-04T00:00:00"/>
    <s v="الاحد "/>
    <s v="القطاع الهندسى "/>
    <s v="صابر ابراهيم "/>
    <s v="لحام حوامل الطفايات "/>
    <s v="تم العمل"/>
    <d v="1899-12-30T14:00:00"/>
    <d v="1899-12-30T15:00:00"/>
    <n v="0.27079999999999999"/>
    <s v="المطابع "/>
    <n v="6.5"/>
    <m/>
    <m/>
    <x v="2"/>
    <n v="5"/>
    <m/>
    <m/>
    <m/>
    <m/>
    <m/>
    <m/>
    <m/>
    <m/>
    <m/>
    <m/>
  </r>
  <r>
    <d v="2024-02-01T00:00:00"/>
    <d v="2024-02-04T00:00:00"/>
    <s v="الاحد "/>
    <s v="الشركة الهندسية"/>
    <s v="فارس خليل "/>
    <s v="لحام حوامل الطفايات "/>
    <s v="تم العمل"/>
    <d v="1899-12-30T09:30:00"/>
    <d v="1899-12-30T17:00:00"/>
    <n v="0.27079999999999999"/>
    <s v="المطابع "/>
    <n v="6.5"/>
    <m/>
    <m/>
    <x v="2"/>
    <n v="5"/>
    <m/>
    <m/>
    <m/>
    <m/>
    <m/>
    <m/>
    <m/>
    <m/>
    <m/>
    <m/>
  </r>
  <r>
    <d v="2024-02-01T00:00:00"/>
    <d v="2024-02-04T00:00:00"/>
    <s v="الاحد "/>
    <s v="بازان "/>
    <s v="سعداوى رياض "/>
    <s v="تجميع وتركيب شبكة الحريق والكهرباء "/>
    <s v="تم العمل"/>
    <d v="1899-12-30T09:30:00"/>
    <d v="1899-12-30T17:30:00"/>
    <n v="0.33333333333333331"/>
    <s v="المخزن الجديد "/>
    <n v="8"/>
    <m/>
    <m/>
    <x v="5"/>
    <n v="5"/>
    <m/>
    <m/>
    <m/>
    <m/>
    <m/>
    <m/>
    <m/>
    <m/>
    <m/>
    <m/>
  </r>
  <r>
    <d v="2024-02-01T00:00:00"/>
    <d v="2024-02-05T00:00:00"/>
    <s v="الاثنين "/>
    <s v="بازان "/>
    <s v="سعداوى رياض "/>
    <s v="تجميع وتركيب شبكة الحريق والكهرباء "/>
    <s v="تم العمل"/>
    <d v="1899-12-30T09:30:00"/>
    <d v="1899-12-30T17:00:00"/>
    <n v="0.31250000000000006"/>
    <s v="المخزن الجديد "/>
    <n v="7.5000000000000018"/>
    <m/>
    <m/>
    <x v="5"/>
    <n v="5"/>
    <m/>
    <m/>
    <m/>
    <m/>
    <m/>
    <m/>
    <m/>
    <m/>
    <m/>
    <m/>
  </r>
  <r>
    <d v="2024-02-01T00:00:00"/>
    <d v="2024-02-05T00:00:00"/>
    <s v="الاثنين "/>
    <s v="الشركة الهندسية"/>
    <s v="فارس خليل "/>
    <s v="تجميع وتركيب سلم الطوارىء"/>
    <s v="تم العمل"/>
    <d v="1899-12-30T11:00:00"/>
    <d v="1899-12-30T17:00:00"/>
    <n v="0.27079999999999999"/>
    <s v="دويتش "/>
    <n v="6.5"/>
    <m/>
    <m/>
    <x v="5"/>
    <n v="5"/>
    <m/>
    <m/>
    <m/>
    <m/>
    <m/>
    <m/>
    <m/>
    <m/>
    <m/>
    <m/>
  </r>
  <r>
    <d v="2024-02-01T00:00:00"/>
    <d v="2024-02-05T00:00:00"/>
    <s v="الاثنين "/>
    <s v="الشركة الهندسية"/>
    <s v="مصطفى عبد الله "/>
    <s v="صيانة كلارك "/>
    <s v="تم العمل"/>
    <d v="1899-12-30T14:00:00"/>
    <d v="1899-12-30T17:00:00"/>
    <n v="0.27079999999999999"/>
    <s v="المطابع "/>
    <n v="6.4992000000000001"/>
    <m/>
    <m/>
    <x v="6"/>
    <n v="5"/>
    <m/>
    <m/>
    <m/>
    <m/>
    <m/>
    <m/>
    <m/>
    <m/>
    <m/>
    <m/>
  </r>
  <r>
    <d v="2024-02-01T00:00:00"/>
    <d v="2024-02-05T00:00:00"/>
    <s v="الاثنين "/>
    <s v="لفت ايجبت "/>
    <s v="سامى شعبان  "/>
    <s v="صيانة كلارك "/>
    <s v="تم العمل"/>
    <d v="1899-12-30T13:00:00"/>
    <d v="1899-12-30T15:00:00"/>
    <n v="8.333333333333337E-2"/>
    <s v="المطابع "/>
    <n v="2.0000000000000009"/>
    <m/>
    <m/>
    <x v="0"/>
    <n v="4"/>
    <s v="الاهتمام بشكل التصريح "/>
    <m/>
    <m/>
    <m/>
    <m/>
    <m/>
    <m/>
    <m/>
    <m/>
    <m/>
  </r>
  <r>
    <d v="2024-02-01T00:00:00"/>
    <d v="2024-02-06T00:00:00"/>
    <s v="الثلاثاء "/>
    <s v="شركة الامل للالمونتال"/>
    <s v="رامى محمد  "/>
    <s v="تركيب قواطع الالمونتال"/>
    <s v="تم العمل"/>
    <d v="1899-12-30T14:00:00"/>
    <d v="1899-12-30T16:00:00"/>
    <n v="8.3333333333333259E-2"/>
    <s v="المطابع "/>
    <n v="1.9999999999999982"/>
    <m/>
    <m/>
    <x v="2"/>
    <n v="4"/>
    <s v="لم يتم غلق التصريح "/>
    <m/>
    <m/>
    <m/>
    <m/>
    <m/>
    <m/>
    <m/>
    <m/>
    <m/>
  </r>
  <r>
    <d v="2024-02-01T00:00:00"/>
    <d v="2024-02-06T00:00:00"/>
    <s v="الثلاثاء "/>
    <s v="الورشة الهندسية "/>
    <s v="فارس خليل "/>
    <s v="تجميع وتركيب سلم الطوارىء"/>
    <s v="تم العمل"/>
    <d v="1899-12-30T11:00:00"/>
    <d v="1899-12-30T15:00:00"/>
    <n v="0.27079999999999999"/>
    <s v="دويتش "/>
    <n v="6.5"/>
    <m/>
    <m/>
    <x v="5"/>
    <n v="5"/>
    <m/>
    <m/>
    <m/>
    <m/>
    <m/>
    <m/>
    <m/>
    <m/>
    <m/>
    <m/>
  </r>
  <r>
    <d v="2024-02-01T00:00:00"/>
    <d v="2024-02-06T00:00:00"/>
    <s v="الثلاثاء "/>
    <s v="بازان "/>
    <s v="أحمد مخيمر  "/>
    <s v="تجميع وتركيب شبكة الحريق والكهرباء "/>
    <s v="تم العمل"/>
    <d v="1899-12-30T09:30:00"/>
    <d v="1899-12-30T17:00:00"/>
    <n v="0.31250000000000006"/>
    <s v="المطابع "/>
    <n v="7.5000000000000018"/>
    <m/>
    <m/>
    <x v="5"/>
    <n v="5"/>
    <m/>
    <m/>
    <m/>
    <m/>
    <m/>
    <m/>
    <m/>
    <m/>
    <m/>
    <m/>
  </r>
  <r>
    <d v="2024-02-01T00:00:00"/>
    <d v="2024-02-06T00:00:00"/>
    <s v="الثلاثاء "/>
    <s v="لفت ايجبت "/>
    <s v="سامى محمود "/>
    <s v="صيانة كلارك "/>
    <s v="تم العمل"/>
    <d v="1899-12-30T11:00:00"/>
    <d v="1899-12-30T17:00:00"/>
    <n v="0.25000000000000006"/>
    <s v="المطابع "/>
    <n v="6.0000000000000018"/>
    <m/>
    <m/>
    <x v="0"/>
    <n v="3"/>
    <s v="ناقص  توقيعات  والتاكد من تاريخ التصريح  "/>
    <m/>
    <m/>
    <m/>
    <m/>
    <m/>
    <m/>
    <m/>
    <m/>
    <m/>
  </r>
  <r>
    <d v="2024-02-01T00:00:00"/>
    <d v="2024-02-07T00:00:00"/>
    <s v="الاربعاء "/>
    <s v="الشركة الالمانية "/>
    <s v="زياد على "/>
    <s v="مكافحة حشرات "/>
    <s v="تم العمل"/>
    <d v="1899-12-30T10:00:00"/>
    <d v="1899-12-30T16:00:00"/>
    <n v="0.24999999999999994"/>
    <s v="المطابع "/>
    <n v="5.9999999999999982"/>
    <m/>
    <m/>
    <x v="2"/>
    <n v="5"/>
    <m/>
    <m/>
    <m/>
    <m/>
    <m/>
    <m/>
    <m/>
    <m/>
    <m/>
    <m/>
  </r>
  <r>
    <d v="2024-02-01T00:00:00"/>
    <d v="2024-02-07T00:00:00"/>
    <s v="الاربعاء "/>
    <s v="بازان "/>
    <s v="أحمد مخيمر  "/>
    <s v="تجميع وتركيب شبكة الحريق والكهرباء "/>
    <s v="تم العمل"/>
    <d v="1899-12-30T09:30:00"/>
    <d v="1899-12-30T17:00:00"/>
    <n v="0.31250000000000006"/>
    <s v="المخزن الجديد "/>
    <n v="7.5000000000000018"/>
    <m/>
    <m/>
    <x v="5"/>
    <n v="5"/>
    <m/>
    <m/>
    <m/>
    <m/>
    <m/>
    <m/>
    <m/>
    <m/>
    <m/>
    <m/>
  </r>
  <r>
    <d v="2024-02-01T00:00:00"/>
    <d v="2024-02-07T00:00:00"/>
    <s v="الاربعاء "/>
    <s v="مالك المخزن "/>
    <s v="فيكتور     "/>
    <s v="صيانة الديزل وشبكة الحريق "/>
    <s v="تم العمل"/>
    <d v="1899-12-30T14:00:00"/>
    <d v="1899-12-30T16:00:00"/>
    <n v="8.3333333333333259E-2"/>
    <s v="المطابع "/>
    <n v="1.9999999999999982"/>
    <m/>
    <m/>
    <x v="0"/>
    <n v="4"/>
    <s v="التاكد من تاريخ التصريح "/>
    <m/>
    <m/>
    <m/>
    <m/>
    <m/>
    <m/>
    <m/>
    <m/>
    <m/>
  </r>
  <r>
    <d v="2024-02-01T00:00:00"/>
    <d v="2024-02-08T00:00:00"/>
    <s v="الخميس "/>
    <s v="بازان "/>
    <s v="أحمد مخيمر  "/>
    <s v="تجميع وتركيب شبكة الحريق والانزار "/>
    <s v="تم العمل"/>
    <d v="1899-12-30T09:30:00"/>
    <d v="1899-12-30T17:30:00"/>
    <n v="0.33333333333333331"/>
    <s v="المخزن الجديد "/>
    <n v="8"/>
    <m/>
    <m/>
    <x v="5"/>
    <n v="5"/>
    <m/>
    <m/>
    <m/>
    <m/>
    <m/>
    <m/>
    <m/>
    <m/>
    <m/>
    <m/>
  </r>
  <r>
    <d v="2024-02-01T00:00:00"/>
    <d v="2024-02-10T00:00:00"/>
    <s v="السبت "/>
    <s v="بازان "/>
    <s v="أحمد مخيمر  "/>
    <s v="تجميع وتركيب شبكة الحريق والانزار "/>
    <s v="تم العمل"/>
    <d v="1899-12-30T09:30:00"/>
    <d v="1899-12-30T11:00:00"/>
    <n v="6.25E-2"/>
    <s v="المخزن الجديد "/>
    <n v="1.5"/>
    <m/>
    <m/>
    <x v="0"/>
    <n v="5"/>
    <m/>
    <m/>
    <m/>
    <m/>
    <m/>
    <m/>
    <m/>
    <m/>
    <m/>
    <m/>
  </r>
  <r>
    <d v="2024-02-01T00:00:00"/>
    <d v="2024-02-10T00:00:00"/>
    <s v="السبت "/>
    <s v="بازان "/>
    <s v="أحمد مخيمر  "/>
    <s v="تجميع وتركيب شبكة الحريق والانزار "/>
    <s v="تم العمل"/>
    <d v="1899-12-30T09:30:00"/>
    <d v="1899-12-30T17:30:00"/>
    <n v="0.33333333333333331"/>
    <s v="المخزن الجديد "/>
    <n v="8"/>
    <m/>
    <m/>
    <x v="0"/>
    <n v="5"/>
    <m/>
    <m/>
    <m/>
    <m/>
    <m/>
    <m/>
    <m/>
    <m/>
    <m/>
    <m/>
  </r>
  <r>
    <d v="2024-02-01T00:00:00"/>
    <d v="2024-02-11T00:00:00"/>
    <s v="الاحد "/>
    <s v="شركة الكريم "/>
    <s v="عصام شرف      "/>
    <s v="تركيب الطلمبة الجوكى "/>
    <s v="تم العمل"/>
    <d v="1899-12-30T16:30:00"/>
    <d v="1899-12-30T17:30:00"/>
    <n v="4.166666666666663E-2"/>
    <s v="المخزن القديم "/>
    <n v="0.99999999999999911"/>
    <m/>
    <m/>
    <x v="0"/>
    <n v="5"/>
    <m/>
    <m/>
    <m/>
    <m/>
    <m/>
    <m/>
    <m/>
    <m/>
    <m/>
    <m/>
  </r>
  <r>
    <d v="2024-02-01T00:00:00"/>
    <d v="2024-02-11T00:00:00"/>
    <s v="الاحد "/>
    <s v="بازان "/>
    <s v="أحمد مخيمر  "/>
    <s v="تجميع وتركيب شبكة الحريق والكهرباء "/>
    <s v="تم العمل"/>
    <d v="1899-12-30T09:30:00"/>
    <d v="1899-12-30T17:30:00"/>
    <n v="0.33333333333333331"/>
    <s v="المخزن الجديد "/>
    <n v="8"/>
    <m/>
    <m/>
    <x v="5"/>
    <n v="5"/>
    <m/>
    <m/>
    <m/>
    <m/>
    <m/>
    <m/>
    <m/>
    <m/>
    <m/>
    <m/>
  </r>
  <r>
    <d v="2024-02-01T00:00:00"/>
    <d v="2024-02-11T00:00:00"/>
    <s v="الاحد "/>
    <s v="الورشة الهندسية "/>
    <s v="محمود طلعت "/>
    <s v="تجميع وتركيب سلم الطوارىء"/>
    <s v="تم العمل"/>
    <d v="1899-12-30T09:30:00"/>
    <d v="1899-12-30T17:30:00"/>
    <n v="0.27079999999999999"/>
    <s v="المخزن الجديد "/>
    <n v="6.5"/>
    <m/>
    <m/>
    <x v="5"/>
    <n v="5"/>
    <m/>
    <m/>
    <m/>
    <m/>
    <m/>
    <m/>
    <m/>
    <m/>
    <m/>
    <m/>
  </r>
  <r>
    <d v="2024-02-01T00:00:00"/>
    <d v="2024-02-11T00:00:00"/>
    <s v="الاحد "/>
    <s v="لفت ايجبت "/>
    <s v="سامى شعبان  "/>
    <s v="صيانة كلارك "/>
    <s v="تم العمل"/>
    <d v="1899-12-30T22:30:00"/>
    <d v="1899-12-30T17:00:00"/>
    <n v="0.22916666666666663"/>
    <s v="المطابع "/>
    <n v="5.4999999999999991"/>
    <m/>
    <m/>
    <x v="0"/>
    <n v="5"/>
    <m/>
    <m/>
    <m/>
    <m/>
    <m/>
    <m/>
    <m/>
    <m/>
    <m/>
    <m/>
  </r>
  <r>
    <d v="2024-02-01T00:00:00"/>
    <d v="2024-02-11T00:00:00"/>
    <s v="الاحد "/>
    <s v="الشركة المصرية للعمارة الحديثة "/>
    <s v="حازم عبد الرحيم "/>
    <s v="صب ارضيات الشوارع "/>
    <s v="تم العمل"/>
    <d v="1899-12-30T09:30:00"/>
    <d v="1899-12-30T17:00:00"/>
    <n v="0.27079999999999999"/>
    <s v="المخزن القديم "/>
    <n v="6.5"/>
    <m/>
    <m/>
    <x v="0"/>
    <n v="5"/>
    <m/>
    <m/>
    <m/>
    <m/>
    <m/>
    <m/>
    <m/>
    <m/>
    <m/>
    <m/>
  </r>
  <r>
    <d v="2024-02-01T00:00:00"/>
    <d v="2024-02-11T00:00:00"/>
    <s v="الاحد "/>
    <s v="شركة الهدى "/>
    <s v="انس اسماعيل "/>
    <s v="تركيب ستاير  مكتب مدير المخازن  "/>
    <s v="تم العمل"/>
    <d v="1899-12-30T14:00:00"/>
    <d v="1899-12-30T16:00:00"/>
    <n v="0.27079999999999999"/>
    <s v="المخزن القديم "/>
    <n v="6.5"/>
    <m/>
    <m/>
    <x v="0"/>
    <n v="5"/>
    <m/>
    <m/>
    <m/>
    <m/>
    <m/>
    <m/>
    <m/>
    <m/>
    <m/>
    <m/>
  </r>
  <r>
    <d v="2024-02-01T00:00:00"/>
    <d v="2024-02-11T00:00:00"/>
    <s v="الاحد "/>
    <s v="الشؤون الادارية "/>
    <s v="محمد خليل النقيب "/>
    <s v="صيانة كهرباء المسجد "/>
    <s v="تم العمل"/>
    <d v="1899-12-30T13:30:00"/>
    <d v="1899-12-30T15:30:00"/>
    <n v="8.333333333333337E-2"/>
    <s v="المطابع "/>
    <n v="0.99999999999999911"/>
    <m/>
    <m/>
    <x v="0"/>
    <n v="5"/>
    <m/>
    <m/>
    <m/>
    <m/>
    <m/>
    <m/>
    <m/>
    <m/>
    <m/>
    <m/>
  </r>
  <r>
    <d v="2024-02-01T00:00:00"/>
    <d v="2024-02-12T00:00:00"/>
    <s v="الاثنين "/>
    <s v="مالك المخزن "/>
    <s v="فيكتور     "/>
    <s v="تركيب خرطوم الديزل "/>
    <s v="تم العمل"/>
    <d v="1899-12-30T14:00:00"/>
    <d v="1899-12-30T15:00:00"/>
    <n v="4.166666666666663E-2"/>
    <s v="مخزن الوزارة"/>
    <n v="0.99999999999999911"/>
    <m/>
    <m/>
    <x v="2"/>
    <n v="5"/>
    <m/>
    <m/>
    <m/>
    <m/>
    <m/>
    <m/>
    <m/>
    <m/>
    <m/>
    <m/>
  </r>
  <r>
    <d v="2024-02-01T00:00:00"/>
    <d v="2024-02-12T00:00:00"/>
    <s v="الاثنين "/>
    <s v="الورشة الهندسية "/>
    <s v="محمود طلعت "/>
    <s v="تجميع وتركيب سلم الطوارىء"/>
    <s v="تم العمل"/>
    <d v="1899-12-30T09:30:00"/>
    <d v="1899-12-30T15:00:00"/>
    <n v="0.27079999999999999"/>
    <s v="دويتش "/>
    <n v="6.5"/>
    <m/>
    <m/>
    <x v="5"/>
    <n v="5"/>
    <m/>
    <m/>
    <m/>
    <m/>
    <m/>
    <m/>
    <m/>
    <m/>
    <m/>
    <m/>
  </r>
  <r>
    <d v="2024-02-01T00:00:00"/>
    <d v="2024-02-12T00:00:00"/>
    <s v="الاثنين "/>
    <s v="بازان "/>
    <s v="أحمد مخيمر  "/>
    <s v="تجميع وتركيب شبكة الحريق والكهرباء "/>
    <s v="تم العمل"/>
    <d v="1899-12-30T09:30:00"/>
    <d v="1899-12-30T17:30:00"/>
    <n v="0.33333333333333331"/>
    <s v="المخزن الجديد "/>
    <n v="8"/>
    <m/>
    <m/>
    <x v="5"/>
    <n v="5"/>
    <m/>
    <m/>
    <m/>
    <m/>
    <m/>
    <m/>
    <m/>
    <m/>
    <m/>
    <m/>
  </r>
  <r>
    <d v="2024-02-01T00:00:00"/>
    <d v="2024-02-12T00:00:00"/>
    <s v="الاثنين "/>
    <s v="الشركة المصرية للعمارة الحديثة "/>
    <s v="حازم عبد الرحيم "/>
    <s v="صب ارضيات الشوارع "/>
    <s v="تم العمل"/>
    <d v="1899-12-30T09:30:00"/>
    <d v="1899-12-30T17:00:00"/>
    <n v="0.27079999999999999"/>
    <s v="المخزن القديم "/>
    <n v="6.5"/>
    <m/>
    <m/>
    <x v="0"/>
    <n v="5"/>
    <m/>
    <m/>
    <m/>
    <m/>
    <m/>
    <m/>
    <m/>
    <m/>
    <m/>
    <m/>
  </r>
  <r>
    <d v="2024-02-01T00:00:00"/>
    <d v="2024-02-12T00:00:00"/>
    <s v="الاثنين "/>
    <s v="لفت ايجبت "/>
    <s v="سامى شعبان  "/>
    <s v="صيانة كلارك "/>
    <s v="تم العمل"/>
    <d v="1899-12-30T11:00:00"/>
    <d v="1899-12-30T17:00:00"/>
    <n v="0.25000000000000006"/>
    <s v="المطابع "/>
    <n v="6.0000000000000018"/>
    <m/>
    <m/>
    <x v="0"/>
    <n v="5"/>
    <m/>
    <m/>
    <m/>
    <m/>
    <m/>
    <m/>
    <m/>
    <m/>
    <m/>
    <m/>
  </r>
  <r>
    <d v="2024-02-01T00:00:00"/>
    <d v="2024-02-12T00:00:00"/>
    <s v="الاثنين "/>
    <s v="القطاع الهندسى "/>
    <s v="حسن "/>
    <s v="توصيل الطلمبة الجوكى "/>
    <s v="تم العمل"/>
    <d v="1899-12-30T09:30:00"/>
    <d v="1899-12-30T14:00:00"/>
    <n v="0.27079999999999999"/>
    <s v="المخزن القديم "/>
    <n v="6.5"/>
    <m/>
    <m/>
    <x v="0"/>
    <n v="5"/>
    <m/>
    <m/>
    <m/>
    <m/>
    <m/>
    <m/>
    <m/>
    <m/>
    <m/>
    <m/>
  </r>
  <r>
    <d v="2024-02-01T00:00:00"/>
    <d v="2024-02-13T00:00:00"/>
    <s v="الثلاثاء "/>
    <s v="شركة فودافون "/>
    <s v="محمد حسن "/>
    <s v="تركيبات على ارتفعات "/>
    <s v="تم العمل"/>
    <d v="1899-12-30T11:00:00"/>
    <d v="1899-12-30T17:00:00"/>
    <n v="0.25000000000000006"/>
    <s v="البرج"/>
    <n v="6.0000000000000018"/>
    <m/>
    <m/>
    <x v="3"/>
    <n v="5"/>
    <m/>
    <m/>
    <m/>
    <m/>
    <m/>
    <m/>
    <m/>
    <m/>
    <m/>
    <m/>
  </r>
  <r>
    <d v="2024-02-01T00:00:00"/>
    <d v="2024-02-13T00:00:00"/>
    <s v="الثلاثاء "/>
    <s v="الشركة المصرية للعمارة الحديثة "/>
    <s v="حازم عبد الرحيم "/>
    <s v="صب ارضيات الشوارع "/>
    <s v="تم العمل"/>
    <d v="1899-12-30T09:30:00"/>
    <d v="1899-12-30T17:00:00"/>
    <n v="0.27079999999999999"/>
    <s v="المخزن القديم "/>
    <n v="6.5"/>
    <m/>
    <m/>
    <x v="0"/>
    <n v="5"/>
    <m/>
    <m/>
    <m/>
    <m/>
    <m/>
    <m/>
    <m/>
    <m/>
    <m/>
    <m/>
  </r>
  <r>
    <d v="2024-02-01T00:00:00"/>
    <d v="2024-02-13T00:00:00"/>
    <s v="الثلاثاء "/>
    <s v="شركة الكريم "/>
    <s v="عصام شرف      "/>
    <s v="صيانة طلمبة الجوكى "/>
    <s v="تم العمل"/>
    <d v="1899-12-30T11:00:00"/>
    <d v="1899-12-30T13:00:00"/>
    <n v="8.3333333333333315E-2"/>
    <s v="المخزن القديم "/>
    <n v="1.9999999999999996"/>
    <m/>
    <m/>
    <x v="0"/>
    <n v="5"/>
    <m/>
    <m/>
    <m/>
    <m/>
    <m/>
    <m/>
    <m/>
    <m/>
    <m/>
    <m/>
  </r>
  <r>
    <d v="2024-02-01T00:00:00"/>
    <d v="2024-02-13T00:00:00"/>
    <s v="الثلاثاء "/>
    <s v="شركة الكريم "/>
    <s v="علاء الشابورى   "/>
    <s v="الزيارة الشهرية صيانة نظام الانزار  "/>
    <s v="تم العمل"/>
    <d v="1899-12-30T11:00:00"/>
    <d v="1899-12-30T12:00:00"/>
    <n v="4.1666666666666685E-2"/>
    <s v="المطابع "/>
    <n v="1.0000000000000004"/>
    <m/>
    <m/>
    <x v="0"/>
    <n v="5"/>
    <m/>
    <m/>
    <m/>
    <m/>
    <m/>
    <m/>
    <m/>
    <m/>
    <m/>
    <m/>
  </r>
  <r>
    <d v="2024-02-01T00:00:00"/>
    <d v="2024-02-13T00:00:00"/>
    <s v="الثلاثاء "/>
    <s v="الورشة الهندسية "/>
    <s v="محمود طلعت "/>
    <s v="تجميع وتركيب سلم الطوارىء"/>
    <s v="تم العمل"/>
    <d v="1899-12-30T09:30:00"/>
    <d v="1899-12-30T15:00:00"/>
    <n v="0.27079999999999999"/>
    <s v="المخزن الجديد "/>
    <n v="6.5"/>
    <m/>
    <m/>
    <x v="5"/>
    <n v="5"/>
    <m/>
    <m/>
    <m/>
    <m/>
    <m/>
    <m/>
    <m/>
    <m/>
    <m/>
    <m/>
  </r>
  <r>
    <d v="2024-02-01T00:00:00"/>
    <d v="2024-02-13T00:00:00"/>
    <s v="الثلاثاء "/>
    <s v="بازان "/>
    <s v="أحمد مخيمر  "/>
    <s v="تجميع وتركيب شبكة الحريق والكهرباء "/>
    <s v="تم العمل"/>
    <d v="1899-12-30T09:30:00"/>
    <d v="1899-12-30T17:30:00"/>
    <n v="0.33333333333333331"/>
    <s v="المطابع "/>
    <n v="8"/>
    <m/>
    <m/>
    <x v="5"/>
    <n v="5"/>
    <m/>
    <m/>
    <m/>
    <m/>
    <m/>
    <m/>
    <m/>
    <m/>
    <m/>
    <m/>
  </r>
  <r>
    <d v="2024-02-01T00:00:00"/>
    <d v="2024-02-14T00:00:00"/>
    <s v="الاربعاء "/>
    <s v="شركة انت فاير "/>
    <s v="مينا محروس "/>
    <s v="لحام وتريكبات "/>
    <s v="تم العمل"/>
    <d v="1899-12-30T17:00:00"/>
    <d v="1899-12-30T13:00:00"/>
    <n v="0.16666666666666674"/>
    <s v="البرج"/>
    <n v="4.0000000000000018"/>
    <m/>
    <m/>
    <x v="3"/>
    <n v="5"/>
    <m/>
    <m/>
    <m/>
    <m/>
    <m/>
    <m/>
    <m/>
    <m/>
    <m/>
    <m/>
  </r>
  <r>
    <d v="2024-02-01T00:00:00"/>
    <d v="2024-02-14T00:00:00"/>
    <s v="الاربعاء "/>
    <s v="القطاع الهندسى "/>
    <s v="سيد معوض "/>
    <s v="صيانة كلارك "/>
    <s v="تم العمل"/>
    <d v="1899-12-30T16:00:00"/>
    <d v="1899-12-30T17:00:00"/>
    <n v="4.1666666666666741E-2"/>
    <s v="المطابع "/>
    <n v="1.0000000000000018"/>
    <m/>
    <m/>
    <x v="2"/>
    <n v="5"/>
    <m/>
    <m/>
    <m/>
    <m/>
    <m/>
    <m/>
    <m/>
    <m/>
    <m/>
    <m/>
  </r>
  <r>
    <d v="2024-02-01T00:00:00"/>
    <d v="2024-02-14T00:00:00"/>
    <s v="الاربعاء "/>
    <s v="القطاع الهندسى "/>
    <s v="حسن عبد العظيم "/>
    <s v="صيانة كشافات العنابر "/>
    <s v="تم العمل"/>
    <d v="1899-12-30T12:00:00"/>
    <d v="1899-12-30T17:00:00"/>
    <n v="0.20833333333333337"/>
    <s v="المطابع "/>
    <n v="5.0000000000000009"/>
    <m/>
    <m/>
    <x v="0"/>
    <n v="5"/>
    <m/>
    <m/>
    <m/>
    <m/>
    <m/>
    <m/>
    <m/>
    <m/>
    <m/>
    <m/>
  </r>
  <r>
    <d v="2024-02-01T00:00:00"/>
    <d v="2024-02-14T00:00:00"/>
    <s v="الاربعاء "/>
    <s v="شركة الكريم "/>
    <s v="عصام شرف      "/>
    <s v="تركيب الطلمبة الجوكى "/>
    <s v="تم العمل"/>
    <d v="1899-12-30T16:30:00"/>
    <d v="1899-12-30T17:30:00"/>
    <n v="4.166666666666663E-2"/>
    <s v="المخزن القديم "/>
    <n v="0.99999999999999911"/>
    <m/>
    <m/>
    <x v="0"/>
    <n v="5"/>
    <m/>
    <m/>
    <m/>
    <m/>
    <m/>
    <m/>
    <m/>
    <m/>
    <m/>
    <m/>
  </r>
  <r>
    <d v="2024-02-01T00:00:00"/>
    <d v="2024-02-14T00:00:00"/>
    <s v="الاربعاء "/>
    <s v="بازان "/>
    <s v="أحمد مخيمر  "/>
    <s v="تجميع وتركيب شبكة الحريق والكهرباء "/>
    <s v="تم العمل"/>
    <d v="1899-12-30T09:30:00"/>
    <d v="1899-12-30T17:30:00"/>
    <n v="0.33333333333333331"/>
    <s v="المخزن الجديد "/>
    <n v="8"/>
    <m/>
    <m/>
    <x v="5"/>
    <n v="5"/>
    <m/>
    <m/>
    <m/>
    <m/>
    <m/>
    <m/>
    <m/>
    <m/>
    <m/>
    <m/>
  </r>
  <r>
    <d v="2024-02-01T00:00:00"/>
    <d v="2024-02-14T00:00:00"/>
    <s v="الاربعاء "/>
    <s v="الشركة الالمانية "/>
    <s v="محمد ماهر "/>
    <s v="مكافحة حشرات "/>
    <s v="تم العمل"/>
    <d v="1899-12-30T10:30:00"/>
    <d v="1899-12-30T11:30:00"/>
    <n v="4.1666666666666685E-2"/>
    <s v="المخزن الجديد "/>
    <n v="1.0000000000000004"/>
    <m/>
    <m/>
    <x v="5"/>
    <n v="4"/>
    <m/>
    <m/>
    <m/>
    <m/>
    <m/>
    <m/>
    <m/>
    <m/>
    <m/>
    <m/>
  </r>
  <r>
    <d v="2024-02-01T00:00:00"/>
    <d v="2024-02-14T00:00:00"/>
    <s v="الاربعاء "/>
    <s v="الشركة المصرية للعمارة الحديثة "/>
    <s v="حازم عبد الرحيم "/>
    <s v="صب ارضيات الشوارع "/>
    <s v="تم العمل"/>
    <d v="1899-12-30T09:30:00"/>
    <d v="1899-12-30T17:00:00"/>
    <n v="0.27079999999999999"/>
    <s v="المخزن القديم "/>
    <n v="6.5"/>
    <m/>
    <m/>
    <x v="0"/>
    <n v="5"/>
    <m/>
    <m/>
    <m/>
    <m/>
    <m/>
    <m/>
    <m/>
    <m/>
    <m/>
    <m/>
  </r>
  <r>
    <d v="2024-02-01T00:00:00"/>
    <d v="2024-02-14T00:00:00"/>
    <s v="الاربعاء "/>
    <s v="الشركة الالمانية "/>
    <s v="محمد ماهر "/>
    <s v="مكافحة حشرات "/>
    <s v="تم العمل"/>
    <d v="1899-12-30T11:00:00"/>
    <d v="1899-12-30T15:00:00"/>
    <n v="0.16666666666666669"/>
    <s v="المخزن القديم "/>
    <n v="4"/>
    <m/>
    <m/>
    <x v="0"/>
    <n v="4"/>
    <s v="ناقص توقيعات "/>
    <m/>
    <m/>
    <m/>
    <m/>
    <m/>
    <m/>
    <m/>
    <m/>
    <m/>
  </r>
  <r>
    <d v="2024-02-01T00:00:00"/>
    <d v="2024-02-14T00:00:00"/>
    <s v="الاربعاء "/>
    <s v="الشؤون الادارية "/>
    <s v="محمد خليل النقيب "/>
    <s v="توصيل وتركيب  كهرباء "/>
    <s v="تم العمل"/>
    <d v="1899-12-30T13:00:00"/>
    <d v="1899-12-30T17:00:00"/>
    <n v="0.16666666666666674"/>
    <s v="المطابع "/>
    <n v="0.99999999999999911"/>
    <m/>
    <m/>
    <x v="0"/>
    <n v="5"/>
    <m/>
    <m/>
    <m/>
    <m/>
    <m/>
    <m/>
    <m/>
    <m/>
    <m/>
    <m/>
  </r>
  <r>
    <d v="2024-02-01T00:00:00"/>
    <d v="2024-02-15T00:00:00"/>
    <s v="الخميس "/>
    <s v="الورشة الهندسية "/>
    <s v="اشرف عبد العاطى "/>
    <s v="لحام قواعد حديد ماكينة حقن الامونيوم"/>
    <s v="تم العمل"/>
    <d v="1899-12-30T22:00:00"/>
    <d v="1899-12-30T17:00:00"/>
    <n v="0.27079999999999999"/>
    <s v="دويتش "/>
    <n v="6.5"/>
    <m/>
    <m/>
    <x v="2"/>
    <n v="5"/>
    <m/>
    <m/>
    <m/>
    <m/>
    <m/>
    <m/>
    <m/>
    <m/>
    <m/>
    <m/>
  </r>
  <r>
    <d v="2024-02-01T00:00:00"/>
    <d v="2024-02-15T00:00:00"/>
    <s v="الخميس "/>
    <s v="الشركة المصرية للعمارة الحديثة "/>
    <s v="حازم عبد الرحيم "/>
    <s v="صب ارضيات الشوارع "/>
    <s v="تم العمل"/>
    <d v="1899-12-30T09:30:00"/>
    <d v="1899-12-30T17:00:00"/>
    <n v="0.27079999999999999"/>
    <s v="المخزن القديم "/>
    <n v="6.5"/>
    <m/>
    <m/>
    <x v="0"/>
    <n v="5"/>
    <m/>
    <m/>
    <m/>
    <m/>
    <m/>
    <m/>
    <m/>
    <m/>
    <m/>
    <m/>
  </r>
  <r>
    <d v="2024-02-01T00:00:00"/>
    <d v="2024-02-15T00:00:00"/>
    <s v="الخميس "/>
    <s v="بازان "/>
    <s v="أحمد مخيمر  "/>
    <s v="تجميع وتركيب شبكة الحريق والكهرباء "/>
    <s v="تم العمل"/>
    <d v="1899-12-30T09:30:00"/>
    <d v="1899-12-30T17:30:00"/>
    <n v="0.33333333333333331"/>
    <s v="المخزن الجديد "/>
    <n v="8"/>
    <m/>
    <m/>
    <x v="5"/>
    <n v="5"/>
    <m/>
    <m/>
    <m/>
    <m/>
    <m/>
    <m/>
    <m/>
    <m/>
    <m/>
    <m/>
  </r>
  <r>
    <d v="2024-02-01T00:00:00"/>
    <d v="2024-02-17T00:00:00"/>
    <s v="السبت "/>
    <s v="الورشة الهندسية "/>
    <s v="افارس خليل  "/>
    <s v="لحام قواعد حديد ماكينة حقن الامونيوم"/>
    <s v="تم العمل"/>
    <d v="1899-12-30T09:30:00"/>
    <d v="1899-12-30T17:00:00"/>
    <n v="0.27079999999999999"/>
    <s v="دويتش "/>
    <n v="6.5"/>
    <m/>
    <m/>
    <x v="7"/>
    <n v="5"/>
    <m/>
    <m/>
    <m/>
    <m/>
    <m/>
    <m/>
    <m/>
    <m/>
    <m/>
    <m/>
  </r>
  <r>
    <d v="2024-02-01T00:00:00"/>
    <d v="2024-02-17T00:00:00"/>
    <s v="السبت "/>
    <s v="الشركة المصرية "/>
    <s v="علاء احمد "/>
    <s v="تريكبات "/>
    <s v="تم العمل"/>
    <d v="1899-12-30T09:30:00"/>
    <d v="1899-12-30T11:00:00"/>
    <n v="6.25E-2"/>
    <s v="البرج"/>
    <n v="1.5"/>
    <m/>
    <m/>
    <x v="3"/>
    <n v="5"/>
    <m/>
    <m/>
    <m/>
    <m/>
    <m/>
    <m/>
    <m/>
    <m/>
    <m/>
    <m/>
  </r>
  <r>
    <d v="2024-02-01T00:00:00"/>
    <d v="2024-02-17T00:00:00"/>
    <s v="السبت "/>
    <s v="الشركة المصرية "/>
    <s v="علاء احمد "/>
    <s v="تريكبات "/>
    <s v="تم العمل"/>
    <d v="1899-12-30T13:00:00"/>
    <d v="1899-12-30T15:00:00"/>
    <n v="8.333333333333337E-2"/>
    <s v="البرج"/>
    <n v="2.0000000000000009"/>
    <m/>
    <m/>
    <x v="3"/>
    <n v="5"/>
    <m/>
    <m/>
    <m/>
    <m/>
    <m/>
    <m/>
    <m/>
    <m/>
    <m/>
    <m/>
  </r>
  <r>
    <d v="2024-02-01T00:00:00"/>
    <d v="2024-02-17T00:00:00"/>
    <s v="السبت "/>
    <s v="الورشة الفنية لتشغيلات المعدنية "/>
    <s v="طارق رجب "/>
    <s v=" صيانة سقف عنبر  المعدنى ومجر صرف "/>
    <s v="تم العمل"/>
    <d v="1899-12-30T09:30:00"/>
    <d v="1899-12-30T17:00:00"/>
    <n v="0.27079999999999999"/>
    <s v="دويتش "/>
    <n v="6.5"/>
    <m/>
    <m/>
    <x v="7"/>
    <n v="5"/>
    <m/>
    <m/>
    <m/>
    <m/>
    <m/>
    <m/>
    <m/>
    <m/>
    <m/>
    <m/>
  </r>
  <r>
    <d v="2024-02-01T00:00:00"/>
    <d v="2024-02-17T00:00:00"/>
    <s v="السبت "/>
    <s v="الشركة المصرية للعمارة الحديثة "/>
    <s v="حازم عبد الرحيم "/>
    <s v="صب ارضيات الشوارع "/>
    <s v="تم العمل"/>
    <d v="1899-12-30T09:30:00"/>
    <d v="1899-12-30T17:00:00"/>
    <n v="0.27079999999999999"/>
    <s v="المخزن القديم "/>
    <n v="6.5"/>
    <m/>
    <m/>
    <x v="0"/>
    <n v="5"/>
    <m/>
    <m/>
    <m/>
    <m/>
    <m/>
    <m/>
    <m/>
    <m/>
    <m/>
    <m/>
  </r>
  <r>
    <d v="2024-02-01T00:00:00"/>
    <d v="2024-02-18T00:00:00"/>
    <s v="الاحد "/>
    <s v="الشركة المصرية للعمارة الحديثة "/>
    <s v="حازم عبد الرحيم "/>
    <s v="صب ارضيات الشوارع "/>
    <s v="تم العمل"/>
    <d v="1899-12-30T09:30:00"/>
    <d v="1899-12-30T17:00:00"/>
    <n v="0.27079999999999999"/>
    <s v="المخزن القديم "/>
    <n v="6.5"/>
    <m/>
    <m/>
    <x v="0"/>
    <n v="5"/>
    <m/>
    <m/>
    <m/>
    <m/>
    <m/>
    <m/>
    <m/>
    <m/>
    <m/>
    <m/>
  </r>
  <r>
    <d v="2024-02-01T00:00:00"/>
    <d v="2024-02-18T00:00:00"/>
    <s v="الاحد "/>
    <s v="الورشة الفنية لتشغيلات المعدنية "/>
    <s v="طارق رجب "/>
    <s v=" صيانة سقف عنبر  المعدنى ومجر صرف "/>
    <s v="تم العمل"/>
    <d v="1899-12-30T22:00:00"/>
    <d v="1899-12-30T14:00:00"/>
    <n v="0.27079999999999999"/>
    <s v="دويتش "/>
    <n v="6.5"/>
    <m/>
    <m/>
    <x v="2"/>
    <n v="5"/>
    <m/>
    <m/>
    <m/>
    <m/>
    <m/>
    <m/>
    <m/>
    <m/>
    <m/>
    <m/>
  </r>
  <r>
    <d v="2024-02-01T00:00:00"/>
    <d v="2024-02-18T00:00:00"/>
    <s v="الاحد "/>
    <s v="الورشة الهندسية "/>
    <s v="افارس خليل  "/>
    <s v="لحام قواعد حديد ماكينة حقن الامونيوم"/>
    <s v="تم العمل"/>
    <d v="1899-12-30T22:00:00"/>
    <d v="1899-12-30T15:00:00"/>
    <n v="0.27079999999999999"/>
    <s v="دويتش "/>
    <n v="6.5"/>
    <m/>
    <m/>
    <x v="2"/>
    <n v="5"/>
    <m/>
    <m/>
    <m/>
    <m/>
    <m/>
    <m/>
    <m/>
    <m/>
    <m/>
    <m/>
  </r>
  <r>
    <d v="2024-02-01T00:00:00"/>
    <d v="2024-02-18T00:00:00"/>
    <s v="الاحد "/>
    <s v="شركة اوزوريون "/>
    <s v="م/ رمضان  "/>
    <s v="تركيب حديد على عمدان الجمالون "/>
    <s v="تم العمل"/>
    <d v="1899-12-30T22:00:00"/>
    <d v="1899-12-30T16:00:00"/>
    <n v="0.27079999999999999"/>
    <s v="دويتش "/>
    <n v="6.5"/>
    <m/>
    <m/>
    <x v="2"/>
    <n v="5"/>
    <m/>
    <m/>
    <m/>
    <m/>
    <m/>
    <m/>
    <m/>
    <m/>
    <m/>
    <m/>
  </r>
  <r>
    <d v="2024-02-01T00:00:00"/>
    <d v="2024-02-18T00:00:00"/>
    <s v="الاحد "/>
    <s v="بازان "/>
    <s v="أحمد مخيمر  "/>
    <s v="تجميع وتركيب شبكة الحريق والكهرباء "/>
    <s v="تم العمل"/>
    <d v="1899-12-30T09:30:00"/>
    <d v="1899-12-30T17:30:00"/>
    <n v="0.33333333333333331"/>
    <s v="المخزن الجديد "/>
    <n v="8"/>
    <m/>
    <m/>
    <x v="5"/>
    <n v="5"/>
    <m/>
    <m/>
    <m/>
    <m/>
    <m/>
    <m/>
    <m/>
    <m/>
    <m/>
    <m/>
  </r>
  <r>
    <d v="2024-02-01T00:00:00"/>
    <d v="2024-02-18T00:00:00"/>
    <s v="الاحد "/>
    <s v="الورشة الهندسية "/>
    <s v="محمود طلعت "/>
    <s v="تجميع وتركيب سلم الطوارىء"/>
    <s v="تم العمل"/>
    <d v="1899-12-30T09:30:00"/>
    <d v="1899-12-30T15:00:00"/>
    <n v="0.27079999999999999"/>
    <s v="المخزن الجديد "/>
    <n v="6.5"/>
    <m/>
    <m/>
    <x v="5"/>
    <n v="5"/>
    <m/>
    <m/>
    <m/>
    <m/>
    <m/>
    <m/>
    <m/>
    <m/>
    <m/>
    <m/>
  </r>
  <r>
    <d v="2024-02-01T00:00:00"/>
    <d v="2024-02-19T00:00:00"/>
    <s v="الاثنين "/>
    <s v="الشركة المصرية للعمارة الحديثة "/>
    <s v="حازم عبد الرحيم "/>
    <s v="صب ارضيات الشوارع "/>
    <s v="تم العمل"/>
    <d v="1899-12-30T09:30:00"/>
    <d v="1899-12-30T17:00:00"/>
    <n v="0.27079999999999999"/>
    <s v="المخزن القديم "/>
    <n v="6.5"/>
    <m/>
    <m/>
    <x v="0"/>
    <n v="5"/>
    <m/>
    <m/>
    <m/>
    <m/>
    <m/>
    <m/>
    <m/>
    <m/>
    <m/>
    <m/>
  </r>
  <r>
    <d v="2024-02-01T00:00:00"/>
    <d v="2024-02-20T00:00:00"/>
    <s v="الثلاثاء "/>
    <s v="الورشة الفنية لتشغيلات المعدنية "/>
    <s v="طارق رجب "/>
    <s v=" صيانة سقف عنبر  المعدنى ومجر صرف "/>
    <s v="تم العمل"/>
    <d v="1899-12-30T22:00:00"/>
    <d v="1899-12-30T17:00:00"/>
    <n v="0.27079999999999999"/>
    <s v="دويتش "/>
    <n v="6.5"/>
    <m/>
    <m/>
    <x v="2"/>
    <n v="5"/>
    <m/>
    <m/>
    <m/>
    <m/>
    <m/>
    <m/>
    <m/>
    <m/>
    <m/>
    <m/>
  </r>
  <r>
    <d v="2024-02-01T00:00:00"/>
    <d v="2024-02-20T00:00:00"/>
    <s v="الثلاثاء "/>
    <s v="شركة الدروى "/>
    <s v="محمود الدروى "/>
    <s v="صيانة تكيفات "/>
    <s v="تم العمل"/>
    <d v="1899-12-30T14:00:00"/>
    <d v="1899-12-30T15:00:00"/>
    <n v="0.27079999999999999"/>
    <s v="المطابع "/>
    <n v="6.5"/>
    <m/>
    <m/>
    <x v="6"/>
    <n v="5"/>
    <m/>
    <m/>
    <m/>
    <m/>
    <m/>
    <m/>
    <m/>
    <m/>
    <m/>
    <m/>
  </r>
  <r>
    <d v="2024-02-01T00:00:00"/>
    <d v="2024-02-20T00:00:00"/>
    <s v="الثلاثاء "/>
    <s v="شركة اشتيكس "/>
    <s v="محمد عبد الرحمن"/>
    <s v="تغير سير ماكينة كولبس 2"/>
    <s v="تم العمل"/>
    <d v="1899-12-30T12:00:00"/>
    <d v="1899-12-30T15:00:00"/>
    <n v="0.27079999999999999"/>
    <s v="المطابع "/>
    <n v="6.5"/>
    <m/>
    <m/>
    <x v="6"/>
    <n v="5"/>
    <m/>
    <m/>
    <m/>
    <m/>
    <m/>
    <m/>
    <m/>
    <m/>
    <m/>
    <m/>
  </r>
  <r>
    <d v="2024-02-01T00:00:00"/>
    <d v="2024-02-20T00:00:00"/>
    <s v="الثلاثاء "/>
    <s v="الشركة المصرية للعمارة الحديثة "/>
    <s v="حازم عبد الرحيم "/>
    <s v="صب ارضيات الشوارع "/>
    <s v="تم العمل"/>
    <d v="1899-12-30T09:30:00"/>
    <d v="1899-12-30T17:00:00"/>
    <n v="0.27079999999999999"/>
    <s v="المخزن القديم "/>
    <n v="6.5"/>
    <m/>
    <m/>
    <x v="0"/>
    <n v="5"/>
    <m/>
    <m/>
    <m/>
    <m/>
    <m/>
    <m/>
    <m/>
    <m/>
    <m/>
    <m/>
  </r>
  <r>
    <d v="2024-02-01T00:00:00"/>
    <d v="2024-02-20T00:00:00"/>
    <s v="الثلاثاء "/>
    <s v="بازان "/>
    <s v="أحمد مخيمر  "/>
    <s v="تجميع وتركيب شبكة الحريق والكهرباء "/>
    <s v="تم العمل"/>
    <d v="1899-12-30T09:30:00"/>
    <d v="1899-12-30T17:30:00"/>
    <n v="0.33333333333333331"/>
    <s v="المخزن الجديد "/>
    <n v="8"/>
    <m/>
    <m/>
    <x v="5"/>
    <n v="5"/>
    <m/>
    <m/>
    <m/>
    <m/>
    <m/>
    <m/>
    <m/>
    <m/>
    <m/>
    <m/>
  </r>
  <r>
    <d v="2024-02-01T00:00:00"/>
    <d v="2024-02-20T00:00:00"/>
    <s v="الثلاثاء "/>
    <s v="الورشة الهندسية "/>
    <s v="ايمن رمضان "/>
    <s v="تجميع ودهان  سلم الطوارىء"/>
    <s v="تم العمل"/>
    <d v="1899-12-30T09:30:00"/>
    <d v="1899-12-30T13:00:00"/>
    <n v="0.27079999999999999"/>
    <s v="المخزن الجديد "/>
    <n v="6.5"/>
    <m/>
    <m/>
    <x v="5"/>
    <n v="5"/>
    <m/>
    <m/>
    <m/>
    <m/>
    <m/>
    <m/>
    <m/>
    <m/>
    <m/>
    <m/>
  </r>
  <r>
    <d v="2024-02-01T00:00:00"/>
    <d v="2024-02-20T00:00:00"/>
    <s v="الثلاثاء "/>
    <s v="الشؤون الادارية "/>
    <s v="احمد سعيد  "/>
    <s v="توصيل  ماسورة المياة للطلمبة الجوكى  "/>
    <s v="تم العمل"/>
    <d v="1899-12-30T11:00:00"/>
    <d v="1899-12-30T16:00:00"/>
    <n v="0.20833333333333331"/>
    <s v="المخزن القديم "/>
    <n v="0.99999999999999911"/>
    <m/>
    <m/>
    <x v="0"/>
    <n v="5"/>
    <m/>
    <m/>
    <m/>
    <m/>
    <m/>
    <m/>
    <m/>
    <m/>
    <m/>
    <m/>
  </r>
  <r>
    <d v="2024-02-01T00:00:00"/>
    <d v="2024-02-20T00:00:00"/>
    <s v="الثلاثاء "/>
    <s v="الشركة المتحدة "/>
    <s v="حسين حجاج "/>
    <s v="توصيل  ماسورة المياة للطلمبة الجوكى  "/>
    <s v="تم العمل"/>
    <d v="1899-12-30T12:00:00"/>
    <d v="1899-12-30T16:00:00"/>
    <n v="0.16666666666666663"/>
    <s v="المخزن القديم "/>
    <n v="0.99999999999999911"/>
    <m/>
    <m/>
    <x v="0"/>
    <n v="5"/>
    <m/>
    <m/>
    <m/>
    <m/>
    <m/>
    <m/>
    <m/>
    <m/>
    <m/>
    <m/>
  </r>
  <r>
    <d v="2024-02-01T00:00:00"/>
    <d v="2024-02-21T00:00:00"/>
    <s v="الاربعاء "/>
    <s v="الشركة الالمانية "/>
    <s v="احمد مظهر  "/>
    <s v="مكافحة حشرات "/>
    <s v="تم العمل"/>
    <d v="1899-12-30T11:30:00"/>
    <d v="1899-12-30T15:00:00"/>
    <n v="0.14583333333333331"/>
    <s v="المطابع "/>
    <n v="3.4999999999999996"/>
    <m/>
    <m/>
    <x v="7"/>
    <n v="5"/>
    <m/>
    <m/>
    <m/>
    <m/>
    <m/>
    <m/>
    <m/>
    <m/>
    <m/>
    <m/>
  </r>
  <r>
    <d v="2024-02-01T00:00:00"/>
    <d v="2024-02-21T00:00:00"/>
    <s v="الاربعاء "/>
    <s v="الورشة الهندسية للخراطة"/>
    <s v="صلاح خميس "/>
    <s v="اعمال لحام ارجون  ويب "/>
    <s v="تم العمل"/>
    <d v="1899-12-30T10:30:00"/>
    <d v="1899-12-30T13:00:00"/>
    <n v="0.10416666666666663"/>
    <s v="المطابع "/>
    <n v="2.4999999999999991"/>
    <m/>
    <m/>
    <x v="7"/>
    <n v="5"/>
    <m/>
    <m/>
    <m/>
    <m/>
    <m/>
    <m/>
    <m/>
    <m/>
    <m/>
    <m/>
  </r>
  <r>
    <d v="2024-02-01T00:00:00"/>
    <d v="2024-02-21T00:00:00"/>
    <s v="الاربعاء "/>
    <s v="الشركة الالمانية "/>
    <s v="زياد عادل "/>
    <s v="مكافحة حشرات "/>
    <s v="تم العمل"/>
    <d v="1899-12-30T10:30:00"/>
    <d v="1899-12-30T11:30:00"/>
    <n v="4.1666666666666685E-2"/>
    <s v="المطابع "/>
    <n v="1.0000000000000004"/>
    <m/>
    <m/>
    <x v="5"/>
    <n v="5"/>
    <m/>
    <m/>
    <m/>
    <m/>
    <m/>
    <m/>
    <m/>
    <m/>
    <m/>
    <m/>
  </r>
  <r>
    <d v="2024-02-01T00:00:00"/>
    <d v="2024-02-21T00:00:00"/>
    <s v="الاربعاء "/>
    <s v="الشركة المصرية للعمارة الحديثة "/>
    <s v="حازم عبد الرحيم "/>
    <s v="رصف  ارضيات الشوارع "/>
    <s v="تم العمل"/>
    <d v="1899-12-30T09:30:00"/>
    <d v="1899-12-30T17:00:00"/>
    <n v="0.27079999999999999"/>
    <s v="المخزن القديم "/>
    <n v="6.5"/>
    <m/>
    <m/>
    <x v="0"/>
    <n v="5"/>
    <m/>
    <m/>
    <m/>
    <m/>
    <m/>
    <m/>
    <m/>
    <m/>
    <m/>
    <m/>
  </r>
  <r>
    <d v="2024-02-01T00:00:00"/>
    <d v="2024-02-22T00:00:00"/>
    <s v="الخميس "/>
    <s v="الشركة المصرية للعمارة الحديثة "/>
    <s v="حازم عبد الرحيم "/>
    <s v="رصف ارضيات الشوارع "/>
    <s v="تم العمل"/>
    <d v="1899-12-30T09:30:00"/>
    <d v="1899-12-30T17:00:00"/>
    <n v="0.27079999999999999"/>
    <s v="المخزن القديم "/>
    <n v="6.5"/>
    <m/>
    <m/>
    <x v="0"/>
    <n v="5"/>
    <m/>
    <m/>
    <m/>
    <m/>
    <m/>
    <m/>
    <m/>
    <m/>
    <m/>
    <m/>
  </r>
  <r>
    <d v="2024-02-01T00:00:00"/>
    <d v="2024-02-22T00:00:00"/>
    <s v="الخميس "/>
    <s v="شركة الكريم "/>
    <s v="حامد  عطوان    "/>
    <s v="زيارة شركة كريم  للصيانة  الدورية "/>
    <s v="تم العمل"/>
    <d v="1899-12-30T13:00:00"/>
    <d v="1899-12-30T15:30:00"/>
    <n v="0.10416666666666674"/>
    <s v="المخزن الجديد "/>
    <n v="2.5000000000000018"/>
    <m/>
    <m/>
    <x v="5"/>
    <n v="5"/>
    <m/>
    <m/>
    <m/>
    <m/>
    <m/>
    <m/>
    <m/>
    <m/>
    <m/>
    <m/>
  </r>
  <r>
    <d v="2024-02-01T00:00:00"/>
    <d v="2024-02-23T00:00:00"/>
    <s v="الجمعة "/>
    <s v="الورشة الفنية لتشغيلات المعدنية "/>
    <s v="طارق رجب "/>
    <s v=" صيانة سقف عنبر  المعدنى ومجر صرف "/>
    <s v="تم العمل"/>
    <d v="1899-12-30T10:30:00"/>
    <d v="1899-12-30T16:00:00"/>
    <n v="0.27079999999999999"/>
    <s v="دويتش "/>
    <n v="6.5"/>
    <m/>
    <m/>
    <x v="2"/>
    <n v="5"/>
    <m/>
    <m/>
    <m/>
    <m/>
    <m/>
    <m/>
    <m/>
    <m/>
    <m/>
    <m/>
  </r>
  <r>
    <d v="2024-02-01T00:00:00"/>
    <d v="2024-02-24T00:00:00"/>
    <s v="السبت "/>
    <s v="الورشة الفنية لتشغيلات المعدنية "/>
    <s v="طارق رجب "/>
    <s v=" صيانة سقف عنبر  المعدنى ومجر صرف "/>
    <s v="تم العمل"/>
    <d v="1899-12-30T22:00:00"/>
    <d v="1899-12-30T16:00:00"/>
    <n v="0.27079999999999999"/>
    <s v="دويتش "/>
    <n v="6.5"/>
    <m/>
    <m/>
    <x v="3"/>
    <n v="5"/>
    <m/>
    <m/>
    <m/>
    <m/>
    <m/>
    <m/>
    <m/>
    <m/>
    <m/>
    <m/>
  </r>
  <r>
    <d v="2024-02-01T00:00:00"/>
    <d v="2024-02-24T00:00:00"/>
    <s v="السبت "/>
    <s v="الورشة الهندسية "/>
    <s v="محمود طلعت "/>
    <s v="عمل صنفرة ودهانات "/>
    <s v="تم العمل"/>
    <d v="1899-12-30T22:00:00"/>
    <d v="1899-12-30T16:00:00"/>
    <n v="0.27079999999999999"/>
    <s v="المخزن الجديد "/>
    <n v="6.5"/>
    <m/>
    <m/>
    <x v="3"/>
    <n v="5"/>
    <m/>
    <m/>
    <m/>
    <m/>
    <m/>
    <m/>
    <m/>
    <m/>
    <m/>
    <m/>
  </r>
  <r>
    <d v="2024-02-01T00:00:00"/>
    <d v="2024-02-24T00:00:00"/>
    <s v="السبت "/>
    <s v="الشركة المصرية للعمارة الحديثة "/>
    <s v="حازم عبد الرحيم "/>
    <s v="رصف ارضيات الشوارع "/>
    <s v="تم العمل"/>
    <d v="1899-12-30T22:00:00"/>
    <d v="1899-12-30T17:00:00"/>
    <n v="0.27079999999999999"/>
    <s v="المخزن القديم "/>
    <n v="6.5"/>
    <m/>
    <m/>
    <x v="6"/>
    <n v="5"/>
    <m/>
    <m/>
    <m/>
    <m/>
    <m/>
    <m/>
    <m/>
    <m/>
    <m/>
    <m/>
  </r>
  <r>
    <d v="2024-02-01T00:00:00"/>
    <d v="2024-02-25T00:00:00"/>
    <s v="الاحد "/>
    <s v="الشركة المصرية للعمارة الحديثة "/>
    <s v="حازم عبد الرحيم "/>
    <s v="رصف ارضيات الشوارع "/>
    <s v="تم العمل"/>
    <d v="1899-12-30T09:30:00"/>
    <d v="1899-12-30T17:00:00"/>
    <n v="0.27079999999999999"/>
    <s v="المخزن القديم "/>
    <n v="6.5"/>
    <m/>
    <m/>
    <x v="0"/>
    <n v="5"/>
    <m/>
    <m/>
    <m/>
    <m/>
    <m/>
    <m/>
    <m/>
    <m/>
    <m/>
    <m/>
  </r>
  <r>
    <d v="2024-02-01T00:00:00"/>
    <d v="2024-02-25T00:00:00"/>
    <s v="الاحد "/>
    <s v="شركة اوزوريون "/>
    <s v="مراد صالح  "/>
    <s v="تكسير الحمام الخاص بالعاملين للتجديدة "/>
    <s v="تم العمل"/>
    <d v="1899-12-30T22:00:00"/>
    <d v="1899-12-30T17:00:00"/>
    <n v="0.27079999999999999"/>
    <s v="المخزن القديم "/>
    <n v="6.5"/>
    <m/>
    <m/>
    <x v="0"/>
    <n v="5"/>
    <m/>
    <m/>
    <m/>
    <m/>
    <m/>
    <m/>
    <m/>
    <m/>
    <m/>
    <m/>
  </r>
  <r>
    <d v="2024-02-01T00:00:00"/>
    <d v="2024-02-25T00:00:00"/>
    <s v="الاثنين "/>
    <s v="الشركة الوطنية "/>
    <s v="محمد رمضان   "/>
    <s v="صيانة الكلاركات "/>
    <s v="تم العمل"/>
    <d v="1899-12-30T10:00:00"/>
    <d v="1899-12-30T15:00:00"/>
    <n v="0.20833333333333331"/>
    <s v="المطابع "/>
    <n v="5"/>
    <m/>
    <m/>
    <x v="6"/>
    <n v="5"/>
    <m/>
    <m/>
    <m/>
    <m/>
    <m/>
    <s v=" "/>
    <m/>
    <m/>
    <m/>
    <m/>
  </r>
  <r>
    <d v="2024-02-01T00:00:00"/>
    <d v="2024-02-25T00:00:00"/>
    <s v="الاثنين "/>
    <s v="شركة نات جاز "/>
    <s v="محمد حسنى   "/>
    <s v="صيانة دورية لغرف ومحابس الغاز     "/>
    <s v="تم العمل"/>
    <d v="1899-12-30T12:30:00"/>
    <d v="1899-12-30T13:30:00"/>
    <n v="4.166666666666663E-2"/>
    <s v="المطابع "/>
    <n v="0.99999999999999911"/>
    <m/>
    <m/>
    <x v="6"/>
    <n v="5"/>
    <m/>
    <m/>
    <m/>
    <m/>
    <m/>
    <s v=" "/>
    <m/>
    <m/>
    <m/>
    <m/>
  </r>
  <r>
    <d v="2024-02-01T00:00:00"/>
    <d v="2024-02-26T00:00:00"/>
    <s v="الاثنين "/>
    <s v="الشركة المصرية للعمارة الحديثة "/>
    <s v="حازم عبد الرحيم "/>
    <s v="رصف ارضيات الشوارع "/>
    <s v="تم العمل"/>
    <d v="1899-12-30T22:00:00"/>
    <d v="1899-12-30T17:00:00"/>
    <n v="0.27079999999999999"/>
    <s v="المخزن القديم "/>
    <n v="6.5"/>
    <m/>
    <m/>
    <x v="0"/>
    <n v="5"/>
    <m/>
    <m/>
    <m/>
    <m/>
    <m/>
    <m/>
    <m/>
    <m/>
    <m/>
    <m/>
  </r>
  <r>
    <d v="2024-02-01T00:00:00"/>
    <d v="2024-02-26T00:00:00"/>
    <s v="الاثنين "/>
    <s v="الورشة الفنية لتشغيلات المعدنية "/>
    <s v="طارق رجب "/>
    <s v=" صيانة سقف عنبر  المعدنى ومجر صرف "/>
    <s v="تم العمل"/>
    <d v="1899-12-30T09:00:00"/>
    <d v="1899-12-30T17:00:00"/>
    <n v="0.27079999999999999"/>
    <s v="دويتش "/>
    <n v="6.5"/>
    <m/>
    <m/>
    <x v="2"/>
    <n v="5"/>
    <m/>
    <m/>
    <m/>
    <m/>
    <m/>
    <m/>
    <m/>
    <m/>
    <m/>
    <m/>
  </r>
  <r>
    <d v="2024-02-01T00:00:00"/>
    <d v="2024-02-27T00:00:00"/>
    <s v="الثلاثاء "/>
    <s v="الورشة الفنية لتشغيلات المعدنية "/>
    <s v="طارق رجب "/>
    <s v=" صيانة سقف عنبر  المعدنى ومجر صرف "/>
    <s v="تم العمل"/>
    <d v="1899-12-30T09:00:00"/>
    <d v="1899-12-30T17:00:00"/>
    <n v="0.27079999999999999"/>
    <s v="دويتش "/>
    <n v="6.5"/>
    <m/>
    <m/>
    <x v="2"/>
    <n v="5"/>
    <m/>
    <m/>
    <m/>
    <m/>
    <m/>
    <m/>
    <m/>
    <m/>
    <m/>
    <m/>
  </r>
  <r>
    <d v="2024-02-01T00:00:00"/>
    <d v="2024-02-27T00:00:00"/>
    <s v="الثلاثاء "/>
    <s v="شركة جيلا  "/>
    <s v="احمد صلاح  "/>
    <s v="صيانة الدور العاشر "/>
    <s v="تم العمل"/>
    <d v="1899-12-30T15:00:00"/>
    <d v="1899-12-30T18:00:00"/>
    <n v="0.125"/>
    <s v="البرج"/>
    <n v="3"/>
    <m/>
    <m/>
    <x v="3"/>
    <n v="5"/>
    <m/>
    <m/>
    <m/>
    <m/>
    <m/>
    <m/>
    <m/>
    <m/>
    <m/>
    <m/>
  </r>
  <r>
    <d v="2024-02-01T00:00:00"/>
    <d v="2024-02-27T00:00:00"/>
    <s v="الثلاثاء "/>
    <s v="الشركة المصرية للعمارة الحديثة "/>
    <s v="حازم عبد الرحيم "/>
    <s v="رصف ارضيات الشوارع "/>
    <s v="تم العمل"/>
    <d v="1899-12-30T09:30:00"/>
    <d v="1899-12-30T17:00:00"/>
    <n v="0.27079999999999999"/>
    <s v="دويتش "/>
    <n v="6.5"/>
    <m/>
    <m/>
    <x v="0"/>
    <n v="5"/>
    <m/>
    <m/>
    <m/>
    <m/>
    <m/>
    <m/>
    <m/>
    <m/>
    <m/>
    <m/>
  </r>
  <r>
    <d v="2024-02-01T00:00:00"/>
    <d v="2024-02-27T00:00:00"/>
    <s v="الثلاثاء "/>
    <s v="شركة اوزوريون "/>
    <s v="مراد صالح  "/>
    <s v="استكمال اعمال تجديد حمام العاملين بالمخازن "/>
    <s v="تم العمل"/>
    <d v="1899-12-30T22:00:00"/>
    <d v="1899-12-30T17:00:00"/>
    <n v="0.27079999999999999"/>
    <s v="المخزن القديم "/>
    <n v="6.5"/>
    <m/>
    <m/>
    <x v="0"/>
    <n v="5"/>
    <m/>
    <m/>
    <m/>
    <m/>
    <m/>
    <m/>
    <m/>
    <m/>
    <m/>
    <m/>
  </r>
  <r>
    <d v="2024-02-01T00:00:00"/>
    <d v="2024-02-27T00:00:00"/>
    <s v="الثلاثاء "/>
    <s v="بازان "/>
    <s v="أحمد مخيمر  "/>
    <s v="تجميع وتركيب شبكة الحريق والكهرباء "/>
    <s v="تم العمل"/>
    <d v="1899-12-30T09:30:00"/>
    <d v="1899-12-30T16:00:00"/>
    <n v="0.27083333333333331"/>
    <s v="المخزن الجديد "/>
    <n v="6.5"/>
    <m/>
    <m/>
    <x v="5"/>
    <n v="5"/>
    <m/>
    <m/>
    <m/>
    <m/>
    <m/>
    <m/>
    <m/>
    <m/>
    <m/>
    <m/>
  </r>
  <r>
    <d v="2024-02-01T00:00:00"/>
    <d v="2024-02-27T00:00:00"/>
    <s v="الثلاثاء "/>
    <s v="شركة جيلا  "/>
    <s v="شريف حسن "/>
    <s v="صيانة وتركيبات الدور العاشر "/>
    <s v="تم العمل"/>
    <d v="1899-12-30T12:30:00"/>
    <d v="1899-12-30T14:00:00"/>
    <n v="6.25E-2"/>
    <s v="البرج"/>
    <n v="1.5"/>
    <m/>
    <m/>
    <x v="3"/>
    <n v="5"/>
    <m/>
    <m/>
    <m/>
    <m/>
    <m/>
    <m/>
    <m/>
    <m/>
    <m/>
    <m/>
  </r>
  <r>
    <d v="2024-02-01T00:00:00"/>
    <d v="2024-02-28T00:00:00"/>
    <s v="الاربعاء "/>
    <s v="الشركة المصرية للعمارة الحديثة "/>
    <s v="حازم عبد الرحيم "/>
    <s v="رصف ارضيات الشوارع "/>
    <s v="تم العمل"/>
    <d v="1899-12-30T09:30:00"/>
    <d v="1899-12-30T17:00:00"/>
    <n v="0.27079999999999999"/>
    <s v="المخزن القديم "/>
    <n v="6.5"/>
    <m/>
    <m/>
    <x v="0"/>
    <n v="5"/>
    <m/>
    <m/>
    <m/>
    <m/>
    <m/>
    <m/>
    <m/>
    <m/>
    <m/>
    <m/>
  </r>
  <r>
    <d v="2024-02-01T00:00:00"/>
    <d v="2024-02-28T00:00:00"/>
    <s v="الاربعاء "/>
    <s v="لفت ايجبت "/>
    <s v="سامى شعبان  "/>
    <s v="صيانة الكلاركات الهونداى "/>
    <s v="تم العمل"/>
    <d v="1899-12-30T10:00:00"/>
    <d v="1899-12-30T17:00:00"/>
    <n v="0.29166666666666669"/>
    <s v="المخزن القديم "/>
    <n v="7"/>
    <m/>
    <m/>
    <x v="0"/>
    <n v="5"/>
    <m/>
    <m/>
    <m/>
    <m/>
    <m/>
    <m/>
    <m/>
    <m/>
    <m/>
    <m/>
  </r>
  <r>
    <d v="2024-02-01T00:00:00"/>
    <d v="2024-02-28T00:00:00"/>
    <s v="الاربعاء "/>
    <s v="الورشة الفنية لتشغيلات المعدنية "/>
    <s v="طارق رجب "/>
    <s v=" صيانة سقف عنبر  المعدنى ومجر صرف "/>
    <s v="تم العمل"/>
    <d v="1899-12-30T09:00:00"/>
    <d v="1899-12-30T16:00:00"/>
    <n v="0.27079999999999999"/>
    <s v="دويتش "/>
    <n v="6.5"/>
    <m/>
    <m/>
    <x v="2"/>
    <n v="5"/>
    <m/>
    <m/>
    <m/>
    <m/>
    <m/>
    <m/>
    <m/>
    <m/>
    <m/>
    <m/>
  </r>
  <r>
    <d v="2024-02-01T00:00:00"/>
    <d v="2024-02-28T00:00:00"/>
    <s v="الاربعاء "/>
    <s v="الشركة الالمانية "/>
    <s v="محمد ماهر "/>
    <s v="مكافحة حشرات "/>
    <s v="تم العمل"/>
    <d v="1899-12-30T12:00:00"/>
    <d v="1899-12-30T17:00:00"/>
    <n v="0.20833333333333337"/>
    <s v="المخزن القديم "/>
    <n v="5.0000000000000009"/>
    <m/>
    <m/>
    <x v="0"/>
    <n v="5"/>
    <m/>
    <m/>
    <m/>
    <m/>
    <m/>
    <m/>
    <m/>
    <m/>
    <m/>
    <m/>
  </r>
  <r>
    <d v="2024-02-01T00:00:00"/>
    <d v="2024-02-28T00:00:00"/>
    <s v="الاربعاء "/>
    <s v="الشؤون الادارية "/>
    <s v="محمود ابو شادى "/>
    <s v="انشاء حمام بديل حمام العمال  يتم تجديدة  "/>
    <s v="تم العمل"/>
    <d v="1899-12-30T11:00:00"/>
    <d v="1899-12-30T17:00:00"/>
    <n v="0.25000000000000006"/>
    <s v="المخزن القديم "/>
    <n v="0.99999999999999911"/>
    <m/>
    <m/>
    <x v="0"/>
    <n v="5"/>
    <m/>
    <m/>
    <m/>
    <m/>
    <m/>
    <m/>
    <m/>
    <m/>
    <m/>
    <m/>
  </r>
  <r>
    <d v="2024-02-01T00:00:00"/>
    <d v="2024-02-28T00:00:00"/>
    <s v="الاربعاء "/>
    <s v="شركة اوزوريون "/>
    <s v="مراد صالح  "/>
    <s v="استكمال اعمال تجديد حمام العاملين بالمخازن "/>
    <s v="تم العمل"/>
    <d v="1899-12-30T10:00:00"/>
    <d v="1899-12-30T17:00:00"/>
    <n v="0.27079999999999999"/>
    <s v="المخزن القديم "/>
    <n v="6.5"/>
    <m/>
    <m/>
    <x v="0"/>
    <n v="5"/>
    <m/>
    <m/>
    <m/>
    <m/>
    <m/>
    <m/>
    <m/>
    <m/>
    <m/>
    <m/>
  </r>
  <r>
    <d v="2024-02-01T00:00:00"/>
    <d v="2024-02-28T00:00:00"/>
    <s v="الاربعاء "/>
    <s v="الشركة الالمانية "/>
    <s v="محمد ماهر "/>
    <s v="مكافحة حشرات "/>
    <s v="تم العمل"/>
    <d v="1899-12-30T10:30:00"/>
    <d v="1899-12-30T11:30:00"/>
    <n v="4.1666666666666685E-2"/>
    <s v="المخزن الجديد "/>
    <n v="1.0000000000000004"/>
    <m/>
    <m/>
    <x v="5"/>
    <n v="5"/>
    <m/>
    <m/>
    <m/>
    <m/>
    <m/>
    <m/>
    <m/>
    <m/>
    <m/>
    <m/>
  </r>
  <r>
    <d v="2024-02-01T00:00:00"/>
    <d v="2024-02-28T00:00:00"/>
    <s v="الاربعاء "/>
    <s v="الشركة المصرية للعمارة الحديثة "/>
    <s v="عبد الله السيد عباس "/>
    <s v="اعمال شق وتكسير بالرامب "/>
    <s v="تم العمل"/>
    <d v="1899-12-30T11:00:00"/>
    <d v="1899-12-30T13:30:00"/>
    <n v="0.27079999999999999"/>
    <s v="المخزن الجديد "/>
    <n v="6.5"/>
    <m/>
    <m/>
    <x v="5"/>
    <n v="5"/>
    <m/>
    <m/>
    <m/>
    <m/>
    <m/>
    <m/>
    <m/>
    <m/>
    <m/>
    <m/>
  </r>
  <r>
    <d v="2024-02-01T00:00:00"/>
    <d v="2024-02-29T00:00:00"/>
    <s v="الاربعاء "/>
    <s v="بازان "/>
    <s v="أحمد مخيمر  "/>
    <s v="تجميع وتركيب شبكة الحريق والكهرباء "/>
    <s v="تم العمل"/>
    <d v="1899-12-30T10:00:00"/>
    <d v="1899-12-30T16:00:00"/>
    <n v="0.24999999999999994"/>
    <s v="المخزن الجديد "/>
    <n v="5.9999999999999982"/>
    <m/>
    <m/>
    <x v="5"/>
    <n v="5"/>
    <m/>
    <m/>
    <m/>
    <m/>
    <m/>
    <m/>
    <m/>
    <m/>
    <m/>
    <m/>
  </r>
  <r>
    <d v="2024-02-01T00:00:00"/>
    <d v="2024-02-28T00:00:00"/>
    <s v="الخميس "/>
    <s v="الورشة الفنية لتشغيلات المعدنية "/>
    <s v="طارق رجب "/>
    <s v=" صيانة سقف عنبر  المعدنى ومجر صرف "/>
    <s v="تم العمل"/>
    <d v="1899-12-30T09:00:00"/>
    <d v="1899-12-30T16:00:00"/>
    <n v="0.27079999999999999"/>
    <s v="دويتش "/>
    <n v="6.5"/>
    <m/>
    <m/>
    <x v="2"/>
    <n v="5"/>
    <m/>
    <m/>
    <m/>
    <m/>
    <m/>
    <m/>
    <m/>
    <m/>
    <m/>
    <m/>
  </r>
  <r>
    <d v="2024-02-01T00:00:00"/>
    <d v="2024-02-29T00:00:00"/>
    <s v="الخميس "/>
    <s v="الشركة المصرية للعمارة الحديثة "/>
    <s v="عبد الله السيد عباس "/>
    <s v="اعمال شق وتكسير بالرامب "/>
    <s v="تم العمل"/>
    <d v="1899-12-30T10:00:00"/>
    <d v="1899-12-30T15:30:00"/>
    <n v="0.27079999999999999"/>
    <s v="المخزن الجديد "/>
    <n v="6.5"/>
    <m/>
    <m/>
    <x v="5"/>
    <n v="5"/>
    <m/>
    <m/>
    <m/>
    <m/>
    <m/>
    <m/>
    <m/>
    <m/>
    <m/>
    <m/>
  </r>
  <r>
    <d v="2024-02-01T00:00:00"/>
    <d v="2024-02-29T00:00:00"/>
    <s v="الخميس "/>
    <s v="الشركة المصرية للعمارة الحديثة "/>
    <s v="حازم عبد الرحيم "/>
    <s v="رصف ارضيات الشوارع "/>
    <s v="تم العمل"/>
    <d v="1899-12-30T09:30:00"/>
    <d v="1899-12-30T16:00:00"/>
    <n v="0.27079999999999999"/>
    <s v="المخزن القديم "/>
    <n v="6.5"/>
    <m/>
    <m/>
    <x v="6"/>
    <n v="5"/>
    <m/>
    <m/>
    <m/>
    <m/>
    <m/>
    <m/>
    <m/>
    <m/>
    <m/>
    <m/>
  </r>
  <r>
    <d v="2024-03-01T00:00:00"/>
    <d v="2024-03-01T00:00:00"/>
    <s v="الجمعة "/>
    <s v="الورشة الفنية لتشغيلات المعدنية "/>
    <s v="اكرم  رجب "/>
    <s v=" صيانة سقف عنبر  المعدنى ومجر صرف "/>
    <s v="تم العمل"/>
    <d v="1899-12-30T09:30:00"/>
    <d v="1899-12-30T17:00:00"/>
    <n v="0.27079999999999999"/>
    <s v="دويتش "/>
    <n v="6.5"/>
    <m/>
    <m/>
    <x v="3"/>
    <n v="5"/>
    <m/>
    <m/>
    <m/>
    <m/>
    <m/>
    <m/>
    <m/>
    <m/>
    <m/>
    <m/>
  </r>
  <r>
    <d v="2024-03-01T00:00:00"/>
    <d v="2024-03-02T00:00:00"/>
    <s v="السبت "/>
    <s v="لفت ايجبت "/>
    <s v="سامى شعبان  "/>
    <s v="صيانة الكلاركات الهونداى "/>
    <s v="تم العمل"/>
    <d v="1899-12-30T15:00:00"/>
    <d v="1899-12-30T17:00:00"/>
    <n v="8.333333333333337E-2"/>
    <s v="المطابع "/>
    <n v="2.0000000000000009"/>
    <m/>
    <m/>
    <x v="2"/>
    <n v="5"/>
    <m/>
    <m/>
    <m/>
    <m/>
    <m/>
    <m/>
    <m/>
    <m/>
    <m/>
    <m/>
  </r>
  <r>
    <d v="2024-03-01T00:00:00"/>
    <d v="2024-03-02T00:00:00"/>
    <s v="السبت "/>
    <s v="الورشة الفنية لتشغيلات المعدنية "/>
    <s v="طارق رجب "/>
    <s v=" صيانة سقف عنبر  المعدنى ومجر صرف "/>
    <s v="تم العمل"/>
    <d v="1899-12-30T09:30:00"/>
    <d v="1899-12-30T17:00:00"/>
    <n v="0.27079999999999999"/>
    <s v="دويتش "/>
    <n v="6.5"/>
    <m/>
    <m/>
    <x v="2"/>
    <n v="5"/>
    <m/>
    <m/>
    <m/>
    <m/>
    <m/>
    <m/>
    <m/>
    <m/>
    <m/>
    <m/>
  </r>
  <r>
    <d v="2024-03-01T00:00:00"/>
    <d v="2024-03-02T00:00:00"/>
    <s v="السبت "/>
    <s v="الشركة المصرية للعمارة الحديثة "/>
    <s v="حازم عبد الرحيم "/>
    <s v="رصف ارضيات الشوارع "/>
    <s v="تم العمل"/>
    <d v="1899-12-30T09:30:00"/>
    <d v="1899-12-30T17:00:00"/>
    <n v="0.27079999999999999"/>
    <s v="المخزن القديم "/>
    <n v="6.5"/>
    <m/>
    <m/>
    <x v="0"/>
    <n v="5"/>
    <m/>
    <m/>
    <m/>
    <m/>
    <m/>
    <m/>
    <m/>
    <m/>
    <m/>
    <m/>
  </r>
  <r>
    <d v="2024-03-01T00:00:00"/>
    <d v="2024-03-02T00:00:00"/>
    <s v="السبت "/>
    <s v="شركة اوزوريون "/>
    <s v="مراد صالح  "/>
    <s v="استكمال اعمال تجديد حمام العاملين بالمخازن "/>
    <s v="تم العمل"/>
    <d v="1899-12-30T10:00:00"/>
    <d v="1899-12-30T17:00:00"/>
    <n v="0.27079999999999999"/>
    <s v="المخزن القديم "/>
    <n v="6.5"/>
    <m/>
    <m/>
    <x v="0"/>
    <n v="5"/>
    <m/>
    <m/>
    <m/>
    <m/>
    <m/>
    <m/>
    <m/>
    <m/>
    <m/>
    <m/>
  </r>
  <r>
    <d v="2024-03-01T00:00:00"/>
    <d v="2024-03-02T00:00:00"/>
    <s v="السبت "/>
    <s v="الشركة المصرية للعمارة الحديثة "/>
    <s v="عبد الله السيد عباس "/>
    <s v="اعمال شق وتكسير بالرامب "/>
    <s v="تم العمل"/>
    <d v="1899-12-30T10:00:00"/>
    <d v="1899-12-30T17:00:00"/>
    <n v="0.27079999999999999"/>
    <s v="المخزن الجديد "/>
    <n v="6.5"/>
    <m/>
    <m/>
    <x v="5"/>
    <n v="4"/>
    <s v="ناقص توقيعات "/>
    <m/>
    <m/>
    <m/>
    <m/>
    <m/>
    <m/>
    <m/>
    <m/>
    <m/>
  </r>
  <r>
    <d v="2024-03-01T00:00:00"/>
    <d v="2024-03-03T00:00:00"/>
    <s v="الاحد "/>
    <s v="شركة اوزوريون "/>
    <s v="عبد الحميد "/>
    <s v="عمل قوائم خرسانة للجمالون  "/>
    <s v="تم العمل"/>
    <d v="1899-12-30T09:00:00"/>
    <d v="1899-12-30T17:00:00"/>
    <n v="0.27079999999999999"/>
    <s v="دويتش "/>
    <n v="6.5"/>
    <m/>
    <m/>
    <x v="2"/>
    <n v="5"/>
    <m/>
    <m/>
    <m/>
    <m/>
    <m/>
    <m/>
    <m/>
    <m/>
    <m/>
    <m/>
  </r>
  <r>
    <d v="2024-03-01T00:00:00"/>
    <d v="2024-03-03T00:00:00"/>
    <s v="الاحد "/>
    <s v="شركة الكريم "/>
    <s v="ممدوح عبد التواب "/>
    <s v="تغيير  واستبدال حساسات التجليد "/>
    <s v="تم العمل"/>
    <d v="1899-12-30T09:30:00"/>
    <d v="1899-12-30T17:00:00"/>
    <n v="0.31250000000000006"/>
    <s v="المطابع "/>
    <n v="7.5000000000000018"/>
    <m/>
    <m/>
    <x v="6"/>
    <n v="5"/>
    <m/>
    <m/>
    <m/>
    <m/>
    <m/>
    <m/>
    <m/>
    <m/>
    <m/>
    <m/>
  </r>
  <r>
    <d v="2024-03-01T00:00:00"/>
    <d v="2024-03-03T00:00:00"/>
    <s v="الاحد "/>
    <s v="الورشة الهندسية "/>
    <s v="فارس خليل  "/>
    <s v="لحامات فى الجمالون "/>
    <s v="تم العمل"/>
    <d v="1899-12-30T09:00:00"/>
    <d v="1899-12-30T16:00:00"/>
    <n v="0.27079999999999999"/>
    <s v="دويتش "/>
    <n v="6.5"/>
    <m/>
    <m/>
    <x v="2"/>
    <n v="5"/>
    <m/>
    <m/>
    <m/>
    <m/>
    <m/>
    <m/>
    <m/>
    <m/>
    <m/>
    <m/>
  </r>
  <r>
    <d v="2024-03-01T00:00:00"/>
    <d v="2024-03-03T00:00:00"/>
    <s v="الاحد "/>
    <s v="الورشة الفنية لتشغيلات المعدنية "/>
    <s v="طارق رجب "/>
    <s v="احلا ل وتجديد سقف جمالون دويتش  "/>
    <s v="تم العمل"/>
    <d v="1899-12-30T09:00:00"/>
    <d v="1899-12-30T16:00:00"/>
    <n v="0.27079999999999999"/>
    <s v="دويتش "/>
    <n v="6.5"/>
    <m/>
    <m/>
    <x v="2"/>
    <n v="5"/>
    <m/>
    <m/>
    <m/>
    <m/>
    <m/>
    <m/>
    <m/>
    <m/>
    <m/>
    <m/>
  </r>
  <r>
    <d v="2024-03-01T00:00:00"/>
    <d v="2024-03-03T00:00:00"/>
    <s v="الاحد "/>
    <s v="شركة اوزوريون "/>
    <s v="مراد صالح  "/>
    <s v="استكمال اعمال تجديد حمام العاملين بالمخازن "/>
    <s v="تم العمل"/>
    <d v="1899-12-30T11:30:00"/>
    <d v="1899-12-30T17:00:00"/>
    <n v="0.27079999999999999"/>
    <s v="المخزن القديم "/>
    <n v="6.5"/>
    <m/>
    <m/>
    <x v="0"/>
    <n v="5"/>
    <m/>
    <m/>
    <m/>
    <m/>
    <m/>
    <m/>
    <m/>
    <m/>
    <m/>
    <m/>
  </r>
  <r>
    <d v="2024-03-01T00:00:00"/>
    <d v="2024-03-03T00:00:00"/>
    <s v="الاحد "/>
    <s v="بازان "/>
    <s v="أحمد مخيمر  "/>
    <s v="تجميع وتركيب شبكة الحريق والكهرباء "/>
    <s v="تم العمل"/>
    <d v="1899-12-30T10:30:00"/>
    <d v="1899-12-30T17:30:00"/>
    <n v="0.29166666666666663"/>
    <s v="المخزن الجديد "/>
    <n v="6.9999999999999991"/>
    <m/>
    <m/>
    <x v="5"/>
    <n v="5"/>
    <m/>
    <m/>
    <m/>
    <m/>
    <m/>
    <m/>
    <m/>
    <m/>
    <m/>
    <m/>
  </r>
  <r>
    <d v="2024-03-01T00:00:00"/>
    <d v="2024-03-03T00:00:00"/>
    <s v="الاحد "/>
    <s v="الشركة المصرية للعمارة الحديثة "/>
    <s v="حازم عبد الرحيم "/>
    <s v="رصف ارضيات الشوارع "/>
    <s v="تم العمل"/>
    <d v="1899-12-30T09:30:00"/>
    <d v="1899-12-30T17:00:00"/>
    <n v="0.27079999999999999"/>
    <s v="المخزن القديم "/>
    <n v="6.5"/>
    <m/>
    <m/>
    <x v="0"/>
    <n v="5"/>
    <m/>
    <m/>
    <m/>
    <m/>
    <m/>
    <m/>
    <m/>
    <m/>
    <m/>
    <m/>
  </r>
  <r>
    <d v="2024-03-01T00:00:00"/>
    <d v="2024-03-04T00:00:00"/>
    <s v="الاثنين "/>
    <s v="شركة اوزوريون "/>
    <s v="مراد صالح  "/>
    <s v="استكمال اعمال تجديد حمام العاملين بالمخازن "/>
    <s v="تم العمل"/>
    <d v="1899-12-30T11:30:00"/>
    <d v="1899-12-30T17:00:00"/>
    <n v="0.27079999999999999"/>
    <s v="المخزن القديم "/>
    <n v="6.5"/>
    <m/>
    <m/>
    <x v="0"/>
    <n v="5"/>
    <m/>
    <m/>
    <m/>
    <m/>
    <m/>
    <m/>
    <m/>
    <m/>
    <m/>
    <m/>
  </r>
  <r>
    <d v="2024-03-01T00:00:00"/>
    <d v="2024-03-04T00:00:00"/>
    <s v="الاثنين "/>
    <s v="الورشة الهندسية "/>
    <s v="فارس خليل  "/>
    <s v="لحامات فى الجمالون "/>
    <s v="تم العمل"/>
    <d v="1899-12-30T09:00:00"/>
    <d v="1899-12-30T16:00:00"/>
    <n v="0.27079999999999999"/>
    <s v="دويتش "/>
    <n v="6.5"/>
    <m/>
    <m/>
    <x v="2"/>
    <n v="5"/>
    <m/>
    <m/>
    <m/>
    <m/>
    <m/>
    <m/>
    <m/>
    <m/>
    <m/>
    <m/>
  </r>
  <r>
    <d v="2024-03-01T00:00:00"/>
    <d v="2024-03-04T00:00:00"/>
    <s v="الاثنين "/>
    <s v="الورشة الفنية لتشغيلات المعدنية "/>
    <s v="طارق رجب "/>
    <s v="احلا ل وتجديد سقف جمالون دويتش  "/>
    <s v="تم العمل"/>
    <d v="1899-12-30T09:00:00"/>
    <d v="1899-12-30T16:00:00"/>
    <n v="0.27079999999999999"/>
    <s v="دويتش "/>
    <n v="6.5"/>
    <m/>
    <m/>
    <x v="2"/>
    <n v="4"/>
    <s v="لم يتم غلق التصريح "/>
    <m/>
    <m/>
    <m/>
    <m/>
    <m/>
    <m/>
    <m/>
    <m/>
    <m/>
  </r>
  <r>
    <d v="2024-03-01T00:00:00"/>
    <d v="2024-03-04T00:00:00"/>
    <s v="الاثنين "/>
    <s v="الشؤون الادارية "/>
    <s v="خميس محمد ع الحليم"/>
    <s v="هدم وتكسير سلم العاملين   "/>
    <s v="تم العمل"/>
    <d v="1899-12-30T09:00:00"/>
    <d v="1899-12-30T16:00:00"/>
    <n v="0.29166666666666663"/>
    <s v="المطابع "/>
    <n v="0.99999999999999911"/>
    <m/>
    <m/>
    <x v="8"/>
    <n v="5"/>
    <m/>
    <m/>
    <m/>
    <m/>
    <m/>
    <m/>
    <m/>
    <m/>
    <m/>
    <m/>
  </r>
  <r>
    <d v="2024-03-01T00:00:00"/>
    <d v="2024-03-04T00:00:00"/>
    <s v="الاثنين "/>
    <s v="الشركة المصرية للعمارة الحديثة "/>
    <s v="حازم عبد الرحيم "/>
    <s v="رصف ارضيات الشوارع "/>
    <s v="تم العمل"/>
    <d v="1899-12-30T09:30:00"/>
    <d v="1899-12-30T17:00:00"/>
    <n v="0.27079999999999999"/>
    <s v="المخزن القديم "/>
    <n v="6.5"/>
    <m/>
    <m/>
    <x v="0"/>
    <n v="5"/>
    <m/>
    <m/>
    <m/>
    <m/>
    <m/>
    <m/>
    <m/>
    <m/>
    <m/>
    <m/>
  </r>
  <r>
    <d v="2024-03-01T00:00:00"/>
    <d v="2024-03-04T00:00:00"/>
    <s v="الاثنين "/>
    <s v="شركة الكريم "/>
    <s v="ممدوح عبد التواب "/>
    <s v="تغيير  واستبدال حساسات التجليد "/>
    <s v="تم العمل"/>
    <d v="1899-12-30T09:30:00"/>
    <d v="1899-12-30T17:00:00"/>
    <n v="0.31250000000000006"/>
    <s v="المطابع "/>
    <n v="7.5000000000000018"/>
    <m/>
    <m/>
    <x v="6"/>
    <n v="5"/>
    <m/>
    <m/>
    <m/>
    <m/>
    <m/>
    <m/>
    <m/>
    <m/>
    <m/>
    <m/>
  </r>
  <r>
    <d v="2024-03-01T00:00:00"/>
    <d v="2024-03-05T00:00:00"/>
    <s v="الثلاثاء "/>
    <s v="الشركة المصرية للعمارة الحديثة "/>
    <s v="حازم عبد الرحيم "/>
    <s v="رصف ارضيات الشوارع "/>
    <s v="تم العمل"/>
    <d v="1899-12-30T09:30:00"/>
    <d v="1899-12-30T17:00:00"/>
    <n v="0.27079999999999999"/>
    <s v="المخزن القديم "/>
    <n v="6.5"/>
    <m/>
    <m/>
    <x v="0"/>
    <n v="5"/>
    <m/>
    <m/>
    <m/>
    <m/>
    <m/>
    <m/>
    <m/>
    <m/>
    <m/>
    <m/>
  </r>
  <r>
    <d v="2024-03-01T00:00:00"/>
    <d v="2024-03-05T00:00:00"/>
    <s v="الثلاثاء "/>
    <s v="شركة الكريم "/>
    <s v="علاء الشابورى   "/>
    <s v="صيانة شبكة الانزار "/>
    <s v="تم العمل"/>
    <d v="1899-12-30T12:30:00"/>
    <d v="1899-12-30T14:00:00"/>
    <n v="6.25E-2"/>
    <s v="المطابع "/>
    <n v="1.5"/>
    <m/>
    <m/>
    <x v="0"/>
    <n v="5"/>
    <m/>
    <m/>
    <m/>
    <m/>
    <m/>
    <m/>
    <m/>
    <m/>
    <m/>
    <m/>
  </r>
  <r>
    <d v="2024-03-01T00:00:00"/>
    <d v="2024-03-05T00:00:00"/>
    <s v="الثلاثاء "/>
    <s v="شركة الكريم "/>
    <s v="ممدوح عبد التواب "/>
    <s v="تغيير  واستبدال حساسات التجليد "/>
    <s v="تم العمل"/>
    <d v="1899-12-30T09:30:00"/>
    <d v="1899-12-30T17:00:00"/>
    <n v="0.31250000000000006"/>
    <s v="المطابع "/>
    <n v="7.5000000000000018"/>
    <m/>
    <m/>
    <x v="6"/>
    <n v="5"/>
    <m/>
    <m/>
    <m/>
    <m/>
    <m/>
    <m/>
    <m/>
    <m/>
    <m/>
    <m/>
  </r>
  <r>
    <d v="2024-03-01T00:00:00"/>
    <d v="2024-03-05T00:00:00"/>
    <s v="الثلاثاء "/>
    <s v="الشؤون الادارية "/>
    <s v="عبد الرحمان محمد "/>
    <s v="تركيب رخام سلم العاملين  "/>
    <s v="تم العمل"/>
    <d v="1899-12-30T10:00:00"/>
    <d v="1899-12-30T21:30:00"/>
    <n v="0.47916666666666669"/>
    <s v="المطابع "/>
    <n v="0.99999999999999911"/>
    <m/>
    <m/>
    <x v="9"/>
    <n v="4"/>
    <s v="الاهتمام بشكل التصريح "/>
    <m/>
    <m/>
    <m/>
    <m/>
    <m/>
    <m/>
    <m/>
    <m/>
    <m/>
  </r>
  <r>
    <d v="2024-03-01T00:00:00"/>
    <d v="2024-03-05T00:00:00"/>
    <s v="الثلاثاء "/>
    <s v="بازان "/>
    <s v="أحمد مخيمر  "/>
    <s v="تجميع وتركيب شبكة الحريق والكهرباء "/>
    <s v="تم العمل"/>
    <d v="1899-12-30T10:30:00"/>
    <d v="1899-12-30T17:30:00"/>
    <n v="0.29166666666666663"/>
    <s v="المخزن الجديد "/>
    <n v="6.9999999999999991"/>
    <m/>
    <m/>
    <x v="5"/>
    <n v="5"/>
    <m/>
    <m/>
    <m/>
    <m/>
    <m/>
    <m/>
    <m/>
    <m/>
    <m/>
    <m/>
  </r>
  <r>
    <d v="2024-03-01T00:00:00"/>
    <d v="2024-03-05T00:00:00"/>
    <s v="الثلاثاء "/>
    <s v="الشركة المصرية للعمارة الحديثة "/>
    <s v="عبد الله السيد عباس "/>
    <s v="التعديل بالرامب "/>
    <s v="تم العمل"/>
    <d v="1899-12-30T00:00:00"/>
    <d v="1899-12-30T15:30:00"/>
    <n v="0.27079999999999999"/>
    <s v="المخزن الجديد "/>
    <n v="6.5"/>
    <m/>
    <m/>
    <x v="5"/>
    <n v="4"/>
    <s v="ناقص توقيعات "/>
    <m/>
    <m/>
    <m/>
    <m/>
    <m/>
    <m/>
    <m/>
    <m/>
    <m/>
  </r>
  <r>
    <d v="2024-03-01T00:00:00"/>
    <d v="2024-03-05T00:00:00"/>
    <s v="الثلاثاء "/>
    <s v="شركة الكريم "/>
    <s v="علاء الشابورى   "/>
    <s v="صيانة شبكة الانزار "/>
    <s v="تم العمل"/>
    <d v="1899-12-30T10:00:00"/>
    <d v="1899-12-30T10:30:00"/>
    <n v="2.0833333333333315E-2"/>
    <s v="المطابع "/>
    <n v="0.49999999999999956"/>
    <m/>
    <m/>
    <x v="5"/>
    <n v="5"/>
    <m/>
    <m/>
    <m/>
    <m/>
    <m/>
    <m/>
    <m/>
    <m/>
    <m/>
    <m/>
  </r>
  <r>
    <d v="2024-02-01T00:00:00"/>
    <d v="2024-03-06T00:00:00"/>
    <s v="الاربعاء "/>
    <s v="القطاع الهندسى "/>
    <s v="حسن  عبد العظيم "/>
    <s v="توصيل كونتا كتور الخاص بالطلمبة الجوكى "/>
    <s v="تم العمل"/>
    <d v="1899-12-30T15:30:00"/>
    <d v="1899-12-30T16:00:00"/>
    <n v="0.27079999999999999"/>
    <s v="المخزن الجديد "/>
    <n v="6.5"/>
    <m/>
    <m/>
    <x v="0"/>
    <n v="5"/>
    <m/>
    <m/>
    <m/>
    <m/>
    <m/>
    <m/>
    <m/>
    <m/>
    <m/>
    <m/>
  </r>
  <r>
    <d v="2024-03-01T00:00:00"/>
    <d v="2024-03-06T00:00:00"/>
    <s v="الاربعاء "/>
    <s v="الشركة المصرية للعمارة الحديثة "/>
    <s v="عبد الله السيد عباس "/>
    <s v="التعديل بالرامب "/>
    <s v="تم العمل"/>
    <d v="1899-12-30T10:00:00"/>
    <d v="1899-12-30T15:00:00"/>
    <n v="0.27079999999999999"/>
    <s v="المطابع "/>
    <n v="6.5"/>
    <m/>
    <m/>
    <x v="5"/>
    <n v="5"/>
    <m/>
    <m/>
    <m/>
    <m/>
    <m/>
    <m/>
    <m/>
    <m/>
    <m/>
    <m/>
  </r>
  <r>
    <d v="2024-03-01T00:00:00"/>
    <d v="2024-03-06T00:00:00"/>
    <s v="الاربعاء "/>
    <s v="بازان "/>
    <s v="أحمد مخيمر  "/>
    <s v="تجميع وتركيب شبكة الحريق والكهرباء "/>
    <s v="تم العمل"/>
    <d v="1899-12-30T10:00:00"/>
    <d v="1899-12-30T17:30:00"/>
    <n v="0.31249999999999994"/>
    <s v="المخزن الجديد "/>
    <n v="7.4999999999999982"/>
    <m/>
    <m/>
    <x v="5"/>
    <n v="5"/>
    <m/>
    <m/>
    <m/>
    <m/>
    <m/>
    <m/>
    <m/>
    <m/>
    <m/>
    <m/>
  </r>
  <r>
    <d v="2024-03-01T00:00:00"/>
    <d v="2024-03-06T00:00:00"/>
    <s v="الاربعاء "/>
    <s v="الشؤون الادارية "/>
    <s v="محمد خليل "/>
    <s v="توصيل ماتور رفع المياة فى المبنى الادالرى  "/>
    <s v="تم العمل"/>
    <d v="1899-12-30T10:30:00"/>
    <d v="1899-12-30T15:30:00"/>
    <n v="0.20833333333333337"/>
    <s v="المطابع "/>
    <n v="0.99999999999999911"/>
    <m/>
    <m/>
    <x v="0"/>
    <n v="4"/>
    <s v="ناقص توقيعات "/>
    <m/>
    <m/>
    <m/>
    <m/>
    <m/>
    <m/>
    <m/>
    <m/>
    <m/>
  </r>
  <r>
    <d v="2024-03-01T00:00:00"/>
    <d v="2024-03-06T00:00:00"/>
    <s v="الاربعاء "/>
    <s v="الشركة المصرية للعمارة الحديثة "/>
    <s v="حازم عبد الرحيم "/>
    <s v="رصف ارضيات الشوارع "/>
    <s v="تم العمل"/>
    <d v="1899-12-30T09:30:00"/>
    <d v="1899-12-30T17:00:00"/>
    <n v="0.27079999999999999"/>
    <s v="المخزن القديم "/>
    <n v="6.5"/>
    <m/>
    <m/>
    <x v="0"/>
    <n v="5"/>
    <m/>
    <m/>
    <m/>
    <m/>
    <m/>
    <m/>
    <m/>
    <m/>
    <m/>
    <m/>
  </r>
  <r>
    <d v="2024-03-01T00:00:00"/>
    <d v="2024-03-06T00:00:00"/>
    <s v="الاربعاء "/>
    <s v="شركة الكريم "/>
    <s v="ممدوح عبد التواب "/>
    <s v="تغيير  واستبدال حساسات التجليد "/>
    <s v="تم العمل"/>
    <d v="1899-12-30T10:00:00"/>
    <d v="1899-12-30T18:00:00"/>
    <n v="0.33333333333333331"/>
    <s v="المطابع "/>
    <n v="8"/>
    <m/>
    <m/>
    <x v="6"/>
    <n v="5"/>
    <m/>
    <m/>
    <m/>
    <m/>
    <m/>
    <m/>
    <m/>
    <m/>
    <m/>
    <m/>
  </r>
  <r>
    <d v="2024-03-01T00:00:00"/>
    <d v="2024-03-06T00:00:00"/>
    <s v="الاربعاء "/>
    <s v="شركة اوزوريون "/>
    <s v="مراد صالح  "/>
    <s v=" تجديد حمام العاملين بالمخازن "/>
    <s v="تم العمل"/>
    <d v="1899-12-30T10:00:00"/>
    <d v="1899-12-30T17:00:00"/>
    <n v="0.27079999999999999"/>
    <s v="المخزن القديم "/>
    <n v="6.5"/>
    <m/>
    <m/>
    <x v="0"/>
    <n v="5"/>
    <m/>
    <m/>
    <m/>
    <m/>
    <m/>
    <m/>
    <m/>
    <m/>
    <m/>
    <m/>
  </r>
  <r>
    <d v="2024-03-01T00:00:00"/>
    <d v="2024-03-07T00:00:00"/>
    <s v="الخميس "/>
    <s v="بازان "/>
    <s v="أحمد مخيمر  "/>
    <s v="تجميع وتركيب شبكة الحريق والكهرباء "/>
    <s v="تم العمل"/>
    <d v="1899-12-30T10:00:00"/>
    <d v="1899-12-30T17:00:00"/>
    <n v="0.29166666666666669"/>
    <s v="المطابع "/>
    <n v="7"/>
    <m/>
    <m/>
    <x v="5"/>
    <n v="5"/>
    <m/>
    <m/>
    <m/>
    <m/>
    <m/>
    <m/>
    <m/>
    <m/>
    <m/>
    <m/>
  </r>
  <r>
    <d v="2024-03-01T00:00:00"/>
    <d v="2024-03-07T00:00:00"/>
    <s v="الخميس "/>
    <s v="الشركة المصرية للعمارة الحديثة "/>
    <s v="حازم عبد الرحيم "/>
    <s v="رصف ارضيات الشوارع "/>
    <s v="تم العمل"/>
    <d v="1899-12-30T09:30:00"/>
    <d v="1899-12-30T17:00:00"/>
    <n v="0.27079999999999999"/>
    <s v="المخزن القديم "/>
    <n v="6.5"/>
    <m/>
    <m/>
    <x v="0"/>
    <n v="5"/>
    <m/>
    <m/>
    <m/>
    <m/>
    <m/>
    <m/>
    <m/>
    <m/>
    <m/>
    <m/>
  </r>
  <r>
    <d v="2024-03-01T00:00:00"/>
    <d v="2024-03-07T00:00:00"/>
    <s v="الخميس "/>
    <s v="الشؤون الادارية "/>
    <s v="احمد عبد النبى  "/>
    <s v="تركيب رخام سلم العاملين  "/>
    <s v="تم العمل"/>
    <d v="1899-12-30T10:00:00"/>
    <d v="1899-12-30T21:30:00"/>
    <n v="0.47916666666666669"/>
    <s v="المطابع "/>
    <n v="0.99999999999999911"/>
    <m/>
    <m/>
    <x v="9"/>
    <n v="5"/>
    <m/>
    <m/>
    <m/>
    <m/>
    <m/>
    <m/>
    <m/>
    <m/>
    <m/>
    <m/>
  </r>
  <r>
    <d v="2024-03-01T00:00:00"/>
    <d v="2024-03-07T00:00:00"/>
    <s v="الخميس "/>
    <s v="شركة الكريم "/>
    <s v="ممدوح عبد التواب "/>
    <s v="تغيير  واستبدال حساسات التجليد "/>
    <s v="تم العمل"/>
    <d v="1899-12-30T10:00:00"/>
    <d v="1899-12-30T17:00:00"/>
    <n v="0.29166666666666669"/>
    <s v="المطابع "/>
    <n v="7"/>
    <m/>
    <m/>
    <x v="8"/>
    <n v="5"/>
    <m/>
    <m/>
    <m/>
    <m/>
    <m/>
    <m/>
    <m/>
    <m/>
    <m/>
    <m/>
  </r>
  <r>
    <d v="2024-03-01T00:00:00"/>
    <d v="2024-03-07T00:00:00"/>
    <s v="الخميس "/>
    <s v="شركة اوزوريون "/>
    <s v="محمد حسنى  "/>
    <s v="عمل شدة خشبية  عمدان العنبر الجديد"/>
    <s v="تم العمل"/>
    <d v="1899-12-30T09:00:00"/>
    <d v="1899-12-30T16:00:00"/>
    <n v="0.27079999999999999"/>
    <s v="المخزن الجديد "/>
    <n v="6.5"/>
    <m/>
    <m/>
    <x v="2"/>
    <n v="5"/>
    <m/>
    <m/>
    <m/>
    <m/>
    <m/>
    <m/>
    <m/>
    <m/>
    <m/>
    <m/>
  </r>
  <r>
    <d v="2024-03-01T00:00:00"/>
    <d v="2024-03-08T00:00:00"/>
    <s v="الجمعة "/>
    <s v="الشؤون الادارية "/>
    <s v="ياسر روبى  "/>
    <s v="تركيب رخام لحمام استراحة المهندسين "/>
    <s v="تم العمل"/>
    <d v="1899-12-30T01:00:00"/>
    <d v="1899-12-30T17:00:00"/>
    <n v="0.66666666666666674"/>
    <s v="المطابع "/>
    <n v="0.99999999999999911"/>
    <m/>
    <m/>
    <x v="3"/>
    <n v="4"/>
    <s v="لم يتم غلق التصريح "/>
    <m/>
    <m/>
    <m/>
    <m/>
    <m/>
    <m/>
    <m/>
    <m/>
    <m/>
  </r>
  <r>
    <d v="2024-03-01T00:00:00"/>
    <d v="2024-03-09T00:00:00"/>
    <s v="السبت "/>
    <s v="بازان "/>
    <s v="أحمد مخيمر  "/>
    <s v="تجميع وتركيب شبكة الحريق والكهرباء "/>
    <s v="تم العمل"/>
    <d v="1899-12-30T10:00:00"/>
    <d v="1899-12-30T16:00:00"/>
    <n v="0.24999999999999994"/>
    <s v="المخزن الجديد "/>
    <n v="5.9999999999999982"/>
    <m/>
    <m/>
    <x v="5"/>
    <n v="5"/>
    <m/>
    <m/>
    <m/>
    <m/>
    <m/>
    <m/>
    <m/>
    <m/>
    <m/>
    <m/>
  </r>
  <r>
    <d v="2024-03-01T00:00:00"/>
    <d v="2024-03-09T00:00:00"/>
    <s v="السبت "/>
    <s v="الشركة المصرية للعمارة الحديثة "/>
    <s v="عبد الله السيد عباس "/>
    <s v="التعديل بالرامب "/>
    <s v="تم العمل"/>
    <d v="1899-12-30T10:00:00"/>
    <d v="1899-12-30T15:30:00"/>
    <n v="0.27079999999999999"/>
    <s v="المخزن الجديد "/>
    <n v="6.5"/>
    <m/>
    <m/>
    <x v="5"/>
    <n v="5"/>
    <m/>
    <m/>
    <m/>
    <m/>
    <m/>
    <m/>
    <m/>
    <m/>
    <m/>
    <m/>
  </r>
  <r>
    <d v="2024-03-01T00:00:00"/>
    <d v="2024-03-09T00:00:00"/>
    <s v="السبت "/>
    <s v="الشركة المصرية للعمارة الحديثة "/>
    <s v="حازم عبد الرحيم "/>
    <s v="رصف ارضيات الشوارع "/>
    <s v="تم العمل"/>
    <d v="1899-12-30T09:30:00"/>
    <d v="1899-12-30T17:00:00"/>
    <n v="0.27079999999999999"/>
    <s v="المخزن القديم "/>
    <n v="6.5"/>
    <m/>
    <m/>
    <x v="0"/>
    <n v="5"/>
    <m/>
    <m/>
    <m/>
    <m/>
    <m/>
    <m/>
    <m/>
    <m/>
    <m/>
    <m/>
  </r>
  <r>
    <d v="2024-03-01T00:00:00"/>
    <d v="2024-03-09T00:00:00"/>
    <s v="السبت "/>
    <s v="شركة اوزوريون "/>
    <s v="مراد صالح  "/>
    <s v=" تجديد حمام العاملين بالمخازن "/>
    <s v="تم العمل"/>
    <d v="1899-12-30T10:00:00"/>
    <d v="1899-12-30T16:00:00"/>
    <n v="0.27079999999999999"/>
    <s v="المخزن القديم "/>
    <n v="6.5"/>
    <m/>
    <m/>
    <x v="0"/>
    <n v="5"/>
    <m/>
    <m/>
    <m/>
    <m/>
    <m/>
    <m/>
    <m/>
    <m/>
    <m/>
    <m/>
  </r>
  <r>
    <d v="2024-03-01T00:00:00"/>
    <d v="2024-03-09T00:00:00"/>
    <s v="السبت "/>
    <s v="شركة الكريم "/>
    <s v="ممدوح عبد التواب "/>
    <s v="تغيير  واستبدال حساسات التجليد "/>
    <s v="تم العمل"/>
    <d v="1899-12-30T10:00:00"/>
    <d v="1899-12-30T17:00:00"/>
    <n v="0.29166666666666669"/>
    <s v="المطابع "/>
    <n v="7"/>
    <m/>
    <m/>
    <x v="8"/>
    <n v="5"/>
    <m/>
    <m/>
    <m/>
    <m/>
    <m/>
    <m/>
    <m/>
    <m/>
    <m/>
    <m/>
  </r>
  <r>
    <d v="2024-03-01T00:00:00"/>
    <d v="2024-03-09T00:00:00"/>
    <s v="السبت "/>
    <s v="الورشة الفنية لتشغيلات المعدنية "/>
    <s v="اكرم طارق  "/>
    <s v="احلا ل وتجديد سقف جمالون دويتش  "/>
    <s v="تم العمل"/>
    <d v="1899-12-30T09:00:00"/>
    <d v="1899-12-30T16:00:00"/>
    <n v="0.27079999999999999"/>
    <s v="دويتش "/>
    <n v="6.5"/>
    <m/>
    <m/>
    <x v="8"/>
    <n v="5"/>
    <m/>
    <m/>
    <m/>
    <m/>
    <m/>
    <m/>
    <m/>
    <m/>
    <m/>
    <m/>
  </r>
  <r>
    <d v="2024-03-01T00:00:00"/>
    <d v="2024-03-10T00:00:00"/>
    <s v="الاحد "/>
    <s v="الورشة الفنية لتشغيلات المعدنية "/>
    <s v="طارق رجب   "/>
    <s v="احلا ل وتجديد سقف جمالون دويتش  "/>
    <s v="تم العمل"/>
    <d v="1899-12-30T10:00:00"/>
    <d v="1899-12-30T16:00:00"/>
    <n v="0.27079999999999999"/>
    <s v="دويتش "/>
    <n v="6.5"/>
    <m/>
    <m/>
    <x v="9"/>
    <n v="4"/>
    <s v="لم يتم غلق التصريح "/>
    <m/>
    <m/>
    <m/>
    <m/>
    <m/>
    <m/>
    <m/>
    <m/>
    <m/>
  </r>
  <r>
    <d v="2024-03-01T00:00:00"/>
    <d v="2024-03-10T00:00:00"/>
    <s v="الاحد "/>
    <s v="شركة الكريم "/>
    <s v="ممدوح عبد التواب "/>
    <s v="تغيير  واستبدال حساسات التجليد "/>
    <s v="تم العمل"/>
    <d v="1899-12-30T10:00:00"/>
    <d v="1899-12-30T17:30:00"/>
    <n v="0.31249999999999994"/>
    <s v="المطابع "/>
    <n v="7.4999999999999982"/>
    <m/>
    <m/>
    <x v="9"/>
    <n v="5"/>
    <m/>
    <m/>
    <m/>
    <m/>
    <m/>
    <m/>
    <m/>
    <m/>
    <m/>
    <m/>
  </r>
  <r>
    <d v="2024-03-01T00:00:00"/>
    <d v="2024-03-10T00:00:00"/>
    <s v="الاحد "/>
    <s v="بازان "/>
    <s v="أحمد مخيمر  "/>
    <s v="تجميع وتركيب  والكهرباء "/>
    <s v="تم العمل"/>
    <d v="1899-12-30T10:00:00"/>
    <d v="1899-12-30T16:00:00"/>
    <n v="0.24999999999999994"/>
    <s v="المخزن الجديد "/>
    <n v="5.9999999999999982"/>
    <m/>
    <m/>
    <x v="6"/>
    <n v="5"/>
    <m/>
    <m/>
    <m/>
    <m/>
    <m/>
    <m/>
    <m/>
    <m/>
    <m/>
    <m/>
  </r>
  <r>
    <d v="2024-03-01T00:00:00"/>
    <d v="2024-03-10T00:00:00"/>
    <s v="الاحد "/>
    <s v="شركة الكريم "/>
    <s v="حامد المحاميد"/>
    <s v="دهان ماسورة فى غرفة الطرمبات "/>
    <s v="تم العمل"/>
    <d v="1899-12-30T14:30:00"/>
    <d v="1899-12-30T15:30:00"/>
    <n v="4.1666666666666741E-2"/>
    <s v="المخزن الجديد "/>
    <n v="1.0000000000000018"/>
    <m/>
    <m/>
    <x v="6"/>
    <n v="5"/>
    <m/>
    <m/>
    <m/>
    <m/>
    <m/>
    <m/>
    <m/>
    <m/>
    <m/>
    <m/>
  </r>
  <r>
    <d v="2024-03-01T00:00:00"/>
    <d v="2024-03-10T00:00:00"/>
    <s v="الاحد "/>
    <s v="شركة اوزوريون "/>
    <s v="مراد صالح  "/>
    <s v=" تجديد حمام العاملين بالمخازن "/>
    <s v="تم العمل"/>
    <d v="1899-12-30T10:00:00"/>
    <d v="1899-12-30T17:00:00"/>
    <n v="0.27079999999999999"/>
    <s v="المخزن القديم "/>
    <n v="6.5"/>
    <m/>
    <m/>
    <x v="8"/>
    <n v="4"/>
    <s v="ناقص توقيعات "/>
    <m/>
    <m/>
    <m/>
    <m/>
    <m/>
    <m/>
    <m/>
    <m/>
    <m/>
  </r>
  <r>
    <d v="2024-03-01T00:00:00"/>
    <d v="2024-03-10T00:00:00"/>
    <s v="الاحد "/>
    <s v="الشركة المصرية للعمارة الحديثة "/>
    <s v="عبد الله السيد عباس "/>
    <s v="رصف ارضيات الشوارع "/>
    <s v="تم العمل"/>
    <d v="1899-12-30T10:00:00"/>
    <d v="1899-12-30T19:00:00"/>
    <n v="0.27079999999999999"/>
    <s v="المخزن القديم "/>
    <n v="6.5"/>
    <m/>
    <m/>
    <x v="8"/>
    <n v="4"/>
    <m/>
    <m/>
    <m/>
    <m/>
    <m/>
    <m/>
    <m/>
    <m/>
    <m/>
    <m/>
  </r>
  <r>
    <d v="2024-03-01T00:00:00"/>
    <d v="2024-03-12T00:00:00"/>
    <s v="الثلاثاء "/>
    <s v="بازان "/>
    <s v="أحمد مخيمر  "/>
    <s v="تجميع وتركيب  والكهرباء "/>
    <s v="تم العمل"/>
    <d v="1899-12-30T10:30:00"/>
    <d v="1899-12-30T15:30:00"/>
    <n v="0.20833333333333337"/>
    <s v="المطابع "/>
    <n v="5.0000000000000009"/>
    <m/>
    <m/>
    <x v="5"/>
    <n v="5"/>
    <m/>
    <m/>
    <m/>
    <m/>
    <m/>
    <m/>
    <m/>
    <m/>
    <m/>
    <m/>
  </r>
  <r>
    <d v="2024-03-01T00:00:00"/>
    <d v="2024-03-12T00:00:00"/>
    <s v="الثلاثاء "/>
    <s v="الشركة المصرية للعمارة الحديثة "/>
    <s v="عبد الله السيد عباس "/>
    <s v="رصف ارضيات الشوارع "/>
    <s v="تم العمل"/>
    <d v="1899-12-30T10:00:00"/>
    <d v="1899-12-30T17:00:00"/>
    <n v="0.27079999999999999"/>
    <s v="المخزن القديم "/>
    <n v="6.5"/>
    <m/>
    <m/>
    <x v="8"/>
    <n v="5"/>
    <m/>
    <m/>
    <m/>
    <m/>
    <m/>
    <m/>
    <m/>
    <m/>
    <m/>
    <m/>
  </r>
  <r>
    <d v="2024-03-01T00:00:00"/>
    <d v="2024-03-12T00:00:00"/>
    <s v="الثلاثاء "/>
    <s v="شركة اوزوريون "/>
    <s v="مراد صالح  "/>
    <s v=" تجديد حمام العاملين بالمخازن "/>
    <s v="تم العمل"/>
    <d v="1899-12-30T10:00:00"/>
    <d v="1899-12-30T17:00:00"/>
    <n v="0.27079999999999999"/>
    <s v="المخزن القديم "/>
    <n v="6.5"/>
    <m/>
    <m/>
    <x v="8"/>
    <n v="5"/>
    <m/>
    <m/>
    <m/>
    <m/>
    <m/>
    <m/>
    <m/>
    <m/>
    <m/>
    <m/>
  </r>
  <r>
    <d v="2024-02-01T00:00:00"/>
    <d v="2024-03-12T00:00:00"/>
    <s v="الثلاثاء "/>
    <s v="القطاع الهندسى "/>
    <s v="كمال مرسى "/>
    <s v="ازالة بلاور  الويب القديم "/>
    <s v="تم العمل"/>
    <d v="1899-12-30T11:00:00"/>
    <d v="1899-12-30T00:00:00"/>
    <n v="0.27079999999999999"/>
    <s v="المطابع "/>
    <n v="6.5"/>
    <m/>
    <m/>
    <x v="2"/>
    <n v="4"/>
    <s v="ناقص توقيعات "/>
    <m/>
    <m/>
    <m/>
    <m/>
    <m/>
    <m/>
    <m/>
    <m/>
    <m/>
  </r>
  <r>
    <d v="2024-03-01T00:00:00"/>
    <d v="2024-03-12T00:00:00"/>
    <s v="الثلاثاء "/>
    <s v="شركة الكريم "/>
    <s v="ممدوح عبد التواب "/>
    <s v="تغيير  واستبدال حساسات التجليد "/>
    <s v="تم العمل"/>
    <d v="1899-12-30T09:30:00"/>
    <d v="1899-12-30T17:00:00"/>
    <n v="0.31250000000000006"/>
    <s v="المطابع "/>
    <n v="7.5000000000000018"/>
    <m/>
    <m/>
    <x v="6"/>
    <n v="4"/>
    <s v="لم يتم غلق التصريح "/>
    <m/>
    <m/>
    <m/>
    <m/>
    <m/>
    <m/>
    <m/>
    <m/>
    <m/>
  </r>
  <r>
    <d v="2024-02-01T00:00:00"/>
    <d v="2024-03-12T00:00:00"/>
    <s v="الثلاثاء "/>
    <s v="القطاع الهندسى "/>
    <s v="صابر ابراهيم "/>
    <s v="تجهيز لحامات "/>
    <s v="تم العمل"/>
    <d v="1899-12-30T11:00:00"/>
    <d v="1899-12-30T15:00:00"/>
    <n v="0.27079999999999999"/>
    <s v="المطابع "/>
    <n v="6.5"/>
    <m/>
    <m/>
    <x v="9"/>
    <n v="4"/>
    <s v="لم يتم غلق التصريح "/>
    <m/>
    <m/>
    <m/>
    <m/>
    <m/>
    <m/>
    <m/>
    <m/>
    <m/>
  </r>
  <r>
    <d v="2024-03-01T00:00:00"/>
    <d v="2024-03-13T00:00:00"/>
    <s v="الاربعاء "/>
    <s v="شركة الكريم "/>
    <s v="حامد المحاميد"/>
    <s v="مرور شهرى على خط  الاطفاء "/>
    <s v="تم العمل"/>
    <d v="1899-12-30T10:00:00"/>
    <d v="1899-12-30T12:00:00"/>
    <n v="8.3333333333333315E-2"/>
    <s v="المطابع "/>
    <n v="1.9999999999999996"/>
    <m/>
    <m/>
    <x v="2"/>
    <n v="5"/>
    <m/>
    <m/>
    <m/>
    <m/>
    <m/>
    <m/>
    <m/>
    <m/>
    <m/>
    <m/>
  </r>
  <r>
    <d v="2024-02-01T00:00:00"/>
    <d v="2024-03-13T00:00:00"/>
    <s v="الاربعاء "/>
    <s v="القطاع الهندسى "/>
    <s v="صابر ابراهيم "/>
    <s v="تقطيع ولحام "/>
    <s v="تم العمل"/>
    <d v="1899-12-30T10:00:00"/>
    <d v="1899-12-30T15:00:00"/>
    <n v="0.27079999999999999"/>
    <s v="المطابع "/>
    <n v="6.5"/>
    <m/>
    <m/>
    <x v="9"/>
    <n v="5"/>
    <m/>
    <m/>
    <m/>
    <m/>
    <m/>
    <m/>
    <m/>
    <m/>
    <m/>
    <m/>
  </r>
  <r>
    <d v="2024-03-01T00:00:00"/>
    <d v="2024-03-13T00:00:00"/>
    <s v="الاربعاء "/>
    <s v="الورشة الفنية لتشغيلات المعدنية "/>
    <s v="طارق رجب   "/>
    <s v="احلا ل وتجديد سقف جمالون دويتش  "/>
    <s v="تم العمل"/>
    <d v="1899-12-30T10:00:00"/>
    <d v="1899-12-30T16:00:00"/>
    <n v="0.27079999999999999"/>
    <s v="دويتش "/>
    <n v="6.5"/>
    <m/>
    <m/>
    <x v="9"/>
    <n v="5"/>
    <m/>
    <m/>
    <m/>
    <m/>
    <m/>
    <m/>
    <m/>
    <m/>
    <m/>
    <m/>
  </r>
  <r>
    <d v="2024-03-01T00:00:00"/>
    <d v="2024-03-13T00:00:00"/>
    <s v="الاربعاء "/>
    <s v="شركة الكريم "/>
    <s v="ممدوح عبد التواب "/>
    <s v="تغيير  واستبدال حساسات التجليد "/>
    <s v="تم العمل"/>
    <d v="1899-12-30T10:00:00"/>
    <d v="1899-12-30T16:00:00"/>
    <n v="0.24999999999999994"/>
    <s v="المطابع "/>
    <n v="5.9999999999999982"/>
    <m/>
    <m/>
    <x v="9"/>
    <n v="5"/>
    <m/>
    <m/>
    <m/>
    <m/>
    <m/>
    <m/>
    <m/>
    <m/>
    <m/>
    <m/>
  </r>
  <r>
    <d v="2024-03-01T00:00:00"/>
    <d v="2024-03-13T00:00:00"/>
    <s v="الاربعاء "/>
    <s v="بازان "/>
    <s v="أحمد مخيمر  "/>
    <s v="تجميع وتركيب  والكهرباء "/>
    <s v="تم العمل"/>
    <d v="1899-12-30T10:00:00"/>
    <d v="1899-12-30T15:30:00"/>
    <n v="0.22916666666666669"/>
    <s v="المخزن الجديد "/>
    <n v="5.5"/>
    <m/>
    <m/>
    <x v="5"/>
    <n v="5"/>
    <m/>
    <m/>
    <m/>
    <m/>
    <m/>
    <m/>
    <m/>
    <m/>
    <m/>
    <m/>
  </r>
  <r>
    <d v="2024-03-01T00:00:00"/>
    <d v="2024-03-13T00:00:00"/>
    <s v="الاربعاء "/>
    <s v="الشركة المصرية للعمارة الحديثة "/>
    <s v="عبد الله السيد عباس "/>
    <s v="التعديل بالرامب "/>
    <s v="تم العمل"/>
    <d v="1899-12-30T00:30:00"/>
    <d v="1899-12-30T14:30:00"/>
    <n v="0.27079999999999999"/>
    <s v="المخزن الجديد "/>
    <n v="6.5"/>
    <m/>
    <m/>
    <x v="5"/>
    <n v="5"/>
    <m/>
    <m/>
    <m/>
    <m/>
    <m/>
    <m/>
    <m/>
    <m/>
    <m/>
    <m/>
  </r>
  <r>
    <d v="2024-02-01T00:00:00"/>
    <d v="2024-03-13T00:00:00"/>
    <s v="الاربعاء "/>
    <s v="الشركة الالمانية "/>
    <s v="محمد ماهر "/>
    <s v="مكافحة حشرات "/>
    <s v="تم العمل"/>
    <d v="1899-12-30T10:30:00"/>
    <d v="1899-12-30T11:30:00"/>
    <n v="4.1666666666666685E-2"/>
    <s v="المخزن الجديد "/>
    <n v="1.0000000000000004"/>
    <m/>
    <m/>
    <x v="5"/>
    <n v="5"/>
    <m/>
    <m/>
    <m/>
    <m/>
    <m/>
    <m/>
    <m/>
    <m/>
    <m/>
    <m/>
  </r>
  <r>
    <d v="2024-03-01T00:00:00"/>
    <d v="2024-03-13T00:00:00"/>
    <s v="الاربعاء "/>
    <s v="الشركة المصرية للعمارة الحديثة "/>
    <s v="عبد الله السيد عباس "/>
    <s v="رصف ارضيات الشوارع "/>
    <s v="تم العمل"/>
    <d v="1899-12-30T10:00:00"/>
    <d v="1899-12-30T15:30:00"/>
    <n v="0.27079999999999999"/>
    <s v="المخزن القديم "/>
    <n v="6.5"/>
    <m/>
    <m/>
    <x v="8"/>
    <n v="5"/>
    <m/>
    <m/>
    <m/>
    <m/>
    <m/>
    <m/>
    <m/>
    <m/>
    <m/>
    <m/>
  </r>
  <r>
    <d v="2024-03-01T00:00:00"/>
    <d v="2024-03-13T00:00:00"/>
    <s v="الاربعاء "/>
    <s v="شركة اوزوريون "/>
    <s v="مراد صالح  "/>
    <s v="تركيب السيراميك فى الحمام  العاملين "/>
    <s v="تم العمل"/>
    <d v="1899-12-30T10:00:00"/>
    <d v="1899-12-30T15:30:00"/>
    <n v="0.27079999999999999"/>
    <s v="المخزن القديم "/>
    <n v="6.5"/>
    <m/>
    <m/>
    <x v="8"/>
    <n v="5"/>
    <m/>
    <m/>
    <m/>
    <m/>
    <m/>
    <m/>
    <m/>
    <m/>
    <m/>
    <m/>
  </r>
  <r>
    <d v="2024-03-01T00:00:00"/>
    <d v="2024-03-14T00:00:00"/>
    <s v="الخميس "/>
    <s v="شركة الكريم "/>
    <s v="ممدوح عبد التواب "/>
    <s v="تغيير  واستبدال حساسات التجليد "/>
    <s v="تم العمل"/>
    <d v="1899-12-30T10:00:00"/>
    <d v="1899-12-30T16:00:00"/>
    <n v="0.24999999999999994"/>
    <s v="المطابع "/>
    <n v="5.9999999999999982"/>
    <m/>
    <m/>
    <x v="9"/>
    <n v="5"/>
    <m/>
    <m/>
    <m/>
    <m/>
    <m/>
    <m/>
    <m/>
    <m/>
    <m/>
    <m/>
  </r>
  <r>
    <d v="2024-03-01T00:00:00"/>
    <d v="2024-03-14T00:00:00"/>
    <s v="الخميس "/>
    <s v="الشركة المصرية "/>
    <s v="علاء احمد "/>
    <s v="تريكبات وصيانة  "/>
    <s v="تم العمل"/>
    <d v="1899-12-30T11:00:00"/>
    <d v="1899-12-30T13:00:00"/>
    <n v="8.3333333333333315E-2"/>
    <s v="البرج"/>
    <n v="1.9999999999999996"/>
    <m/>
    <m/>
    <x v="3"/>
    <n v="5"/>
    <m/>
    <m/>
    <m/>
    <m/>
    <m/>
    <m/>
    <m/>
    <m/>
    <m/>
    <m/>
  </r>
  <r>
    <d v="2024-03-01T00:00:00"/>
    <d v="2024-03-14T00:00:00"/>
    <s v="الخميس "/>
    <s v="الشركة المصرية للعمارة الحديثة "/>
    <s v="حازم عبد الرحيم  "/>
    <s v="رصف ارضيات الشوارع "/>
    <s v="تم العمل"/>
    <d v="1899-12-30T09:30:00"/>
    <d v="1899-12-30T14:00:00"/>
    <n v="0.27079999999999999"/>
    <s v="المخزن القديم "/>
    <n v="6.5"/>
    <m/>
    <m/>
    <x v="6"/>
    <n v="5"/>
    <m/>
    <m/>
    <m/>
    <m/>
    <m/>
    <m/>
    <m/>
    <m/>
    <m/>
    <m/>
  </r>
  <r>
    <d v="2024-03-01T00:00:00"/>
    <d v="2024-03-14T00:00:00"/>
    <s v="الخميس "/>
    <s v="بازان "/>
    <s v="أحمد مخيمر  "/>
    <s v="تجميع وتركيب  والكهرباء "/>
    <s v="تم العمل"/>
    <d v="1899-12-30T10:00:00"/>
    <d v="1899-12-30T15:30:00"/>
    <n v="0.22916666666666669"/>
    <s v="المخزن القديم "/>
    <n v="5.5"/>
    <m/>
    <m/>
    <x v="5"/>
    <n v="5"/>
    <m/>
    <m/>
    <m/>
    <m/>
    <m/>
    <m/>
    <m/>
    <m/>
    <m/>
    <m/>
  </r>
  <r>
    <d v="2024-03-01T00:00:00"/>
    <d v="2024-03-16T00:00:00"/>
    <s v="السبت "/>
    <s v="الشركة المصرية للعمارة الحديثة "/>
    <s v="حازم عبد الرحيم  "/>
    <s v="رصف ارضيات الشوارع "/>
    <s v="تم العمل"/>
    <d v="1899-12-30T10:00:00"/>
    <d v="1899-12-30T15:00:00"/>
    <n v="0.27079999999999999"/>
    <s v="المخزن القديم "/>
    <n v="6.5"/>
    <m/>
    <m/>
    <x v="6"/>
    <n v="5"/>
    <m/>
    <m/>
    <m/>
    <m/>
    <m/>
    <m/>
    <m/>
    <m/>
    <m/>
    <m/>
  </r>
  <r>
    <d v="2024-03-01T00:00:00"/>
    <d v="2024-03-16T00:00:00"/>
    <s v="السبت "/>
    <s v="بازان "/>
    <s v="أحمد مخيمر  "/>
    <s v="تجميع وتركيب  والكهرباء "/>
    <s v="تم العمل"/>
    <d v="1899-12-30T10:00:00"/>
    <d v="1899-12-30T15:00:00"/>
    <n v="0.20833333333333331"/>
    <s v="المخزن الجديد "/>
    <n v="5"/>
    <m/>
    <m/>
    <x v="5"/>
    <n v="5"/>
    <m/>
    <m/>
    <m/>
    <m/>
    <m/>
    <m/>
    <m/>
    <m/>
    <m/>
    <m/>
  </r>
  <r>
    <d v="2024-03-01T00:00:00"/>
    <d v="2024-03-17T00:00:00"/>
    <s v="الاحد "/>
    <s v="الشركة المصرية للعمارة الحديثة "/>
    <s v="حازم عبد الرحيم  "/>
    <s v="رصف ارضيات الشوارع "/>
    <s v="تم العمل"/>
    <d v="1899-12-30T09:30:00"/>
    <d v="1899-12-30T16:00:00"/>
    <n v="0.27079999999999999"/>
    <s v="المخزن القديم "/>
    <n v="6.5"/>
    <m/>
    <m/>
    <x v="0"/>
    <n v="5"/>
    <m/>
    <m/>
    <m/>
    <m/>
    <m/>
    <m/>
    <m/>
    <m/>
    <m/>
    <m/>
  </r>
  <r>
    <d v="2024-03-01T00:00:00"/>
    <d v="2024-03-17T00:00:00"/>
    <s v="الاحد "/>
    <s v="شركة الكريم "/>
    <s v="ممدوح عبد التواب "/>
    <s v="تغيير  واستبدال حساسات التجليد "/>
    <s v="تم العمل"/>
    <d v="1899-12-30T09:30:00"/>
    <d v="1899-12-30T16:00:00"/>
    <n v="0.27083333333333331"/>
    <s v="المطابع "/>
    <n v="6.5"/>
    <m/>
    <m/>
    <x v="6"/>
    <n v="5"/>
    <m/>
    <m/>
    <m/>
    <m/>
    <m/>
    <m/>
    <m/>
    <m/>
    <m/>
    <m/>
  </r>
  <r>
    <d v="2024-03-01T00:00:00"/>
    <d v="2024-03-18T00:00:00"/>
    <s v="الاثنين "/>
    <s v="القطاع الهندسى "/>
    <s v="محمد النقيب "/>
    <s v="تركيب وصيانة كشافات العنابر "/>
    <s v="تم العمل"/>
    <d v="1899-12-30T14:00:00"/>
    <d v="1899-12-30T16:00:00"/>
    <n v="0.27079999999999999"/>
    <s v="المطابع "/>
    <n v="6.5"/>
    <m/>
    <m/>
    <x v="6"/>
    <n v="5"/>
    <m/>
    <m/>
    <m/>
    <m/>
    <m/>
    <m/>
    <m/>
    <m/>
    <m/>
    <m/>
  </r>
  <r>
    <d v="2024-03-01T00:00:00"/>
    <d v="2024-03-18T00:00:00"/>
    <s v="الاثنين "/>
    <s v="القطاع الهندسى "/>
    <s v="صابر ابراهيم "/>
    <s v="لحام زاويه حديدفى تنكات الاحبار "/>
    <s v="تم العمل"/>
    <d v="1899-12-30T13:00:00"/>
    <d v="1899-12-30T13:30:00"/>
    <n v="0.27079999999999999"/>
    <s v="المطابع "/>
    <n v="6.5"/>
    <m/>
    <m/>
    <x v="8"/>
    <n v="5"/>
    <m/>
    <m/>
    <m/>
    <m/>
    <m/>
    <m/>
    <m/>
    <m/>
    <m/>
    <m/>
  </r>
  <r>
    <d v="2024-03-01T00:00:00"/>
    <d v="2024-03-18T00:00:00"/>
    <s v="الاثنين "/>
    <s v="شركة شلاندر "/>
    <s v="محمد عادل  "/>
    <s v="صيانة المصاعد    "/>
    <s v="تم العمل"/>
    <d v="1899-12-30T00:30:00"/>
    <d v="1899-12-30T13:30:00"/>
    <n v="2.0799999999999999E-2"/>
    <s v="المخزن الجديد "/>
    <n v="1"/>
    <m/>
    <m/>
    <x v="6"/>
    <n v="5"/>
    <m/>
    <m/>
    <m/>
    <m/>
    <m/>
    <m/>
    <m/>
    <m/>
    <m/>
    <m/>
  </r>
  <r>
    <d v="2024-03-01T00:00:00"/>
    <d v="2024-03-18T00:00:00"/>
    <s v="الاثنين "/>
    <s v="الشركة المصرية للعمارة الحديثة "/>
    <s v="عبد الله السيد عباس "/>
    <s v="رصف ارضيات الشوارع "/>
    <s v="تم العمل"/>
    <d v="1899-12-30T08:30:00"/>
    <d v="1899-12-30T15:30:00"/>
    <n v="0.27079999999999999"/>
    <s v="المخزن القديم "/>
    <n v="6.5"/>
    <m/>
    <m/>
    <x v="0"/>
    <n v="5"/>
    <m/>
    <m/>
    <m/>
    <m/>
    <m/>
    <m/>
    <m/>
    <m/>
    <m/>
    <m/>
  </r>
  <r>
    <d v="2024-03-01T00:00:00"/>
    <d v="2024-03-18T00:00:00"/>
    <s v="الثلاثاء "/>
    <s v="شركة الكريم "/>
    <s v="ممدوح عبد التواب "/>
    <s v="تغيير  واستبدال حساسات التجليد "/>
    <s v="تم العمل"/>
    <d v="1899-12-30T09:30:00"/>
    <d v="1899-12-30T16:00:00"/>
    <n v="0.27083333333333331"/>
    <s v="المطابع "/>
    <n v="6.5"/>
    <m/>
    <m/>
    <x v="6"/>
    <n v="5"/>
    <m/>
    <m/>
    <m/>
    <m/>
    <m/>
    <m/>
    <m/>
    <m/>
    <m/>
    <m/>
  </r>
  <r>
    <d v="2024-03-01T00:00:00"/>
    <d v="2024-03-19T00:00:00"/>
    <s v="الثلاثاء "/>
    <s v="الشركة المصرية للعمارة الحديثة "/>
    <s v="عبد الله السيد عباس "/>
    <s v="رصف ارضيات الشوارع "/>
    <s v="تم العمل"/>
    <d v="1899-12-30T08:30:00"/>
    <d v="1899-12-30T15:00:00"/>
    <n v="0.27079999999999999"/>
    <s v="المخزن القديم "/>
    <n v="6.5"/>
    <m/>
    <m/>
    <x v="4"/>
    <n v="5"/>
    <m/>
    <m/>
    <m/>
    <m/>
    <m/>
    <m/>
    <m/>
    <m/>
    <m/>
    <m/>
  </r>
  <r>
    <d v="2024-03-01T00:00:00"/>
    <d v="2024-03-19T00:00:00"/>
    <s v="الثلاثاء "/>
    <s v="شركة اوزوريون "/>
    <s v="مراد صالح  "/>
    <s v="تجديد الحمام  "/>
    <s v="تم العمل"/>
    <d v="1899-12-30T10:00:00"/>
    <d v="1899-12-30T15:00:00"/>
    <n v="0.27079999999999999"/>
    <s v="المخزن القديم "/>
    <n v="6.5"/>
    <m/>
    <m/>
    <x v="9"/>
    <n v="5"/>
    <m/>
    <m/>
    <m/>
    <m/>
    <m/>
    <m/>
    <m/>
    <m/>
    <m/>
    <m/>
  </r>
  <r>
    <d v="2024-03-01T00:00:00"/>
    <d v="2024-03-20T00:00:00"/>
    <s v="الاربعاء "/>
    <s v="شركة الكريم "/>
    <s v="ممدوح عبد التواب "/>
    <s v="تغيير  واستبدال حساسات التجليد "/>
    <s v="تم العمل"/>
    <d v="1899-12-30T09:30:00"/>
    <d v="1899-12-30T16:00:00"/>
    <n v="0.27083333333333331"/>
    <s v="المطابع "/>
    <n v="6.5"/>
    <m/>
    <m/>
    <x v="6"/>
    <n v="5"/>
    <m/>
    <m/>
    <m/>
    <m/>
    <m/>
    <m/>
    <m/>
    <m/>
    <m/>
    <m/>
  </r>
  <r>
    <d v="2024-03-01T00:00:00"/>
    <d v="2024-03-20T00:00:00"/>
    <s v="الاربعاء "/>
    <s v="شركة فودافون "/>
    <s v="شامخ سيد "/>
    <s v="صيانة شبكة فودافون "/>
    <s v="تم العمل"/>
    <d v="1899-12-30T10:00:00"/>
    <d v="1899-12-30T15:00:00"/>
    <n v="0.20833333333333331"/>
    <s v="البرج"/>
    <n v="5"/>
    <m/>
    <m/>
    <x v="3"/>
    <n v="5"/>
    <m/>
    <m/>
    <m/>
    <m/>
    <m/>
    <m/>
    <m/>
    <m/>
    <m/>
    <m/>
  </r>
  <r>
    <d v="2024-03-01T00:00:00"/>
    <d v="2024-03-20T00:00:00"/>
    <s v="الاربعاء "/>
    <s v="الشركة المصرية للعمارة الحديثة "/>
    <s v="عبد الله السيد عباس "/>
    <s v="رصف ارضيات الشوارع "/>
    <s v="تم العمل"/>
    <d v="1899-12-30T08:00:00"/>
    <d v="1899-12-30T15:00:00"/>
    <n v="0.27079999999999999"/>
    <s v="المخزن القديم "/>
    <n v="6.5"/>
    <m/>
    <m/>
    <x v="4"/>
    <n v="5"/>
    <m/>
    <m/>
    <m/>
    <m/>
    <m/>
    <m/>
    <m/>
    <m/>
    <m/>
    <m/>
  </r>
  <r>
    <d v="2024-03-01T00:00:00"/>
    <d v="2024-03-20T00:00:00"/>
    <s v="الاربعاء "/>
    <s v="شركة اوزوريون "/>
    <s v="مراد صالح  "/>
    <s v="تجديد الحمام  "/>
    <s v="تم العمل"/>
    <d v="1899-12-30T10:00:00"/>
    <d v="1899-12-30T15:00:00"/>
    <n v="0.27079999999999999"/>
    <s v="المخزن القديم "/>
    <n v="6.5"/>
    <m/>
    <m/>
    <x v="9"/>
    <n v="5"/>
    <m/>
    <m/>
    <m/>
    <m/>
    <m/>
    <m/>
    <m/>
    <m/>
    <m/>
    <m/>
  </r>
  <r>
    <d v="2024-03-01T00:00:00"/>
    <d v="2024-03-23T00:00:00"/>
    <s v="السبت "/>
    <s v="الشركة المصرية للعمارة الحديثة "/>
    <s v="حازم عبد الرحيم  "/>
    <s v="رصف ارضيات الشوارع "/>
    <s v="تم العمل"/>
    <d v="1899-12-30T08:00:00"/>
    <d v="1899-12-30T14:30:00"/>
    <n v="0.27079999999999999"/>
    <s v="المخزن القديم "/>
    <n v="6.5"/>
    <m/>
    <m/>
    <x v="6"/>
    <n v="5"/>
    <m/>
    <m/>
    <m/>
    <m/>
    <m/>
    <m/>
    <m/>
    <m/>
    <m/>
    <m/>
  </r>
  <r>
    <d v="2024-03-01T00:00:00"/>
    <d v="2024-03-23T00:00:00"/>
    <s v="السبت "/>
    <s v="شركة اوزوريون "/>
    <s v="مراد صالح  "/>
    <s v="تجديد الحمام  "/>
    <s v="تم العمل"/>
    <d v="1899-12-30T08:00:00"/>
    <d v="1899-12-30T16:00:00"/>
    <n v="0.27079999999999999"/>
    <s v="المخزن القديم "/>
    <n v="6.5"/>
    <m/>
    <m/>
    <x v="6"/>
    <n v="5"/>
    <m/>
    <m/>
    <m/>
    <m/>
    <m/>
    <m/>
    <m/>
    <m/>
    <m/>
    <m/>
  </r>
  <r>
    <d v="2024-03-01T00:00:00"/>
    <d v="2024-03-24T00:00:00"/>
    <s v="الاحد "/>
    <s v="شركة الكريم "/>
    <s v="ممدوح عبد التواب "/>
    <s v="تغيير  واستبدال حساسات التجليد "/>
    <s v="تم العمل"/>
    <d v="1899-12-30T09:30:00"/>
    <d v="1899-12-30T16:00:00"/>
    <n v="0.27083333333333331"/>
    <s v="المطابع "/>
    <n v="6.5"/>
    <m/>
    <m/>
    <x v="4"/>
    <n v="4"/>
    <s v="ناقص توقيعات "/>
    <m/>
    <m/>
    <m/>
    <m/>
    <m/>
    <m/>
    <m/>
    <m/>
    <m/>
  </r>
  <r>
    <d v="2024-03-01T00:00:00"/>
    <d v="2024-03-24T00:00:00"/>
    <s v="الاحد "/>
    <s v="شركة الكريم "/>
    <s v="حامد عطوان "/>
    <s v="زيارة شركة الصيانة  "/>
    <s v="تم العمل"/>
    <d v="1899-12-30T10:30:00"/>
    <d v="1899-12-30T11:30:00"/>
    <n v="4.1666666666666685E-2"/>
    <s v="المطابع "/>
    <n v="1.0000000000000004"/>
    <m/>
    <m/>
    <x v="5"/>
    <n v="5"/>
    <m/>
    <m/>
    <m/>
    <m/>
    <m/>
    <m/>
    <m/>
    <m/>
    <m/>
    <m/>
  </r>
  <r>
    <d v="2024-03-01T00:00:00"/>
    <d v="2024-03-24T00:00:00"/>
    <s v="الاحد "/>
    <s v="شركة اوزوريون "/>
    <s v="مراد صالح  "/>
    <s v="تجديد الحمام  "/>
    <s v="تم العمل"/>
    <d v="1899-12-30T09:00:00"/>
    <d v="1899-12-30T14:00:00"/>
    <n v="0.27079999999999999"/>
    <s v="المخزن القديم "/>
    <n v="6.5"/>
    <m/>
    <m/>
    <x v="6"/>
    <n v="5"/>
    <m/>
    <m/>
    <m/>
    <m/>
    <m/>
    <m/>
    <m/>
    <m/>
    <m/>
    <m/>
  </r>
  <r>
    <d v="2024-03-01T00:00:00"/>
    <d v="2024-03-24T00:00:00"/>
    <s v="الاحد "/>
    <s v="الشؤون الادارية "/>
    <s v="محمد خليل   "/>
    <s v="توصيل  كهرباء انارة وسخان "/>
    <s v="تم العمل"/>
    <d v="1899-12-30T10:30:00"/>
    <d v="1899-12-30T13:00:00"/>
    <n v="0.10416666666666663"/>
    <s v="المطابع "/>
    <n v="0.99999999999999911"/>
    <m/>
    <m/>
    <x v="6"/>
    <n v="5"/>
    <m/>
    <m/>
    <m/>
    <m/>
    <m/>
    <m/>
    <m/>
    <m/>
    <m/>
    <m/>
  </r>
  <r>
    <d v="2024-03-01T00:00:00"/>
    <d v="2024-03-24T00:00:00"/>
    <s v="الاحد "/>
    <s v="الشركة المصرية للعمارة الحديثة "/>
    <s v="حازم عبد الرحيم  "/>
    <s v="رصف ارضيات الشوارع "/>
    <s v="تم العمل"/>
    <d v="1899-12-30T08:00:00"/>
    <d v="1899-12-30T14:30:00"/>
    <n v="0.27079999999999999"/>
    <s v="المخزن القديم "/>
    <n v="6.5"/>
    <m/>
    <m/>
    <x v="0"/>
    <n v="5"/>
    <m/>
    <m/>
    <m/>
    <m/>
    <m/>
    <m/>
    <m/>
    <m/>
    <m/>
    <m/>
  </r>
  <r>
    <d v="2024-03-01T00:00:00"/>
    <d v="2024-03-25T00:00:00"/>
    <s v="الاثنين "/>
    <s v="لفت ايجبت "/>
    <s v="سامى شعبان  "/>
    <s v="صيانة الكلاركات "/>
    <s v="تم العمل"/>
    <d v="1899-12-30T10:00:00"/>
    <d v="1899-12-30T11:00:00"/>
    <n v="4.166666666666663E-2"/>
    <s v="المطابع "/>
    <n v="0.99999999999999911"/>
    <m/>
    <m/>
    <x v="6"/>
    <n v="5"/>
    <m/>
    <m/>
    <m/>
    <m/>
    <m/>
    <m/>
    <m/>
    <m/>
    <m/>
    <m/>
  </r>
  <r>
    <d v="2024-03-01T00:00:00"/>
    <d v="2024-03-25T00:00:00"/>
    <s v="الاثنين "/>
    <s v="شركة فودافون "/>
    <s v="احمد نوفل "/>
    <s v="صيانة شبكة فودافون "/>
    <s v="تم العمل"/>
    <d v="1899-12-30T10:00:00"/>
    <d v="1899-12-30T15:00:00"/>
    <n v="0.20833333333333331"/>
    <s v="البرج"/>
    <n v="5"/>
    <m/>
    <m/>
    <x v="3"/>
    <n v="5"/>
    <m/>
    <m/>
    <m/>
    <m/>
    <m/>
    <m/>
    <m/>
    <m/>
    <m/>
    <m/>
  </r>
  <r>
    <d v="2024-03-01T00:00:00"/>
    <d v="2024-03-25T00:00:00"/>
    <s v="الاثنين "/>
    <s v="الشركة المصرية للعمارة الحديثة "/>
    <s v="حازم عبد الرحيم  "/>
    <s v="رصف ارضيات الشوارع "/>
    <s v="تم العمل"/>
    <d v="1899-12-30T08:00:00"/>
    <d v="1899-12-30T15:00:00"/>
    <n v="0.27079999999999999"/>
    <s v="المخزن القديم "/>
    <n v="6.5"/>
    <m/>
    <m/>
    <x v="0"/>
    <n v="5"/>
    <m/>
    <m/>
    <m/>
    <m/>
    <m/>
    <m/>
    <m/>
    <m/>
    <m/>
    <m/>
  </r>
  <r>
    <d v="2024-03-01T00:00:00"/>
    <d v="2024-03-25T00:00:00"/>
    <s v="الاثنين "/>
    <s v="شركة الكريم "/>
    <s v="ممدوح عبد التواب "/>
    <s v="تغيير  واستبدال حساسات التجليد "/>
    <s v="تم العمل"/>
    <d v="1899-12-30T09:30:00"/>
    <d v="1899-12-30T16:00:00"/>
    <n v="0.27083333333333331"/>
    <s v="المطابع "/>
    <n v="6.5"/>
    <m/>
    <m/>
    <x v="4"/>
    <n v="5"/>
    <m/>
    <m/>
    <m/>
    <m/>
    <m/>
    <m/>
    <m/>
    <m/>
    <m/>
    <m/>
  </r>
  <r>
    <d v="2024-03-01T00:00:00"/>
    <d v="2024-03-25T00:00:00"/>
    <s v="الاثنين "/>
    <s v="الشؤون الادارية "/>
    <s v="ياسر روبى  "/>
    <s v="تركيب حوض حمام "/>
    <s v="تم العمل"/>
    <d v="1899-12-30T08:00:00"/>
    <d v="1899-12-30T00:00:00"/>
    <n v="-0.33333333333333331"/>
    <s v="المطابع "/>
    <n v="0.99999999999999911"/>
    <m/>
    <m/>
    <x v="1"/>
    <n v="5"/>
    <m/>
    <m/>
    <m/>
    <m/>
    <m/>
    <m/>
    <m/>
    <m/>
    <m/>
    <m/>
  </r>
  <r>
    <d v="2024-03-01T00:00:00"/>
    <d v="2024-03-26T00:00:00"/>
    <s v="الثلاثاء "/>
    <s v="شركة الكريم "/>
    <s v="ممدوح عبد التواب "/>
    <s v="تغيير  واستبدال حساسات التجليد "/>
    <s v="تم العمل"/>
    <d v="1899-12-30T09:00:00"/>
    <d v="1899-12-30T14:00:00"/>
    <n v="0.20833333333333337"/>
    <s v="المطابع "/>
    <n v="5.0000000000000009"/>
    <m/>
    <m/>
    <x v="4"/>
    <n v="5"/>
    <m/>
    <m/>
    <m/>
    <m/>
    <m/>
    <m/>
    <m/>
    <m/>
    <m/>
    <m/>
  </r>
  <r>
    <d v="2024-03-01T00:00:00"/>
    <d v="2024-03-26T00:00:00"/>
    <s v="الثلاثاء "/>
    <s v="الشركة المصرية للعمارة الحديثة "/>
    <s v="حازم عبد الرحيم  "/>
    <s v="اعمال ردم خرسانة "/>
    <s v="تم العمل"/>
    <d v="1899-12-30T14:00:00"/>
    <d v="1899-12-30T15:00:00"/>
    <n v="0.27079999999999999"/>
    <s v="المخزن القديم "/>
    <n v="6.5"/>
    <m/>
    <m/>
    <x v="1"/>
    <n v="5"/>
    <m/>
    <m/>
    <m/>
    <m/>
    <m/>
    <m/>
    <m/>
    <m/>
    <m/>
    <m/>
  </r>
  <r>
    <d v="2024-03-01T00:00:00"/>
    <d v="2024-03-26T00:00:00"/>
    <s v="الثلاثاء "/>
    <s v="القطاع الهندسى "/>
    <s v="صابر ابراهيم "/>
    <s v="تركيب بلور "/>
    <s v="تم العمل"/>
    <d v="1899-12-30T10:00:00"/>
    <d v="1899-12-30T00:00:00"/>
    <n v="0.27079999999999999"/>
    <s v="المطابع "/>
    <n v="6.5"/>
    <m/>
    <m/>
    <x v="2"/>
    <n v="5"/>
    <m/>
    <m/>
    <m/>
    <m/>
    <m/>
    <m/>
    <m/>
    <m/>
    <m/>
    <m/>
  </r>
  <r>
    <d v="2024-03-01T00:00:00"/>
    <d v="2024-03-27T00:00:00"/>
    <s v="الاربعاء "/>
    <s v="الشركة المصرية للعمارة الحديثة "/>
    <s v="حازم عبد الرحيم  "/>
    <s v="اعمال ردم خرسانة "/>
    <s v="تم العمل"/>
    <d v="1899-12-30T10:00:00"/>
    <d v="1899-12-30T15:00:00"/>
    <n v="0.27079999999999999"/>
    <s v="المخزن القديم "/>
    <n v="6.5"/>
    <m/>
    <m/>
    <x v="1"/>
    <n v="4"/>
    <s v="ناقص توقيعات "/>
    <m/>
    <m/>
    <m/>
    <m/>
    <m/>
    <m/>
    <m/>
    <m/>
    <m/>
  </r>
  <r>
    <d v="2024-03-01T00:00:00"/>
    <d v="2024-03-27T00:00:00"/>
    <s v="الاربعاء "/>
    <s v="الشركة المصرية "/>
    <s v="علاء احمد "/>
    <s v="تركيب كابل نت   "/>
    <s v="تم العمل"/>
    <d v="1899-12-30T09:00:00"/>
    <d v="1899-12-30T12:00:00"/>
    <n v="0.125"/>
    <s v="البرج"/>
    <n v="3"/>
    <m/>
    <m/>
    <x v="10"/>
    <n v="5"/>
    <m/>
    <m/>
    <m/>
    <m/>
    <m/>
    <m/>
    <m/>
    <m/>
    <m/>
    <m/>
  </r>
  <r>
    <d v="2024-03-01T00:00:00"/>
    <d v="2024-03-27T00:00:00"/>
    <s v="الاربعاء "/>
    <s v="شركة الكريم "/>
    <s v="ممدوح عبد التواب "/>
    <s v="تغيير  واستبدال حساسات التجليد "/>
    <s v="تم العمل"/>
    <d v="1899-12-30T09:00:00"/>
    <d v="1899-12-30T14:00:00"/>
    <n v="0.20833333333333337"/>
    <s v="المطابع "/>
    <n v="5.0000000000000009"/>
    <m/>
    <m/>
    <x v="4"/>
    <n v="5"/>
    <m/>
    <m/>
    <m/>
    <m/>
    <m/>
    <m/>
    <m/>
    <m/>
    <m/>
    <m/>
  </r>
  <r>
    <d v="2024-03-01T00:00:00"/>
    <d v="2024-03-27T00:00:00"/>
    <s v="الاربعاء "/>
    <s v="الشركة الالمانية "/>
    <s v="محمد ماهر "/>
    <s v="مكافحة حشرات "/>
    <s v="تم العمل"/>
    <d v="1899-12-30T12:00:00"/>
    <d v="1899-12-30T13:00:00"/>
    <n v="4.166666666666663E-2"/>
    <s v="المخزن الجديد "/>
    <n v="0.99999999999999911"/>
    <m/>
    <m/>
    <x v="1"/>
    <n v="4"/>
    <s v="ناقص توقيعات "/>
    <m/>
    <m/>
    <m/>
    <m/>
    <m/>
    <m/>
    <m/>
    <m/>
    <m/>
  </r>
  <r>
    <d v="2024-03-01T00:00:00"/>
    <d v="2024-03-27T00:00:00"/>
    <s v="الاربعاء "/>
    <s v="الشركة المصرية للعمارة الحديثة "/>
    <s v="حازم عبد الرحيم  "/>
    <s v="رصف ارضيات الشوارع "/>
    <s v="تم العمل"/>
    <d v="1899-12-30T08:00:00"/>
    <d v="1899-12-30T15:00:00"/>
    <n v="0.27079999999999999"/>
    <s v="المخزن القديم "/>
    <n v="6.4992000000000001"/>
    <m/>
    <m/>
    <x v="0"/>
    <n v="5"/>
    <m/>
    <m/>
    <m/>
    <m/>
    <m/>
    <m/>
    <m/>
    <m/>
    <m/>
    <m/>
  </r>
  <r>
    <d v="2024-03-01T00:00:00"/>
    <d v="2024-03-28T00:00:00"/>
    <s v="الخميس "/>
    <s v="الشؤون الادارية "/>
    <s v="محمد خليل   "/>
    <s v="تركيب كابل تكيف "/>
    <s v="تم العمل"/>
    <d v="1899-12-30T10:30:00"/>
    <d v="1899-12-30T14:00:00"/>
    <n v="0.14583333333333337"/>
    <s v="البرج"/>
    <n v="3.5000000000000009"/>
    <m/>
    <m/>
    <x v="4"/>
    <n v="4"/>
    <s v="ناقص توقيعات "/>
    <m/>
    <m/>
    <m/>
    <m/>
    <m/>
    <m/>
    <m/>
    <m/>
    <m/>
  </r>
  <r>
    <d v="2024-03-01T00:00:00"/>
    <d v="2024-03-28T00:00:00"/>
    <s v="الخميس "/>
    <s v="القطاع الهندسى "/>
    <s v="احمد سلامة "/>
    <s v="عمل لحام  تنكات الاحبار "/>
    <s v="تم العمل"/>
    <d v="1899-12-30T11:00:00"/>
    <d v="1899-12-30T00:00:00"/>
    <n v="0.27079999999999999"/>
    <s v="المطابع "/>
    <n v="6.4992000000000001"/>
    <m/>
    <m/>
    <x v="10"/>
    <n v="5"/>
    <m/>
    <m/>
    <m/>
    <m/>
    <m/>
    <m/>
    <m/>
    <m/>
    <m/>
    <m/>
  </r>
  <r>
    <d v="2024-03-01T00:00:00"/>
    <d v="2024-03-28T00:00:00"/>
    <s v="الخميس "/>
    <s v="الشركة المصرية للعمارة الحديثة "/>
    <s v="حازم عبد الرحيم  "/>
    <s v="رصف ارضيات الشوارع "/>
    <s v="تم العمل"/>
    <d v="1899-12-30T08:00:00"/>
    <d v="1899-12-30T15:00:00"/>
    <n v="0.27079999999999999"/>
    <s v="المخزن القديم "/>
    <n v="6.4992000000000001"/>
    <m/>
    <m/>
    <x v="6"/>
    <n v="5"/>
    <m/>
    <m/>
    <m/>
    <m/>
    <m/>
    <m/>
    <m/>
    <m/>
    <m/>
    <m/>
  </r>
  <r>
    <d v="2024-03-01T00:00:00"/>
    <d v="2024-03-28T00:00:00"/>
    <s v="الخميس "/>
    <s v="شركة اوزوريون "/>
    <s v="مراد صالح  "/>
    <s v="اعمال نقاشة   "/>
    <s v="تم العمل"/>
    <d v="1899-12-30T10:00:00"/>
    <d v="1899-12-30T13:00:00"/>
    <n v="0.27079999999999999"/>
    <s v="المخزن القديم "/>
    <n v="6.4992000000000001"/>
    <m/>
    <m/>
    <x v="6"/>
    <n v="5"/>
    <m/>
    <m/>
    <m/>
    <m/>
    <m/>
    <m/>
    <m/>
    <m/>
    <m/>
    <m/>
  </r>
  <r>
    <d v="2024-03-01T00:00:00"/>
    <d v="2024-03-30T00:00:00"/>
    <s v="السبت "/>
    <s v="مالك المخزن "/>
    <s v="فيكتور     "/>
    <s v="صيانة طلمبات الحريق "/>
    <s v="تم العمل"/>
    <d v="1899-12-30T11:30:00"/>
    <d v="1899-12-30T15:30:00"/>
    <n v="0.16666666666666669"/>
    <s v="مخزن الوزارة"/>
    <n v="4"/>
    <m/>
    <m/>
    <x v="0"/>
    <n v="5"/>
    <m/>
    <m/>
    <m/>
    <m/>
    <m/>
    <m/>
    <m/>
    <m/>
    <m/>
    <m/>
  </r>
  <r>
    <d v="2024-03-01T00:00:00"/>
    <d v="2024-03-30T00:00:00"/>
    <s v="السبت "/>
    <s v="مالك المخزن "/>
    <s v="فيكتور     "/>
    <s v="تركيب كاميرات "/>
    <s v="تم العمل"/>
    <d v="1899-12-30T10:00:00"/>
    <d v="1899-12-30T16:00:00"/>
    <n v="0.24999999999999994"/>
    <s v="مخزن الوزارة"/>
    <n v="5.9999999999999982"/>
    <m/>
    <m/>
    <x v="0"/>
    <n v="5"/>
    <m/>
    <m/>
    <m/>
    <m/>
    <m/>
    <m/>
    <m/>
    <m/>
    <m/>
    <m/>
  </r>
  <r>
    <d v="2024-03-01T00:00:00"/>
    <d v="2024-03-30T00:00:00"/>
    <s v="السبت "/>
    <s v="مالك المخزن "/>
    <s v="فيكتور     "/>
    <s v="لحام صيانة باب المخزن "/>
    <s v="تم العمل"/>
    <d v="1899-12-30T10:30:00"/>
    <d v="1899-12-30T15:30:00"/>
    <n v="0.20833333333333337"/>
    <s v="المطابع "/>
    <n v="5.0000000000000009"/>
    <m/>
    <m/>
    <x v="0"/>
    <n v="5"/>
    <m/>
    <m/>
    <m/>
    <m/>
    <m/>
    <m/>
    <m/>
    <m/>
    <m/>
    <m/>
  </r>
  <r>
    <d v="2024-03-01T00:00:00"/>
    <d v="2024-03-31T00:00:00"/>
    <s v="الاحد "/>
    <s v="الشؤون الادارية "/>
    <s v="مجدى كرم  "/>
    <s v="تغير السقف المعلق "/>
    <s v="تم العمل"/>
    <d v="1899-12-30T10:00:00"/>
    <d v="1899-12-30T13:00:00"/>
    <n v="0.12499999999999994"/>
    <s v="الفجالة"/>
    <n v="2.9999999999999987"/>
    <m/>
    <m/>
    <x v="11"/>
    <n v="5"/>
    <m/>
    <m/>
    <m/>
    <m/>
    <m/>
    <m/>
    <m/>
    <m/>
    <m/>
    <m/>
  </r>
  <r>
    <d v="2024-03-01T00:00:00"/>
    <d v="2024-03-31T00:00:00"/>
    <s v="الاحد "/>
    <s v="الشركة المصرية للعمارة الحديثة "/>
    <s v="حازم عبد الرحيم  "/>
    <s v="فك خشب"/>
    <s v="تم العمل"/>
    <d v="1899-12-30T11:00:00"/>
    <d v="1899-12-30T13:00:00"/>
    <n v="8.3333333333333315E-2"/>
    <s v="المخزن القديم "/>
    <n v="1.9999999999999996"/>
    <m/>
    <m/>
    <x v="1"/>
    <n v="5"/>
    <m/>
    <m/>
    <m/>
    <m/>
    <m/>
    <m/>
    <m/>
    <m/>
    <m/>
    <m/>
  </r>
  <r>
    <d v="2024-03-01T00:00:00"/>
    <d v="2024-03-31T00:00:00"/>
    <s v="الاحد "/>
    <s v="القطاع الهندسى "/>
    <s v="صابر ابراهيم "/>
    <s v="تعديل ولحام شاسيه"/>
    <s v="تم العمل"/>
    <d v="1899-12-30T12:00:00"/>
    <d v="1899-12-30T15:00:00"/>
    <n v="0.125"/>
    <s v="المطابع "/>
    <n v="3"/>
    <m/>
    <m/>
    <x v="10"/>
    <n v="5"/>
    <m/>
    <m/>
    <m/>
    <m/>
    <m/>
    <m/>
    <m/>
    <m/>
    <m/>
    <m/>
  </r>
  <r>
    <d v="2024-03-01T00:00:00"/>
    <d v="2024-03-31T00:00:00"/>
    <s v="الاحد "/>
    <s v="الشركة المصرية للعمارة الحديثة "/>
    <s v="حازم عبد الرحيم  "/>
    <s v="رصف ارضيات الشوارع "/>
    <s v="تم العمل"/>
    <d v="1899-12-30T08:00:00"/>
    <d v="1899-12-30T14:00:00"/>
    <n v="0.25000000000000006"/>
    <s v="المخزن القديم "/>
    <n v="6.0000000000000018"/>
    <m/>
    <m/>
    <x v="2"/>
    <n v="5"/>
    <m/>
    <m/>
    <m/>
    <m/>
    <m/>
    <m/>
    <m/>
    <m/>
    <m/>
    <m/>
  </r>
  <r>
    <d v="2024-04-01T00:00:00"/>
    <d v="2024-04-01T00:00:00"/>
    <s v="الاثنين "/>
    <s v="شركة الكريم "/>
    <s v="عادل شحات"/>
    <s v="الزيارة الشهرية المرور علي لوحات الانزار"/>
    <s v="تم العمل"/>
    <d v="1899-12-30T11:00:00"/>
    <d v="1899-12-30T00:00:00"/>
    <n v="0.27079999999999999"/>
    <s v="المخزن الجديد "/>
    <n v="6.4992000000000001"/>
    <m/>
    <m/>
    <x v="1"/>
    <n v="4"/>
    <s v="ناقص توقيعات "/>
    <m/>
    <m/>
    <m/>
    <m/>
    <m/>
    <m/>
    <m/>
    <m/>
    <m/>
  </r>
  <r>
    <d v="2024-04-01T00:00:00"/>
    <d v="2024-04-02T00:00:00"/>
    <s v="الاثنين "/>
    <s v="الشؤون الادارية "/>
    <s v="وائل انور  "/>
    <s v="فك وتغيير وتركيب  السقف المعلق "/>
    <s v="تم العمل"/>
    <d v="1899-12-30T15:00:00"/>
    <d v="1899-12-30T21:00:00"/>
    <n v="0.25"/>
    <s v="المطابع "/>
    <n v="6"/>
    <m/>
    <m/>
    <x v="11"/>
    <n v="5"/>
    <m/>
    <m/>
    <m/>
    <m/>
    <m/>
    <m/>
    <m/>
    <m/>
    <m/>
    <m/>
  </r>
  <r>
    <d v="2024-04-01T00:00:00"/>
    <d v="2024-04-01T00:00:00"/>
    <s v="الاثنين "/>
    <s v="الشركة المصرية للعمارة الحديثة "/>
    <s v="حازم عبد الرحيم  "/>
    <s v="تسوية الارضيه"/>
    <s v="تم العمل"/>
    <d v="1899-12-30T14:00:00"/>
    <d v="1899-12-30T15:00:00"/>
    <n v="4.166666666666663E-2"/>
    <s v="المخزن القديم "/>
    <n v="0.99999999999999911"/>
    <m/>
    <m/>
    <x v="1"/>
    <n v="5"/>
    <m/>
    <m/>
    <m/>
    <m/>
    <m/>
    <m/>
    <m/>
    <m/>
    <m/>
    <m/>
  </r>
  <r>
    <d v="2024-04-01T00:00:00"/>
    <d v="2024-04-01T00:00:00"/>
    <s v="الاثنين "/>
    <s v="القطاع الهندسى "/>
    <s v="احمد بدوي"/>
    <s v="تركيب كاميرات "/>
    <s v="تم العمل"/>
    <d v="1899-12-30T15:45:00"/>
    <d v="1899-12-30T12:00:00"/>
    <n v="0.15625"/>
    <s v="المطابع "/>
    <n v="3.75"/>
    <m/>
    <m/>
    <x v="10"/>
    <n v="5"/>
    <m/>
    <m/>
    <m/>
    <m/>
    <m/>
    <m/>
    <m/>
    <m/>
    <m/>
    <m/>
  </r>
  <r>
    <d v="2024-04-01T00:00:00"/>
    <d v="2024-04-01T00:00:00"/>
    <s v="الاثنين "/>
    <s v="شركة الكريم "/>
    <s v="على الشابوري"/>
    <s v="تركيب حساسات"/>
    <s v="تم العمل"/>
    <d v="1899-12-30T10:30:00"/>
    <d v="1899-12-30T13:30:00"/>
    <n v="0.125"/>
    <s v="المطابع "/>
    <n v="0"/>
    <m/>
    <m/>
    <x v="5"/>
    <n v="5"/>
    <m/>
    <m/>
    <m/>
    <m/>
    <m/>
    <m/>
    <m/>
    <m/>
    <m/>
    <m/>
  </r>
  <r>
    <d v="2024-04-01T00:00:00"/>
    <d v="2024-04-02T00:00:00"/>
    <s v="الثلاثاء "/>
    <s v="شركة الدروى "/>
    <s v="محمود الدروى "/>
    <s v="صيانة تكييفات"/>
    <s v="تم العمل"/>
    <d v="1899-12-30T10:30:00"/>
    <d v="1899-12-30T13:30:00"/>
    <n v="0.125"/>
    <s v="المطابع "/>
    <n v="3"/>
    <m/>
    <m/>
    <x v="5"/>
    <n v="5"/>
    <m/>
    <m/>
    <m/>
    <m/>
    <m/>
    <m/>
    <m/>
    <m/>
    <m/>
    <m/>
  </r>
  <r>
    <d v="2024-04-01T00:00:00"/>
    <d v="2024-04-02T00:00:00"/>
    <s v="الثلاثاء "/>
    <s v="الشركة المصرية للعمارة الحديثة "/>
    <s v="حازم عبد الرحيم  "/>
    <s v="رصف ارضيات الشوارع "/>
    <s v="تم العمل"/>
    <d v="1899-12-30T09:30:00"/>
    <d v="1899-12-30T15:30:00"/>
    <n v="0.25000000000000006"/>
    <s v="المخزن القديم "/>
    <n v="6.0000000000000018"/>
    <m/>
    <m/>
    <x v="9"/>
    <n v="5"/>
    <m/>
    <m/>
    <m/>
    <m/>
    <m/>
    <m/>
    <m/>
    <m/>
    <m/>
    <m/>
  </r>
  <r>
    <d v="2024-04-01T00:00:00"/>
    <d v="2024-04-02T00:00:00"/>
    <s v="الثلاثاء "/>
    <s v="الشؤون الادارية "/>
    <s v="مجدى كرم  "/>
    <s v="تركيب  السقف المعلق "/>
    <s v="تم العمل"/>
    <d v="1899-12-30T15:00:00"/>
    <d v="1899-12-30T21:00:00"/>
    <n v="0.25"/>
    <s v="الفجالة"/>
    <n v="6"/>
    <m/>
    <m/>
    <x v="11"/>
    <n v="5"/>
    <m/>
    <m/>
    <m/>
    <m/>
    <m/>
    <m/>
    <m/>
    <m/>
    <m/>
    <m/>
  </r>
  <r>
    <d v="2024-04-01T00:00:00"/>
    <d v="2024-04-03T00:00:00"/>
    <s v="الاربعاء "/>
    <s v="الشؤون الادارية "/>
    <s v="ادم"/>
    <s v="رصف مدخل بوابة 2"/>
    <s v="تم العمل"/>
    <d v="1899-12-30T11:00:00"/>
    <d v="1899-12-30T12:30:00"/>
    <n v="6.2500000000000056E-2"/>
    <s v="المطابع "/>
    <n v="1.5000000000000013"/>
    <m/>
    <m/>
    <x v="6"/>
    <n v="5"/>
    <m/>
    <m/>
    <m/>
    <m/>
    <m/>
    <m/>
    <m/>
    <m/>
    <m/>
    <m/>
  </r>
  <r>
    <d v="2024-04-01T00:00:00"/>
    <d v="2024-04-03T00:00:00"/>
    <s v="الاربعاء "/>
    <s v="الشركة الالمانية "/>
    <s v="احمد مظهر  "/>
    <s v="الزيارة الدورية للمكافحة الحشرات "/>
    <s v="تم العمل"/>
    <d v="1899-12-30T12:30:00"/>
    <d v="1899-12-30T15:00:00"/>
    <n v="0.10416666666666663"/>
    <s v="المطابع "/>
    <n v="2.4999999999999991"/>
    <m/>
    <m/>
    <x v="5"/>
    <n v="5"/>
    <m/>
    <m/>
    <m/>
    <m/>
    <m/>
    <m/>
    <m/>
    <m/>
    <m/>
    <m/>
  </r>
  <r>
    <d v="2024-04-01T00:00:00"/>
    <d v="2024-04-03T00:00:00"/>
    <s v="الاربعاء "/>
    <s v="الشركة المصرية للعمارة الحديثة "/>
    <s v="حازم عبد الرحيم  "/>
    <s v="استكمال العمل فى رصف ارضيات الشوارع "/>
    <s v="تم العمل"/>
    <d v="1899-12-30T08:00:00"/>
    <d v="1899-12-30T15:00:00"/>
    <n v="0.29166666666666669"/>
    <s v="المخزن القديم "/>
    <n v="7"/>
    <m/>
    <m/>
    <x v="9"/>
    <n v="5"/>
    <m/>
    <m/>
    <m/>
    <m/>
    <m/>
    <m/>
    <m/>
    <m/>
    <m/>
    <m/>
  </r>
  <r>
    <d v="2024-04-01T00:00:00"/>
    <d v="2024-04-03T00:00:00"/>
    <s v="الاربعاء "/>
    <s v="الشركة العالمية لاعمال الهندسية  "/>
    <s v="صابر احمد السيد "/>
    <s v="تركيب تشيلر حديد ولحام "/>
    <s v="تم العمل"/>
    <d v="1899-12-30T09:00:00"/>
    <d v="1899-12-30T16:00:00"/>
    <n v="0.29166666666666663"/>
    <s v="المطابع "/>
    <n v="6.9999999999999991"/>
    <m/>
    <m/>
    <x v="10"/>
    <n v="5"/>
    <m/>
    <m/>
    <m/>
    <m/>
    <m/>
    <m/>
    <m/>
    <m/>
    <m/>
    <m/>
  </r>
  <r>
    <d v="2024-04-01T00:00:00"/>
    <d v="2024-04-04T00:00:00"/>
    <s v="الخميس "/>
    <s v="الشركة العالمية لاعمال الهندسية  "/>
    <s v="صابر احمد السيد "/>
    <s v="تركيب تشيلر حديد ولحام "/>
    <s v="تم العمل"/>
    <d v="1899-12-30T09:30:00"/>
    <d v="1899-12-30T13:00:00"/>
    <n v="0.14583333333333331"/>
    <s v="المطابع "/>
    <n v="3.4999999999999996"/>
    <m/>
    <m/>
    <x v="10"/>
    <n v="5"/>
    <m/>
    <m/>
    <m/>
    <m/>
    <m/>
    <m/>
    <m/>
    <m/>
    <m/>
    <m/>
  </r>
  <r>
    <d v="2024-04-01T00:00:00"/>
    <d v="2024-04-04T00:00:00"/>
    <s v="الخميس "/>
    <s v="الشركة المصرية للعمارة الحديثة "/>
    <s v="حازم عبد الرحيم  "/>
    <s v="استكمال العمل فى رصف ارضيات الشوارع "/>
    <s v="تم العمل"/>
    <d v="1899-12-30T08:00:00"/>
    <d v="1899-12-30T15:00:00"/>
    <n v="0.29166666666666669"/>
    <s v="المخزن القديم "/>
    <n v="7"/>
    <m/>
    <m/>
    <x v="8"/>
    <n v="5"/>
    <m/>
    <m/>
    <m/>
    <m/>
    <m/>
    <m/>
    <m/>
    <m/>
    <m/>
    <m/>
  </r>
  <r>
    <d v="2024-04-01T00:00:00"/>
    <d v="2024-04-06T00:00:00"/>
    <s v="السبت "/>
    <s v="شركة الكريم "/>
    <s v="ممدوح عبد التواب "/>
    <s v="تركيب حساسات"/>
    <s v="تم العمل"/>
    <d v="1899-12-30T10:00:00"/>
    <d v="1899-12-30T17:00:00"/>
    <n v="0.29166666666666669"/>
    <s v="المطابع "/>
    <n v="0"/>
    <m/>
    <m/>
    <x v="5"/>
    <n v="5"/>
    <m/>
    <m/>
    <m/>
    <m/>
    <m/>
    <m/>
    <m/>
    <m/>
    <m/>
    <m/>
  </r>
  <r>
    <d v="2024-04-01T00:00:00"/>
    <d v="2024-04-06T00:00:00"/>
    <s v="السبت "/>
    <s v="الشركة المصرية للعمارة الحديثة "/>
    <s v="عبد الله السعيد "/>
    <s v="استكمال العمل فى رصف ارضيات الشوارع "/>
    <s v="تم العمل"/>
    <d v="1899-12-30T09:00:00"/>
    <d v="1899-12-30T14:00:00"/>
    <n v="0.20833333333333337"/>
    <s v="المخزن القديم "/>
    <n v="5.0000000000000009"/>
    <m/>
    <m/>
    <x v="5"/>
    <n v="5"/>
    <m/>
    <m/>
    <m/>
    <m/>
    <m/>
    <m/>
    <m/>
    <m/>
    <m/>
    <m/>
  </r>
  <r>
    <d v="2024-04-01T00:00:00"/>
    <d v="2024-04-06T00:00:00"/>
    <s v="السبت "/>
    <s v="الشؤون الادارية "/>
    <s v="احمد حسن   "/>
    <s v="دهان المبنى الادارى "/>
    <s v="تم العمل"/>
    <d v="1899-12-30T00:00:00"/>
    <d v="1899-12-30T07:00:00"/>
    <n v="0.29166666666666669"/>
    <s v="الفجالة"/>
    <n v="7"/>
    <m/>
    <m/>
    <x v="11"/>
    <n v="4"/>
    <s v="ناقص توقيعات "/>
    <m/>
    <m/>
    <m/>
    <m/>
    <m/>
    <m/>
    <m/>
    <m/>
    <m/>
  </r>
  <r>
    <d v="2024-04-01T00:00:00"/>
    <d v="2024-04-07T00:00:00"/>
    <s v="الاحد "/>
    <s v="الشؤون الادارية "/>
    <s v="احمد حسن   "/>
    <s v="دهان المبنى الادارى "/>
    <s v="تم العمل"/>
    <d v="1899-12-30T09:00:00"/>
    <d v="1899-12-30T21:00:00"/>
    <n v="0.5"/>
    <s v="الفجالة"/>
    <n v="12"/>
    <m/>
    <m/>
    <x v="11"/>
    <n v="4"/>
    <s v="ناقص توقيعات "/>
    <m/>
    <m/>
    <m/>
    <m/>
    <m/>
    <m/>
    <m/>
    <m/>
    <m/>
  </r>
  <r>
    <d v="2024-04-01T00:00:00"/>
    <d v="2024-04-07T00:00:00"/>
    <s v="الاحد "/>
    <s v="القطاع الهندسى "/>
    <s v="حسن عبد العظيم    "/>
    <s v="تركيب وصيانة كشافات العنابر "/>
    <s v="تم العمل"/>
    <d v="1899-12-30T13:00:00"/>
    <d v="1899-12-30T16:00:00"/>
    <n v="0.125"/>
    <s v="المطابع "/>
    <n v="3"/>
    <m/>
    <m/>
    <x v="0"/>
    <n v="5"/>
    <m/>
    <m/>
    <m/>
    <m/>
    <m/>
    <m/>
    <m/>
    <m/>
    <m/>
    <m/>
  </r>
  <r>
    <d v="2024-04-01T00:00:00"/>
    <d v="2024-04-14T00:00:00"/>
    <s v="الاحد "/>
    <s v="القطاع الهندسى "/>
    <s v="صابر ابراهيم "/>
    <s v="لحام وتجليخ "/>
    <s v="تم العمل"/>
    <d v="1899-12-30T10:30:00"/>
    <d v="1899-12-30T11:30:00"/>
    <n v="4.1666666666666685E-2"/>
    <s v="المطابع "/>
    <n v="1.0000000000000004"/>
    <m/>
    <m/>
    <x v="5"/>
    <n v="5"/>
    <m/>
    <m/>
    <m/>
    <m/>
    <m/>
    <m/>
    <m/>
    <m/>
    <m/>
    <m/>
  </r>
  <r>
    <d v="2024-04-01T00:00:00"/>
    <d v="2024-04-15T00:00:00"/>
    <s v="الاثنين "/>
    <s v="لفت ايجبت "/>
    <s v="سامى شعبان  "/>
    <s v="صيانة الكلاركات "/>
    <s v="تم العمل"/>
    <d v="1899-12-30T12:00:00"/>
    <d v="1899-12-30T14:00:00"/>
    <n v="8.333333333333337E-2"/>
    <s v="المطابع "/>
    <n v="2.0000000000000009"/>
    <m/>
    <m/>
    <x v="1"/>
    <n v="5"/>
    <m/>
    <m/>
    <m/>
    <m/>
    <m/>
    <m/>
    <m/>
    <m/>
    <m/>
    <m/>
  </r>
  <r>
    <d v="2024-04-01T00:00:00"/>
    <d v="2024-04-16T00:00:00"/>
    <s v="الثلاثاء "/>
    <s v="لفت ايجبت "/>
    <s v="سامى شعبان  "/>
    <s v="صيانة الكلاركات "/>
    <s v="تم العمل"/>
    <d v="1899-12-30T12:00:00"/>
    <d v="1899-12-30T15:00:00"/>
    <n v="0.125"/>
    <s v="المطابع "/>
    <n v="3"/>
    <m/>
    <m/>
    <x v="1"/>
    <n v="5"/>
    <m/>
    <m/>
    <m/>
    <m/>
    <m/>
    <m/>
    <m/>
    <m/>
    <m/>
    <m/>
  </r>
  <r>
    <d v="2024-04-01T00:00:00"/>
    <d v="2024-04-16T00:00:00"/>
    <s v="الثلاثاء "/>
    <s v="الشؤون الادارية "/>
    <s v="محمود ابو شادى "/>
    <s v="صبانة حمام الامن بالمبنى الادارى "/>
    <s v="تم العمل"/>
    <d v="1899-12-30T12:00:00"/>
    <d v="1899-12-30T15:00:00"/>
    <n v="0.125"/>
    <s v="المخزن القديم "/>
    <n v="3"/>
    <m/>
    <m/>
    <x v="1"/>
    <n v="4"/>
    <s v="ناقص توقيعات "/>
    <m/>
    <m/>
    <m/>
    <m/>
    <m/>
    <m/>
    <m/>
    <m/>
    <m/>
  </r>
  <r>
    <d v="2024-04-01T00:00:00"/>
    <d v="2024-04-16T00:00:00"/>
    <s v="الثلاثاء "/>
    <s v="الورشة الهندسية للخراطة"/>
    <s v="فارس خليل "/>
    <s v="اعمال لحام ودهان اعمدة جمالون دويتش  "/>
    <s v="تم العمل"/>
    <d v="1899-12-30T10:00:00"/>
    <d v="1899-12-30T17:00:00"/>
    <n v="0.27079999999999999"/>
    <s v="دويتش "/>
    <n v="6.4992000000000001"/>
    <m/>
    <m/>
    <x v="8"/>
    <n v="5"/>
    <m/>
    <m/>
    <m/>
    <m/>
    <m/>
    <m/>
    <m/>
    <m/>
    <m/>
    <m/>
  </r>
  <r>
    <d v="2024-04-01T00:00:00"/>
    <d v="2024-04-16T00:00:00"/>
    <s v="الثلاثاء "/>
    <s v="القطاع الهندسى "/>
    <s v="صابر ابراهيم "/>
    <s v="ولحام وتجليح بمجرى الدنسر "/>
    <s v="تم العمل"/>
    <d v="1899-12-30T13:00:00"/>
    <d v="1899-12-30T16:00:00"/>
    <n v="0.125"/>
    <s v="المطابع "/>
    <n v="3"/>
    <m/>
    <m/>
    <x v="5"/>
    <n v="5"/>
    <m/>
    <m/>
    <m/>
    <m/>
    <m/>
    <m/>
    <m/>
    <m/>
    <m/>
    <m/>
  </r>
  <r>
    <d v="2024-04-01T00:00:00"/>
    <d v="2024-04-17T00:00:00"/>
    <s v="الاربعاء "/>
    <s v="لفت ايجبت "/>
    <s v="سامى شعبان  "/>
    <s v="صيانة الكلاركات "/>
    <s v="تم العمل"/>
    <d v="1899-12-30T11:00:00"/>
    <d v="1899-12-30T15:00:00"/>
    <n v="0.16666666666666669"/>
    <s v="المطابع "/>
    <n v="4"/>
    <m/>
    <m/>
    <x v="1"/>
    <n v="5"/>
    <m/>
    <m/>
    <m/>
    <m/>
    <m/>
    <m/>
    <m/>
    <m/>
    <m/>
    <m/>
  </r>
  <r>
    <d v="2024-04-01T00:00:00"/>
    <d v="2024-04-17T00:00:00"/>
    <s v="الاربعاء "/>
    <s v="الورشة الهندسية للخراطة"/>
    <s v="فارس خليل "/>
    <s v="اعمال لحام ودهان اعمدة جمالون دويتش  "/>
    <s v="تم العمل"/>
    <d v="1899-12-30T10:00:00"/>
    <d v="1899-12-30T17:00:00"/>
    <n v="0.27079999999999999"/>
    <s v="دويتش "/>
    <n v="6.4992000000000001"/>
    <m/>
    <m/>
    <x v="8"/>
    <n v="5"/>
    <m/>
    <m/>
    <m/>
    <m/>
    <m/>
    <m/>
    <m/>
    <m/>
    <m/>
    <m/>
  </r>
  <r>
    <d v="2024-04-01T00:00:00"/>
    <d v="2024-04-17T00:00:00"/>
    <s v="الاربعاء "/>
    <s v="الشؤون الادارية "/>
    <s v="محمد عادل  "/>
    <s v="صيانة كراسى "/>
    <s v="تم العمل"/>
    <d v="1899-12-30T13:00:00"/>
    <d v="1899-12-30T14:00:00"/>
    <n v="4.1666666666666741E-2"/>
    <s v="المطابع "/>
    <n v="1.0000000000000018"/>
    <m/>
    <m/>
    <x v="2"/>
    <n v="5"/>
    <m/>
    <m/>
    <m/>
    <m/>
    <m/>
    <m/>
    <m/>
    <m/>
    <m/>
    <m/>
  </r>
  <r>
    <d v="2024-04-01T00:00:00"/>
    <d v="2024-04-17T00:00:00"/>
    <s v="الاربعاء "/>
    <s v="القطاع الهندسى "/>
    <s v="صابر ابراهيم "/>
    <s v="ولحام وتجليح بمجرى الدنسر "/>
    <s v="تم العمل"/>
    <d v="1899-12-30T13:00:00"/>
    <d v="1899-12-30T16:00:00"/>
    <n v="0.125"/>
    <s v="المطابع "/>
    <n v="3"/>
    <m/>
    <m/>
    <x v="5"/>
    <n v="5"/>
    <m/>
    <m/>
    <m/>
    <m/>
    <m/>
    <m/>
    <m/>
    <m/>
    <m/>
    <m/>
  </r>
  <r>
    <d v="2024-04-01T00:00:00"/>
    <d v="2024-04-17T00:00:00"/>
    <s v="الاربعاء "/>
    <s v="الشركة الالمانية "/>
    <s v="محمد ماهر   "/>
    <s v="الزيارة الدورية للمكافحة الحشرات "/>
    <s v="تم العمل"/>
    <d v="1899-12-30T13:00:00"/>
    <d v="1899-12-30T14:00:00"/>
    <n v="4.1666666666666741E-2"/>
    <s v="مخزن الوزارة"/>
    <n v="1.0000000000000018"/>
    <m/>
    <m/>
    <x v="1"/>
    <n v="5"/>
    <m/>
    <m/>
    <m/>
    <m/>
    <m/>
    <m/>
    <m/>
    <m/>
    <m/>
    <m/>
  </r>
  <r>
    <d v="2024-04-01T00:00:00"/>
    <d v="2024-04-17T00:00:00"/>
    <s v="الاربعاء "/>
    <s v="الشركة الالمانية "/>
    <s v="محمد ماهر   "/>
    <s v="الزيارة الدورية للمكافحة الحشرات "/>
    <s v="تم العمل"/>
    <d v="1899-12-30T12:00:00"/>
    <d v="1899-12-30T13:00:00"/>
    <n v="4.166666666666663E-2"/>
    <s v="المخزن الجديد "/>
    <n v="0.99999999999999911"/>
    <m/>
    <m/>
    <x v="1"/>
    <n v="5"/>
    <m/>
    <m/>
    <m/>
    <m/>
    <m/>
    <m/>
    <m/>
    <m/>
    <m/>
    <m/>
  </r>
  <r>
    <d v="2024-04-01T00:00:00"/>
    <d v="2024-04-17T00:00:00"/>
    <s v="الاربعاء "/>
    <s v="شركة ابداع "/>
    <s v="محمد سعيد  "/>
    <s v="دهانات المقاعد بالكفتريا "/>
    <s v="تم العمل"/>
    <d v="1899-12-30T12:30:00"/>
    <d v="1899-12-30T17:00:00"/>
    <n v="0.1875"/>
    <s v="المطابع "/>
    <n v="4.5"/>
    <m/>
    <m/>
    <x v="9"/>
    <n v="5"/>
    <m/>
    <m/>
    <m/>
    <m/>
    <m/>
    <m/>
    <m/>
    <m/>
    <m/>
    <m/>
  </r>
  <r>
    <d v="2024-04-01T00:00:00"/>
    <d v="2024-04-17T00:00:00"/>
    <s v="الاربعاء "/>
    <s v="الشؤون الادارية "/>
    <s v="محمد النقيب "/>
    <s v="عمل صيانة الكهرباء بالعنابر "/>
    <s v="تم العمل"/>
    <d v="1899-12-30T16:00:00"/>
    <d v="1899-12-30T21:00:00"/>
    <n v="0.20833333333333337"/>
    <s v="المطابع "/>
    <n v="5.0000000000000009"/>
    <m/>
    <m/>
    <x v="9"/>
    <n v="5"/>
    <m/>
    <m/>
    <m/>
    <m/>
    <m/>
    <m/>
    <m/>
    <m/>
    <m/>
    <m/>
  </r>
  <r>
    <d v="2024-04-01T00:00:00"/>
    <d v="2024-04-17T00:00:00"/>
    <s v="الاربعاء "/>
    <s v="الشركة الالمانية "/>
    <s v="احمد مظهر  "/>
    <s v="الزيارة الدورية للمكافحة الحشرات "/>
    <s v="تم العمل"/>
    <d v="1899-12-30T12:00:00"/>
    <d v="1899-12-30T15:00:00"/>
    <n v="0.125"/>
    <s v="المخزن القديم "/>
    <n v="3"/>
    <m/>
    <m/>
    <x v="9"/>
    <n v="5"/>
    <m/>
    <m/>
    <m/>
    <m/>
    <m/>
    <m/>
    <m/>
    <m/>
    <m/>
    <m/>
  </r>
  <r>
    <d v="2024-04-01T00:00:00"/>
    <d v="2024-04-18T00:00:00"/>
    <s v="الخميس "/>
    <s v="الورشة الهندسية للخراطة"/>
    <s v="فارس خليل "/>
    <s v="اعمال لحام ودهان اعمدة جمالون دويتش  "/>
    <s v="تم العمل"/>
    <d v="1899-12-30T10:00:00"/>
    <d v="1899-12-30T17:00:00"/>
    <n v="0.27079999999999999"/>
    <s v="دويتش "/>
    <n v="6.4992000000000001"/>
    <m/>
    <m/>
    <x v="8"/>
    <n v="5"/>
    <m/>
    <m/>
    <m/>
    <m/>
    <m/>
    <m/>
    <m/>
    <m/>
    <m/>
    <m/>
  </r>
  <r>
    <d v="2024-04-01T00:00:00"/>
    <d v="2024-04-18T00:00:00"/>
    <s v="الخميس "/>
    <s v="الشؤون الادارية "/>
    <s v="ياسر  روبى "/>
    <s v="تركيب انتر لوك "/>
    <s v="تم العمل"/>
    <d v="1899-12-30T13:00:00"/>
    <d v="1899-12-30T17:00:00"/>
    <n v="0.16666666666666674"/>
    <s v="المطابع "/>
    <n v="4.0000000000000018"/>
    <m/>
    <m/>
    <x v="2"/>
    <n v="5"/>
    <m/>
    <m/>
    <m/>
    <m/>
    <m/>
    <m/>
    <m/>
    <m/>
    <m/>
    <m/>
  </r>
  <r>
    <d v="2024-04-01T00:00:00"/>
    <d v="2024-04-18T00:00:00"/>
    <s v="الخميس "/>
    <s v="شركة الهدى "/>
    <s v="اسلام مصطفى  "/>
    <s v="صيانة ماكينة CTP"/>
    <s v="تم العمل"/>
    <d v="1899-12-30T00:00:00"/>
    <d v="1899-12-30T05:00:00"/>
    <n v="0.20833333333333334"/>
    <s v="المطابع "/>
    <n v="5"/>
    <m/>
    <m/>
    <x v="2"/>
    <n v="5"/>
    <m/>
    <m/>
    <m/>
    <m/>
    <m/>
    <m/>
    <m/>
    <m/>
    <m/>
    <m/>
  </r>
  <r>
    <d v="2024-04-01T00:00:00"/>
    <d v="2024-04-18T00:00:00"/>
    <s v="الخميس "/>
    <s v="الشركة الوطنية "/>
    <s v="محمد رمضان   "/>
    <s v="صيانة الكلاركات "/>
    <s v="تم العمل"/>
    <d v="1899-12-30T10:00:00"/>
    <d v="1899-12-30T16:30:00"/>
    <n v="0.27083333333333331"/>
    <s v="المطابع "/>
    <n v="6.5"/>
    <m/>
    <m/>
    <x v="10"/>
    <n v="5"/>
    <m/>
    <m/>
    <m/>
    <m/>
    <m/>
    <s v=" "/>
    <m/>
    <m/>
    <m/>
    <m/>
  </r>
  <r>
    <d v="2024-04-01T00:00:00"/>
    <d v="2024-04-18T00:00:00"/>
    <s v="الخميس "/>
    <s v="شركة الدروى "/>
    <s v="محمود عويس "/>
    <s v="صيانة تكييف "/>
    <s v="تم العمل"/>
    <d v="1899-12-30T11:30:00"/>
    <d v="1899-12-30T13:30:00"/>
    <n v="8.3333333333333315E-2"/>
    <s v="المطابع "/>
    <n v="1.9999999999999996"/>
    <m/>
    <m/>
    <x v="10"/>
    <n v="5"/>
    <m/>
    <m/>
    <m/>
    <m/>
    <m/>
    <m/>
    <m/>
    <m/>
    <m/>
    <m/>
  </r>
  <r>
    <d v="2024-04-01T00:00:00"/>
    <d v="2024-04-18T00:00:00"/>
    <s v="الخميس "/>
    <s v="الشؤون الادارية "/>
    <s v="رامى محمد  "/>
    <s v="تركيب فايبر على الشبابيك "/>
    <s v="تم العمل"/>
    <d v="1899-12-30T17:00:00"/>
    <d v="1899-12-30T18:00:00"/>
    <n v="4.166666666666663E-2"/>
    <s v="المطابع "/>
    <n v="0.99999999999999911"/>
    <m/>
    <m/>
    <x v="2"/>
    <n v="5"/>
    <m/>
    <m/>
    <m/>
    <m/>
    <m/>
    <m/>
    <m/>
    <m/>
    <m/>
    <m/>
  </r>
  <r>
    <d v="2024-04-01T00:00:00"/>
    <d v="2024-04-18T00:00:00"/>
    <s v="الخميس "/>
    <s v="القطاع الهندسى "/>
    <s v="محمد مدنى "/>
    <s v="لحام استندات "/>
    <s v="تم العمل"/>
    <d v="1899-12-30T11:00:00"/>
    <d v="1899-12-30T15:00:00"/>
    <n v="0.16666666666666669"/>
    <s v="المطابع "/>
    <n v="4"/>
    <m/>
    <m/>
    <x v="1"/>
    <n v="5"/>
    <m/>
    <m/>
    <m/>
    <m/>
    <m/>
    <m/>
    <m/>
    <m/>
    <m/>
    <m/>
  </r>
  <r>
    <d v="2024-04-01T00:00:00"/>
    <d v="2024-04-18T00:00:00"/>
    <s v="الخميس "/>
    <s v="الشؤون الادارية "/>
    <s v="محمد النقيب "/>
    <s v="عمل صيانة الكهرباء بالعنابر "/>
    <s v="تم العمل"/>
    <d v="1899-12-30T10:00:00"/>
    <d v="1899-12-30T14:00:00"/>
    <n v="0.16666666666666669"/>
    <s v="المطابع "/>
    <n v="4"/>
    <m/>
    <m/>
    <x v="9"/>
    <n v="5"/>
    <m/>
    <m/>
    <m/>
    <m/>
    <m/>
    <m/>
    <m/>
    <m/>
    <m/>
    <m/>
  </r>
  <r>
    <d v="2024-04-01T00:00:00"/>
    <d v="2024-04-20T00:00:00"/>
    <s v="السبت "/>
    <s v="الورشة الهندسية للخراطة"/>
    <s v="فارس خليل "/>
    <s v="تركيب سلم الطوارىء "/>
    <s v="تم العمل"/>
    <d v="1899-12-30T11:00:00"/>
    <d v="1899-12-30T15:00:00"/>
    <n v="0.27079999999999999"/>
    <s v="المخزن الجديد "/>
    <n v="6.4992000000000001"/>
    <m/>
    <m/>
    <x v="1"/>
    <n v="5"/>
    <m/>
    <m/>
    <m/>
    <m/>
    <m/>
    <m/>
    <m/>
    <m/>
    <m/>
    <m/>
  </r>
  <r>
    <d v="2024-04-01T00:00:00"/>
    <d v="2024-04-20T00:00:00"/>
    <s v="السبت "/>
    <s v="الشركة المصرية للعمارة الحديثة "/>
    <s v="حازم عبد الرحيم  "/>
    <s v="عمل معجون بكمر ورصيف السور  "/>
    <s v="تم العمل"/>
    <d v="1899-12-30T11:30:00"/>
    <d v="1899-12-30T16:30:00"/>
    <n v="0.20833333333333331"/>
    <s v="المخزن القديم "/>
    <n v="5"/>
    <m/>
    <m/>
    <x v="5"/>
    <n v="5"/>
    <m/>
    <m/>
    <m/>
    <m/>
    <m/>
    <m/>
    <m/>
    <m/>
    <m/>
    <m/>
  </r>
  <r>
    <d v="2024-04-01T00:00:00"/>
    <d v="2024-04-21T00:00:00"/>
    <s v="الاحد "/>
    <s v="الشركة الهندسية"/>
    <s v="امير رضا  "/>
    <s v="صيانة الكلاركات "/>
    <s v="تم العمل"/>
    <d v="1899-12-30T13:30:00"/>
    <d v="1899-12-30T14:30:00"/>
    <n v="4.166666666666663E-2"/>
    <s v="المطابع "/>
    <n v="0.99999999999999911"/>
    <m/>
    <m/>
    <x v="6"/>
    <n v="5"/>
    <m/>
    <m/>
    <m/>
    <m/>
    <m/>
    <s v=" "/>
    <m/>
    <m/>
    <m/>
    <m/>
  </r>
  <r>
    <d v="2024-04-01T00:00:00"/>
    <d v="2024-04-21T00:00:00"/>
    <s v="الاحد "/>
    <s v="الشركة الوطنية "/>
    <s v="محمد رمضان   "/>
    <s v="صيانة الكلاركات "/>
    <s v="تم العمل"/>
    <d v="1899-12-30T15:00:00"/>
    <d v="1899-12-30T18:00:00"/>
    <n v="0.125"/>
    <s v="المطابع "/>
    <n v="3"/>
    <m/>
    <m/>
    <x v="6"/>
    <n v="5"/>
    <m/>
    <m/>
    <m/>
    <m/>
    <m/>
    <s v=" "/>
    <m/>
    <m/>
    <m/>
    <m/>
  </r>
  <r>
    <d v="2024-04-01T00:00:00"/>
    <d v="2024-04-21T00:00:00"/>
    <s v="الاحد "/>
    <s v="شركة الدروى "/>
    <s v="محمود عويس "/>
    <s v="صيانة تكييف "/>
    <s v="تم العمل"/>
    <d v="1899-12-30T13:00:00"/>
    <d v="1899-12-30T16:00:00"/>
    <n v="0.125"/>
    <s v="المطابع "/>
    <n v="3"/>
    <m/>
    <m/>
    <x v="1"/>
    <n v="5"/>
    <m/>
    <m/>
    <m/>
    <m/>
    <m/>
    <m/>
    <m/>
    <m/>
    <m/>
    <m/>
  </r>
  <r>
    <d v="2024-04-01T00:00:00"/>
    <d v="2024-04-21T00:00:00"/>
    <s v="الاحد "/>
    <s v="الورشة الهندسية للخراطة"/>
    <s v="فارس خليل "/>
    <s v="تركيب سلم الطوارىء "/>
    <s v="تم العمل"/>
    <d v="1899-12-30T10:00:00"/>
    <d v="1899-12-30T16:00:00"/>
    <n v="0.27079999999999999"/>
    <s v="المخزن الجديد "/>
    <n v="6.4992000000000001"/>
    <m/>
    <m/>
    <x v="1"/>
    <n v="5"/>
    <m/>
    <m/>
    <m/>
    <m/>
    <m/>
    <m/>
    <m/>
    <m/>
    <m/>
    <m/>
  </r>
  <r>
    <d v="2024-04-01T00:00:00"/>
    <d v="2024-04-21T00:00:00"/>
    <s v="الاحد "/>
    <s v="الشركة المصرية للعمارة الحديثة "/>
    <s v="حازم عبد الرحيم  "/>
    <s v="فرش طبقة ناعمة على الاسفلت   "/>
    <s v="تم العمل"/>
    <d v="1899-12-30T10:00:00"/>
    <d v="1899-12-30T19:00:00"/>
    <n v="0.37499999999999994"/>
    <s v="المخزن الجديد "/>
    <n v="8.9999999999999982"/>
    <m/>
    <m/>
    <x v="9"/>
    <n v="5"/>
    <m/>
    <m/>
    <m/>
    <m/>
    <m/>
    <m/>
    <m/>
    <m/>
    <m/>
    <m/>
  </r>
  <r>
    <d v="2024-04-01T00:00:00"/>
    <d v="2024-04-21T00:00:00"/>
    <s v="الاحد "/>
    <s v="الشركة الهندسية"/>
    <s v="امير رضا  "/>
    <s v="صيانة الكلاركات "/>
    <s v="تم العمل"/>
    <d v="1899-12-30T15:00:00"/>
    <d v="1899-12-30T16:00:00"/>
    <n v="4.166666666666663E-2"/>
    <s v="المطابع "/>
    <n v="0.99999999999999911"/>
    <m/>
    <m/>
    <x v="1"/>
    <n v="5"/>
    <m/>
    <m/>
    <m/>
    <m/>
    <m/>
    <s v=" "/>
    <m/>
    <m/>
    <m/>
    <m/>
  </r>
  <r>
    <d v="2024-04-01T00:00:00"/>
    <d v="2024-04-21T00:00:00"/>
    <s v="الاحد "/>
    <s v="الشؤون الادارية "/>
    <s v="محمد النقيب "/>
    <s v="عمل حماية للكبسات التكيف "/>
    <s v="تم العمل"/>
    <d v="1899-12-30T14:00:00"/>
    <d v="1899-12-30T15:00:00"/>
    <n v="4.166666666666663E-2"/>
    <s v="المطابع "/>
    <n v="0.99999999999999911"/>
    <m/>
    <m/>
    <x v="1"/>
    <n v="5"/>
    <m/>
    <m/>
    <m/>
    <m/>
    <m/>
    <m/>
    <m/>
    <m/>
    <m/>
    <m/>
  </r>
  <r>
    <d v="2024-04-01T00:00:00"/>
    <d v="2024-04-22T00:00:00"/>
    <s v="الاثنين "/>
    <s v="الشركة المصرية للعمارة الحديثة "/>
    <s v="حازم عبد الرحيم  "/>
    <s v="دهانات رصيف السور  "/>
    <s v="تم العمل"/>
    <d v="1899-12-30T10:00:00"/>
    <d v="1899-12-30T16:30:00"/>
    <n v="0.27083333333333331"/>
    <s v="المخزن الجديد "/>
    <n v="6.5"/>
    <m/>
    <m/>
    <x v="9"/>
    <n v="5"/>
    <m/>
    <m/>
    <m/>
    <m/>
    <m/>
    <m/>
    <m/>
    <m/>
    <m/>
    <m/>
  </r>
  <r>
    <d v="2024-04-01T00:00:00"/>
    <d v="2024-04-22T00:00:00"/>
    <s v="الاثنين "/>
    <s v="الهندسية لضواغط الهواء "/>
    <s v="معروف محمد "/>
    <s v="صيانة الكمبروسر "/>
    <s v="تم العمل"/>
    <d v="1899-12-30T16:30:00"/>
    <d v="1899-12-30T17:30:00"/>
    <n v="4.166666666666663E-2"/>
    <s v="المطابع "/>
    <n v="0.99999999999999911"/>
    <m/>
    <m/>
    <x v="0"/>
    <n v="5"/>
    <m/>
    <m/>
    <m/>
    <m/>
    <m/>
    <m/>
    <m/>
    <m/>
    <m/>
    <m/>
  </r>
  <r>
    <d v="2024-04-01T00:00:00"/>
    <d v="2024-04-22T00:00:00"/>
    <s v="الاثنين "/>
    <s v="شركة الدروى "/>
    <s v="محمود الدروى  "/>
    <s v="صيانة تكييف "/>
    <s v="تم العمل"/>
    <d v="1899-12-30T10:30:00"/>
    <d v="1899-12-30T15:00:00"/>
    <n v="0.1875"/>
    <s v="المطابع "/>
    <n v="4.5"/>
    <m/>
    <m/>
    <x v="6"/>
    <n v="5"/>
    <m/>
    <m/>
    <m/>
    <m/>
    <m/>
    <m/>
    <m/>
    <m/>
    <m/>
    <m/>
  </r>
  <r>
    <d v="2024-04-01T00:00:00"/>
    <d v="2024-04-22T00:00:00"/>
    <s v="الاثنين "/>
    <s v="شركة الهدى "/>
    <s v="اسلام مصطفى  "/>
    <s v="صيانةماكينات CTB"/>
    <s v="تم العمل"/>
    <d v="1899-12-30T11:00:00"/>
    <d v="1899-12-30T16:00:00"/>
    <n v="0.20833333333333331"/>
    <s v="المطابع "/>
    <n v="5"/>
    <m/>
    <m/>
    <x v="0"/>
    <n v="5"/>
    <m/>
    <m/>
    <m/>
    <m/>
    <m/>
    <m/>
    <m/>
    <m/>
    <m/>
    <m/>
  </r>
  <r>
    <d v="2024-04-01T00:00:00"/>
    <d v="2024-04-22T00:00:00"/>
    <s v="الاثنين "/>
    <s v="القطاع الهندسى "/>
    <s v="شريف عيد "/>
    <s v="صيانة كشافات الكهرباء "/>
    <s v="تم العمل"/>
    <d v="1899-12-30T10:00:00"/>
    <d v="1899-12-30T16:00:00"/>
    <n v="0.24999999999999994"/>
    <s v="المطابع "/>
    <n v="5.9999999999999982"/>
    <m/>
    <m/>
    <x v="0"/>
    <n v="5"/>
    <m/>
    <m/>
    <m/>
    <m/>
    <m/>
    <m/>
    <m/>
    <m/>
    <m/>
    <m/>
  </r>
  <r>
    <d v="2024-04-01T00:00:00"/>
    <d v="2024-04-23T00:00:00"/>
    <s v="الثلاثاء "/>
    <s v="شركة الكريم "/>
    <s v="على  الشابورى "/>
    <s v="تركيب حساسات "/>
    <s v="تم العمل"/>
    <d v="1899-12-30T11:30:00"/>
    <d v="1899-12-30T12:30:00"/>
    <n v="0.27079999999999999"/>
    <s v="المطابع "/>
    <n v="6.4992000000000001"/>
    <m/>
    <m/>
    <x v="5"/>
    <n v="5"/>
    <m/>
    <m/>
    <m/>
    <m/>
    <m/>
    <m/>
    <m/>
    <m/>
    <m/>
    <m/>
  </r>
  <r>
    <d v="2024-04-01T00:00:00"/>
    <d v="2024-04-23T00:00:00"/>
    <s v="الثلاثاء "/>
    <s v="ماجيك تاتش "/>
    <s v="اكرم عياد "/>
    <s v="تركيب يافطة على بوابة المبنى الادارى "/>
    <s v="تم العمل"/>
    <d v="1899-12-30T00:00:00"/>
    <d v="1899-12-30T14:00:00"/>
    <n v="0.27079999999999999"/>
    <s v="المطابع "/>
    <n v="6.4992000000000001"/>
    <m/>
    <m/>
    <x v="6"/>
    <n v="5"/>
    <m/>
    <m/>
    <m/>
    <m/>
    <m/>
    <m/>
    <m/>
    <m/>
    <m/>
    <m/>
  </r>
  <r>
    <d v="2024-04-01T00:00:00"/>
    <d v="2024-04-22T00:00:00"/>
    <s v="الثلاثاء "/>
    <s v="الشركة المصرية للعمارة الحديثة "/>
    <s v="محمد حمزة "/>
    <s v="تثبيت الرامب "/>
    <s v="تم العمل"/>
    <d v="1899-12-30T11:00:00"/>
    <d v="1899-12-30T14:00:00"/>
    <n v="0.12500000000000006"/>
    <s v="المخزن الجديد "/>
    <n v="3.0000000000000013"/>
    <m/>
    <m/>
    <x v="1"/>
    <n v="5"/>
    <m/>
    <m/>
    <m/>
    <m/>
    <m/>
    <m/>
    <m/>
    <m/>
    <m/>
    <m/>
  </r>
  <r>
    <d v="2024-04-01T00:00:00"/>
    <d v="2024-04-23T00:00:00"/>
    <s v="الثلاثاء "/>
    <s v="الورشة الهندسية للخراطة"/>
    <s v="فارس خليل "/>
    <s v="تركيب سلم الطوارىء "/>
    <s v="تم العمل"/>
    <d v="1899-12-30T10:00:00"/>
    <d v="1899-12-30T16:00:00"/>
    <n v="0.27079999999999999"/>
    <s v="المخزن الجديد "/>
    <n v="6.4992000000000001"/>
    <m/>
    <m/>
    <x v="1"/>
    <n v="5"/>
    <m/>
    <m/>
    <m/>
    <m/>
    <m/>
    <m/>
    <m/>
    <m/>
    <m/>
    <m/>
  </r>
  <r>
    <d v="2024-04-01T00:00:00"/>
    <d v="2024-04-23T00:00:00"/>
    <s v="الثلاثاء "/>
    <s v="الشركة الوطنية "/>
    <s v="محمد رمضان   "/>
    <s v="صيانة الكلاركات "/>
    <s v="تم العمل"/>
    <d v="1899-12-30T10:00:00"/>
    <d v="1899-12-30T13:00:00"/>
    <n v="0.12499999999999994"/>
    <s v="المطابع "/>
    <n v="2.9999999999999987"/>
    <m/>
    <m/>
    <x v="6"/>
    <n v="5"/>
    <m/>
    <m/>
    <m/>
    <m/>
    <m/>
    <s v=" "/>
    <m/>
    <m/>
    <m/>
    <m/>
  </r>
  <r>
    <d v="2024-04-01T00:00:00"/>
    <d v="2024-04-23T00:00:00"/>
    <s v="الثلاثاء "/>
    <s v="الشركة المصرية للعمارة الحديثة "/>
    <s v="حازم عبد الرحيم  "/>
    <s v="دهانات رصيف السور  "/>
    <s v="تم العمل"/>
    <d v="1899-12-30T10:00:00"/>
    <d v="1899-12-30T17:00:00"/>
    <n v="0.29166666666666669"/>
    <s v="المخزن القديم "/>
    <n v="7"/>
    <m/>
    <m/>
    <x v="9"/>
    <n v="5"/>
    <m/>
    <m/>
    <m/>
    <m/>
    <m/>
    <m/>
    <m/>
    <m/>
    <m/>
    <m/>
  </r>
  <r>
    <d v="2024-04-01T00:00:00"/>
    <d v="2024-04-24T00:00:00"/>
    <s v="الاربعاء "/>
    <s v="شركة الهدى "/>
    <s v="اسلام مصطفى  "/>
    <s v="صيانةماكينات CTB"/>
    <s v="تم العمل"/>
    <d v="1899-12-30T12:00:00"/>
    <d v="1899-12-30T17:00:00"/>
    <n v="0.20833333333333337"/>
    <s v="المطابع "/>
    <n v="5.0000000000000009"/>
    <m/>
    <m/>
    <x v="6"/>
    <n v="5"/>
    <m/>
    <m/>
    <m/>
    <m/>
    <m/>
    <m/>
    <m/>
    <m/>
    <m/>
    <m/>
  </r>
  <r>
    <d v="2024-04-01T00:00:00"/>
    <d v="2024-04-24T00:00:00"/>
    <s v="الاربعاء "/>
    <s v="القطاع الهندسى "/>
    <s v="حسن عبد العظيم  "/>
    <s v="تغيير كابل الخاص  ايروشر الهواء "/>
    <s v="تم العمل"/>
    <d v="1899-12-30T16:30:00"/>
    <d v="1899-12-30T17:00:00"/>
    <n v="2.083333333333337E-2"/>
    <s v="المطابع "/>
    <n v="0.50000000000000089"/>
    <m/>
    <m/>
    <x v="0"/>
    <n v="5"/>
    <m/>
    <m/>
    <m/>
    <m/>
    <m/>
    <m/>
    <m/>
    <m/>
    <m/>
    <m/>
  </r>
  <r>
    <d v="2024-04-01T00:00:00"/>
    <d v="2024-04-24T00:00:00"/>
    <s v="الاربعاء "/>
    <s v="الشركة الالمانية "/>
    <s v="عمرو مسعد "/>
    <s v="اصطياد قطط بالمطابع "/>
    <s v="تم العمل"/>
    <d v="1899-12-30T19:00:00"/>
    <d v="1899-12-30T22:30:00"/>
    <n v="0.14583333333333337"/>
    <s v="المطابع "/>
    <n v="3.5000000000000009"/>
    <m/>
    <m/>
    <x v="1"/>
    <n v="5"/>
    <m/>
    <m/>
    <m/>
    <m/>
    <m/>
    <m/>
    <m/>
    <m/>
    <m/>
    <m/>
  </r>
  <r>
    <d v="2024-04-01T00:00:00"/>
    <d v="2024-04-24T00:00:00"/>
    <s v="الاربعاء "/>
    <s v="الشركة الالمانية "/>
    <s v="زياد عادل "/>
    <s v="الزيارة الدورية للمكافحة الحشرات "/>
    <s v="تم العمل"/>
    <d v="1899-12-30T11:00:00"/>
    <d v="1899-12-30T17:00:00"/>
    <n v="0.25000000000000006"/>
    <s v="المطابع "/>
    <n v="6.0000000000000018"/>
    <m/>
    <m/>
    <x v="2"/>
    <n v="5"/>
    <m/>
    <m/>
    <m/>
    <m/>
    <m/>
    <m/>
    <m/>
    <m/>
    <m/>
    <m/>
  </r>
  <r>
    <d v="2024-04-01T00:00:00"/>
    <d v="2024-04-24T00:00:00"/>
    <s v="الاربعاء "/>
    <s v="الورشة الهندسية للخراطة"/>
    <s v="فارس خليل "/>
    <s v="تركيب سلم الطوارىء "/>
    <s v="تم العمل"/>
    <d v="1899-12-30T10:00:00"/>
    <d v="1899-12-30T15:00:00"/>
    <n v="0.27079999999999999"/>
    <s v="المخزن الجديد "/>
    <n v="6.4992000000000001"/>
    <m/>
    <m/>
    <x v="1"/>
    <n v="5"/>
    <m/>
    <m/>
    <m/>
    <m/>
    <m/>
    <m/>
    <m/>
    <m/>
    <m/>
    <m/>
  </r>
  <r>
    <d v="2024-04-01T00:00:00"/>
    <d v="2024-04-24T00:00:00"/>
    <s v="الاربعاء "/>
    <s v="الشركة المصرية للعمارة الحديثة "/>
    <s v="حازم عبد الرحيم  "/>
    <s v="تشطيب دهانات رصيف السور  "/>
    <s v="تم العمل"/>
    <d v="1899-12-30T10:00:00"/>
    <d v="1899-12-30T17:00:00"/>
    <n v="0.29166666666666669"/>
    <s v="المخزن القديم "/>
    <n v="7"/>
    <m/>
    <m/>
    <x v="9"/>
    <n v="5"/>
    <m/>
    <m/>
    <m/>
    <m/>
    <m/>
    <m/>
    <m/>
    <m/>
    <m/>
    <m/>
  </r>
  <r>
    <d v="2024-04-01T00:00:00"/>
    <d v="2024-04-24T00:00:00"/>
    <s v="الاربعاء "/>
    <s v="الشؤون الادارية "/>
    <s v="محمد النقيب "/>
    <s v="صيانة الكهرباء بالعنابر "/>
    <s v="تم العمل"/>
    <d v="1899-12-30T16:30:00"/>
    <d v="1899-12-30T20:30:00"/>
    <n v="0.16666666666666663"/>
    <s v="المطابع "/>
    <n v="3.9999999999999991"/>
    <m/>
    <m/>
    <x v="9"/>
    <n v="5"/>
    <m/>
    <m/>
    <m/>
    <m/>
    <m/>
    <m/>
    <m/>
    <m/>
    <m/>
    <m/>
  </r>
  <r>
    <d v="2024-04-01T00:00:00"/>
    <d v="2024-04-25T00:00:00"/>
    <s v="الخميس "/>
    <s v="الشركة الالمانية "/>
    <s v="زياد عادل "/>
    <s v="الزيارة الدورية للمكافحة الحشرات "/>
    <s v="تم العمل"/>
    <d v="1899-12-30T12:00:00"/>
    <d v="1899-12-30T16:00:00"/>
    <n v="0.16666666666666663"/>
    <s v="المطابع "/>
    <n v="3.9999999999999991"/>
    <m/>
    <m/>
    <x v="2"/>
    <n v="5"/>
    <m/>
    <m/>
    <m/>
    <m/>
    <m/>
    <m/>
    <m/>
    <m/>
    <m/>
    <m/>
  </r>
  <r>
    <d v="2024-04-01T00:00:00"/>
    <d v="2024-04-25T00:00:00"/>
    <s v="الخميس "/>
    <s v="الشؤون الادارية "/>
    <s v="محمد كمالى  "/>
    <s v="عمل تشحيم اجهزة التكيف "/>
    <s v="تم العمل"/>
    <d v="1899-12-30T14:30:00"/>
    <d v="1899-12-30T16:00:00"/>
    <n v="6.25E-2"/>
    <s v="المطابع "/>
    <n v="1.5"/>
    <m/>
    <m/>
    <x v="9"/>
    <n v="5"/>
    <m/>
    <m/>
    <m/>
    <m/>
    <m/>
    <m/>
    <m/>
    <m/>
    <m/>
    <m/>
  </r>
  <r>
    <d v="2024-04-01T00:00:00"/>
    <d v="2024-04-25T00:00:00"/>
    <s v="الخميس "/>
    <s v="الشؤون الادارية "/>
    <s v="محمد النقيب "/>
    <s v="صيانة التكيف بغرفة السلفر  "/>
    <s v="تم العمل"/>
    <d v="1899-12-30T10:00:00"/>
    <d v="1899-12-30T11:00:00"/>
    <n v="4.166666666666663E-2"/>
    <s v="المطابع "/>
    <n v="0.99999999999999911"/>
    <m/>
    <m/>
    <x v="9"/>
    <n v="5"/>
    <m/>
    <m/>
    <m/>
    <m/>
    <m/>
    <m/>
    <m/>
    <m/>
    <m/>
    <m/>
  </r>
  <r>
    <d v="2024-04-01T00:00:00"/>
    <d v="2024-04-27T00:00:00"/>
    <s v="السبت "/>
    <s v="الورشة الهندسية للخراطة"/>
    <s v="فارس خليل "/>
    <s v="تركيب سلم الطوارىء "/>
    <s v="تم العمل"/>
    <d v="1899-12-30T09:30:00"/>
    <d v="1899-12-30T15:00:00"/>
    <n v="0.27079999999999999"/>
    <s v="المخزن الجديد "/>
    <n v="6.4992000000000001"/>
    <m/>
    <m/>
    <x v="6"/>
    <n v="5"/>
    <m/>
    <m/>
    <m/>
    <m/>
    <m/>
    <m/>
    <m/>
    <m/>
    <m/>
    <m/>
  </r>
  <r>
    <d v="2024-04-01T00:00:00"/>
    <d v="2024-04-27T00:00:00"/>
    <s v="السبت "/>
    <s v="الشركة الالمانية "/>
    <s v="زياد عادل "/>
    <s v="الزيارة الدورية للمكافحة الحشرات "/>
    <s v="تم العمل"/>
    <d v="1899-12-30T09:30:00"/>
    <d v="1899-12-30T17:00:00"/>
    <n v="0.31250000000000006"/>
    <s v="المطابع "/>
    <n v="7.5000000000000018"/>
    <m/>
    <m/>
    <x v="0"/>
    <n v="5"/>
    <m/>
    <m/>
    <m/>
    <m/>
    <m/>
    <m/>
    <m/>
    <m/>
    <m/>
    <m/>
  </r>
  <r>
    <d v="2024-04-01T00:00:00"/>
    <d v="2024-04-28T00:00:00"/>
    <s v="الاحد "/>
    <s v="ادارة المخازن "/>
    <s v="ياسر ابراهيم  "/>
    <s v="دهانات الاستندات  بالمخازن"/>
    <s v="تم العمل"/>
    <d v="1899-12-30T12:00:00"/>
    <d v="1899-12-30T17:00:00"/>
    <n v="0.20833333333333337"/>
    <s v="المخزن القديم "/>
    <n v="5.0000000000000009"/>
    <m/>
    <m/>
    <x v="9"/>
    <n v="5"/>
    <m/>
    <m/>
    <m/>
    <m/>
    <m/>
    <m/>
    <m/>
    <m/>
    <m/>
    <m/>
  </r>
  <r>
    <d v="2024-04-01T00:00:00"/>
    <d v="2024-04-28T00:00:00"/>
    <s v="الاحد "/>
    <s v="الشركة المصرية للعمارة الحديثة "/>
    <s v="حازم عبد الرحيم  "/>
    <s v="تشطيب دهانات رصيف السور  "/>
    <s v="تم العمل"/>
    <d v="1899-12-30T10:00:00"/>
    <d v="1899-12-30T16:00:00"/>
    <n v="0.24999999999999994"/>
    <s v="المخزن القديم "/>
    <n v="5.9999999999999982"/>
    <m/>
    <m/>
    <x v="9"/>
    <n v="5"/>
    <m/>
    <m/>
    <m/>
    <m/>
    <m/>
    <m/>
    <m/>
    <m/>
    <m/>
    <m/>
  </r>
  <r>
    <d v="2024-04-01T00:00:00"/>
    <d v="2024-04-29T00:00:00"/>
    <s v="الاثنين "/>
    <s v="شركة الكريم "/>
    <s v="ممدوح عبد التواب "/>
    <s v="الزيارة الشهريةعمل صيانة  الحساسات "/>
    <s v="تم العمل"/>
    <d v="1899-12-30T10:00:00"/>
    <d v="1899-12-30T23:30:00"/>
    <n v="0.27079999999999999"/>
    <s v="المطابع "/>
    <n v="6.4992000000000001"/>
    <m/>
    <m/>
    <x v="5"/>
    <n v="5"/>
    <m/>
    <m/>
    <m/>
    <m/>
    <m/>
    <m/>
    <m/>
    <m/>
    <m/>
    <m/>
  </r>
  <r>
    <d v="2024-04-01T00:00:00"/>
    <d v="2024-04-29T00:00:00"/>
    <s v="الاثنين "/>
    <s v="ادارة المخازن "/>
    <s v="ياسر ابراهيم  "/>
    <s v="دهانات الاستندات  بالمخازن"/>
    <s v="تم العمل"/>
    <d v="1899-12-30T10:00:00"/>
    <d v="1899-12-30T17:00:00"/>
    <n v="0.29166666666666669"/>
    <s v="المخزن الجديد "/>
    <n v="7"/>
    <m/>
    <m/>
    <x v="9"/>
    <n v="5"/>
    <m/>
    <m/>
    <m/>
    <m/>
    <m/>
    <m/>
    <m/>
    <m/>
    <m/>
    <m/>
  </r>
  <r>
    <d v="2024-04-01T00:00:00"/>
    <d v="2024-04-29T00:00:00"/>
    <s v="الاثنين "/>
    <s v="الشركة الالمانية "/>
    <s v="محمد ماهر "/>
    <s v="الزيارة الدورية للمكافحة الحشرات "/>
    <s v="تم العمل"/>
    <d v="1899-12-30T10:00:00"/>
    <d v="1899-12-30T11:00:00"/>
    <n v="4.166666666666663E-2"/>
    <s v="المخزن الجديد "/>
    <n v="0.99999999999999911"/>
    <m/>
    <m/>
    <x v="1"/>
    <n v="5"/>
    <m/>
    <m/>
    <m/>
    <m/>
    <m/>
    <m/>
    <m/>
    <m/>
    <m/>
    <m/>
  </r>
  <r>
    <d v="2024-04-01T00:00:00"/>
    <d v="2024-04-29T00:00:00"/>
    <s v="الاثنين "/>
    <s v="الشركة الالمانية "/>
    <s v="محمد ماهر "/>
    <s v="الزيارة الدورية للمكافحة الحشرات "/>
    <s v="تم العمل"/>
    <d v="1899-12-30T12:00:00"/>
    <d v="1899-12-30T13:00:00"/>
    <n v="4.166666666666663E-2"/>
    <s v="مخزن الوزارة"/>
    <n v="0.99999999999999911"/>
    <m/>
    <m/>
    <x v="1"/>
    <n v="5"/>
    <m/>
    <m/>
    <m/>
    <m/>
    <m/>
    <m/>
    <m/>
    <m/>
    <m/>
    <m/>
  </r>
  <r>
    <d v="2024-04-01T00:00:00"/>
    <d v="2024-04-30T00:00:00"/>
    <s v="الثلاثاء "/>
    <s v="الشؤون الادارية "/>
    <s v="محمد النقيب "/>
    <s v="تركيب دكت  اسلاك "/>
    <s v="تم العمل"/>
    <d v="1899-12-30T15:00:00"/>
    <d v="1899-12-30T17:00:00"/>
    <n v="8.333333333333337E-2"/>
    <s v="المطابع "/>
    <n v="2.0000000000000009"/>
    <m/>
    <m/>
    <x v="9"/>
    <n v="5"/>
    <m/>
    <m/>
    <m/>
    <m/>
    <m/>
    <m/>
    <m/>
    <m/>
    <m/>
    <m/>
  </r>
  <r>
    <d v="2024-04-01T00:00:00"/>
    <d v="2024-04-30T00:00:00"/>
    <s v="الثلاثاء "/>
    <s v="لفت ايجبت "/>
    <s v="سامى شعبان  "/>
    <s v="صيانة الكلاركات "/>
    <s v="تم العمل"/>
    <d v="1899-12-30T11:00:00"/>
    <d v="1899-12-30T14:00:00"/>
    <n v="0.12500000000000006"/>
    <s v="المطابع "/>
    <n v="3.0000000000000013"/>
    <m/>
    <m/>
    <x v="6"/>
    <n v="5"/>
    <m/>
    <m/>
    <m/>
    <m/>
    <m/>
    <m/>
    <m/>
    <m/>
    <m/>
    <m/>
  </r>
  <r>
    <d v="2024-04-01T00:00:00"/>
    <d v="2024-04-30T00:00:00"/>
    <s v="الثلاثاء "/>
    <s v="ادارة المخازن "/>
    <s v="ياسر ابراهيم  "/>
    <s v="دهانات الاستندات  بالمخازن"/>
    <s v="تم العمل"/>
    <d v="1899-12-30T13:30:00"/>
    <d v="1899-12-30T15:00:00"/>
    <n v="6.25E-2"/>
    <s v="المخزن القديم "/>
    <n v="1.5"/>
    <m/>
    <m/>
    <x v="6"/>
    <n v="5"/>
    <m/>
    <m/>
    <m/>
    <m/>
    <m/>
    <m/>
    <m/>
    <m/>
    <m/>
    <m/>
  </r>
  <r>
    <d v="2024-04-01T00:00:00"/>
    <d v="2024-04-30T00:00:00"/>
    <s v="الثلاثاء "/>
    <s v="شركة الهدى "/>
    <s v="اسلام مصطفى  "/>
    <s v="صيانةماكينات CTB"/>
    <s v="تم العمل"/>
    <d v="1899-12-30T13:00:00"/>
    <d v="1899-12-30T17:30:00"/>
    <n v="0.1875"/>
    <s v="المطابع "/>
    <n v="4.5"/>
    <m/>
    <m/>
    <x v="8"/>
    <n v="5"/>
    <m/>
    <m/>
    <m/>
    <m/>
    <m/>
    <m/>
    <m/>
    <m/>
    <m/>
    <m/>
  </r>
  <r>
    <d v="2024-04-01T00:00:00"/>
    <d v="2024-04-30T00:00:00"/>
    <s v="الثلاثاء "/>
    <s v="القطاع الهندسى "/>
    <s v="صابر ابلراهيم "/>
    <s v="تثبيت الرامب "/>
    <s v="تم العمل"/>
    <d v="1899-12-30T11:30:00"/>
    <d v="1899-12-30T13:00:00"/>
    <n v="6.2499999999999944E-2"/>
    <s v="المخزن الجديد "/>
    <n v="1.4999999999999987"/>
    <m/>
    <m/>
    <x v="1"/>
    <n v="5"/>
    <m/>
    <m/>
    <m/>
    <m/>
    <m/>
    <m/>
    <m/>
    <m/>
    <m/>
    <m/>
  </r>
  <r>
    <d v="2024-04-01T00:00:00"/>
    <d v="2024-04-30T00:00:00"/>
    <s v="الثلاثاء "/>
    <s v="الورشة الهندسية للخراطة"/>
    <s v="فارس خليل "/>
    <s v="تركيب سلم الطوارىء "/>
    <s v="تم العمل"/>
    <d v="1899-12-30T09:30:00"/>
    <d v="1899-12-30T15:30:00"/>
    <n v="0.27079999999999999"/>
    <s v="المخزن الجديد "/>
    <n v="6.4992000000000001"/>
    <m/>
    <m/>
    <x v="5"/>
    <n v="5"/>
    <m/>
    <m/>
    <m/>
    <m/>
    <m/>
    <m/>
    <m/>
    <m/>
    <m/>
    <m/>
  </r>
  <r>
    <d v="2024-04-01T00:00:00"/>
    <d v="2024-04-30T00:00:00"/>
    <s v="الثلاثاء "/>
    <s v="شركة هيدروليك ميكانيك "/>
    <s v="محمد  حمزة "/>
    <s v="تثبيت الرامب "/>
    <s v="تم العمل"/>
    <d v="1899-12-30T10:00:00"/>
    <d v="1899-12-30T12:00:00"/>
    <n v="8.3333333333333315E-2"/>
    <s v="المخزن الجديد "/>
    <n v="1.9999999999999996"/>
    <m/>
    <m/>
    <x v="5"/>
    <n v="5"/>
    <m/>
    <m/>
    <m/>
    <m/>
    <m/>
    <m/>
    <m/>
    <m/>
    <m/>
    <m/>
  </r>
  <r>
    <d v="2024-04-01T00:00:00"/>
    <d v="2024-04-30T00:00:00"/>
    <s v="الثلاثاء "/>
    <s v="شركة الدروى "/>
    <s v="محمودعويس   "/>
    <s v="صيانة تكييف "/>
    <s v="تم العمل"/>
    <d v="1899-12-30T10:30:00"/>
    <d v="1899-12-30T17:30:00"/>
    <n v="0.29166666666666663"/>
    <s v="المطابع "/>
    <n v="6.9999999999999991"/>
    <m/>
    <m/>
    <x v="8"/>
    <n v="5"/>
    <m/>
    <m/>
    <m/>
    <m/>
    <m/>
    <m/>
    <m/>
    <m/>
    <m/>
    <m/>
  </r>
  <r>
    <d v="2024-05-01T00:00:00"/>
    <d v="2024-05-01T00:00:00"/>
    <s v="الاربعاء "/>
    <s v="شركة الدروى "/>
    <s v="محمودالدروى    "/>
    <s v="صيانة تكييف "/>
    <s v="تم العمل"/>
    <d v="1899-12-30T11:00:00"/>
    <d v="1899-12-30T16:00:00"/>
    <n v="0.20833333333333331"/>
    <s v="المطابع "/>
    <n v="5"/>
    <m/>
    <m/>
    <x v="0"/>
    <n v="5"/>
    <m/>
    <m/>
    <m/>
    <m/>
    <m/>
    <m/>
    <m/>
    <m/>
    <m/>
    <m/>
  </r>
  <r>
    <d v="2024-05-01T00:00:00"/>
    <d v="2024-05-01T00:00:00"/>
    <s v="الاربعاء "/>
    <s v="ماجيك تاتش "/>
    <s v="مصطفى شاكر    "/>
    <s v="تركيب لوحة استلس "/>
    <s v="تم العمل"/>
    <d v="1899-12-30T11:00:00"/>
    <d v="1899-12-30T14:00:00"/>
    <n v="0.12500000000000006"/>
    <s v="المطابع "/>
    <n v="3.0000000000000013"/>
    <m/>
    <m/>
    <x v="2"/>
    <n v="5"/>
    <m/>
    <m/>
    <m/>
    <m/>
    <m/>
    <m/>
    <m/>
    <m/>
    <m/>
    <m/>
  </r>
  <r>
    <d v="2024-05-01T00:00:00"/>
    <d v="2024-05-01T00:00:00"/>
    <s v="الاربعاء "/>
    <s v="الشؤون الادارية "/>
    <s v="محمد النقيب "/>
    <s v="تركيب لمبات بيان فى الحمامات "/>
    <s v="تم العمل"/>
    <d v="1899-12-30T11:00:00"/>
    <d v="1899-12-30T15:00:00"/>
    <n v="0.16666666666666669"/>
    <s v="المطابع "/>
    <n v="4"/>
    <m/>
    <m/>
    <x v="6"/>
    <n v="5"/>
    <m/>
    <m/>
    <m/>
    <m/>
    <m/>
    <m/>
    <m/>
    <m/>
    <m/>
    <m/>
  </r>
  <r>
    <d v="2024-05-01T00:00:00"/>
    <d v="2024-05-01T00:00:00"/>
    <s v="الاربعاء "/>
    <s v="ادارة المخازن "/>
    <s v="ياسر ابراهيم  "/>
    <s v="تثبيت  الاستندات  "/>
    <s v="تم العمل"/>
    <d v="1899-12-30T14:00:00"/>
    <d v="1899-12-30T17:00:00"/>
    <n v="0.125"/>
    <s v="المخزن القديم "/>
    <n v="3"/>
    <m/>
    <m/>
    <x v="9"/>
    <n v="5"/>
    <m/>
    <m/>
    <m/>
    <m/>
    <m/>
    <m/>
    <m/>
    <m/>
    <m/>
    <m/>
  </r>
  <r>
    <d v="2024-05-01T00:00:00"/>
    <d v="2024-05-02T00:00:00"/>
    <s v="الخميس "/>
    <s v="الشركة الهندسية"/>
    <s v="امير رضا  "/>
    <s v="صيانة الكلاركات "/>
    <s v="تم العمل"/>
    <d v="1899-12-30T15:00:00"/>
    <d v="1899-12-30T16:00:00"/>
    <n v="4.166666666666663E-2"/>
    <s v="المطابع "/>
    <n v="0.99999999999999911"/>
    <m/>
    <m/>
    <x v="1"/>
    <n v="5"/>
    <m/>
    <m/>
    <m/>
    <m/>
    <m/>
    <m/>
    <m/>
    <m/>
    <m/>
    <m/>
  </r>
  <r>
    <d v="2024-05-01T00:00:00"/>
    <d v="2024-05-02T00:00:00"/>
    <s v="الخميس "/>
    <s v="مالك المخزن "/>
    <s v="فيكتور     "/>
    <s v="أختبار طلمبات الحريق "/>
    <s v="تم العمل"/>
    <d v="1899-12-30T12:00:00"/>
    <d v="1899-12-30T13:00:00"/>
    <n v="4.166666666666663E-2"/>
    <s v="مخزن الوزارة"/>
    <n v="0.99999999999999911"/>
    <m/>
    <m/>
    <x v="6"/>
    <n v="5"/>
    <m/>
    <m/>
    <m/>
    <m/>
    <m/>
    <m/>
    <m/>
    <m/>
    <m/>
    <m/>
  </r>
  <r>
    <d v="2024-05-01T00:00:00"/>
    <d v="2024-05-02T00:00:00"/>
    <s v="الخميس "/>
    <s v="الشؤون الادارية "/>
    <s v="محمد النقيب "/>
    <s v="تركيب لمبات بيان فى الحمامات "/>
    <s v="تم العمل"/>
    <d v="1899-12-30T14:30:00"/>
    <d v="1899-12-30T16:00:00"/>
    <n v="6.25E-2"/>
    <s v="المطابع "/>
    <n v="1.5"/>
    <m/>
    <m/>
    <x v="6"/>
    <n v="5"/>
    <m/>
    <m/>
    <m/>
    <m/>
    <m/>
    <m/>
    <m/>
    <m/>
    <m/>
    <m/>
  </r>
  <r>
    <d v="2024-05-01T00:00:00"/>
    <d v="2024-05-02T00:00:00"/>
    <s v="الخميس "/>
    <s v="مالك المخزن "/>
    <s v="فيكتور     "/>
    <s v="المرور على الديزل والطلمبات "/>
    <s v="تم العمل"/>
    <d v="1899-12-30T11:00:00"/>
    <d v="1899-12-30T12:00:00"/>
    <n v="4.1666666666666685E-2"/>
    <s v="مخزن الوزارة"/>
    <n v="1.0000000000000004"/>
    <m/>
    <m/>
    <x v="6"/>
    <n v="5"/>
    <m/>
    <m/>
    <m/>
    <m/>
    <m/>
    <m/>
    <m/>
    <m/>
    <m/>
    <m/>
  </r>
  <r>
    <d v="2024-05-01T00:00:00"/>
    <d v="2024-05-02T00:00:00"/>
    <s v="الخميس "/>
    <s v="شركة الامل "/>
    <s v="وائل جودة   "/>
    <s v="احلال وتجديد السقف "/>
    <s v="تم العمل"/>
    <d v="1899-12-30T09:00:00"/>
    <d v="1899-12-30T14:00:00"/>
    <n v="0.20833333333333337"/>
    <s v="دويتش "/>
    <n v="5.0000000000000009"/>
    <m/>
    <m/>
    <x v="8"/>
    <n v="5"/>
    <m/>
    <m/>
    <m/>
    <m/>
    <m/>
    <m/>
    <m/>
    <m/>
    <m/>
    <m/>
  </r>
  <r>
    <d v="2024-05-01T00:00:00"/>
    <d v="2024-05-03T00:00:00"/>
    <s v="الجمعة "/>
    <s v="الشؤون الادارية "/>
    <s v="احمد حسن  "/>
    <s v="صيانة الابواب الامونتيال "/>
    <s v="تم العمل"/>
    <d v="1899-12-30T12:00:00"/>
    <d v="1899-12-30T23:30:00"/>
    <n v="0.47916666666666663"/>
    <s v="الفجالة"/>
    <n v="11.5"/>
    <m/>
    <m/>
    <x v="11"/>
    <n v="5"/>
    <m/>
    <m/>
    <m/>
    <m/>
    <m/>
    <m/>
    <m/>
    <m/>
    <m/>
    <m/>
  </r>
  <r>
    <d v="2024-05-01T00:00:00"/>
    <d v="2024-05-04T00:00:00"/>
    <s v="السبت "/>
    <s v="الورشة الهندسية للخراطة"/>
    <s v="فارس خليل "/>
    <s v="تركيب سلم الطوارىء "/>
    <s v="تم العمل"/>
    <d v="1899-12-30T10:00:00"/>
    <d v="1899-12-30T15:00:00"/>
    <n v="0.27079999999999999"/>
    <s v="المخزن الجديد "/>
    <n v="6.4992000000000001"/>
    <m/>
    <m/>
    <x v="1"/>
    <n v="5"/>
    <m/>
    <m/>
    <m/>
    <m/>
    <m/>
    <m/>
    <m/>
    <m/>
    <m/>
    <m/>
  </r>
  <r>
    <d v="2024-05-01T00:00:00"/>
    <d v="2024-05-05T00:00:00"/>
    <s v="الاحد "/>
    <s v="شركة الهدى "/>
    <s v="اسلام مصطفى  "/>
    <s v="صيانةماكينات CTB"/>
    <s v="تم العمل"/>
    <d v="1899-12-30T12:00:00"/>
    <d v="1899-12-30T17:00:00"/>
    <n v="0.20833333333333337"/>
    <s v="المطابع "/>
    <n v="5.0000000000000009"/>
    <m/>
    <m/>
    <x v="5"/>
    <n v="5"/>
    <m/>
    <m/>
    <m/>
    <m/>
    <m/>
    <m/>
    <m/>
    <m/>
    <m/>
    <m/>
  </r>
  <r>
    <d v="2024-05-01T00:00:00"/>
    <d v="2024-05-05T00:00:00"/>
    <s v="الاحد "/>
    <s v="ستار كول  للتبريد والتكيف "/>
    <s v="السعيد متولى  "/>
    <s v="تركيب كمبروسون التبريد "/>
    <s v="تم العمل"/>
    <d v="1899-12-30T14:30:00"/>
    <d v="1899-12-30T17:30:00"/>
    <n v="0.125"/>
    <s v="المطابع "/>
    <n v="3"/>
    <m/>
    <m/>
    <x v="5"/>
    <n v="5"/>
    <m/>
    <m/>
    <m/>
    <m/>
    <m/>
    <m/>
    <m/>
    <m/>
    <m/>
    <m/>
  </r>
  <r>
    <d v="2024-05-01T00:00:00"/>
    <d v="2024-05-05T00:00:00"/>
    <s v="الاحد "/>
    <s v="شركة اوزوريون "/>
    <s v="فارس خليل "/>
    <s v="تركيب سلم الطوارىء "/>
    <s v="تم العمل"/>
    <d v="1899-12-30T09:30:00"/>
    <d v="1899-12-30T15:00:00"/>
    <n v="0.27079999999999999"/>
    <s v="المخزن الجديد "/>
    <n v="6.4992000000000001"/>
    <m/>
    <m/>
    <x v="9"/>
    <n v="5"/>
    <m/>
    <m/>
    <m/>
    <m/>
    <m/>
    <m/>
    <m/>
    <m/>
    <m/>
    <m/>
  </r>
  <r>
    <d v="2024-05-01T00:00:00"/>
    <d v="2024-05-07T00:00:00"/>
    <s v="الثلاثاء "/>
    <s v="شركة الدروى "/>
    <s v="محمودالدروى    "/>
    <s v="صيانة تكييف باعنبر الطباعة "/>
    <s v="تم العمل"/>
    <d v="1899-12-30T11:00:00"/>
    <d v="1899-12-30T14:00:00"/>
    <n v="0.12500000000000006"/>
    <s v="المطابع "/>
    <n v="3.0000000000000013"/>
    <m/>
    <m/>
    <x v="5"/>
    <n v="5"/>
    <m/>
    <m/>
    <m/>
    <m/>
    <m/>
    <m/>
    <m/>
    <m/>
    <m/>
    <m/>
  </r>
  <r>
    <d v="2024-05-01T00:00:00"/>
    <d v="2024-05-07T00:00:00"/>
    <s v="الثلاثاء "/>
    <s v="الورشة الهندسية للخراطة"/>
    <s v="فارس خليل "/>
    <s v="تجميع كمر ودهان "/>
    <s v="تم العمل"/>
    <d v="1899-12-30T09:00:00"/>
    <d v="1899-12-30T15:00:00"/>
    <n v="0.27079999999999999"/>
    <s v="دويتش "/>
    <n v="6.4992000000000001"/>
    <m/>
    <m/>
    <x v="4"/>
    <n v="5"/>
    <m/>
    <m/>
    <m/>
    <m/>
    <m/>
    <m/>
    <m/>
    <m/>
    <m/>
    <m/>
  </r>
  <r>
    <d v="2024-05-01T00:00:00"/>
    <d v="2024-05-07T00:00:00"/>
    <s v="الثلاثاء "/>
    <s v="شركة الكريم "/>
    <s v="ابو المجد السورى "/>
    <s v="الزيارة الشهرية عمل صيانة  لخط الحريق "/>
    <s v="تم العمل"/>
    <d v="1899-12-30T10:00:00"/>
    <d v="1899-12-30T15:00:00"/>
    <n v="0.27079999999999999"/>
    <s v="المخزن الجديد "/>
    <n v="6.4992000000000001"/>
    <m/>
    <m/>
    <x v="1"/>
    <n v="5"/>
    <m/>
    <m/>
    <m/>
    <m/>
    <m/>
    <m/>
    <m/>
    <m/>
    <m/>
    <m/>
  </r>
  <r>
    <d v="2024-05-01T00:00:00"/>
    <d v="2024-05-07T00:00:00"/>
    <s v="الثلاثاء "/>
    <s v="الشؤون الادارية "/>
    <s v="محمد النقيب "/>
    <s v="صيانة الكهرباء بالشوارع "/>
    <s v="تم العمل"/>
    <d v="1899-12-30T11:00:00"/>
    <d v="1899-12-30T17:00:00"/>
    <n v="0.25000000000000006"/>
    <s v="المطابع "/>
    <n v="6.0000000000000018"/>
    <m/>
    <m/>
    <x v="9"/>
    <n v="5"/>
    <m/>
    <m/>
    <m/>
    <m/>
    <m/>
    <m/>
    <m/>
    <m/>
    <m/>
    <m/>
  </r>
  <r>
    <d v="2024-05-01T00:00:00"/>
    <d v="2024-05-07T00:00:00"/>
    <s v="الثلاثاء "/>
    <s v="شركة ابداع "/>
    <s v="محمد عبالعزيز "/>
    <s v="لحام طربيزات مطبخ الكفتريا "/>
    <s v="تم العمل"/>
    <d v="1899-12-30T16:30:00"/>
    <d v="1899-12-30T19:00:00"/>
    <n v="0.10416666666666663"/>
    <s v="المطابع "/>
    <n v="2.4999999999999991"/>
    <m/>
    <m/>
    <x v="5"/>
    <n v="5"/>
    <m/>
    <m/>
    <m/>
    <m/>
    <m/>
    <m/>
    <m/>
    <m/>
    <m/>
    <m/>
  </r>
  <r>
    <d v="2024-05-01T00:00:00"/>
    <d v="2024-05-08T00:00:00"/>
    <s v="الاربعاء "/>
    <s v="الشؤون الادارية "/>
    <s v="محمد النقيب "/>
    <s v="صيانة كشافات المخزن "/>
    <s v="تم العمل"/>
    <d v="1899-12-30T12:00:00"/>
    <d v="1899-12-30T17:00:00"/>
    <n v="0.20833333333333337"/>
    <s v="المطابع "/>
    <n v="5.0000000000000009"/>
    <m/>
    <m/>
    <x v="9"/>
    <n v="5"/>
    <m/>
    <m/>
    <m/>
    <m/>
    <m/>
    <m/>
    <m/>
    <m/>
    <m/>
    <m/>
  </r>
  <r>
    <d v="2024-05-01T00:00:00"/>
    <d v="2024-05-08T00:00:00"/>
    <s v="الاربعاء "/>
    <s v="الورشة الهندسية للخراطة"/>
    <s v="فارس خليل "/>
    <s v="تركيب سلم الطوارىء "/>
    <s v="تم العمل"/>
    <d v="1899-12-30T10:00:00"/>
    <d v="1899-12-30T14:00:00"/>
    <n v="0.27079999999999999"/>
    <s v="المخزن الجديد "/>
    <n v="6.4992000000000001"/>
    <m/>
    <m/>
    <x v="1"/>
    <n v="5"/>
    <m/>
    <m/>
    <m/>
    <m/>
    <m/>
    <m/>
    <m/>
    <m/>
    <m/>
    <m/>
  </r>
  <r>
    <d v="2024-05-01T00:00:00"/>
    <d v="2024-05-08T00:00:00"/>
    <s v="الاربعاء "/>
    <s v="شركة الدروى "/>
    <s v="محمودالدروى    "/>
    <s v="صيانة تكييف باعنبر الطباعة "/>
    <s v="تم العمل"/>
    <d v="1899-12-30T11:30:00"/>
    <d v="1899-12-30T14:00:00"/>
    <n v="0.10416666666666669"/>
    <s v="المطابع "/>
    <n v="2.5000000000000004"/>
    <m/>
    <m/>
    <x v="1"/>
    <n v="5"/>
    <m/>
    <m/>
    <m/>
    <m/>
    <m/>
    <m/>
    <m/>
    <m/>
    <m/>
    <m/>
  </r>
  <r>
    <d v="2024-05-01T00:00:00"/>
    <d v="2024-05-08T00:00:00"/>
    <s v="الاربعاء "/>
    <s v="الورشة الهندسية للخراطة"/>
    <s v="فارس خليل "/>
    <s v="صنفرة ودهان "/>
    <s v="تم العمل"/>
    <d v="1899-12-30T09:00:00"/>
    <d v="1899-12-30T17:00:00"/>
    <n v="0.27079999999999999"/>
    <s v="المخزن الجديد "/>
    <n v="6.4992000000000001"/>
    <m/>
    <m/>
    <x v="10"/>
    <n v="5"/>
    <m/>
    <m/>
    <m/>
    <m/>
    <m/>
    <m/>
    <m/>
    <m/>
    <m/>
    <m/>
  </r>
  <r>
    <d v="2024-05-01T00:00:00"/>
    <d v="2024-05-08T00:00:00"/>
    <s v="الاربعاء "/>
    <s v="الشؤون الادارية "/>
    <s v="مصطفى صلاح "/>
    <s v="صيانة واصلاح الكراسى الادارية "/>
    <s v="تم العمل"/>
    <d v="1899-12-30T10:30:00"/>
    <d v="1899-12-30T17:30:00"/>
    <n v="8.3299999999999999E-2"/>
    <s v="المطابع "/>
    <n v="2"/>
    <m/>
    <m/>
    <x v="11"/>
    <n v="5"/>
    <m/>
    <m/>
    <m/>
    <m/>
    <m/>
    <m/>
    <m/>
    <m/>
    <m/>
    <m/>
  </r>
  <r>
    <d v="2024-05-01T00:00:00"/>
    <d v="2024-05-09T00:00:00"/>
    <s v="الخميس "/>
    <s v="شركة الدروى "/>
    <s v="محمودالدروى    "/>
    <s v="صيانة تكييف "/>
    <s v="تم العمل"/>
    <d v="1899-12-30T11:30:00"/>
    <d v="1899-12-30T12:00:00"/>
    <n v="2.0833333333333315E-2"/>
    <s v="المطابع "/>
    <n v="0.49999999999999956"/>
    <m/>
    <m/>
    <x v="10"/>
    <n v="5"/>
    <m/>
    <m/>
    <m/>
    <m/>
    <m/>
    <m/>
    <m/>
    <m/>
    <m/>
    <m/>
  </r>
  <r>
    <d v="2024-05-01T00:00:00"/>
    <d v="2024-05-09T00:00:00"/>
    <s v="الخميس "/>
    <s v="الورشة الهندسية للخراطة"/>
    <s v="فارس خليل "/>
    <s v="صنفرة ودهان "/>
    <s v="تم العمل"/>
    <d v="1899-12-30T09:00:00"/>
    <d v="1899-12-30T17:00:00"/>
    <n v="0.27079999999999999"/>
    <s v="المخزن الجديد "/>
    <n v="6.4992000000000001"/>
    <m/>
    <m/>
    <x v="4"/>
    <n v="5"/>
    <m/>
    <m/>
    <m/>
    <m/>
    <m/>
    <m/>
    <m/>
    <m/>
    <m/>
    <m/>
  </r>
  <r>
    <d v="2024-05-01T00:00:00"/>
    <d v="2024-05-09T00:00:00"/>
    <s v="الخميس "/>
    <s v="الورشة الهندسية للخراطة"/>
    <s v="فارس خليل "/>
    <s v="تركيب سلم الطوارىء "/>
    <s v="تم العمل"/>
    <d v="1899-12-30T10:00:00"/>
    <d v="1899-12-30T15:00:00"/>
    <n v="0.27079999999999999"/>
    <s v="المخزن الجديد "/>
    <n v="6.4992000000000001"/>
    <m/>
    <m/>
    <x v="1"/>
    <n v="5"/>
    <m/>
    <m/>
    <m/>
    <m/>
    <m/>
    <m/>
    <m/>
    <m/>
    <m/>
    <m/>
  </r>
  <r>
    <d v="2024-05-01T00:00:00"/>
    <d v="2024-05-11T00:00:00"/>
    <s v="السبت "/>
    <s v="الشركة الالمانية "/>
    <s v="محمد ماهر "/>
    <s v="الزيارة الشهرية  ورش مبيت الامن "/>
    <s v="تم العمل"/>
    <d v="1899-12-30T11:30:00"/>
    <d v="1899-12-30T14:00:00"/>
    <n v="0.10416666666666669"/>
    <s v="المطابع "/>
    <n v="2.5000000000000004"/>
    <m/>
    <m/>
    <x v="3"/>
    <n v="5"/>
    <m/>
    <m/>
    <m/>
    <m/>
    <m/>
    <m/>
    <m/>
    <m/>
    <m/>
    <m/>
  </r>
  <r>
    <d v="2024-05-01T00:00:00"/>
    <d v="2024-05-11T00:00:00"/>
    <s v="السبت "/>
    <s v="شركة الدروى "/>
    <s v="محمودالدروى    "/>
    <s v="صيانة تكييف "/>
    <s v="تم العمل"/>
    <d v="1899-12-30T12:00:00"/>
    <d v="1899-12-30T17:30:00"/>
    <n v="0.22916666666666663"/>
    <s v="المطابع "/>
    <n v="5.4999999999999991"/>
    <m/>
    <m/>
    <x v="3"/>
    <n v="5"/>
    <m/>
    <m/>
    <m/>
    <m/>
    <m/>
    <m/>
    <m/>
    <m/>
    <m/>
    <m/>
  </r>
  <r>
    <d v="2024-05-01T00:00:00"/>
    <d v="2024-05-12T00:00:00"/>
    <s v="الاحد "/>
    <s v="ادارة المخازن "/>
    <s v="محمد مدنى "/>
    <s v="تركيب عجل استندات  "/>
    <s v="تم العمل"/>
    <d v="1899-12-30T00:00:00"/>
    <d v="1899-12-30T15:00:00"/>
    <n v="0.27079999999999999"/>
    <s v="المخزن الجديد "/>
    <n v="6.4992000000000001"/>
    <m/>
    <m/>
    <x v="1"/>
    <n v="5"/>
    <m/>
    <m/>
    <m/>
    <m/>
    <m/>
    <m/>
    <m/>
    <m/>
    <m/>
    <m/>
  </r>
  <r>
    <d v="2024-05-01T00:00:00"/>
    <d v="2024-05-12T00:00:00"/>
    <s v="الاحد "/>
    <s v="الورشة الهندسية للخراطة"/>
    <s v="فارس خليل "/>
    <s v="تركيب سلم الطوارىء "/>
    <s v="تم العمل"/>
    <d v="1899-12-30T10:00:00"/>
    <d v="1899-12-30T15:00:00"/>
    <n v="0.27079999999999999"/>
    <s v="المخزن الجديد "/>
    <n v="6.4992000000000001"/>
    <m/>
    <m/>
    <x v="1"/>
    <n v="5"/>
    <m/>
    <m/>
    <m/>
    <m/>
    <m/>
    <m/>
    <m/>
    <m/>
    <m/>
    <m/>
  </r>
  <r>
    <d v="2024-05-01T00:00:00"/>
    <d v="2024-05-12T00:00:00"/>
    <s v="الاحد "/>
    <s v="الشؤون الادارية "/>
    <s v="مجدى كرم  "/>
    <s v="دهانات المخزن المدرسى "/>
    <s v="تم العمل"/>
    <d v="1899-12-30T10:00:00"/>
    <d v="1899-12-30T20:00:00"/>
    <n v="0.41666666666666669"/>
    <s v="الفجالة"/>
    <n v="10"/>
    <m/>
    <m/>
    <x v="11"/>
    <n v="4"/>
    <s v="نافص توقيعات "/>
    <m/>
    <m/>
    <m/>
    <m/>
    <m/>
    <m/>
    <m/>
    <m/>
    <m/>
  </r>
  <r>
    <d v="2024-05-01T00:00:00"/>
    <d v="2024-05-12T00:00:00"/>
    <s v="الاحد "/>
    <s v="الورشة الهندسية للخراطة"/>
    <s v="فارس خليل "/>
    <s v="صنفرة وتجليخ "/>
    <s v="تم العمل"/>
    <d v="1899-12-30T09:00:00"/>
    <d v="1899-12-30T16:00:00"/>
    <n v="0.27079999999999999"/>
    <s v="المخزن الجديد "/>
    <n v="6.4992000000000001"/>
    <m/>
    <m/>
    <x v="4"/>
    <n v="5"/>
    <m/>
    <m/>
    <m/>
    <m/>
    <m/>
    <m/>
    <m/>
    <m/>
    <m/>
    <m/>
  </r>
  <r>
    <d v="2024-05-01T00:00:00"/>
    <d v="2024-05-13T00:00:00"/>
    <s v="الاثنين "/>
    <s v="الشؤون الادارية "/>
    <s v="السيد عبد الله  "/>
    <s v="دهانات المخزن المدرسى "/>
    <s v="تم العمل"/>
    <d v="1899-12-30T10:00:00"/>
    <d v="1899-12-30T22:00:00"/>
    <n v="0.49999999999999994"/>
    <s v="المطابع "/>
    <n v="11.999999999999998"/>
    <m/>
    <m/>
    <x v="11"/>
    <n v="4"/>
    <s v="نافص توقيعات "/>
    <m/>
    <m/>
    <m/>
    <m/>
    <m/>
    <m/>
    <m/>
    <m/>
    <m/>
  </r>
  <r>
    <d v="2024-05-01T00:00:00"/>
    <d v="2024-05-13T00:00:00"/>
    <s v="الاثنين "/>
    <s v="شركة الكريم "/>
    <s v="على الشحات "/>
    <s v="الزيارة الشهرية والمرور على لوحة الانزار "/>
    <s v="تم العمل"/>
    <d v="1899-12-30T00:00:00"/>
    <d v="1899-12-30T13:00:00"/>
    <n v="0.27079999999999999"/>
    <s v="المخزن الجديد "/>
    <n v="6.4992000000000001"/>
    <m/>
    <m/>
    <x v="1"/>
    <n v="5"/>
    <m/>
    <m/>
    <m/>
    <m/>
    <m/>
    <m/>
    <m/>
    <m/>
    <m/>
    <m/>
  </r>
  <r>
    <d v="2024-05-01T00:00:00"/>
    <d v="2024-05-13T00:00:00"/>
    <s v="الاثنين "/>
    <s v="الورشة الهندسية للخراطة"/>
    <s v="فارس خليل "/>
    <s v="تركيب سلم الطوارىء "/>
    <s v="تم العمل"/>
    <d v="1899-12-30T10:00:00"/>
    <d v="1899-12-30T15:00:00"/>
    <n v="0.27079999999999999"/>
    <s v="المخزن الجديد "/>
    <n v="6.4992000000000001"/>
    <m/>
    <m/>
    <x v="1"/>
    <n v="5"/>
    <m/>
    <m/>
    <m/>
    <m/>
    <m/>
    <m/>
    <m/>
    <m/>
    <m/>
    <m/>
  </r>
  <r>
    <d v="2024-05-01T00:00:00"/>
    <d v="2024-05-13T00:00:00"/>
    <s v="الاثنين "/>
    <s v="شركة الكريم "/>
    <s v="على الشحات "/>
    <s v=" الزيارة الشهرية وتغيير بطاريات لوحات الانزار"/>
    <s v="تم العمل"/>
    <d v="1899-12-30T10:00:00"/>
    <d v="1899-12-30T13:00:00"/>
    <n v="0.27079999999999999"/>
    <s v="المخزن القديم "/>
    <n v="6.4992000000000001"/>
    <m/>
    <m/>
    <x v="9"/>
    <n v="5"/>
    <m/>
    <m/>
    <m/>
    <m/>
    <m/>
    <m/>
    <m/>
    <m/>
    <m/>
    <m/>
  </r>
  <r>
    <d v="2024-05-01T00:00:00"/>
    <d v="2024-05-13T00:00:00"/>
    <s v="الاثنين "/>
    <s v="الشركة المصرية "/>
    <s v="محمد احمد    "/>
    <s v="صيانة خط النت "/>
    <s v="تم العمل"/>
    <d v="1899-12-30T12:30:00"/>
    <d v="1899-12-30T15:00:00"/>
    <n v="0.10416666666666663"/>
    <s v="البرج"/>
    <n v="2.4999999999999991"/>
    <m/>
    <m/>
    <x v="10"/>
    <n v="5"/>
    <m/>
    <m/>
    <m/>
    <m/>
    <m/>
    <m/>
    <m/>
    <m/>
    <m/>
    <m/>
  </r>
  <r>
    <d v="2024-05-01T00:00:00"/>
    <d v="2024-05-13T00:00:00"/>
    <s v="الاثنين "/>
    <s v="القطاع الهندسى "/>
    <s v="كمال مرسى "/>
    <s v="أعمال صيانة "/>
    <s v="تم العمل"/>
    <d v="1899-12-30T11:30:00"/>
    <d v="1899-12-30T13:30:00"/>
    <n v="8.3333333333333315E-2"/>
    <s v="المطابع "/>
    <n v="1.9999999999999996"/>
    <m/>
    <m/>
    <x v="10"/>
    <n v="5"/>
    <m/>
    <m/>
    <m/>
    <m/>
    <m/>
    <m/>
    <m/>
    <m/>
    <m/>
    <m/>
  </r>
  <r>
    <d v="2024-05-01T00:00:00"/>
    <d v="2024-05-14T00:00:00"/>
    <s v="الثلاثاء "/>
    <s v="القطاع الهندسى "/>
    <s v="صابر ابلراهيم "/>
    <s v="لحام سلم اشراف الويب "/>
    <s v="تم العمل"/>
    <d v="1899-12-30T11:30:00"/>
    <d v="1899-12-30T12:00:00"/>
    <n v="2.0833333333333315E-2"/>
    <s v="المطابع "/>
    <n v="0.49999999999999956"/>
    <m/>
    <m/>
    <x v="5"/>
    <n v="5"/>
    <m/>
    <m/>
    <m/>
    <m/>
    <m/>
    <m/>
    <m/>
    <m/>
    <m/>
    <m/>
  </r>
  <r>
    <d v="2024-05-01T00:00:00"/>
    <d v="2024-05-14T00:00:00"/>
    <s v="الثلاثاء "/>
    <s v="الشؤون الادارية "/>
    <s v="رامى محمد  "/>
    <s v="دهانات المخزن المدرسى "/>
    <s v="تم العمل"/>
    <d v="1899-12-30T10:30:00"/>
    <d v="1899-12-30T15:00:00"/>
    <n v="0.1875"/>
    <s v="المخزن القديم "/>
    <n v="4.5"/>
    <m/>
    <m/>
    <x v="10"/>
    <n v="4"/>
    <s v="لم يتم غلق التصريح "/>
    <m/>
    <m/>
    <m/>
    <m/>
    <m/>
    <m/>
    <m/>
    <m/>
    <m/>
  </r>
  <r>
    <d v="2024-05-01T00:00:00"/>
    <d v="2024-05-14T00:00:00"/>
    <s v="الثلاثاء "/>
    <s v="الشركة الهندسية"/>
    <s v="امير رضا  "/>
    <s v="صيانة الكلاركات "/>
    <s v="تم العمل"/>
    <d v="1899-12-30T13:00:00"/>
    <d v="1899-12-30T15:00:00"/>
    <n v="8.333333333333337E-2"/>
    <s v="المطابع "/>
    <n v="2.0000000000000009"/>
    <m/>
    <m/>
    <x v="1"/>
    <n v="5"/>
    <m/>
    <m/>
    <m/>
    <m/>
    <m/>
    <s v=" "/>
    <m/>
    <m/>
    <m/>
    <m/>
  </r>
  <r>
    <d v="2024-05-01T00:00:00"/>
    <d v="2024-05-14T00:00:00"/>
    <s v="الثلاثاء "/>
    <s v="الورشة الهندسية للخراطة"/>
    <s v="فارس خليل "/>
    <s v="تركيب سلم الطوارىء "/>
    <s v="تم العمل"/>
    <d v="1899-12-30T10:00:00"/>
    <d v="1899-12-30T15:00:00"/>
    <n v="0.27079999999999999"/>
    <s v="المخزن الجديد "/>
    <n v="6.4992000000000001"/>
    <m/>
    <m/>
    <x v="1"/>
    <n v="5"/>
    <m/>
    <m/>
    <m/>
    <m/>
    <m/>
    <m/>
    <m/>
    <m/>
    <m/>
    <m/>
  </r>
  <r>
    <d v="2024-05-01T00:00:00"/>
    <d v="2024-05-14T00:00:00"/>
    <s v="الثلاثاء "/>
    <s v="الشؤون الادارية "/>
    <s v="السيد عبد الله  "/>
    <s v="دهانات المخزن المدرسى "/>
    <s v="تم العمل"/>
    <d v="1899-12-30T10:00:00"/>
    <d v="1899-12-30T22:00:00"/>
    <n v="0.49999999999999994"/>
    <s v="المطابع "/>
    <n v="11.999999999999998"/>
    <m/>
    <m/>
    <x v="11"/>
    <n v="5"/>
    <m/>
    <m/>
    <m/>
    <m/>
    <m/>
    <m/>
    <m/>
    <m/>
    <m/>
    <m/>
  </r>
  <r>
    <d v="2024-05-01T00:00:00"/>
    <d v="2024-05-14T00:00:00"/>
    <s v="الثلاثاء "/>
    <s v="الشؤون الادارية "/>
    <s v="تامر احمد   "/>
    <s v="اصلاح وصيانة الكولدير "/>
    <s v="تم العمل"/>
    <d v="1899-12-30T17:00:00"/>
    <d v="1899-12-30T18:00:00"/>
    <n v="4.166666666666663E-2"/>
    <s v="المطابع "/>
    <n v="0.99999999999999911"/>
    <m/>
    <m/>
    <x v="11"/>
    <n v="5"/>
    <m/>
    <m/>
    <m/>
    <m/>
    <m/>
    <m/>
    <m/>
    <m/>
    <m/>
    <m/>
  </r>
  <r>
    <d v="2024-05-01T00:00:00"/>
    <d v="2024-05-14T00:00:00"/>
    <s v="الثلاثاء "/>
    <s v="شركة سكوير "/>
    <s v="اسامة فتحى   "/>
    <s v="فك وتركيب صاج سقف  عنبر دويتش "/>
    <s v="تم العمل"/>
    <d v="1899-12-30T10:00:00"/>
    <d v="1899-12-30T20:00:00"/>
    <n v="0.41666666666666669"/>
    <s v="دويتش "/>
    <n v="10"/>
    <m/>
    <m/>
    <x v="4"/>
    <n v="5"/>
    <m/>
    <m/>
    <m/>
    <m/>
    <m/>
    <m/>
    <m/>
    <m/>
    <m/>
    <m/>
  </r>
  <r>
    <d v="2024-05-01T00:00:00"/>
    <d v="2024-05-14T00:00:00"/>
    <s v="الثلاثاء "/>
    <s v="شركة الفرج"/>
    <s v="احمد فرج    "/>
    <s v="تركيب فراشة بالشارع  "/>
    <s v="تم العمل"/>
    <d v="1899-12-30T11:00:00"/>
    <d v="1899-12-30T17:00:00"/>
    <n v="0.25000000000000006"/>
    <s v="المخزن القديم "/>
    <n v="6.0000000000000018"/>
    <m/>
    <m/>
    <x v="9"/>
    <n v="5"/>
    <m/>
    <m/>
    <m/>
    <m/>
    <m/>
    <m/>
    <m/>
    <m/>
    <m/>
    <m/>
  </r>
  <r>
    <d v="2024-05-01T00:00:00"/>
    <d v="2024-05-15T00:00:00"/>
    <s v="الاربعاء "/>
    <s v="القطاع الهندسى "/>
    <s v="صابر ابلراهيم "/>
    <s v="لحام بجوار ويب  8"/>
    <s v="تم العمل"/>
    <d v="1899-12-30T12:30:00"/>
    <d v="1899-12-30T15:00:00"/>
    <n v="0.10416666666666663"/>
    <s v="المطابع "/>
    <n v="2.4999999999999991"/>
    <m/>
    <m/>
    <x v="0"/>
    <n v="5"/>
    <m/>
    <m/>
    <m/>
    <m/>
    <m/>
    <m/>
    <m/>
    <m/>
    <m/>
    <m/>
  </r>
  <r>
    <d v="2024-05-01T00:00:00"/>
    <d v="2024-05-15T00:00:00"/>
    <s v="الاربعاء "/>
    <s v="شركة سكوير "/>
    <s v="اسامة فتحى   "/>
    <s v="فك وتركيب صاج سقف  عنبر دويتش "/>
    <s v="رفض الأعمال"/>
    <d v="1899-12-30T10:00:00"/>
    <d v="1899-12-30T11:00:00"/>
    <n v="4.166666666666663E-2"/>
    <s v="دويتش "/>
    <n v="0.99999999999999911"/>
    <m/>
    <m/>
    <x v="1"/>
    <n v="5"/>
    <m/>
    <m/>
    <m/>
    <m/>
    <m/>
    <m/>
    <m/>
    <m/>
    <m/>
    <m/>
  </r>
  <r>
    <d v="2024-05-01T00:00:00"/>
    <d v="2024-05-15T00:00:00"/>
    <s v="الاربعاء "/>
    <s v="القطاع الهندسى "/>
    <s v="شريف عيد"/>
    <s v="توصيل كهرباء الرامب "/>
    <s v="تم العمل"/>
    <d v="1899-12-30T10:00:00"/>
    <d v="1899-12-30T15:00:00"/>
    <n v="0.20833333333333331"/>
    <s v="المخزن الجديد "/>
    <n v="5"/>
    <m/>
    <m/>
    <x v="5"/>
    <n v="5"/>
    <m/>
    <m/>
    <m/>
    <m/>
    <m/>
    <m/>
    <m/>
    <m/>
    <m/>
    <m/>
  </r>
  <r>
    <d v="2024-05-01T00:00:00"/>
    <d v="2024-05-15T00:00:00"/>
    <s v="الاربعاء "/>
    <s v="الشركة الالمانية "/>
    <s v="محمد مهنى  "/>
    <s v="الزيارة الشهرية ومكافحة القورض والحشرات"/>
    <s v="تم العمل"/>
    <d v="1899-12-30T11:30:00"/>
    <d v="1899-12-30T12:00:00"/>
    <n v="2.0833333333333315E-2"/>
    <s v="المخزن الجديد "/>
    <n v="0.49999999999999956"/>
    <m/>
    <m/>
    <x v="1"/>
    <n v="5"/>
    <m/>
    <m/>
    <m/>
    <m/>
    <m/>
    <m/>
    <m/>
    <m/>
    <m/>
    <m/>
  </r>
  <r>
    <d v="2024-05-01T00:00:00"/>
    <d v="2024-05-15T00:00:00"/>
    <s v="الاربعاء "/>
    <s v="شركة الفرج"/>
    <s v="احمد فرج    "/>
    <s v="تركيب فراشة بالشارع  "/>
    <s v="تم العمل"/>
    <d v="1899-12-30T11:00:00"/>
    <d v="1899-12-30T14:30:00"/>
    <n v="0.14583333333333331"/>
    <s v="المخزن القديم "/>
    <n v="3.4999999999999996"/>
    <m/>
    <m/>
    <x v="9"/>
    <n v="4"/>
    <s v="لم يتم غلق التصريح"/>
    <m/>
    <m/>
    <m/>
    <m/>
    <m/>
    <m/>
    <m/>
    <m/>
    <m/>
  </r>
  <r>
    <d v="2024-05-01T00:00:00"/>
    <d v="2024-05-16T00:00:00"/>
    <s v="الخميس "/>
    <s v="الشؤون الادارية "/>
    <s v="حسن احمد  "/>
    <s v="دهانات المخزن المدرسى "/>
    <s v="تم العمل"/>
    <d v="1899-12-30T09:00:00"/>
    <d v="1899-12-30T21:00:00"/>
    <n v="0.5"/>
    <s v="الفجالة"/>
    <n v="12"/>
    <m/>
    <m/>
    <x v="11"/>
    <n v="4"/>
    <s v="نافص توقيعات "/>
    <m/>
    <m/>
    <m/>
    <m/>
    <m/>
    <m/>
    <m/>
    <m/>
    <m/>
  </r>
  <r>
    <d v="2024-05-01T00:00:00"/>
    <d v="2024-05-17T00:00:00"/>
    <s v="الجمعة "/>
    <s v="الشؤون الادارية "/>
    <s v="حسن احمد  "/>
    <s v="دهانات المخزن المدرسى "/>
    <s v="تم العمل"/>
    <d v="1899-12-30T09:00:00"/>
    <d v="1899-12-30T19:00:00"/>
    <n v="0.41666666666666663"/>
    <s v="الفجالة"/>
    <n v="10"/>
    <m/>
    <m/>
    <x v="11"/>
    <n v="4"/>
    <s v="نافص توقيعات "/>
    <m/>
    <m/>
    <m/>
    <m/>
    <m/>
    <m/>
    <m/>
    <m/>
    <m/>
  </r>
  <r>
    <d v="2024-05-01T00:00:00"/>
    <d v="2024-05-17T00:00:00"/>
    <s v="الجمعة "/>
    <s v="شركة اتصلات "/>
    <s v="اسلام مفرح "/>
    <s v="تركيب كابل فايبر  "/>
    <s v="تم العمل"/>
    <d v="1899-12-30T09:00:00"/>
    <d v="1899-12-30T16:00:00"/>
    <n v="0.29166666666666663"/>
    <s v="البرج"/>
    <n v="6.9999999999999991"/>
    <m/>
    <m/>
    <x v="3"/>
    <n v="5"/>
    <m/>
    <m/>
    <m/>
    <m/>
    <m/>
    <m/>
    <m/>
    <m/>
    <m/>
    <m/>
  </r>
  <r>
    <d v="2024-05-01T00:00:00"/>
    <d v="2024-05-17T00:00:00"/>
    <s v="الجمعة "/>
    <s v="KUC  شركة "/>
    <s v="كمال احمد "/>
    <s v="تركيب كابل فايبر  "/>
    <s v="تم العمل"/>
    <d v="1899-12-30T11:00:00"/>
    <d v="1899-12-30T18:30:00"/>
    <n v="0.31250000000000006"/>
    <s v="البرج"/>
    <n v="7.5000000000000018"/>
    <m/>
    <m/>
    <x v="3"/>
    <n v="5"/>
    <m/>
    <m/>
    <m/>
    <m/>
    <m/>
    <m/>
    <m/>
    <m/>
    <m/>
    <m/>
  </r>
  <r>
    <d v="2024-05-01T00:00:00"/>
    <d v="2024-05-18T00:00:00"/>
    <s v="السبت "/>
    <s v="شركة اتصلات "/>
    <s v="اسلام مفرح "/>
    <s v="تركيب كابل فايبر  "/>
    <s v="تم العمل"/>
    <d v="1899-12-30T12:00:00"/>
    <d v="1899-12-30T18:30:00"/>
    <n v="0.27083333333333337"/>
    <s v="البرج"/>
    <n v="6.5000000000000009"/>
    <m/>
    <m/>
    <x v="3"/>
    <n v="5"/>
    <m/>
    <m/>
    <m/>
    <m/>
    <m/>
    <m/>
    <m/>
    <m/>
    <m/>
    <m/>
  </r>
  <r>
    <d v="2024-05-01T00:00:00"/>
    <d v="2024-05-18T00:00:00"/>
    <s v="السبت "/>
    <s v="الشؤون الادارية "/>
    <s v="مصطفى صلاح   "/>
    <s v="صيانة كراسى المكاتب الادالرية "/>
    <s v="تم العمل"/>
    <d v="1899-12-30T15:00:00"/>
    <d v="1899-12-30T22:00:00"/>
    <n v="0.29166666666666663"/>
    <s v="المطابع "/>
    <n v="6.9999999999999991"/>
    <m/>
    <m/>
    <x v="11"/>
    <n v="4"/>
    <s v="نافص توقيعات "/>
    <m/>
    <m/>
    <m/>
    <m/>
    <m/>
    <m/>
    <m/>
    <m/>
    <m/>
  </r>
  <r>
    <d v="2024-05-01T00:00:00"/>
    <d v="2024-05-18T00:00:00"/>
    <s v="السبت "/>
    <s v="شركة اوزوريون "/>
    <s v="مراد  صالح "/>
    <s v="تركيب سلم الطوارىء "/>
    <s v="تم العمل"/>
    <d v="1899-12-30T09:30:00"/>
    <d v="1899-12-30T15:00:00"/>
    <n v="0.27079999999999999"/>
    <s v="المخزن الجديد "/>
    <n v="6.4992000000000001"/>
    <m/>
    <m/>
    <x v="9"/>
    <n v="5"/>
    <m/>
    <m/>
    <m/>
    <m/>
    <m/>
    <m/>
    <m/>
    <m/>
    <m/>
    <m/>
  </r>
  <r>
    <d v="2024-05-01T00:00:00"/>
    <d v="2024-05-18T00:00:00"/>
    <s v="السبت "/>
    <s v="شركة الدروى "/>
    <s v="محمودالدروى    "/>
    <s v="صيانة تكييف "/>
    <s v="تم العمل"/>
    <d v="1899-12-30T10:30:00"/>
    <d v="1899-12-30T12:00:00"/>
    <n v="6.25E-2"/>
    <s v="المطابع "/>
    <n v="1.5"/>
    <m/>
    <m/>
    <x v="5"/>
    <n v="5"/>
    <m/>
    <m/>
    <m/>
    <m/>
    <m/>
    <m/>
    <m/>
    <m/>
    <m/>
    <m/>
  </r>
  <r>
    <d v="2024-05-01T00:00:00"/>
    <d v="2024-05-18T00:00:00"/>
    <s v="السبت "/>
    <s v="الشؤون الادارية "/>
    <s v="احمد عبد المنعم"/>
    <s v="تلقيح النخل ونظافتة  "/>
    <s v="تم العمل"/>
    <d v="1899-12-30T10:30:00"/>
    <d v="1899-12-30T12:00:00"/>
    <n v="6.25E-2"/>
    <s v="المطابع "/>
    <n v="1.5"/>
    <m/>
    <m/>
    <x v="5"/>
    <n v="5"/>
    <m/>
    <m/>
    <m/>
    <m/>
    <m/>
    <m/>
    <m/>
    <m/>
    <m/>
    <m/>
  </r>
  <r>
    <d v="2024-05-01T00:00:00"/>
    <d v="2024-05-19T00:00:00"/>
    <s v="الاحد "/>
    <s v="شركة الدروى "/>
    <s v="محمودالدروى    "/>
    <s v="صيانة تكييف "/>
    <s v="تم العمل"/>
    <d v="1899-12-30T12:00:00"/>
    <d v="1899-12-30T17:00:00"/>
    <n v="0.20833333333333337"/>
    <s v="المطابع "/>
    <n v="5.0000000000000009"/>
    <m/>
    <m/>
    <x v="2"/>
    <n v="5"/>
    <m/>
    <m/>
    <m/>
    <m/>
    <m/>
    <m/>
    <m/>
    <m/>
    <m/>
    <m/>
  </r>
  <r>
    <d v="2024-05-01T00:00:00"/>
    <d v="2024-05-19T00:00:00"/>
    <s v="الاحد "/>
    <s v="القطاع الهندسى "/>
    <s v="احمد ابو زيد "/>
    <s v="قطع تيلة من ماكينة اسبيد ماستر "/>
    <s v="تم العمل"/>
    <d v="1899-12-30T11:00:00"/>
    <d v="1899-12-30T11:30:00"/>
    <n v="2.083333333333337E-2"/>
    <s v="المطابع "/>
    <n v="0.50000000000000089"/>
    <m/>
    <m/>
    <x v="10"/>
    <n v="5"/>
    <m/>
    <m/>
    <m/>
    <m/>
    <m/>
    <m/>
    <m/>
    <m/>
    <m/>
    <m/>
  </r>
  <r>
    <d v="2024-05-01T00:00:00"/>
    <d v="2024-05-19T00:00:00"/>
    <s v="الاحد "/>
    <s v="القطاع الهندسى "/>
    <s v="محمد مدنى "/>
    <s v="صيانة  الاستندات  "/>
    <s v="تم العمل"/>
    <d v="1899-12-30T00:00:00"/>
    <d v="1899-12-30T16:00:00"/>
    <n v="0.27079999999999999"/>
    <s v="المخزن الجديد "/>
    <n v="6.4992000000000001"/>
    <m/>
    <m/>
    <x v="1"/>
    <n v="5"/>
    <m/>
    <m/>
    <m/>
    <m/>
    <m/>
    <m/>
    <m/>
    <m/>
    <m/>
    <m/>
  </r>
  <r>
    <d v="2024-05-01T00:00:00"/>
    <d v="2024-05-20T00:00:00"/>
    <s v="الاثنين "/>
    <s v="شركة الدروى "/>
    <s v="محمودالدروى    "/>
    <s v="صيانة تكييف "/>
    <s v="تم العمل"/>
    <d v="1899-12-30T11:30:00"/>
    <d v="1899-12-30T12:30:00"/>
    <n v="4.1666666666666685E-2"/>
    <s v="المطابع "/>
    <n v="1.0000000000000004"/>
    <m/>
    <m/>
    <x v="10"/>
    <n v="5"/>
    <m/>
    <m/>
    <m/>
    <m/>
    <m/>
    <m/>
    <m/>
    <m/>
    <m/>
    <m/>
  </r>
  <r>
    <d v="2024-05-01T00:00:00"/>
    <d v="2024-05-21T00:00:00"/>
    <s v="الثلاثاء "/>
    <s v="الشركة المصرية "/>
    <s v="علاء عبد الرحمن    "/>
    <s v="صيانة تكييف "/>
    <s v="تم العمل"/>
    <d v="1899-12-30T12:30:00"/>
    <d v="1899-12-30T15:00:00"/>
    <n v="0.10416666666666663"/>
    <s v="المطابع "/>
    <n v="2.4999999999999991"/>
    <m/>
    <m/>
    <x v="10"/>
    <n v="5"/>
    <m/>
    <m/>
    <m/>
    <m/>
    <m/>
    <m/>
    <m/>
    <m/>
    <m/>
    <m/>
  </r>
  <r>
    <d v="2024-05-01T00:00:00"/>
    <d v="2024-05-21T00:00:00"/>
    <s v="الثلاثاء "/>
    <s v="شركة اوزوريون "/>
    <s v="مراد  صالح "/>
    <s v="تجهيز لعمل ارضية خرسانية "/>
    <s v="تم العمل"/>
    <d v="1899-12-30T10:00:00"/>
    <d v="1899-12-30T16:00:00"/>
    <n v="0.27079999999999999"/>
    <s v="المخزن القديم "/>
    <n v="6.4992000000000001"/>
    <m/>
    <m/>
    <x v="9"/>
    <n v="5"/>
    <m/>
    <m/>
    <m/>
    <m/>
    <m/>
    <m/>
    <m/>
    <m/>
    <m/>
    <m/>
  </r>
  <r>
    <d v="2024-05-01T00:00:00"/>
    <d v="2024-05-21T00:00:00"/>
    <s v="الثلاثاء "/>
    <s v="شركة الفرج"/>
    <s v="احمد فرج    "/>
    <s v="تركيب فراشة بالشارع  "/>
    <s v="تم العمل"/>
    <d v="1899-12-30T10:00:00"/>
    <d v="1899-12-30T13:30:00"/>
    <n v="0.14583333333333331"/>
    <s v="المخزن القديم "/>
    <n v="3.4999999999999996"/>
    <m/>
    <m/>
    <x v="9"/>
    <n v="4"/>
    <s v="لم يتم غلق التصريح"/>
    <m/>
    <m/>
    <m/>
    <m/>
    <m/>
    <m/>
    <m/>
    <m/>
    <m/>
  </r>
  <r>
    <d v="2024-05-01T00:00:00"/>
    <d v="2024-05-21T00:00:00"/>
    <s v="الثلاثاء "/>
    <s v="الشؤون الادارية "/>
    <s v="احمد سعيد "/>
    <s v="تركيب تندة للتكيف "/>
    <s v="تم العمل"/>
    <d v="1899-12-30T13:00:00"/>
    <d v="1899-12-30T15:00:00"/>
    <n v="8.333333333333337E-2"/>
    <s v="المطابع "/>
    <n v="2.0000000000000009"/>
    <m/>
    <m/>
    <x v="1"/>
    <n v="3"/>
    <s v="لم يتم غلق التصريح  وناقص التوقيعات "/>
    <m/>
    <m/>
    <m/>
    <m/>
    <m/>
    <m/>
    <m/>
    <m/>
    <m/>
  </r>
  <r>
    <d v="2024-05-01T00:00:00"/>
    <d v="2024-05-22T00:00:00"/>
    <s v="الاربعاء "/>
    <s v="الشركة الالمانية "/>
    <s v="محمد مهنى  "/>
    <s v="الزيارة الشهرية ومكافحة القورض والحشرات"/>
    <s v="تم العمل"/>
    <d v="1899-12-30T11:30:00"/>
    <d v="1899-12-30T12:00:00"/>
    <n v="2.0833333333333315E-2"/>
    <s v="المطابع "/>
    <n v="0.49999999999999956"/>
    <m/>
    <m/>
    <x v="9"/>
    <n v="5"/>
    <m/>
    <m/>
    <m/>
    <m/>
    <m/>
    <m/>
    <m/>
    <m/>
    <m/>
    <m/>
  </r>
  <r>
    <d v="2024-05-01T00:00:00"/>
    <d v="2024-05-22T00:00:00"/>
    <s v="الاربعاء "/>
    <s v="شركة الكريم "/>
    <s v="راضى سعيد "/>
    <s v="االزيارة الشهرية صيانة نظام الانزار "/>
    <s v="تم العمل"/>
    <d v="1899-12-30T10:00:00"/>
    <d v="1899-12-30T13:00:00"/>
    <n v="0.27079999999999999"/>
    <s v="المخزن القديم "/>
    <n v="6.4992000000000001"/>
    <m/>
    <m/>
    <x v="1"/>
    <n v="5"/>
    <m/>
    <m/>
    <m/>
    <m/>
    <m/>
    <m/>
    <m/>
    <m/>
    <m/>
    <m/>
  </r>
  <r>
    <d v="2024-05-01T00:00:00"/>
    <d v="2024-05-22T00:00:00"/>
    <s v="الاربعاء "/>
    <s v="الشؤون الادارية "/>
    <s v="احمد عبد الله "/>
    <s v="ترميم فى العنابر بالمخازن "/>
    <s v="تم العمل"/>
    <d v="1899-12-30T10:00:00"/>
    <d v="1899-12-30T17:00:00"/>
    <n v="0.29166666666666669"/>
    <s v="الفجالة"/>
    <n v="7"/>
    <m/>
    <m/>
    <x v="9"/>
    <n v="5"/>
    <m/>
    <m/>
    <m/>
    <m/>
    <m/>
    <m/>
    <m/>
    <m/>
    <m/>
    <m/>
  </r>
  <r>
    <d v="2024-05-01T00:00:00"/>
    <d v="2024-05-22T00:00:00"/>
    <s v="الاربعاء "/>
    <s v="شركة الفرج"/>
    <s v="احمد فرج    "/>
    <s v="تركيب فراشة بالشارع  "/>
    <s v="تم العمل"/>
    <d v="1899-12-30T12:00:00"/>
    <d v="1899-12-30T17:00:00"/>
    <n v="0.20833333333333337"/>
    <s v="المخزن القديم "/>
    <n v="5.0000000000000009"/>
    <m/>
    <m/>
    <x v="9"/>
    <n v="5"/>
    <m/>
    <m/>
    <m/>
    <m/>
    <m/>
    <m/>
    <m/>
    <m/>
    <m/>
    <m/>
  </r>
  <r>
    <d v="2024-05-01T00:00:00"/>
    <d v="2024-05-22T00:00:00"/>
    <s v="الاربعاء "/>
    <s v="شركة الدروى "/>
    <s v="محمودالدروى    "/>
    <s v="صيانة تكييف "/>
    <s v="تم العمل"/>
    <d v="1899-12-30T10:00:00"/>
    <d v="1899-12-30T14:00:00"/>
    <n v="0.16666666666666669"/>
    <s v="المطابع "/>
    <n v="4"/>
    <m/>
    <m/>
    <x v="2"/>
    <n v="5"/>
    <m/>
    <m/>
    <m/>
    <m/>
    <m/>
    <m/>
    <m/>
    <m/>
    <m/>
    <m/>
  </r>
  <r>
    <d v="2024-05-01T00:00:00"/>
    <d v="2024-05-22T00:00:00"/>
    <s v="الاربعاء "/>
    <s v="الشركة الالمانية "/>
    <s v="محمد ماهر "/>
    <s v="الزيارة الشهرية ومكافحة القورض والحشرات"/>
    <s v="تم العمل"/>
    <d v="1899-12-30T10:30:00"/>
    <d v="1899-12-30T13:00:00"/>
    <n v="0.10416666666666663"/>
    <s v="المطابع "/>
    <n v="2.4999999999999991"/>
    <m/>
    <m/>
    <x v="10"/>
    <n v="4"/>
    <s v="لم يتم غلق التصريح"/>
    <m/>
    <m/>
    <m/>
    <m/>
    <m/>
    <m/>
    <m/>
    <m/>
    <m/>
  </r>
  <r>
    <d v="2024-05-01T00:00:00"/>
    <d v="2024-05-23T00:00:00"/>
    <s v="الخميس "/>
    <s v="شركة الامل للالمونتال"/>
    <s v="رامى محمد "/>
    <s v="ترميم فى العنابر بالمخازن "/>
    <s v="تم العمل"/>
    <d v="1899-12-30T14:00:00"/>
    <d v="1899-12-30T16:00:00"/>
    <n v="8.3333333333333259E-2"/>
    <s v="المخزن القديم "/>
    <n v="1.9999999999999982"/>
    <m/>
    <m/>
    <x v="8"/>
    <n v="5"/>
    <m/>
    <m/>
    <m/>
    <m/>
    <m/>
    <m/>
    <m/>
    <m/>
    <m/>
    <m/>
  </r>
  <r>
    <d v="2024-05-01T00:00:00"/>
    <d v="2024-05-23T00:00:00"/>
    <s v="الخميس "/>
    <s v="شركة الفرج"/>
    <s v="احمد فرج    "/>
    <s v="تركيب فراشة بالشارع  "/>
    <s v="تم العمل"/>
    <d v="1899-12-30T11:30:00"/>
    <d v="1899-12-30T17:00:00"/>
    <n v="0.22916666666666669"/>
    <s v="المخزن القديم "/>
    <n v="5.5"/>
    <m/>
    <m/>
    <x v="10"/>
    <n v="5"/>
    <m/>
    <m/>
    <m/>
    <m/>
    <m/>
    <m/>
    <m/>
    <m/>
    <m/>
    <m/>
  </r>
  <r>
    <d v="2024-05-01T00:00:00"/>
    <d v="2024-05-24T00:00:00"/>
    <s v="الجمعة "/>
    <s v="KUC  شركة "/>
    <s v="كمال احمد "/>
    <s v="توصيل و تركيب كابل فايبر  "/>
    <s v="تم العمل"/>
    <d v="1899-12-30T11:00:00"/>
    <d v="1899-12-30T19:30:00"/>
    <n v="0.35416666666666669"/>
    <s v="البرج"/>
    <n v="8.5"/>
    <m/>
    <m/>
    <x v="12"/>
    <n v="5"/>
    <m/>
    <m/>
    <m/>
    <m/>
    <m/>
    <m/>
    <m/>
    <m/>
    <m/>
    <m/>
  </r>
  <r>
    <d v="2024-05-01T00:00:00"/>
    <d v="2024-05-25T00:00:00"/>
    <s v="السبت "/>
    <s v="شركة الكريم "/>
    <s v="ممدوح عبد التواب "/>
    <s v="صيانة نظام الانزار "/>
    <s v="تم العمل"/>
    <d v="1899-12-30T10:30:00"/>
    <d v="1899-12-30T14:30:00"/>
    <n v="0.27079999999999999"/>
    <s v="المطابع "/>
    <n v="6.4992000000000001"/>
    <m/>
    <m/>
    <x v="5"/>
    <n v="5"/>
    <m/>
    <m/>
    <m/>
    <m/>
    <m/>
    <m/>
    <m/>
    <m/>
    <m/>
    <m/>
  </r>
  <r>
    <d v="2024-05-01T00:00:00"/>
    <d v="2024-05-25T00:00:00"/>
    <s v="السبت "/>
    <s v="الورشة الهندسية للخراطة"/>
    <s v="فارس خليل "/>
    <s v="تركيب سلم الطوارىء "/>
    <s v="تم العمل"/>
    <d v="1899-12-30T10:00:00"/>
    <d v="1899-12-30T15:00:00"/>
    <n v="0.27079999999999999"/>
    <s v="المخزن الجديد "/>
    <n v="6.4992000000000001"/>
    <m/>
    <m/>
    <x v="1"/>
    <n v="5"/>
    <m/>
    <m/>
    <m/>
    <m/>
    <m/>
    <m/>
    <m/>
    <m/>
    <m/>
    <m/>
  </r>
  <r>
    <d v="2024-05-01T00:00:00"/>
    <d v="2024-05-25T00:00:00"/>
    <s v="السبت "/>
    <s v="شركة شلاندر "/>
    <s v="اسلام على  رمضان "/>
    <s v="تركيب مصاعد المخازن  الجديدة "/>
    <s v="تم العمل"/>
    <d v="1899-12-30T12:00:00"/>
    <d v="1899-12-30T16:00:00"/>
    <n v="0.27079999999999999"/>
    <s v="المخزن الجديد "/>
    <n v="6.4992000000000001"/>
    <m/>
    <m/>
    <x v="1"/>
    <n v="5"/>
    <m/>
    <m/>
    <m/>
    <m/>
    <m/>
    <m/>
    <m/>
    <m/>
    <m/>
    <m/>
  </r>
  <r>
    <d v="2024-05-01T00:00:00"/>
    <d v="2024-05-26T00:00:00"/>
    <s v="الاحد "/>
    <s v="شركة الهدى "/>
    <s v="ايهاب سيد"/>
    <s v="علاج مكان تسريب الاحبار "/>
    <s v="تم العمل"/>
    <d v="1899-12-30T10:00:00"/>
    <d v="1899-12-30T16:00:00"/>
    <n v="0.27079999999999999"/>
    <s v="المخزن القديم "/>
    <n v="6"/>
    <m/>
    <m/>
    <x v="9"/>
    <n v="5"/>
    <m/>
    <m/>
    <m/>
    <m/>
    <m/>
    <m/>
    <m/>
    <m/>
    <m/>
    <m/>
  </r>
  <r>
    <d v="2024-05-01T00:00:00"/>
    <d v="2024-05-26T00:00:00"/>
    <s v="الاحد "/>
    <s v="شركة شلاندر "/>
    <s v="اسلام على  رمضان "/>
    <s v="تركيب سقالات لمصاعد المخازن  الجديدة "/>
    <s v="تم العمل"/>
    <d v="1899-12-30T11:00:00"/>
    <d v="1899-12-30T15:00:00"/>
    <n v="0.27079999999999999"/>
    <s v="المخزن الجديد "/>
    <n v="6.4992000000000001"/>
    <m/>
    <m/>
    <x v="2"/>
    <n v="5"/>
    <m/>
    <m/>
    <m/>
    <m/>
    <m/>
    <m/>
    <m/>
    <m/>
    <m/>
    <m/>
  </r>
  <r>
    <d v="2024-05-01T00:00:00"/>
    <d v="2024-05-27T00:00:00"/>
    <s v="الاثنين "/>
    <s v="شركة الهدى "/>
    <s v="ايهاب سيد"/>
    <s v="علاج مكان تسريب الاحبار "/>
    <s v="تم العمل"/>
    <d v="1899-12-30T10:00:00"/>
    <d v="1899-12-30T16:00:00"/>
    <n v="0.27079999999999999"/>
    <s v="المخزن القديم "/>
    <n v="6"/>
    <m/>
    <m/>
    <x v="9"/>
    <n v="5"/>
    <m/>
    <m/>
    <m/>
    <m/>
    <m/>
    <m/>
    <m/>
    <m/>
    <m/>
    <m/>
  </r>
  <r>
    <d v="2024-05-01T00:00:00"/>
    <d v="2024-05-27T00:00:00"/>
    <s v="الاثنين "/>
    <s v="شركة اوزوريون "/>
    <s v="مراد  صالح "/>
    <s v="عمل ارضية خرسانية لخزنات الطوارىء"/>
    <s v="تم العمل"/>
    <d v="1899-12-30T10:30:00"/>
    <d v="1899-12-30T16:00:00"/>
    <n v="0.27079999999999999"/>
    <s v="المخزن القديم "/>
    <n v="6.4992000000000001"/>
    <m/>
    <m/>
    <x v="8"/>
    <n v="5"/>
    <m/>
    <m/>
    <m/>
    <m/>
    <m/>
    <m/>
    <m/>
    <m/>
    <m/>
    <m/>
  </r>
  <r>
    <d v="2024-05-01T00:00:00"/>
    <d v="2024-05-27T00:00:00"/>
    <s v="الاثنين "/>
    <s v="شركة الهدى "/>
    <s v="طه سعيد "/>
    <s v="علاج مكان تسريب الاحبار "/>
    <s v="تم العمل"/>
    <d v="1899-12-30T14:00:00"/>
    <d v="1899-12-30T17:00:00"/>
    <n v="0.27079999999999999"/>
    <s v="المخزن القديم "/>
    <n v="6.4992000000000001"/>
    <m/>
    <m/>
    <x v="8"/>
    <n v="5"/>
    <m/>
    <m/>
    <m/>
    <m/>
    <m/>
    <m/>
    <m/>
    <m/>
    <m/>
    <m/>
  </r>
  <r>
    <d v="2024-05-01T00:00:00"/>
    <d v="2024-05-27T00:00:00"/>
    <s v="الاثنين "/>
    <s v="الشركة الهندسية"/>
    <s v="فارس خليل "/>
    <s v="تركيب كمر لمصاعد المخزن الجديد"/>
    <s v="تم العمل"/>
    <d v="1899-12-30T11:00:00"/>
    <d v="1899-12-30T16:00:00"/>
    <n v="0.27079999999999999"/>
    <s v="المخزن الجديد "/>
    <n v="6.5"/>
    <m/>
    <m/>
    <x v="2"/>
    <n v="5"/>
    <m/>
    <m/>
    <m/>
    <m/>
    <m/>
    <m/>
    <m/>
    <m/>
    <m/>
    <m/>
  </r>
  <r>
    <d v="2024-05-01T00:00:00"/>
    <d v="2024-05-28T00:00:00"/>
    <s v="الثلاثاء "/>
    <s v="شركة الهدى "/>
    <s v="ايهاب سيد"/>
    <s v="علاج مكان تسريب الاحبار "/>
    <s v="تم العمل"/>
    <d v="1899-12-30T10:00:00"/>
    <d v="1899-12-30T16:00:00"/>
    <n v="0.27079999999999999"/>
    <s v="المخزن القديم "/>
    <n v="6"/>
    <m/>
    <m/>
    <x v="9"/>
    <n v="5"/>
    <m/>
    <m/>
    <m/>
    <m/>
    <m/>
    <m/>
    <m/>
    <m/>
    <m/>
    <m/>
  </r>
  <r>
    <d v="2024-05-01T00:00:00"/>
    <d v="2024-05-28T00:00:00"/>
    <s v="الثلاثاء "/>
    <s v="شركة اوزوريون "/>
    <s v="مراد  صالح "/>
    <s v="عمل ارضية خرسانية لخزنات الطوارىء"/>
    <s v="تم العمل"/>
    <d v="1899-12-30T10:30:00"/>
    <d v="1899-12-30T15:00:00"/>
    <n v="0.27079999999999999"/>
    <s v="المخزن القديم "/>
    <n v="6.4992000000000001"/>
    <m/>
    <m/>
    <x v="9"/>
    <n v="5"/>
    <m/>
    <m/>
    <m/>
    <m/>
    <m/>
    <m/>
    <m/>
    <m/>
    <m/>
    <m/>
  </r>
  <r>
    <d v="2024-05-01T00:00:00"/>
    <d v="2024-05-28T00:00:00"/>
    <s v="الثلاثاء "/>
    <s v="الشركة الهندسية"/>
    <s v="فارس خليل "/>
    <s v="تركيب كمر لمصاعد المخزن الجديد"/>
    <s v="تم العمل"/>
    <d v="1899-12-30T10:00:00"/>
    <d v="1899-12-30T16:00:00"/>
    <n v="0.27079999999999999"/>
    <s v="المخزن الجديد "/>
    <n v="6.5"/>
    <m/>
    <m/>
    <x v="2"/>
    <n v="5"/>
    <m/>
    <m/>
    <m/>
    <m/>
    <m/>
    <m/>
    <m/>
    <m/>
    <m/>
    <m/>
  </r>
  <r>
    <d v="2024-05-01T00:00:00"/>
    <d v="2024-05-28T00:00:00"/>
    <s v="الثلاثاء "/>
    <s v="شركة الهدى "/>
    <s v="اسلام مصطفى  "/>
    <s v="عمل صيانة الكنترول  CTB"/>
    <s v="تم العمل"/>
    <d v="1899-12-30T14:00:00"/>
    <d v="1899-12-30T17:00:00"/>
    <n v="0.125"/>
    <s v="المطابع "/>
    <n v="3"/>
    <m/>
    <m/>
    <x v="8"/>
    <n v="5"/>
    <m/>
    <m/>
    <m/>
    <m/>
    <m/>
    <m/>
    <m/>
    <m/>
    <m/>
    <m/>
  </r>
  <r>
    <d v="2024-05-01T00:00:00"/>
    <d v="2024-05-29T00:00:00"/>
    <s v="الاربعاء "/>
    <s v="شركة الهدى "/>
    <s v="ايهاب سيد"/>
    <s v="علاج مكان تسريب الاحبار "/>
    <s v="تم العمل"/>
    <d v="1899-12-30T10:00:00"/>
    <d v="1899-12-30T16:00:00"/>
    <n v="0.27079999999999999"/>
    <s v="المخزن القديم "/>
    <n v="6"/>
    <m/>
    <m/>
    <x v="9"/>
    <n v="5"/>
    <m/>
    <m/>
    <m/>
    <m/>
    <m/>
    <m/>
    <m/>
    <m/>
    <m/>
    <m/>
  </r>
  <r>
    <d v="2024-05-01T00:00:00"/>
    <d v="2024-05-29T00:00:00"/>
    <s v="الاربعاء "/>
    <s v="الشؤون الادارية "/>
    <s v="علاء احمد     "/>
    <s v="صيانة تكييف "/>
    <s v="تم العمل"/>
    <d v="1899-12-30T11:00:00"/>
    <d v="1899-12-30T15:00:00"/>
    <n v="0.27079999999999999"/>
    <s v="المطابع "/>
    <n v="6.4992000000000001"/>
    <m/>
    <m/>
    <x v="9"/>
    <n v="5"/>
    <m/>
    <m/>
    <m/>
    <m/>
    <m/>
    <m/>
    <m/>
    <m/>
    <m/>
    <m/>
  </r>
  <r>
    <d v="2024-05-01T00:00:00"/>
    <d v="2024-05-29T00:00:00"/>
    <s v="الاربعاء "/>
    <s v="شركة الدروى "/>
    <s v="محمودالدروى    "/>
    <s v="صيانة تكييف "/>
    <s v="تم العمل"/>
    <d v="1899-12-30T14:00:00"/>
    <d v="1899-12-30T15:00:00"/>
    <n v="4.166666666666663E-2"/>
    <s v="المطابع "/>
    <n v="0.99999999999999911"/>
    <m/>
    <m/>
    <x v="8"/>
    <n v="5"/>
    <m/>
    <m/>
    <m/>
    <m/>
    <m/>
    <m/>
    <m/>
    <m/>
    <m/>
    <m/>
  </r>
  <r>
    <d v="2024-05-01T00:00:00"/>
    <d v="2024-05-29T00:00:00"/>
    <s v="الاربعاء "/>
    <s v="شركة الدروى "/>
    <s v="محمودالدروى    "/>
    <s v="تركيب ماتور لكولدير المياه"/>
    <s v="تم العمل"/>
    <d v="1899-12-30T15:00:00"/>
    <d v="1899-12-30T16:00:00"/>
    <n v="4.166666666666663E-2"/>
    <s v="المطابع "/>
    <n v="0.99999999999999911"/>
    <m/>
    <m/>
    <x v="1"/>
    <n v="5"/>
    <m/>
    <m/>
    <m/>
    <m/>
    <m/>
    <m/>
    <m/>
    <m/>
    <m/>
    <m/>
  </r>
  <r>
    <d v="2024-05-01T00:00:00"/>
    <d v="2024-05-30T00:00:00"/>
    <s v="الخميس "/>
    <s v="شركة الدروى "/>
    <s v="محمودالدروى    "/>
    <s v="صيانة تكييف "/>
    <s v="تم العمل"/>
    <d v="1899-12-30T10:30:00"/>
    <d v="1899-12-30T13:00:00"/>
    <n v="0.10416666666666663"/>
    <s v="المطابع "/>
    <n v="2.4999999999999991"/>
    <m/>
    <m/>
    <x v="6"/>
    <n v="5"/>
    <m/>
    <m/>
    <m/>
    <m/>
    <m/>
    <m/>
    <m/>
    <m/>
    <m/>
    <m/>
  </r>
  <r>
    <d v="2024-05-01T00:00:00"/>
    <d v="2024-05-30T00:00:00"/>
    <s v="الخميس "/>
    <s v="شركة الكريم "/>
    <s v="عصام شرف      "/>
    <s v="الزيارة الشهرية  شهرى على خط  الاطفاء "/>
    <s v="تم العمل"/>
    <d v="1899-12-30T15:00:00"/>
    <d v="1899-12-30T17:30:00"/>
    <n v="0.10416666666666663"/>
    <s v="المطابع "/>
    <n v="2.5"/>
    <m/>
    <m/>
    <x v="5"/>
    <n v="5"/>
    <m/>
    <m/>
    <m/>
    <m/>
    <m/>
    <m/>
    <m/>
    <m/>
    <m/>
    <m/>
  </r>
  <r>
    <d v="2024-05-01T00:00:00"/>
    <d v="2024-05-30T00:00:00"/>
    <s v="الخميس "/>
    <s v="شركة الهدى "/>
    <s v="ايهاب سيد"/>
    <s v="علاج مكان تسريب الاحبار "/>
    <s v="تم العمل"/>
    <d v="1899-12-30T10:00:00"/>
    <d v="1899-12-30T16:00:00"/>
    <n v="0.27079999999999999"/>
    <s v="المخزن القديم "/>
    <n v="6"/>
    <m/>
    <m/>
    <x v="9"/>
    <n v="5"/>
    <m/>
    <m/>
    <m/>
    <m/>
    <m/>
    <m/>
    <m/>
    <m/>
    <m/>
    <m/>
  </r>
  <r>
    <d v="2024-05-01T00:00:00"/>
    <d v="2024-05-30T00:00:00"/>
    <s v="الخميس "/>
    <s v="شركة الفرج"/>
    <s v="حمادة شعبان"/>
    <s v="تركيب فراشة بالشارع  "/>
    <s v="تم العمل"/>
    <d v="1899-12-30T12:00:00"/>
    <d v="1899-12-30T16:00:00"/>
    <n v="0.16666666666666663"/>
    <s v="المخزن القديم "/>
    <n v="3.9999999999999991"/>
    <m/>
    <m/>
    <x v="9"/>
    <n v="5"/>
    <m/>
    <m/>
    <m/>
    <m/>
    <m/>
    <m/>
    <m/>
    <m/>
    <m/>
    <m/>
  </r>
  <r>
    <d v="2024-05-01T00:00:00"/>
    <d v="2024-05-31T00:00:00"/>
    <s v="الجمعة "/>
    <s v="KUC  شركة "/>
    <s v="محمد رسمى "/>
    <s v="توصيل و تركيب كابل فايبر  "/>
    <s v="تم العمل"/>
    <d v="1899-12-30T11:00:00"/>
    <d v="1899-12-30T20:30:00"/>
    <n v="0.39583333333333331"/>
    <s v="البرج"/>
    <n v="9.5"/>
    <m/>
    <m/>
    <x v="12"/>
    <n v="5"/>
    <m/>
    <m/>
    <m/>
    <m/>
    <m/>
    <m/>
    <m/>
    <m/>
    <m/>
    <m/>
  </r>
  <r>
    <d v="2024-05-01T00:00:00"/>
    <d v="2024-05-31T00:00:00"/>
    <s v="الجمعة "/>
    <s v="الشركة الالمانية "/>
    <s v="سامح الامير"/>
    <s v="رش وتعقيم سكن الشقق الخارجية  للعاملين "/>
    <s v="تم العمل"/>
    <d v="1899-12-30T10:30:00"/>
    <d v="1899-12-30T11:00:00"/>
    <n v="2.0833333333333315E-2"/>
    <s v="المطابع "/>
    <n v="0.49999999999999956"/>
    <m/>
    <m/>
    <x v="4"/>
    <n v="5"/>
    <m/>
    <m/>
    <m/>
    <m/>
    <m/>
    <m/>
    <m/>
    <m/>
    <m/>
    <m/>
  </r>
  <r>
    <d v="2024-05-01T00:00:00"/>
    <d v="2024-05-31T00:00:00"/>
    <s v="الجمعة "/>
    <s v="شركة الفرج"/>
    <s v="حمادة شعبان"/>
    <s v="تركيب فراشة بالشارع  "/>
    <s v="تم العمل"/>
    <d v="1899-12-30T12:00:00"/>
    <d v="1899-12-30T17:00:00"/>
    <n v="0.20833333333333337"/>
    <s v="المخزن القديم "/>
    <n v="5.0000000000000009"/>
    <m/>
    <m/>
    <x v="9"/>
    <n v="5"/>
    <m/>
    <m/>
    <m/>
    <m/>
    <m/>
    <m/>
    <m/>
    <m/>
    <m/>
    <m/>
  </r>
  <r>
    <d v="2024-05-01T00:00:00"/>
    <d v="2024-05-31T00:00:00"/>
    <s v="الجمعة "/>
    <s v="شركة الهدى "/>
    <s v="طه سعيد "/>
    <s v="علاج مكان تسريب الاحبار "/>
    <s v="تم العمل"/>
    <d v="1899-12-30T12:00:00"/>
    <d v="1899-12-30T17:00:00"/>
    <n v="0.20833333333333337"/>
    <s v="المخزن القديم "/>
    <n v="5.0000000000000009"/>
    <m/>
    <m/>
    <x v="9"/>
    <n v="5"/>
    <m/>
    <m/>
    <m/>
    <m/>
    <m/>
    <m/>
    <m/>
    <m/>
    <m/>
    <m/>
  </r>
  <r>
    <d v="2024-05-01T00:00:00"/>
    <d v="2024-05-31T00:00:00"/>
    <s v="الجمعة "/>
    <s v="الشركة الالمانية "/>
    <s v="سامح الامير"/>
    <s v="رش وتعقيم سكن الامن  ومبيت السائقين "/>
    <s v="تم العمل"/>
    <d v="1899-12-30T09:00:00"/>
    <d v="1899-12-30T10:00:00"/>
    <n v="4.1666666666666685E-2"/>
    <s v="المطابع "/>
    <n v="1.0000000000000004"/>
    <m/>
    <m/>
    <x v="4"/>
    <n v="5"/>
    <m/>
    <m/>
    <m/>
    <m/>
    <m/>
    <m/>
    <m/>
    <m/>
    <m/>
    <m/>
  </r>
  <r>
    <d v="2024-06-01T00:00:00"/>
    <d v="2024-06-01T00:00:00"/>
    <s v="السبت "/>
    <s v="شركة اوزوريون "/>
    <s v="مراد  صالح "/>
    <s v="عمل ارضية خرسانية لخزنات الطوارىء"/>
    <s v="تم العمل"/>
    <d v="1899-12-30T10:00:00"/>
    <d v="1899-12-30T13:00:00"/>
    <n v="0.27079999999999999"/>
    <s v="المخزن القديم "/>
    <n v="3"/>
    <m/>
    <m/>
    <x v="1"/>
    <n v="5"/>
    <m/>
    <m/>
    <m/>
    <m/>
    <m/>
    <m/>
    <m/>
    <m/>
    <m/>
    <m/>
  </r>
  <r>
    <d v="2024-06-01T00:00:00"/>
    <d v="2024-06-01T00:00:00"/>
    <s v="السبت "/>
    <s v="شركة الهدى "/>
    <s v="طه سعيد "/>
    <s v="علاج مكان تسريب الاحبار "/>
    <s v="تم العمل"/>
    <d v="1899-12-30T10:00:00"/>
    <d v="1899-12-30T15:00:00"/>
    <n v="0.27079999999999999"/>
    <s v="المخزن القديم "/>
    <n v="5"/>
    <m/>
    <m/>
    <x v="1"/>
    <n v="5"/>
    <m/>
    <m/>
    <m/>
    <m/>
    <m/>
    <m/>
    <m/>
    <m/>
    <m/>
    <m/>
  </r>
  <r>
    <d v="2024-06-01T00:00:00"/>
    <d v="2024-06-02T00:00:00"/>
    <s v="الاحد "/>
    <s v="شركة الهدى "/>
    <s v="ايمن محمد"/>
    <s v="علاج مكان تسريب الاحبار "/>
    <s v="تم العمل"/>
    <d v="1899-12-30T11:00:00"/>
    <d v="1899-12-30T17:00:00"/>
    <n v="0.25000000000000006"/>
    <s v="المخزن القديم "/>
    <n v="6"/>
    <m/>
    <m/>
    <x v="9"/>
    <n v="5"/>
    <m/>
    <m/>
    <m/>
    <m/>
    <m/>
    <m/>
    <m/>
    <m/>
    <m/>
    <m/>
  </r>
  <r>
    <d v="2024-06-01T00:00:00"/>
    <d v="2024-06-02T00:00:00"/>
    <s v="الاحد "/>
    <s v="شركة جلوب ويل "/>
    <s v="احمد فايد"/>
    <s v="تغير فلاتر المياه"/>
    <s v="تم العمل"/>
    <d v="1899-12-30T12:00:00"/>
    <d v="1899-12-30T14:00:00"/>
    <n v="8.333333333333337E-2"/>
    <s v="المطابع "/>
    <n v="2.0000000000000009"/>
    <m/>
    <m/>
    <x v="9"/>
    <n v="5"/>
    <m/>
    <m/>
    <m/>
    <m/>
    <m/>
    <m/>
    <m/>
    <m/>
    <m/>
    <m/>
  </r>
  <r>
    <d v="2024-06-01T00:00:00"/>
    <d v="2024-06-02T00:00:00"/>
    <s v="الاحد "/>
    <s v="شركة الفرج"/>
    <s v="حمادة شعبان"/>
    <s v="تركيب فراشة بالشارع  "/>
    <s v="تم العمل"/>
    <d v="1899-12-30T11:00:00"/>
    <d v="1899-12-30T17:00:00"/>
    <n v="0.25000000000000006"/>
    <s v="المخزن القديم "/>
    <n v="6"/>
    <m/>
    <m/>
    <x v="9"/>
    <n v="5"/>
    <m/>
    <m/>
    <m/>
    <m/>
    <m/>
    <m/>
    <m/>
    <m/>
    <m/>
    <m/>
  </r>
  <r>
    <d v="2024-06-01T00:00:00"/>
    <d v="2024-06-02T00:00:00"/>
    <s v="الاحد "/>
    <s v="الشركة الوطنية "/>
    <s v="محمد رمضان   "/>
    <s v="صيانة الكلاركات "/>
    <s v="تم العمل"/>
    <d v="1899-12-30T10:00:00"/>
    <d v="1899-12-30T13:30:00"/>
    <n v="0.14583333333333331"/>
    <s v="المطابع "/>
    <n v="3.4999999999999996"/>
    <m/>
    <m/>
    <x v="4"/>
    <n v="5"/>
    <m/>
    <m/>
    <m/>
    <m/>
    <m/>
    <m/>
    <m/>
    <m/>
    <m/>
    <m/>
  </r>
  <r>
    <d v="2024-06-01T00:00:00"/>
    <d v="2024-06-03T00:00:00"/>
    <s v="الاثنين "/>
    <s v="شركة نات جاز "/>
    <s v="محمد على"/>
    <s v="صيانة دورية لغرف ومحابس الغاز     "/>
    <s v="تم العمل"/>
    <d v="1899-12-30T11:30:00"/>
    <d v="1899-12-30T12:00:00"/>
    <n v="2.0833333333333315E-2"/>
    <s v="المطابع "/>
    <n v="0.49999999999999956"/>
    <m/>
    <m/>
    <x v="5"/>
    <n v="5"/>
    <m/>
    <m/>
    <m/>
    <m/>
    <m/>
    <m/>
    <m/>
    <m/>
    <m/>
    <m/>
  </r>
  <r>
    <d v="2024-06-01T00:00:00"/>
    <d v="2024-06-03T00:00:00"/>
    <s v="الاثنين "/>
    <s v="الشركة الالمانية "/>
    <s v="محمد ماهر "/>
    <s v="الزيارة الشهرية ومكافحة حشرات "/>
    <s v="تم العمل"/>
    <d v="1899-12-30T10:30:00"/>
    <d v="1899-12-30T12:30:00"/>
    <n v="8.333333333333337E-2"/>
    <s v="المطابع "/>
    <n v="2.0000000000000009"/>
    <m/>
    <m/>
    <x v="6"/>
    <n v="5"/>
    <m/>
    <m/>
    <m/>
    <m/>
    <m/>
    <m/>
    <m/>
    <m/>
    <m/>
    <m/>
  </r>
  <r>
    <d v="2024-06-01T00:00:00"/>
    <d v="2024-06-03T00:00:00"/>
    <s v="الاثنين "/>
    <s v="الشؤون الادارية "/>
    <s v="محمد النقيب "/>
    <s v="صيانة الكهرباء بالشوارع "/>
    <s v="تم العمل"/>
    <d v="1899-12-30T10:00:00"/>
    <d v="1899-12-30T12:00:00"/>
    <n v="8.3333333333333315E-2"/>
    <s v="المطابع "/>
    <n v="1.9999999999999996"/>
    <m/>
    <m/>
    <x v="10"/>
    <n v="5"/>
    <m/>
    <m/>
    <m/>
    <m/>
    <m/>
    <m/>
    <m/>
    <m/>
    <m/>
    <m/>
  </r>
  <r>
    <d v="2024-06-01T00:00:00"/>
    <d v="2024-06-03T00:00:00"/>
    <s v="الاثنين "/>
    <s v="شركة الكريم "/>
    <s v="حامد ابو المحاميد       "/>
    <s v="الزيارة الشهرية وصيانة خط الحريق "/>
    <s v="تم العمل"/>
    <d v="1899-12-30T12:00:00"/>
    <d v="1899-12-30T16:00:00"/>
    <n v="0.16666666666666663"/>
    <s v="المطابع "/>
    <n v="3.9999999999999991"/>
    <m/>
    <m/>
    <x v="5"/>
    <n v="5"/>
    <m/>
    <m/>
    <m/>
    <m/>
    <m/>
    <m/>
    <m/>
    <m/>
    <m/>
    <m/>
  </r>
  <r>
    <d v="2024-06-01T00:00:00"/>
    <d v="2024-06-03T00:00:00"/>
    <s v="الاثنين "/>
    <s v="الشؤون الادارية "/>
    <s v="محمد جابر "/>
    <s v="تركيب خيمة للاضحية"/>
    <s v="تم العمل"/>
    <d v="1899-12-30T10:00:00"/>
    <d v="1899-12-30T16:00:00"/>
    <n v="0.24999999999999994"/>
    <s v="المطابع "/>
    <n v="6"/>
    <m/>
    <m/>
    <x v="10"/>
    <n v="5"/>
    <m/>
    <m/>
    <m/>
    <m/>
    <m/>
    <m/>
    <m/>
    <m/>
    <m/>
    <m/>
  </r>
  <r>
    <d v="2024-06-01T00:00:00"/>
    <d v="2024-06-03T00:00:00"/>
    <s v="الاثنين "/>
    <s v="الشؤون الادارية "/>
    <s v="احمد عبد الله  "/>
    <s v="دهانات سلم المبنى الادارى  "/>
    <s v="تم العمل"/>
    <d v="1899-12-30T17:00:00"/>
    <d v="1899-12-30T14:00:00"/>
    <n v="0.125"/>
    <s v="الفجالة"/>
    <n v="3"/>
    <m/>
    <m/>
    <x v="11"/>
    <n v="4"/>
    <s v="نافص توقيعات "/>
    <m/>
    <m/>
    <m/>
    <m/>
    <m/>
    <m/>
    <m/>
    <m/>
    <m/>
  </r>
  <r>
    <d v="2024-06-01T00:00:00"/>
    <d v="2024-06-04T00:00:00"/>
    <s v="الثلاثاء "/>
    <s v="الشركة الوطنية "/>
    <s v="محمد رمضان   "/>
    <s v="صيانة الكلاركات "/>
    <s v="تم العمل"/>
    <d v="1899-12-30T10:30:00"/>
    <d v="1899-12-30T17:30:00"/>
    <n v="0.29166666666666663"/>
    <s v="المطابع "/>
    <n v="6.9999999999999991"/>
    <m/>
    <m/>
    <x v="5"/>
    <n v="5"/>
    <m/>
    <m/>
    <m/>
    <m/>
    <m/>
    <m/>
    <m/>
    <m/>
    <m/>
    <m/>
  </r>
  <r>
    <d v="2024-06-01T00:00:00"/>
    <d v="2024-06-04T00:00:00"/>
    <s v="الثلاثاء "/>
    <s v="شركة الهدى "/>
    <s v="طه سعيد "/>
    <s v="لحام  تسريب الاحبار "/>
    <s v="تم العمل"/>
    <d v="1899-12-30T11:00:00"/>
    <d v="1899-12-30T17:00:00"/>
    <n v="0.27079999999999999"/>
    <s v="المخزن القديم "/>
    <n v="6"/>
    <m/>
    <m/>
    <x v="9"/>
    <n v="5"/>
    <m/>
    <m/>
    <m/>
    <m/>
    <m/>
    <m/>
    <m/>
    <m/>
    <m/>
    <m/>
  </r>
  <r>
    <d v="2024-06-01T00:00:00"/>
    <d v="2024-06-04T00:00:00"/>
    <s v="الثلاثاء "/>
    <s v="شركة شلاندر "/>
    <s v="احمد السيد "/>
    <s v="تركيب اسنسيرات البضائع "/>
    <s v="تم العمل"/>
    <d v="1899-12-30T10:30:00"/>
    <d v="1899-12-30T17:00:00"/>
    <n v="0.27079999999999999"/>
    <s v="المخزن الجديد "/>
    <n v="6.4992000000000001"/>
    <m/>
    <m/>
    <x v="6"/>
    <n v="5"/>
    <m/>
    <m/>
    <m/>
    <m/>
    <m/>
    <m/>
    <m/>
    <m/>
    <m/>
    <m/>
  </r>
  <r>
    <d v="2024-06-01T00:00:00"/>
    <d v="2024-06-05T00:00:00"/>
    <s v="الاربعاء "/>
    <s v="مالك المخزن "/>
    <s v="فيكتور     "/>
    <s v="صيانة الرامب المتحرك"/>
    <s v="تم العمل"/>
    <d v="1899-12-30T12:00:00"/>
    <d v="1899-12-30T17:30:00"/>
    <n v="0.27079999999999999"/>
    <s v="مخزن الوزارة"/>
    <n v="5.5"/>
    <m/>
    <m/>
    <x v="6"/>
    <n v="5"/>
    <m/>
    <m/>
    <m/>
    <m/>
    <m/>
    <m/>
    <m/>
    <m/>
    <m/>
    <m/>
  </r>
  <r>
    <d v="2024-06-01T00:00:00"/>
    <d v="2024-06-05T00:00:00"/>
    <s v="الاربعاء "/>
    <s v="الشؤون الادارية "/>
    <s v="محمد النقيب "/>
    <s v="صيانة برايز الكهرباء في غرفة الامن"/>
    <s v="تم العمل"/>
    <d v="1899-12-30T10:30:00"/>
    <d v="1899-12-30T11:30:00"/>
    <n v="4.1666666666666685E-2"/>
    <s v="المطابع "/>
    <n v="1.0000000000000004"/>
    <m/>
    <m/>
    <x v="6"/>
    <n v="5"/>
    <m/>
    <m/>
    <m/>
    <m/>
    <m/>
    <m/>
    <m/>
    <m/>
    <m/>
    <m/>
  </r>
  <r>
    <d v="2024-06-01T00:00:00"/>
    <d v="2024-06-05T00:00:00"/>
    <s v="الاربعاء "/>
    <s v="شركة شلاندر "/>
    <s v="احمد السيد "/>
    <s v="تركيب اسنسيرات البضائع "/>
    <s v="تم العمل"/>
    <d v="1899-12-30T09:30:00"/>
    <d v="1899-12-30T17:30:00"/>
    <n v="0.33333333333333331"/>
    <s v="المخزن الجديد "/>
    <n v="8"/>
    <m/>
    <m/>
    <x v="5"/>
    <n v="5"/>
    <m/>
    <m/>
    <m/>
    <m/>
    <m/>
    <m/>
    <m/>
    <m/>
    <m/>
    <m/>
  </r>
  <r>
    <d v="2024-06-01T00:00:00"/>
    <d v="2024-06-05T00:00:00"/>
    <s v="الاربعاء "/>
    <s v="شركة الهدى "/>
    <s v="طه سعيد "/>
    <s v="لحام  تسريب الاحبار "/>
    <s v="تم العمل"/>
    <d v="1899-12-30T11:00:00"/>
    <d v="1899-12-30T17:00:00"/>
    <n v="0.27079999999999999"/>
    <s v="المخزن القديم "/>
    <n v="5"/>
    <m/>
    <m/>
    <x v="9"/>
    <n v="5"/>
    <m/>
    <m/>
    <m/>
    <m/>
    <m/>
    <m/>
    <m/>
    <m/>
    <m/>
    <m/>
  </r>
  <r>
    <d v="2024-06-01T00:00:00"/>
    <d v="2024-06-05T00:00:00"/>
    <s v="الاربعاء "/>
    <s v="الشؤون الادارية "/>
    <s v="احمد سعيد  "/>
    <s v="صيانة سباكة للمخزن"/>
    <s v="تم العمل"/>
    <d v="1899-12-30T14:00:00"/>
    <d v="1899-12-30T17:00:00"/>
    <n v="0.27079999999999999"/>
    <s v="المخزن الجديد "/>
    <n v="3"/>
    <m/>
    <m/>
    <x v="9"/>
    <n v="5"/>
    <m/>
    <m/>
    <m/>
    <m/>
    <m/>
    <m/>
    <m/>
    <m/>
    <m/>
    <m/>
  </r>
  <r>
    <d v="2024-06-01T00:00:00"/>
    <d v="2024-06-05T00:00:00"/>
    <s v="الاربعاء "/>
    <s v="شركة اوزوريون "/>
    <s v="مراد  صالح "/>
    <s v="عمل ارضية خرسانية لخزنات الطوارىء"/>
    <s v="تم العمل"/>
    <d v="1899-12-30T11:00:00"/>
    <d v="1899-12-30T17:00:00"/>
    <n v="0.27079999999999999"/>
    <s v="المخزن القديم "/>
    <n v="6"/>
    <m/>
    <m/>
    <x v="9"/>
    <n v="5"/>
    <m/>
    <m/>
    <m/>
    <m/>
    <m/>
    <m/>
    <m/>
    <m/>
    <m/>
    <m/>
  </r>
  <r>
    <d v="2024-06-01T00:00:00"/>
    <d v="2024-06-05T00:00:00"/>
    <s v="الاربعاء "/>
    <s v="شركة الايمان "/>
    <s v="محمد البدري"/>
    <s v="تركيب ارفينت على شبكة الحريق"/>
    <s v="تم العمل"/>
    <d v="1899-12-30T12:00:00"/>
    <d v="1899-12-30T15:30:00"/>
    <n v="0.14583333333333337"/>
    <s v="المخزن الجديد "/>
    <n v="3.5"/>
    <m/>
    <m/>
    <x v="5"/>
    <n v="5"/>
    <m/>
    <m/>
    <m/>
    <m/>
    <m/>
    <m/>
    <m/>
    <m/>
    <m/>
    <m/>
  </r>
  <r>
    <d v="2024-06-01T00:00:00"/>
    <d v="2024-06-06T00:00:00"/>
    <s v="الخميس "/>
    <s v="شركة الهدى "/>
    <s v="اسلام مصطفى  "/>
    <s v="عمل صيانة الكنترول  CTB"/>
    <s v="تم العمل"/>
    <d v="1899-12-30T14:00:00"/>
    <d v="1899-12-30T18:00:00"/>
    <n v="0.16666666666666663"/>
    <s v="المطابع "/>
    <n v="3.9999999999999991"/>
    <m/>
    <m/>
    <x v="6"/>
    <n v="5"/>
    <m/>
    <m/>
    <m/>
    <m/>
    <m/>
    <m/>
    <m/>
    <m/>
    <m/>
    <m/>
  </r>
  <r>
    <d v="2024-06-01T00:00:00"/>
    <d v="2024-06-06T00:00:00"/>
    <s v="الخميس "/>
    <s v="شركة اوزوريون "/>
    <s v="مراد  صالح "/>
    <s v="عمل ارضية خرسانية لخزنات الطوارىء"/>
    <s v="تم العمل"/>
    <d v="1899-12-30T10:00:00"/>
    <d v="1899-12-30T13:00:00"/>
    <n v="0.12499999999999994"/>
    <s v="المخزن القديم "/>
    <n v="3"/>
    <m/>
    <m/>
    <x v="9"/>
    <n v="5"/>
    <m/>
    <m/>
    <m/>
    <m/>
    <m/>
    <m/>
    <m/>
    <m/>
    <m/>
    <m/>
  </r>
  <r>
    <d v="2024-06-01T00:00:00"/>
    <d v="2024-06-06T00:00:00"/>
    <s v="الخميس "/>
    <s v="شركة شلاندر "/>
    <s v="محمد متولى  "/>
    <s v="تركيب اسنسيرات البضائع "/>
    <s v="تم العمل"/>
    <d v="1899-12-30T15:00:00"/>
    <d v="1899-12-30T16:00:00"/>
    <n v="4.166666666666663E-2"/>
    <s v="المخزن الجديد "/>
    <n v="0.99999999999999911"/>
    <m/>
    <m/>
    <x v="1"/>
    <n v="5"/>
    <m/>
    <m/>
    <m/>
    <m/>
    <m/>
    <m/>
    <m/>
    <m/>
    <m/>
    <m/>
  </r>
  <r>
    <d v="2024-06-01T00:00:00"/>
    <d v="2024-06-06T00:00:00"/>
    <s v="الخميس "/>
    <s v="ماستر برنت "/>
    <s v="محمد فاروق  "/>
    <s v="لصق اعلانات على الاستاندات "/>
    <s v="تم العمل"/>
    <d v="1899-12-30T12:00:00"/>
    <d v="1899-12-30T15:00:00"/>
    <n v="0.125"/>
    <s v="المخزن الجديد "/>
    <n v="3"/>
    <m/>
    <m/>
    <x v="1"/>
    <n v="5"/>
    <m/>
    <m/>
    <m/>
    <m/>
    <m/>
    <m/>
    <m/>
    <m/>
    <m/>
    <m/>
  </r>
  <r>
    <d v="2024-06-01T00:00:00"/>
    <d v="2024-06-09T00:00:00"/>
    <s v="الاحد "/>
    <s v="شركة نات جاز "/>
    <s v="محمدحسنى "/>
    <s v="صيانة دورية لغرف ومحابس الغاز     "/>
    <s v="تم العمل"/>
    <d v="1899-12-30T12:00:00"/>
    <d v="1899-12-30T14:00:00"/>
    <n v="8.333333333333337E-2"/>
    <s v="المطابع "/>
    <n v="2.0000000000000009"/>
    <m/>
    <m/>
    <x v="10"/>
    <n v="4"/>
    <s v="ناقص توقيعات "/>
    <m/>
    <m/>
    <m/>
    <m/>
    <m/>
    <m/>
    <m/>
    <m/>
    <m/>
  </r>
  <r>
    <d v="2024-06-01T00:00:00"/>
    <d v="2024-06-09T00:00:00"/>
    <s v="الاحد "/>
    <s v="شركة نات جاز "/>
    <s v="مصطفى حمزة "/>
    <s v="عمل صيانة فى غرفة الهواء     "/>
    <s v="تم العمل"/>
    <d v="1899-12-30T09:30:00"/>
    <d v="1899-12-30T16:00:00"/>
    <n v="0.27083333333333331"/>
    <s v="المطابع "/>
    <n v="6.5"/>
    <m/>
    <m/>
    <x v="0"/>
    <n v="5"/>
    <m/>
    <m/>
    <m/>
    <m/>
    <m/>
    <m/>
    <m/>
    <m/>
    <m/>
    <m/>
  </r>
  <r>
    <d v="2024-06-01T00:00:00"/>
    <d v="2024-06-09T00:00:00"/>
    <s v="الاحد "/>
    <s v="الشؤون الادارية "/>
    <s v="علاء احمد   "/>
    <s v="صيانة تكييف "/>
    <s v="تم العمل"/>
    <d v="1899-12-30T14:30:00"/>
    <d v="1899-12-30T17:00:00"/>
    <n v="0.10416666666666674"/>
    <s v="المطابع "/>
    <n v="2.5000000000000018"/>
    <m/>
    <m/>
    <x v="10"/>
    <n v="5"/>
    <m/>
    <m/>
    <m/>
    <m/>
    <m/>
    <m/>
    <m/>
    <m/>
    <m/>
    <m/>
  </r>
  <r>
    <d v="2024-06-01T00:00:00"/>
    <d v="2024-06-09T00:00:00"/>
    <s v="الاحد "/>
    <s v="شركة اوزوريون "/>
    <s v="مراد  صالح "/>
    <s v="تركيب سلم طوارىء "/>
    <s v="تم العمل"/>
    <d v="1899-12-30T12:00:00"/>
    <d v="1899-12-30T16:00:00"/>
    <n v="0.16666666666666663"/>
    <s v="المخزن الجديد "/>
    <n v="3"/>
    <m/>
    <m/>
    <x v="6"/>
    <n v="5"/>
    <m/>
    <m/>
    <m/>
    <m/>
    <m/>
    <m/>
    <m/>
    <m/>
    <m/>
    <m/>
  </r>
  <r>
    <d v="2024-06-01T00:00:00"/>
    <d v="2024-06-09T00:00:00"/>
    <s v="الاحد "/>
    <s v="شركة شلاندر "/>
    <s v="احمد السيد  "/>
    <s v="تركيب اسنسيرات البضائع "/>
    <s v="تم العمل"/>
    <d v="1899-12-30T10:00:00"/>
    <d v="1899-12-30T17:00:00"/>
    <n v="0.29166666666666669"/>
    <s v="المخزن الجديد "/>
    <n v="7"/>
    <m/>
    <m/>
    <x v="6"/>
    <n v="5"/>
    <m/>
    <m/>
    <m/>
    <m/>
    <m/>
    <m/>
    <m/>
    <m/>
    <m/>
    <m/>
  </r>
  <r>
    <d v="2024-06-01T00:00:00"/>
    <d v="2024-06-09T00:00:00"/>
    <s v="الاحد "/>
    <s v="مالك المخزن "/>
    <s v="فيكتور لوندى      "/>
    <s v=" عمل صيانة الرامب التحميل "/>
    <s v="تم العمل"/>
    <d v="1899-12-30T12:00:00"/>
    <d v="1899-12-30T15:30:00"/>
    <n v="0.27079999999999999"/>
    <s v="مخزن الوزارة"/>
    <n v="5.5"/>
    <m/>
    <m/>
    <x v="8"/>
    <n v="4"/>
    <s v="ناقص توقيعات "/>
    <m/>
    <m/>
    <m/>
    <m/>
    <m/>
    <m/>
    <m/>
    <m/>
    <m/>
  </r>
  <r>
    <d v="2024-06-01T00:00:00"/>
    <d v="2024-06-10T00:00:00"/>
    <s v="الاثنين "/>
    <s v="شركة الهدى "/>
    <s v="طه سعيد "/>
    <s v="تشغيل تنكات الاحبار التى بهاتسريب "/>
    <s v="تم العمل"/>
    <d v="1899-12-30T11:30:00"/>
    <d v="1899-12-30T13:00:00"/>
    <n v="0.27079999999999999"/>
    <s v="المخزن القديم "/>
    <n v="6"/>
    <m/>
    <m/>
    <x v="5"/>
    <n v="4"/>
    <s v="عدم غلق التصريح "/>
    <m/>
    <m/>
    <m/>
    <m/>
    <m/>
    <m/>
    <m/>
    <m/>
    <m/>
  </r>
  <r>
    <d v="2024-06-01T00:00:00"/>
    <d v="2024-06-10T00:00:00"/>
    <s v="الاثنين "/>
    <s v="شركة نات جاز "/>
    <s v="محمدحسنى "/>
    <s v="صيانة فى خطوط الغاز      "/>
    <s v="تم العمل"/>
    <d v="1899-12-30T11:30:00"/>
    <d v="1899-12-30T12:30:00"/>
    <n v="4.1666666666666685E-2"/>
    <s v="المطابع "/>
    <n v="1.0000000000000004"/>
    <m/>
    <m/>
    <x v="10"/>
    <n v="5"/>
    <s v=" "/>
    <m/>
    <m/>
    <m/>
    <m/>
    <m/>
    <m/>
    <m/>
    <m/>
    <m/>
  </r>
  <r>
    <d v="2024-06-01T00:00:00"/>
    <d v="2024-06-10T00:00:00"/>
    <s v="الاثنين "/>
    <s v="الشؤون الادارية "/>
    <s v="محمد النقيب "/>
    <s v="صيانةكشافات الشوارع الخارجية "/>
    <s v="تم العمل"/>
    <d v="1899-12-30T11:00:00"/>
    <d v="1899-12-30T20:00:00"/>
    <n v="0.37500000000000006"/>
    <s v="المخزن الجديد "/>
    <n v="9.0000000000000018"/>
    <m/>
    <m/>
    <x v="6"/>
    <n v="5"/>
    <m/>
    <m/>
    <m/>
    <m/>
    <m/>
    <m/>
    <m/>
    <m/>
    <m/>
    <m/>
  </r>
  <r>
    <d v="2024-06-01T00:00:00"/>
    <d v="2024-06-10T00:00:00"/>
    <s v="الاثنين "/>
    <s v="الشركة الالمانية "/>
    <s v="محمد ماهر "/>
    <s v="الزيارة الشهرية و مكافحة حشرات "/>
    <s v="تم العمل"/>
    <d v="1899-12-30T12:00:00"/>
    <d v="1899-12-30T11:00:00"/>
    <n v="4.1666666666666685E-2"/>
    <s v="المخزن القديم "/>
    <n v="1.0000000000000004"/>
    <m/>
    <m/>
    <x v="6"/>
    <n v="5"/>
    <m/>
    <m/>
    <m/>
    <m/>
    <m/>
    <m/>
    <m/>
    <m/>
    <m/>
    <m/>
  </r>
  <r>
    <d v="2024-06-01T00:00:00"/>
    <d v="2024-06-10T00:00:00"/>
    <s v="الاثنين "/>
    <s v="شركة اوزوريون "/>
    <s v="فارس خليل "/>
    <s v="تركيب سلم الطوارىء "/>
    <s v="تم العمل"/>
    <d v="1899-12-30T09:30:00"/>
    <d v="1899-12-30T15:00:00"/>
    <n v="0.27079999999999999"/>
    <s v="المخزن الجديد "/>
    <n v="6.4992000000000001"/>
    <m/>
    <m/>
    <x v="6"/>
    <n v="5"/>
    <m/>
    <m/>
    <m/>
    <m/>
    <m/>
    <m/>
    <m/>
    <m/>
    <m/>
    <m/>
  </r>
  <r>
    <d v="2024-06-01T00:00:00"/>
    <d v="2024-06-10T00:00:00"/>
    <s v="الاثنين "/>
    <s v="شركة الكريم "/>
    <s v="حامد      "/>
    <s v="صيانة خط الحريق "/>
    <s v="تم العمل"/>
    <d v="1899-12-30T09:30:00"/>
    <d v="1899-12-30T17:00:00"/>
    <n v="0.31250000000000006"/>
    <s v="المطابع "/>
    <n v="7.5000000000000018"/>
    <m/>
    <m/>
    <x v="6"/>
    <n v="5"/>
    <m/>
    <m/>
    <m/>
    <m/>
    <m/>
    <m/>
    <m/>
    <m/>
    <m/>
    <m/>
  </r>
  <r>
    <d v="2024-06-01T00:00:00"/>
    <d v="2024-06-10T00:00:00"/>
    <s v="الاثنين "/>
    <s v="شركة الهدى "/>
    <s v="طه سعيد "/>
    <s v="لحام  تسريب الاحبار "/>
    <s v="تم العمل"/>
    <d v="1899-12-30T12:00:00"/>
    <d v="1899-12-30T17:00:00"/>
    <n v="0.27079999999999999"/>
    <s v="المطابع "/>
    <n v="5"/>
    <m/>
    <m/>
    <x v="9"/>
    <n v="5"/>
    <m/>
    <m/>
    <m/>
    <m/>
    <m/>
    <m/>
    <m/>
    <m/>
    <m/>
    <m/>
  </r>
  <r>
    <d v="2024-06-01T00:00:00"/>
    <d v="2024-06-10T00:00:00"/>
    <s v="الاثنين "/>
    <s v="الشركة الالمانية "/>
    <s v="محمد ماهر "/>
    <s v="الزيارة الشهرية و مكافحة حشرات "/>
    <s v="تم العمل"/>
    <d v="1899-12-30T13:00:00"/>
    <d v="1899-12-30T14:30:00"/>
    <n v="6.25E-2"/>
    <s v="المخزن الجديد "/>
    <n v="1.5"/>
    <m/>
    <m/>
    <x v="9"/>
    <n v="5"/>
    <m/>
    <m/>
    <m/>
    <m/>
    <m/>
    <m/>
    <m/>
    <m/>
    <m/>
    <m/>
  </r>
  <r>
    <d v="2024-06-01T00:00:00"/>
    <d v="2024-06-10T00:00:00"/>
    <s v="الاثنين "/>
    <s v="شركة اوزوريون "/>
    <s v="مراد  صالح "/>
    <s v="استكمال عمل  ارضية خرسانية لخزنات الحريق "/>
    <s v="تم العمل"/>
    <d v="1899-12-30T10:00:00"/>
    <d v="1899-12-30T14:00:00"/>
    <n v="0.16666666666666669"/>
    <s v="المخزن القديم "/>
    <n v="3"/>
    <m/>
    <m/>
    <x v="9"/>
    <n v="3"/>
    <s v="عدم غلق التصريح  وناقص توقيعات "/>
    <m/>
    <m/>
    <m/>
    <m/>
    <m/>
    <m/>
    <m/>
    <m/>
    <m/>
  </r>
  <r>
    <d v="2024-06-01T00:00:00"/>
    <d v="2024-06-10T00:00:00"/>
    <s v="الاثنين "/>
    <s v="الشركة الالمانية "/>
    <s v="محمد ماهر "/>
    <s v="رش وتعقيم سكن الامن  "/>
    <s v="تم العمل"/>
    <d v="1899-12-30T10:00:00"/>
    <d v="1899-12-30T11:00:00"/>
    <n v="4.166666666666663E-2"/>
    <s v="المخزن القديم "/>
    <n v="0.99999999999999911"/>
    <m/>
    <m/>
    <x v="9"/>
    <n v="5"/>
    <m/>
    <m/>
    <m/>
    <m/>
    <m/>
    <m/>
    <m/>
    <m/>
    <m/>
    <m/>
  </r>
  <r>
    <d v="2024-06-01T00:00:00"/>
    <d v="2024-06-11T00:00:00"/>
    <s v="الثلاثاء "/>
    <s v="شركة نات جاز "/>
    <s v="محمدحسنى "/>
    <s v="صيانة فى خطوط الغاز      "/>
    <s v="تم العمل"/>
    <d v="1899-12-30T13:30:00"/>
    <d v="1899-12-30T14:00:00"/>
    <n v="2.083333333333337E-2"/>
    <s v="المطابع "/>
    <n v="0.50000000000000089"/>
    <m/>
    <m/>
    <x v="10"/>
    <n v="5"/>
    <s v=" "/>
    <m/>
    <m/>
    <m/>
    <m/>
    <m/>
    <m/>
    <m/>
    <m/>
    <m/>
  </r>
  <r>
    <d v="2024-06-01T00:00:00"/>
    <d v="2024-06-11T00:00:00"/>
    <s v="الثلاثاء "/>
    <s v="شركة اوزوريون "/>
    <s v="فارس خليل "/>
    <s v="تركيب سلم الطوارىء "/>
    <s v="تم العمل"/>
    <d v="1899-12-30T10:00:00"/>
    <d v="1899-12-30T15:30:00"/>
    <n v="0.27079999999999999"/>
    <s v="المخزن الجديد "/>
    <n v="6.4992000000000001"/>
    <m/>
    <m/>
    <x v="6"/>
    <n v="5"/>
    <m/>
    <m/>
    <m/>
    <m/>
    <m/>
    <m/>
    <m/>
    <m/>
    <m/>
    <m/>
  </r>
  <r>
    <d v="2024-06-01T00:00:00"/>
    <d v="2024-06-11T00:00:00"/>
    <s v="الثلاثاء "/>
    <s v="القطاع الهندسى "/>
    <s v="صابر ابلراهيم "/>
    <s v="تركيب  علبة حديد على لوحة كهرباء  "/>
    <s v="تم العمل"/>
    <d v="1899-12-30T14:00:00"/>
    <d v="1899-12-30T15:00:00"/>
    <n v="4.166666666666663E-2"/>
    <s v="المطابع "/>
    <n v="0.99999999999999911"/>
    <m/>
    <m/>
    <x v="6"/>
    <n v="5"/>
    <m/>
    <m/>
    <m/>
    <m/>
    <m/>
    <m/>
    <m/>
    <m/>
    <m/>
    <m/>
  </r>
  <r>
    <d v="2024-06-01T00:00:00"/>
    <d v="2024-06-11T00:00:00"/>
    <s v="الثلاثاء "/>
    <s v="شركة شلاندر "/>
    <s v="احمد السيد  "/>
    <s v="تركيب مصاعد البضائع "/>
    <s v="تم العمل"/>
    <d v="1899-12-30T11:00:00"/>
    <d v="1899-12-30T17:30:00"/>
    <n v="0.27083333333333331"/>
    <s v="المخزن الجديد "/>
    <n v="6.5"/>
    <m/>
    <m/>
    <x v="6"/>
    <n v="5"/>
    <m/>
    <m/>
    <m/>
    <m/>
    <m/>
    <m/>
    <m/>
    <m/>
    <m/>
    <m/>
  </r>
  <r>
    <d v="2024-06-01T00:00:00"/>
    <d v="2024-06-12T00:00:00"/>
    <s v="الاربعاء "/>
    <s v="شركة اوزوريون "/>
    <s v="مراد  صالح "/>
    <s v="تركيب سلم الطوارىء "/>
    <s v="تم العمل"/>
    <d v="1899-12-30T10:00:00"/>
    <d v="1899-12-30T15:30:00"/>
    <n v="0.27079999999999999"/>
    <s v="المخزن الجديد "/>
    <n v="6.4992000000000001"/>
    <m/>
    <m/>
    <x v="6"/>
    <n v="5"/>
    <m/>
    <m/>
    <m/>
    <m/>
    <m/>
    <m/>
    <m/>
    <m/>
    <m/>
    <m/>
  </r>
  <r>
    <d v="2024-06-01T00:00:00"/>
    <d v="2024-06-12T00:00:00"/>
    <s v="الاربعاء "/>
    <s v="شركة شلاندر "/>
    <s v="احمد السيد  "/>
    <s v="تركيب مصاعد البضائع "/>
    <s v="تم العمل"/>
    <d v="1899-12-30T11:30:00"/>
    <d v="1899-12-30T17:30:00"/>
    <n v="0.24999999999999994"/>
    <s v="المخزن الجديد "/>
    <n v="5.9999999999999982"/>
    <m/>
    <m/>
    <x v="6"/>
    <n v="5"/>
    <m/>
    <m/>
    <m/>
    <m/>
    <m/>
    <m/>
    <m/>
    <m/>
    <m/>
    <m/>
  </r>
  <r>
    <d v="2024-06-01T00:00:00"/>
    <d v="2024-06-12T00:00:00"/>
    <s v="الاربعاء "/>
    <s v="الشركة الوطنية "/>
    <s v="محمد رمضان   "/>
    <s v="صيانة الكلاركات "/>
    <s v="تم العمل"/>
    <d v="1899-12-30T10:30:00"/>
    <d v="1899-12-30T14:00:00"/>
    <n v="0.14583333333333337"/>
    <s v="المطابع "/>
    <n v="3.5000000000000009"/>
    <m/>
    <m/>
    <x v="0"/>
    <n v="5"/>
    <m/>
    <m/>
    <m/>
    <m/>
    <m/>
    <m/>
    <m/>
    <m/>
    <m/>
    <m/>
  </r>
  <r>
    <d v="2024-06-01T00:00:00"/>
    <d v="2024-06-12T00:00:00"/>
    <s v="الاربعاء "/>
    <s v="الشؤون الادارية "/>
    <s v="حسن  محمد   "/>
    <s v="فك التندة الخاصة بمخزن التجارة والتوزيع "/>
    <s v="تم العمل"/>
    <d v="1899-12-30T10:00:00"/>
    <d v="1899-12-30T16:00:00"/>
    <n v="0.24999999999999994"/>
    <s v="الفجالة"/>
    <n v="5.9999999999999982"/>
    <m/>
    <m/>
    <x v="11"/>
    <n v="4"/>
    <s v="نافص توقيعات "/>
    <m/>
    <m/>
    <m/>
    <m/>
    <m/>
    <m/>
    <m/>
    <m/>
    <m/>
  </r>
  <r>
    <d v="2024-06-01T00:00:00"/>
    <d v="2024-06-12T00:00:00"/>
    <s v="الاربعاء "/>
    <s v="شركة الكريم "/>
    <s v="على  شحات "/>
    <s v="الزيارة الشهرية وصيانة نظام الانزار "/>
    <s v="تم العمل"/>
    <d v="1899-12-30T10:00:00"/>
    <d v="1899-12-30T11:00:00"/>
    <n v="0.27079999999999999"/>
    <s v="المطابع "/>
    <n v="6.4992000000000001"/>
    <m/>
    <m/>
    <x v="5"/>
    <n v="5"/>
    <m/>
    <m/>
    <m/>
    <m/>
    <m/>
    <m/>
    <m/>
    <m/>
    <m/>
    <m/>
  </r>
  <r>
    <d v="2024-06-01T00:00:00"/>
    <d v="2024-06-13T00:00:00"/>
    <s v="الخميس "/>
    <s v="الورشة الهندسية للخراطة"/>
    <s v="فارس خليل "/>
    <s v="تركيب سلم الطوارىء "/>
    <s v="تم العمل"/>
    <d v="1899-12-30T09:00:00"/>
    <d v="1899-12-30T14:00:00"/>
    <n v="0.27079999999999999"/>
    <s v="المخزن الجديد "/>
    <n v="6.4992000000000001"/>
    <m/>
    <m/>
    <x v="4"/>
    <n v="5"/>
    <m/>
    <m/>
    <m/>
    <m/>
    <m/>
    <m/>
    <m/>
    <m/>
    <m/>
    <m/>
  </r>
  <r>
    <d v="2024-06-01T00:00:00"/>
    <d v="2024-06-13T00:00:00"/>
    <s v="الخميس "/>
    <s v="شركة ابداع "/>
    <s v="صابر  محمد "/>
    <s v="لحام تربيزات داخل الكفتريا "/>
    <s v="تم العمل"/>
    <d v="1899-12-30T13:00:00"/>
    <d v="1899-12-30T16:30:00"/>
    <n v="0.14583333333333337"/>
    <s v="المطابع "/>
    <n v="3.5000000000000009"/>
    <m/>
    <m/>
    <x v="0"/>
    <n v="5"/>
    <m/>
    <m/>
    <m/>
    <m/>
    <m/>
    <m/>
    <m/>
    <m/>
    <m/>
    <m/>
  </r>
  <r>
    <d v="2024-06-01T00:00:00"/>
    <d v="2024-06-13T00:00:00"/>
    <s v="الخميس "/>
    <s v="الشؤون الادارية "/>
    <s v="حسن  محمد    "/>
    <s v="تعديل  حوامل التندة وتركيب الصاج  "/>
    <s v="تم العمل"/>
    <d v="1899-12-30T12:30:00"/>
    <d v="1899-12-30T14:00:00"/>
    <n v="6.25E-2"/>
    <s v="المطابع "/>
    <n v="1.5"/>
    <m/>
    <m/>
    <x v="11"/>
    <n v="5"/>
    <m/>
    <m/>
    <m/>
    <m/>
    <m/>
    <m/>
    <m/>
    <m/>
    <m/>
    <m/>
  </r>
  <r>
    <d v="2024-06-01T00:00:00"/>
    <d v="2024-06-14T00:00:00"/>
    <s v="الجمعة "/>
    <s v="الشؤون الادارية "/>
    <s v="حسن  محمد    "/>
    <s v="تركيب وعمل تندة فى مخزن التجارة والتوزيع "/>
    <s v="تم العمل"/>
    <d v="1899-12-30T10:30:00"/>
    <d v="1899-12-30T17:00:00"/>
    <n v="0.27083333333333337"/>
    <s v="المطابع "/>
    <n v="6.5000000000000009"/>
    <m/>
    <m/>
    <x v="11"/>
    <n v="5"/>
    <m/>
    <m/>
    <m/>
    <m/>
    <m/>
    <m/>
    <m/>
    <m/>
    <m/>
    <m/>
  </r>
  <r>
    <d v="2024-06-01T00:00:00"/>
    <d v="2024-06-19T00:00:00"/>
    <s v="الاربعاء "/>
    <s v="شركة الهدى "/>
    <s v="طه سعيد "/>
    <s v="لحام  تسريب الاحبار "/>
    <s v="تم العمل"/>
    <d v="1899-12-30T14:00:00"/>
    <d v="1899-12-30T17:00:00"/>
    <n v="0.125"/>
    <s v="المخزن القديم "/>
    <n v="5"/>
    <m/>
    <m/>
    <x v="6"/>
    <n v="5"/>
    <m/>
    <m/>
    <m/>
    <m/>
    <m/>
    <m/>
    <m/>
    <m/>
    <m/>
    <m/>
  </r>
  <r>
    <d v="2024-06-01T00:00:00"/>
    <d v="2024-06-20T00:00:00"/>
    <s v="الخميس "/>
    <s v="شركة الهدى "/>
    <s v="طه سعيد "/>
    <s v="لحام  تسريب الاحبار "/>
    <s v="تم العمل"/>
    <d v="1899-12-30T00:00:00"/>
    <d v="1899-12-30T16:00:00"/>
    <n v="0.66666666666666663"/>
    <s v="المخزن القديم "/>
    <n v="5"/>
    <m/>
    <m/>
    <x v="6"/>
    <n v="5"/>
    <m/>
    <m/>
    <m/>
    <m/>
    <m/>
    <m/>
    <m/>
    <m/>
    <m/>
    <m/>
  </r>
  <r>
    <d v="2024-06-01T00:00:00"/>
    <d v="2024-06-21T00:00:00"/>
    <s v="الجمعة "/>
    <s v="شركة الهدى "/>
    <s v="طه سعيد "/>
    <s v="لحام  تسريب الاحبار "/>
    <s v="تم العمل"/>
    <d v="1899-12-30T16:00:00"/>
    <d v="1899-12-30T17:00:00"/>
    <n v="4.1666666666666741E-2"/>
    <s v="المخزن القديم "/>
    <n v="1.0000000000000018"/>
    <m/>
    <m/>
    <x v="6"/>
    <n v="5"/>
    <m/>
    <m/>
    <m/>
    <m/>
    <m/>
    <m/>
    <m/>
    <m/>
    <m/>
    <m/>
  </r>
  <r>
    <d v="2024-06-01T00:00:00"/>
    <d v="2024-06-22T00:00:00"/>
    <s v="السبت "/>
    <s v="الورشة الهندسية للخراطة"/>
    <s v="فارس خليل "/>
    <s v="تركيب سلم الطوارىء "/>
    <s v="تم العمل"/>
    <d v="1899-12-30T11:00:00"/>
    <d v="1899-12-30T15:00:00"/>
    <n v="0.16666666666666669"/>
    <s v="المخزن الجديد "/>
    <n v="4"/>
    <m/>
    <m/>
    <x v="6"/>
    <n v="5"/>
    <m/>
    <m/>
    <m/>
    <m/>
    <m/>
    <m/>
    <m/>
    <m/>
    <m/>
    <m/>
  </r>
  <r>
    <d v="2024-06-01T00:00:00"/>
    <d v="2024-06-22T00:00:00"/>
    <s v="السبت "/>
    <s v="شركة الهدى "/>
    <s v="فتحى طه سعيد "/>
    <s v="لحام  تسريب الاحبار "/>
    <s v="تم العمل"/>
    <d v="1899-12-30T11:00:00"/>
    <d v="1899-12-30T17:30:00"/>
    <n v="0.27083333333333331"/>
    <s v="المخزن القديم "/>
    <n v="6.5"/>
    <m/>
    <m/>
    <x v="9"/>
    <n v="5"/>
    <m/>
    <m/>
    <m/>
    <m/>
    <m/>
    <m/>
    <m/>
    <m/>
    <m/>
    <m/>
  </r>
  <r>
    <d v="2024-06-01T00:00:00"/>
    <d v="2024-06-23T00:00:00"/>
    <s v="الاحد "/>
    <s v="شركة نات جاز "/>
    <s v="احمد عبد الناصر "/>
    <s v="فك العداد للصيانة ومعايرة   "/>
    <s v="تم العمل"/>
    <d v="1899-12-30T12:30:00"/>
    <d v="1899-12-30T13:00:00"/>
    <n v="2.0833333333333259E-2"/>
    <s v="المطابع "/>
    <n v="0.49999999999999822"/>
    <m/>
    <m/>
    <x v="0"/>
    <n v="5"/>
    <s v=" "/>
    <m/>
    <m/>
    <m/>
    <m/>
    <m/>
    <m/>
    <m/>
    <m/>
    <m/>
  </r>
  <r>
    <d v="2024-06-01T00:00:00"/>
    <d v="2024-06-23T00:00:00"/>
    <s v="الاحد "/>
    <s v="الورشة الهندسية للخراطة"/>
    <s v="فارس خليل "/>
    <s v="اعمال حدادة  "/>
    <s v="تم العمل"/>
    <d v="1899-12-30T10:00:00"/>
    <d v="1899-12-30T16:00:00"/>
    <n v="0.24999999999999994"/>
    <s v="المخزن الجديد "/>
    <n v="5.9999999999999982"/>
    <m/>
    <m/>
    <x v="2"/>
    <n v="5"/>
    <m/>
    <m/>
    <m/>
    <m/>
    <m/>
    <m/>
    <m/>
    <m/>
    <m/>
    <m/>
  </r>
  <r>
    <d v="2024-06-01T00:00:00"/>
    <d v="2024-06-23T00:00:00"/>
    <s v="الاحد "/>
    <s v="شركة الهدى "/>
    <s v="طه سعيد "/>
    <s v="لحام  تسريب الاحبار "/>
    <s v="تم العمل"/>
    <d v="1899-12-30T11:00:00"/>
    <d v="1899-12-30T13:00:00"/>
    <n v="8.3333333333333315E-2"/>
    <s v="المخزن القديم "/>
    <n v="1.9999999999999996"/>
    <m/>
    <m/>
    <x v="6"/>
    <n v="5"/>
    <m/>
    <m/>
    <m/>
    <m/>
    <m/>
    <m/>
    <m/>
    <m/>
    <m/>
    <m/>
  </r>
  <r>
    <d v="2024-06-01T00:00:00"/>
    <d v="2024-06-23T00:00:00"/>
    <s v="الاحد "/>
    <s v="شركة الفرج"/>
    <s v="حمادة شعبان"/>
    <s v="تركيب فراشة بالشارع  "/>
    <s v="تم العمل"/>
    <d v="1899-12-30T11:00:00"/>
    <d v="1899-12-30T17:00:00"/>
    <n v="0.25000000000000006"/>
    <s v="المخزن القديم "/>
    <n v="6"/>
    <m/>
    <m/>
    <x v="6"/>
    <n v="5"/>
    <m/>
    <m/>
    <m/>
    <m/>
    <m/>
    <m/>
    <m/>
    <m/>
    <m/>
    <m/>
  </r>
  <r>
    <d v="2024-06-01T00:00:00"/>
    <d v="2024-06-24T00:00:00"/>
    <s v="الاثنين "/>
    <s v="القطاع الهندسى "/>
    <s v="صابر ابلراهيم "/>
    <s v="لحامات السلم   "/>
    <s v="تم العمل"/>
    <d v="1899-12-30T14:00:00"/>
    <d v="1899-12-30T15:00:00"/>
    <n v="4.166666666666663E-2"/>
    <s v="المخزن الجديد "/>
    <n v="0.99999999999999911"/>
    <m/>
    <m/>
    <x v="1"/>
    <n v="5"/>
    <m/>
    <m/>
    <m/>
    <m/>
    <m/>
    <m/>
    <m/>
    <m/>
    <m/>
    <m/>
  </r>
  <r>
    <d v="2024-06-01T00:00:00"/>
    <d v="2024-06-24T00:00:00"/>
    <s v="الاثنين "/>
    <s v="الشؤون الادارية "/>
    <s v="احمد سعيد  "/>
    <s v="تركيب خزانات الحريق "/>
    <s v="تم العمل"/>
    <d v="1899-12-30T11:00:00"/>
    <d v="1899-12-30T17:00:00"/>
    <n v="0.25000000000000006"/>
    <s v="المخزن القديم "/>
    <n v="3"/>
    <m/>
    <m/>
    <x v="6"/>
    <n v="5"/>
    <m/>
    <m/>
    <m/>
    <m/>
    <m/>
    <m/>
    <m/>
    <m/>
    <m/>
    <m/>
  </r>
  <r>
    <d v="2024-06-01T00:00:00"/>
    <d v="2024-06-24T00:00:00"/>
    <s v="الاثنين "/>
    <s v="الشركة الالمانية "/>
    <s v="سامح الامير"/>
    <s v="رش وتعقيم سكن الامن  "/>
    <s v="تم العمل"/>
    <d v="1899-12-30T17:30:00"/>
    <d v="1899-12-30T18:30:00"/>
    <n v="4.1666666666666741E-2"/>
    <s v="المخزن القديم "/>
    <n v="1.0000000000000018"/>
    <m/>
    <m/>
    <x v="6"/>
    <n v="5"/>
    <m/>
    <m/>
    <m/>
    <m/>
    <m/>
    <m/>
    <m/>
    <m/>
    <m/>
    <m/>
  </r>
  <r>
    <d v="2024-06-01T00:00:00"/>
    <d v="2024-06-24T00:00:00"/>
    <s v="الاثنين "/>
    <s v="الورشة الهندسية للخراطة"/>
    <s v="فارس خليل "/>
    <s v="اعمال حدادة  "/>
    <s v="تم العمل"/>
    <d v="1899-12-30T10:00:00"/>
    <d v="1899-12-30T16:00:00"/>
    <n v="0.24999999999999994"/>
    <s v="المخزن الجديد "/>
    <n v="5.9999999999999982"/>
    <m/>
    <m/>
    <x v="2"/>
    <n v="5"/>
    <m/>
    <m/>
    <m/>
    <m/>
    <m/>
    <m/>
    <m/>
    <m/>
    <m/>
    <m/>
  </r>
  <r>
    <d v="2024-06-01T00:00:00"/>
    <d v="2024-06-24T00:00:00"/>
    <s v="الاثنين "/>
    <s v="شركة شلاندر "/>
    <s v="احمد السيد  "/>
    <s v="تركيب مصاعد البضائع "/>
    <s v="تم العمل"/>
    <d v="1899-12-30T10:00:00"/>
    <d v="1899-12-30T16:00:00"/>
    <n v="0.24999999999999994"/>
    <s v="المخزن الجديد "/>
    <n v="5.9999999999999982"/>
    <m/>
    <m/>
    <x v="2"/>
    <n v="5"/>
    <m/>
    <m/>
    <m/>
    <m/>
    <m/>
    <m/>
    <m/>
    <m/>
    <m/>
    <m/>
  </r>
  <r>
    <d v="2024-06-01T00:00:00"/>
    <d v="2024-06-24T00:00:00"/>
    <s v="الاثنين "/>
    <s v="شركة فودافون "/>
    <s v="محمد سمير "/>
    <s v="صيانة دورية   "/>
    <s v="تم العمل"/>
    <d v="1899-12-30T15:00:00"/>
    <d v="1899-12-30T17:30:00"/>
    <n v="0.10416666666666663"/>
    <s v="البرج"/>
    <n v="2.4999999999999991"/>
    <m/>
    <m/>
    <x v="3"/>
    <n v="5"/>
    <m/>
    <m/>
    <m/>
    <m/>
    <m/>
    <m/>
    <m/>
    <m/>
    <m/>
    <m/>
  </r>
  <r>
    <d v="2024-06-01T00:00:00"/>
    <d v="2024-06-24T00:00:00"/>
    <s v="الاثنين "/>
    <s v="شركة الفرج"/>
    <s v="حمادة شعبان"/>
    <s v="تركيب فراشة بالشارع  "/>
    <s v="تم العمل"/>
    <d v="1899-12-30T00:30:00"/>
    <d v="1899-12-30T20:00:00"/>
    <n v="0.8125"/>
    <s v="المخزن القديم "/>
    <n v="6"/>
    <m/>
    <m/>
    <x v="6"/>
    <n v="5"/>
    <m/>
    <m/>
    <m/>
    <m/>
    <m/>
    <m/>
    <m/>
    <m/>
    <m/>
    <m/>
  </r>
  <r>
    <d v="2024-06-01T00:00:00"/>
    <d v="2024-06-24T00:00:00"/>
    <s v="الاثنين "/>
    <s v="شركة الكريم "/>
    <s v="حامد ابو المحاميد  "/>
    <s v="المرور الدورى على المعدات  "/>
    <s v="تم العمل"/>
    <d v="1899-12-30T11:00:00"/>
    <d v="1899-12-30T15:00:00"/>
    <n v="0.16666666666666669"/>
    <s v="المخزن القديم "/>
    <n v="4"/>
    <m/>
    <m/>
    <x v="6"/>
    <n v="5"/>
    <m/>
    <m/>
    <m/>
    <m/>
    <m/>
    <m/>
    <m/>
    <m/>
    <m/>
    <m/>
  </r>
  <r>
    <d v="2024-06-01T00:00:00"/>
    <d v="2024-06-24T00:00:00"/>
    <s v="الاثنين "/>
    <s v="الشؤون الادارية "/>
    <s v="مجدى كرم   "/>
    <s v="اصلاح وصيانة عربيات النقل "/>
    <s v="تم العمل"/>
    <d v="1899-12-30T12:30:00"/>
    <d v="1899-12-30T15:00:00"/>
    <n v="0.10416666666666663"/>
    <s v="الفجالة"/>
    <n v="2.4999999999999991"/>
    <m/>
    <m/>
    <x v="11"/>
    <n v="4"/>
    <s v="نافص توقيعات "/>
    <m/>
    <m/>
    <m/>
    <m/>
    <m/>
    <m/>
    <m/>
    <m/>
    <m/>
  </r>
  <r>
    <d v="2024-06-01T00:00:00"/>
    <d v="2024-06-25T00:00:00"/>
    <s v="الثلاثاء "/>
    <s v="الشؤون الادارية "/>
    <s v="محمد النقيب "/>
    <s v="صيانةالكهرباء بالمعرض  "/>
    <s v="تم العمل"/>
    <d v="1899-12-30T10:00:00"/>
    <d v="1899-12-30T14:00:00"/>
    <n v="0.16666666666666669"/>
    <s v="المطابع "/>
    <n v="4"/>
    <m/>
    <m/>
    <x v="9"/>
    <n v="5"/>
    <m/>
    <m/>
    <m/>
    <m/>
    <m/>
    <m/>
    <m/>
    <m/>
    <m/>
    <m/>
  </r>
  <r>
    <d v="2024-06-01T00:00:00"/>
    <d v="2024-06-25T00:00:00"/>
    <s v="الثلاثاء "/>
    <s v="الشؤون الادارية "/>
    <s v="علاء احمد "/>
    <s v="صيانةالتكيف بالمعرض  "/>
    <s v="تم العمل"/>
    <d v="1899-12-30T11:00:00"/>
    <d v="1899-12-30T13:00:00"/>
    <n v="8.3333333333333315E-2"/>
    <s v="المطابع "/>
    <n v="1.9999999999999996"/>
    <m/>
    <m/>
    <x v="9"/>
    <n v="5"/>
    <m/>
    <m/>
    <m/>
    <m/>
    <m/>
    <m/>
    <m/>
    <m/>
    <m/>
    <m/>
  </r>
  <r>
    <d v="2024-06-01T00:00:00"/>
    <d v="2024-06-25T00:00:00"/>
    <s v="الثلاثاء "/>
    <s v="شركة الفرج"/>
    <s v="حمادة شعبان"/>
    <s v="تركيب فراشة بالشارع  "/>
    <s v="تم العمل"/>
    <d v="1899-12-30T11:30:00"/>
    <d v="1899-12-30T17:00:00"/>
    <n v="0.22916666666666669"/>
    <s v="المخزن القديم "/>
    <m/>
    <m/>
    <m/>
    <x v="6"/>
    <n v="5"/>
    <m/>
    <m/>
    <m/>
    <m/>
    <m/>
    <m/>
    <m/>
    <m/>
    <m/>
    <m/>
  </r>
  <r>
    <d v="2024-06-01T00:00:00"/>
    <d v="2024-06-25T00:00:00"/>
    <s v="الثلاثاء "/>
    <s v="الشؤون الادارية "/>
    <s v="احمد سعيد  "/>
    <s v="تركيب خزانات الحريق "/>
    <s v="تم العمل"/>
    <d v="1899-12-30T11:00:00"/>
    <d v="1899-12-30T17:00:00"/>
    <n v="0.25000000000000006"/>
    <s v="المخزن القديم "/>
    <n v="3"/>
    <m/>
    <m/>
    <x v="6"/>
    <n v="5"/>
    <m/>
    <m/>
    <m/>
    <m/>
    <m/>
    <m/>
    <m/>
    <m/>
    <m/>
    <m/>
  </r>
  <r>
    <d v="2024-06-01T00:00:00"/>
    <d v="2024-06-25T00:00:00"/>
    <s v="الثلاثاء "/>
    <s v="شركة شلاندر "/>
    <s v="احمد السيد  "/>
    <s v="تركيب مصاعد البضائع "/>
    <s v="تم العمل"/>
    <d v="1899-12-30T10:00:00"/>
    <d v="1899-12-30T17:00:00"/>
    <n v="0.29166666666666669"/>
    <s v="المخزن الجديد "/>
    <n v="7"/>
    <m/>
    <m/>
    <x v="2"/>
    <n v="5"/>
    <m/>
    <m/>
    <m/>
    <m/>
    <m/>
    <m/>
    <m/>
    <m/>
    <m/>
    <m/>
  </r>
  <r>
    <d v="2024-06-01T00:00:00"/>
    <d v="2024-06-25T00:00:00"/>
    <s v="الثلاثاء "/>
    <s v="الشؤون الادارية "/>
    <s v="مجدى كرم   "/>
    <s v="عمل صيانة للتكيفات بالمكتبة "/>
    <s v="تم العمل"/>
    <d v="1899-12-30T15:30:00"/>
    <d v="1899-12-30T17:00:00"/>
    <n v="6.25E-2"/>
    <s v="الفجالة"/>
    <n v="1.5"/>
    <m/>
    <m/>
    <x v="11"/>
    <n v="4"/>
    <s v="نافص توقيعات "/>
    <m/>
    <m/>
    <m/>
    <m/>
    <m/>
    <m/>
    <m/>
    <m/>
    <m/>
  </r>
  <r>
    <d v="2024-06-01T00:00:00"/>
    <d v="2024-06-25T00:00:00"/>
    <s v="الثلاثاء "/>
    <s v="الشؤون الادارية "/>
    <s v="مجدى كرم   "/>
    <s v="دهانات بالمخزن المدرسى  "/>
    <s v="تم العمل"/>
    <d v="1899-12-30T10:00:00"/>
    <d v="1899-12-30T17:30:00"/>
    <n v="0.31249999999999994"/>
    <s v="الفجالة"/>
    <n v="7.4999999999999982"/>
    <m/>
    <m/>
    <x v="11"/>
    <n v="3"/>
    <s v="نافص توقيعات وعدم غلق التصريح "/>
    <m/>
    <m/>
    <m/>
    <m/>
    <m/>
    <m/>
    <m/>
    <m/>
    <m/>
  </r>
  <r>
    <d v="2024-06-01T00:00:00"/>
    <d v="2024-06-26T00:00:00"/>
    <s v="الاربعاء "/>
    <s v="شركة شلاندر "/>
    <s v="محمد عادل  "/>
    <s v="صيانة الاسانسير"/>
    <s v="تم العمل"/>
    <d v="1899-12-30T11:00:00"/>
    <d v="1899-12-30T12:00:00"/>
    <n v="4.1666666666666685E-2"/>
    <s v="المخزن الجديد "/>
    <n v="1.0000000000000004"/>
    <m/>
    <m/>
    <x v="1"/>
    <n v="5"/>
    <m/>
    <m/>
    <m/>
    <m/>
    <m/>
    <m/>
    <m/>
    <m/>
    <m/>
    <m/>
  </r>
  <r>
    <d v="2024-06-01T00:00:00"/>
    <d v="2024-06-26T00:00:00"/>
    <s v="الاربعاء "/>
    <s v="شركة الفرج"/>
    <s v="حمادة شعبان"/>
    <s v="تركيب فراشة بالشارع  "/>
    <s v="تم العمل"/>
    <d v="1899-12-30T11:30:00"/>
    <d v="1899-12-30T18:30:00"/>
    <n v="0.29166666666666669"/>
    <s v="المخزن القديم "/>
    <n v="6"/>
    <m/>
    <m/>
    <x v="6"/>
    <n v="5"/>
    <m/>
    <m/>
    <m/>
    <m/>
    <m/>
    <m/>
    <m/>
    <m/>
    <m/>
    <m/>
  </r>
  <r>
    <d v="2024-06-01T00:00:00"/>
    <d v="2024-06-26T00:00:00"/>
    <s v="الاربعاء "/>
    <s v="الشؤون الادارية "/>
    <s v="مجدى كرم   "/>
    <s v="دهانات بالمخزن المدرسى  "/>
    <s v="تم العمل"/>
    <d v="1899-12-30T12:30:00"/>
    <d v="1899-12-30T15:00:00"/>
    <n v="0.10416666666666663"/>
    <s v="الفجالة"/>
    <n v="2.4999999999999991"/>
    <m/>
    <m/>
    <x v="11"/>
    <n v="4"/>
    <s v="نافص توقيعات "/>
    <m/>
    <m/>
    <m/>
    <m/>
    <m/>
    <m/>
    <m/>
    <m/>
    <m/>
  </r>
  <r>
    <d v="2024-06-01T00:00:00"/>
    <d v="2024-06-27T00:00:00"/>
    <s v="الخميس "/>
    <s v="شركة نات جاز "/>
    <s v="احمد عبد الناصر "/>
    <s v="تركيب عداد الغاز "/>
    <s v="تم العمل"/>
    <d v="1899-12-30T12:30:00"/>
    <d v="1899-12-30T13:00:00"/>
    <n v="2.0833333333333259E-2"/>
    <s v="المطابع "/>
    <n v="0.49999999999999822"/>
    <m/>
    <m/>
    <x v="5"/>
    <n v="5"/>
    <s v=" "/>
    <m/>
    <m/>
    <m/>
    <m/>
    <m/>
    <m/>
    <m/>
    <m/>
    <m/>
  </r>
  <r>
    <d v="2024-06-01T00:00:00"/>
    <d v="2024-06-27T00:00:00"/>
    <s v="الخميس "/>
    <s v="الشؤون الادارية "/>
    <s v="احمد سعيد  "/>
    <s v="تركيب خزانات الحريق "/>
    <s v="تم العمل"/>
    <d v="1899-12-30T10:00:00"/>
    <d v="1899-12-30T17:00:00"/>
    <n v="0.29166666666666669"/>
    <s v="المخزن القديم "/>
    <n v="3"/>
    <m/>
    <m/>
    <x v="6"/>
    <n v="5"/>
    <m/>
    <m/>
    <m/>
    <m/>
    <m/>
    <m/>
    <m/>
    <m/>
    <m/>
    <m/>
  </r>
  <r>
    <d v="2024-06-01T00:00:00"/>
    <d v="2024-06-27T00:00:00"/>
    <s v="الخميس "/>
    <s v="لفت ايجبت "/>
    <s v="سامى شعبان  "/>
    <s v="صيانة الكلاركات "/>
    <s v="تم العمل"/>
    <d v="1899-12-30T10:00:00"/>
    <d v="1899-12-30T16:00:00"/>
    <n v="0.24999999999999994"/>
    <s v="المخزن القديم "/>
    <n v="5.9999999999999982"/>
    <m/>
    <m/>
    <x v="6"/>
    <n v="5"/>
    <m/>
    <m/>
    <m/>
    <m/>
    <m/>
    <m/>
    <m/>
    <m/>
    <m/>
    <m/>
  </r>
  <r>
    <d v="2024-06-01T00:00:00"/>
    <d v="2024-06-27T00:00:00"/>
    <s v="الخميس "/>
    <s v="شركة اوزوريون "/>
    <s v="فارس خليل "/>
    <s v="تركيب سلم الطوارىء "/>
    <s v="تم العمل"/>
    <d v="1899-12-30T10:30:00"/>
    <d v="1899-12-30T12:00:00"/>
    <n v="6.25E-2"/>
    <s v="المخزن القديم "/>
    <n v="1.5"/>
    <m/>
    <m/>
    <x v="6"/>
    <n v="5"/>
    <m/>
    <m/>
    <m/>
    <m/>
    <m/>
    <m/>
    <m/>
    <m/>
    <m/>
    <m/>
  </r>
  <r>
    <d v="2024-06-01T00:00:00"/>
    <d v="2024-06-27T00:00:00"/>
    <s v="الخميس "/>
    <s v="شركة الفرج"/>
    <s v="حمادة شعبان"/>
    <s v="تركيب فراشة بالشارع  "/>
    <s v="تم العمل"/>
    <d v="1899-12-30T13:00:00"/>
    <d v="1899-12-30T20:30:00"/>
    <n v="0.3125"/>
    <s v="المخزن القديم "/>
    <n v="6"/>
    <m/>
    <m/>
    <x v="6"/>
    <n v="5"/>
    <m/>
    <m/>
    <m/>
    <m/>
    <m/>
    <m/>
    <m/>
    <m/>
    <m/>
    <m/>
  </r>
  <r>
    <d v="2024-06-01T00:00:00"/>
    <d v="2024-06-27T00:00:00"/>
    <s v="الخميس "/>
    <s v="الشؤون الادارية "/>
    <s v="مجدى كرم   "/>
    <s v="دهانات بالمخزن المدرسى  "/>
    <s v="تم العمل"/>
    <d v="1899-12-30T10:00:00"/>
    <d v="1899-12-30T19:00:00"/>
    <n v="0.37499999999999994"/>
    <s v="الفجالة"/>
    <n v="8.9999999999999982"/>
    <m/>
    <m/>
    <x v="11"/>
    <n v="3"/>
    <s v="نافص توقيعات وعدم غلق التصريح "/>
    <m/>
    <m/>
    <m/>
    <m/>
    <m/>
    <m/>
    <m/>
    <m/>
    <m/>
  </r>
  <r>
    <d v="2024-06-01T00:00:00"/>
    <d v="2024-06-28T00:00:00"/>
    <s v="الجمعة "/>
    <s v="الشؤون الادارية "/>
    <s v="مجدى كرم   "/>
    <s v="دهانات بالمخزن المدرسى  "/>
    <s v="تم العمل"/>
    <d v="1899-12-30T10:00:00"/>
    <d v="1899-12-30T17:00:00"/>
    <n v="0.29166666666666669"/>
    <s v="الفجالة"/>
    <n v="7"/>
    <m/>
    <m/>
    <x v="11"/>
    <n v="5"/>
    <m/>
    <m/>
    <m/>
    <m/>
    <m/>
    <m/>
    <m/>
    <m/>
    <m/>
    <m/>
  </r>
  <r>
    <d v="2024-06-01T00:00:00"/>
    <d v="2024-06-29T00:00:00"/>
    <s v="السبت "/>
    <s v="KUC  شركة "/>
    <s v="محمد رفعت  "/>
    <s v="تركيبات "/>
    <s v="تم العمل"/>
    <d v="1899-12-30T10:30:00"/>
    <d v="1899-12-30T18:00:00"/>
    <n v="0.3125"/>
    <s v="البرج"/>
    <n v="7.5"/>
    <m/>
    <m/>
    <x v="3"/>
    <n v="5"/>
    <m/>
    <m/>
    <m/>
    <m/>
    <m/>
    <m/>
    <m/>
    <m/>
    <m/>
    <m/>
  </r>
  <r>
    <d v="2024-06-01T00:00:00"/>
    <d v="2024-06-29T00:00:00"/>
    <s v="السبت "/>
    <s v="المصرية للاسكان "/>
    <s v="علاء احمد "/>
    <s v="صيانة التكيف "/>
    <s v="تم العمل"/>
    <d v="1899-12-30T21:00:00"/>
    <d v="1899-12-30T23:00:00"/>
    <n v="8.333333333333337E-2"/>
    <s v="البرج"/>
    <n v="2.0000000000000009"/>
    <m/>
    <m/>
    <x v="3"/>
    <n v="5"/>
    <m/>
    <m/>
    <m/>
    <m/>
    <m/>
    <m/>
    <m/>
    <m/>
    <m/>
    <m/>
  </r>
  <r>
    <d v="2024-06-01T00:00:00"/>
    <d v="2024-06-29T00:00:00"/>
    <s v="السبت "/>
    <s v="الشؤون الادارية "/>
    <s v="مجدى كرم   "/>
    <s v="دهانات بالمخزن المدرسى  "/>
    <s v="تم العمل"/>
    <d v="1899-12-30T10:00:00"/>
    <d v="1899-12-30T17:00:00"/>
    <n v="0.29166666666666669"/>
    <s v="الفجالة"/>
    <n v="7"/>
    <m/>
    <m/>
    <x v="11"/>
    <n v="5"/>
    <m/>
    <m/>
    <m/>
    <m/>
    <m/>
    <m/>
    <m/>
    <m/>
    <m/>
    <m/>
  </r>
  <r>
    <d v="2024-06-01T00:00:00"/>
    <d v="2024-06-30T00:00:00"/>
    <s v="الاحد "/>
    <s v="القطاع الهندسى "/>
    <s v="حسن عبد العظيم "/>
    <s v="توصيل فرع نور للفراشة "/>
    <s v="تم العمل"/>
    <d v="1899-12-30T11:00:00"/>
    <d v="1899-12-30T12:00:00"/>
    <n v="4.1666666666666685E-2"/>
    <s v="المخزن القديم "/>
    <n v="1.0000000000000004"/>
    <m/>
    <m/>
    <x v="6"/>
    <n v="5"/>
    <m/>
    <m/>
    <m/>
    <m/>
    <m/>
    <m/>
    <m/>
    <m/>
    <m/>
    <m/>
  </r>
  <r>
    <d v="2024-06-01T00:00:00"/>
    <d v="2024-06-30T00:00:00"/>
    <s v="الاحد "/>
    <s v="القطاع الهندسى "/>
    <s v="صابر ابراهيم "/>
    <s v="تركيب باب حديد"/>
    <s v="تم العمل"/>
    <d v="1899-12-30T12:30:00"/>
    <d v="1899-12-30T15:00:00"/>
    <n v="0.10416666666666663"/>
    <s v="المخزن القديم "/>
    <n v="2.4999999999999991"/>
    <m/>
    <m/>
    <x v="6"/>
    <n v="5"/>
    <m/>
    <m/>
    <m/>
    <m/>
    <m/>
    <m/>
    <m/>
    <m/>
    <m/>
    <m/>
  </r>
  <r>
    <d v="2024-07-01T00:00:00"/>
    <d v="2024-07-01T00:00:00"/>
    <s v="الاثنين "/>
    <s v="الشؤون الادارية "/>
    <s v="محمد النقيب "/>
    <s v="صيانة كشافات الشوارع "/>
    <s v="تم العمل"/>
    <d v="1899-12-30T14:30:00"/>
    <d v="1899-12-30T16:00:00"/>
    <n v="6.25E-2"/>
    <s v="المخزن القديم "/>
    <n v="3"/>
    <m/>
    <m/>
    <x v="6"/>
    <n v="5"/>
    <m/>
    <m/>
    <m/>
    <m/>
    <m/>
    <m/>
    <m/>
    <m/>
    <m/>
    <m/>
  </r>
  <r>
    <d v="2024-07-01T00:00:00"/>
    <d v="2024-07-01T00:00:00"/>
    <s v="الاثنين "/>
    <s v="شركة الدروى "/>
    <s v="محمودالدروى    "/>
    <s v="صيانة كولدير المياه "/>
    <s v="تم العمل"/>
    <d v="1899-12-30T14:30:00"/>
    <d v="1899-12-30T15:00:00"/>
    <n v="2.083333333333337E-2"/>
    <s v="المخزن القديم "/>
    <n v="0.50000000000000089"/>
    <m/>
    <m/>
    <x v="6"/>
    <n v="5"/>
    <m/>
    <m/>
    <m/>
    <m/>
    <m/>
    <m/>
    <m/>
    <m/>
    <m/>
    <m/>
  </r>
  <r>
    <d v="2024-07-01T00:00:00"/>
    <d v="2024-07-01T00:00:00"/>
    <s v="الاثنين "/>
    <s v="الورشة الهندسية للخراطة"/>
    <s v="فارس خليل "/>
    <s v="تركيب سلم الطوارىء "/>
    <s v="تم العمل"/>
    <d v="1899-12-30T10:00:00"/>
    <d v="1899-12-30T14:00:00"/>
    <n v="0.16666666666666669"/>
    <s v="المخزن الجديد "/>
    <n v="4"/>
    <m/>
    <m/>
    <x v="4"/>
    <n v="5"/>
    <m/>
    <m/>
    <m/>
    <m/>
    <m/>
    <m/>
    <m/>
    <m/>
    <m/>
    <m/>
  </r>
  <r>
    <d v="2024-07-01T00:00:00"/>
    <d v="2024-07-01T00:00:00"/>
    <s v="الاثنين "/>
    <s v="الشركة الالمانية "/>
    <s v="محمد ماهر "/>
    <s v="مكافحة الافات "/>
    <s v="تم العمل"/>
    <d v="1899-12-30T10:00:00"/>
    <d v="1899-12-30T14:00:00"/>
    <n v="0.16666666666666669"/>
    <s v="المطابع "/>
    <n v="4"/>
    <m/>
    <m/>
    <x v="10"/>
    <n v="5"/>
    <m/>
    <m/>
    <m/>
    <m/>
    <m/>
    <m/>
    <m/>
    <m/>
    <m/>
    <m/>
  </r>
  <r>
    <d v="2024-07-01T00:00:00"/>
    <d v="2024-07-01T00:00:00"/>
    <s v="الاثنين "/>
    <s v="الشؤون الادارية "/>
    <s v="مجدى كرم   "/>
    <s v="دهانات بالمخزن المدرسى  "/>
    <s v="تم العمل"/>
    <d v="1899-12-30T10:00:00"/>
    <d v="1899-12-30T18:00:00"/>
    <n v="0.33333333333333331"/>
    <s v="الفجالة"/>
    <n v="7"/>
    <m/>
    <m/>
    <x v="11"/>
    <n v="5"/>
    <m/>
    <m/>
    <m/>
    <m/>
    <m/>
    <m/>
    <m/>
    <m/>
    <m/>
    <m/>
  </r>
  <r>
    <d v="2024-07-01T00:00:00"/>
    <d v="2024-07-01T00:00:00"/>
    <s v="الاثنين "/>
    <s v="شركة سكوير "/>
    <s v="احمد سعيد  "/>
    <s v="تركيب بوابة صغيرةبمكتب الامن "/>
    <s v="تم العمل"/>
    <d v="1899-12-30T14:00:00"/>
    <d v="1899-12-30T16:30:00"/>
    <n v="0.10416666666666663"/>
    <s v="المخزن الجديد "/>
    <n v="2.4999999999999991"/>
    <m/>
    <m/>
    <x v="4"/>
    <n v="3"/>
    <s v="عدم عمل التصريح فى الوقت المناسب  "/>
    <m/>
    <m/>
    <m/>
    <m/>
    <m/>
    <m/>
    <m/>
    <m/>
    <m/>
  </r>
  <r>
    <d v="2024-07-01T00:00:00"/>
    <d v="2024-07-01T00:00:00"/>
    <s v="الاثنين "/>
    <s v="الشؤون الادارية "/>
    <s v="احمد سعيد  "/>
    <s v="تركيب خزانات الحريق "/>
    <s v="تم العمل"/>
    <d v="1899-12-30T15:00:00"/>
    <d v="1899-12-30T17:00:00"/>
    <n v="8.333333333333337E-2"/>
    <s v="المخزن القديم "/>
    <n v="3"/>
    <m/>
    <m/>
    <x v="6"/>
    <n v="5"/>
    <m/>
    <m/>
    <m/>
    <m/>
    <m/>
    <m/>
    <m/>
    <m/>
    <m/>
    <m/>
  </r>
  <r>
    <d v="2024-07-01T00:00:00"/>
    <d v="2024-07-01T00:00:00"/>
    <s v="الاثنين "/>
    <s v="القطاع الهندسى "/>
    <s v="صابر ابراهيم "/>
    <s v="لحام "/>
    <s v="تم العمل"/>
    <d v="1899-12-30T15:00:00"/>
    <d v="1899-12-30T15:30:00"/>
    <n v="2.083333333333337E-2"/>
    <s v="المطابع "/>
    <n v="0.50000000000000089"/>
    <m/>
    <m/>
    <x v="10"/>
    <n v="5"/>
    <m/>
    <m/>
    <m/>
    <m/>
    <m/>
    <m/>
    <m/>
    <m/>
    <m/>
    <m/>
  </r>
  <r>
    <d v="2024-07-01T00:00:00"/>
    <d v="2024-07-02T00:00:00"/>
    <s v="الثلاثاء "/>
    <s v="الورشة الهندسية للخراطة"/>
    <s v="فارس خليل "/>
    <s v="دهانات سلم الطوارىء "/>
    <s v="تم العمل"/>
    <d v="1899-12-30T10:00:00"/>
    <d v="1899-12-30T17:00:00"/>
    <n v="0.29166666666666669"/>
    <s v="المخزن الجديد "/>
    <n v="7"/>
    <m/>
    <m/>
    <x v="2"/>
    <n v="5"/>
    <m/>
    <m/>
    <m/>
    <m/>
    <m/>
    <m/>
    <m/>
    <m/>
    <m/>
    <m/>
  </r>
  <r>
    <d v="2024-07-01T00:00:00"/>
    <d v="2024-07-02T00:00:00"/>
    <s v="الثلاثاء "/>
    <s v="الشؤون الادارية "/>
    <s v="مجدى كرم   "/>
    <s v="دهانات بالمخزن المدرسى  "/>
    <s v="تم العمل"/>
    <d v="1899-12-30T10:00:00"/>
    <d v="1899-12-30T17:00:00"/>
    <n v="0.29166666666666669"/>
    <s v="الفجالة"/>
    <n v="7"/>
    <m/>
    <m/>
    <x v="11"/>
    <n v="5"/>
    <m/>
    <m/>
    <m/>
    <m/>
    <m/>
    <m/>
    <m/>
    <m/>
    <m/>
    <m/>
  </r>
  <r>
    <d v="2024-07-01T00:00:00"/>
    <d v="2024-07-02T00:00:00"/>
    <s v="الثلاثاء "/>
    <s v="شركة شلاندر "/>
    <s v="احمد السيد "/>
    <s v="تركيب الاسانسير"/>
    <s v="تم العمل"/>
    <d v="1899-12-30T10:00:00"/>
    <d v="1899-12-30T17:30:00"/>
    <n v="0.31249999999999994"/>
    <s v="المخزن الجديد "/>
    <n v="7.4999999999999982"/>
    <m/>
    <m/>
    <x v="2"/>
    <n v="5"/>
    <m/>
    <m/>
    <m/>
    <m/>
    <m/>
    <m/>
    <m/>
    <m/>
    <m/>
    <m/>
  </r>
  <r>
    <d v="2024-07-01T00:00:00"/>
    <d v="2024-07-02T00:00:00"/>
    <s v="الثلاثاء "/>
    <s v="الشركة الالمانية "/>
    <s v="محمود شعبان "/>
    <s v="مرور دورى على المصائدو مكافحة حشرات "/>
    <s v="تم العمل"/>
    <d v="1899-12-30T11:00:00"/>
    <d v="1899-12-30T14:30:00"/>
    <n v="0.14583333333333331"/>
    <s v="المطابع "/>
    <n v="3.4999999999999996"/>
    <m/>
    <m/>
    <x v="10"/>
    <n v="5"/>
    <m/>
    <m/>
    <m/>
    <m/>
    <m/>
    <m/>
    <m/>
    <m/>
    <m/>
    <m/>
  </r>
  <r>
    <d v="2024-07-01T00:00:00"/>
    <d v="2024-07-02T00:00:00"/>
    <s v="الثلاثاء "/>
    <s v="شركة الهدى "/>
    <s v="طه سعيد "/>
    <s v="لحام  تسريب الاحبار "/>
    <s v="تم العمل"/>
    <d v="1899-12-30T11:00:00"/>
    <d v="1899-12-30T17:00:00"/>
    <n v="0.25000000000000006"/>
    <s v="المطابع "/>
    <n v="6.0000000000000018"/>
    <m/>
    <m/>
    <x v="9"/>
    <n v="5"/>
    <m/>
    <m/>
    <m/>
    <m/>
    <m/>
    <m/>
    <m/>
    <m/>
    <m/>
    <m/>
  </r>
  <r>
    <d v="2024-07-01T00:00:00"/>
    <d v="2024-07-02T00:00:00"/>
    <s v="الثلاثاء "/>
    <s v="شركة الهدى "/>
    <s v="احمد سمير "/>
    <s v="صيانة ctB"/>
    <s v="تم العمل"/>
    <d v="1899-12-30T12:00:00"/>
    <d v="1899-12-30T16:00:00"/>
    <n v="0.16666666666666663"/>
    <s v="المطابع "/>
    <n v="3.9999999999999991"/>
    <m/>
    <m/>
    <x v="4"/>
    <n v="5"/>
    <m/>
    <m/>
    <m/>
    <m/>
    <m/>
    <m/>
    <m/>
    <m/>
    <m/>
    <m/>
  </r>
  <r>
    <d v="2024-07-01T00:00:00"/>
    <d v="2024-07-02T00:00:00"/>
    <s v="الثلاثاء "/>
    <s v="الشركة المصرية "/>
    <s v="علاء احمد "/>
    <s v="صيانةالتكيف فى غرفة السلفر "/>
    <s v="تم العمل"/>
    <d v="1899-12-30T14:00:00"/>
    <d v="1899-12-30T15:00:00"/>
    <n v="4.166666666666663E-2"/>
    <s v="البرج"/>
    <n v="0.99999999999999911"/>
    <m/>
    <m/>
    <x v="3"/>
    <n v="5"/>
    <m/>
    <m/>
    <m/>
    <m/>
    <m/>
    <m/>
    <m/>
    <m/>
    <m/>
    <m/>
  </r>
  <r>
    <d v="2024-07-01T00:00:00"/>
    <d v="2024-07-02T00:00:00"/>
    <s v="الثلاثاء "/>
    <s v="الشؤون الادارية "/>
    <s v="محمد النقيب "/>
    <s v="توصيل كهرباء للفراشة "/>
    <s v="تم العمل"/>
    <d v="1899-12-30T13:00:00"/>
    <d v="1899-12-30T16:30:00"/>
    <n v="0.14583333333333337"/>
    <s v="المخزن القديم "/>
    <n v="3"/>
    <m/>
    <m/>
    <x v="6"/>
    <n v="5"/>
    <m/>
    <m/>
    <m/>
    <m/>
    <m/>
    <m/>
    <m/>
    <m/>
    <m/>
    <m/>
  </r>
  <r>
    <d v="2024-07-01T00:00:00"/>
    <d v="2024-07-02T00:00:00"/>
    <s v="الثلاثاء "/>
    <s v="الشؤون الادارية "/>
    <s v="احمد سعيد  "/>
    <s v="تركيب خزانات الحريق "/>
    <s v="تم العمل"/>
    <d v="1899-12-30T10:00:00"/>
    <d v="1899-12-30T17:00:00"/>
    <n v="0.29166666666666669"/>
    <s v="المخزن القديم "/>
    <n v="3"/>
    <m/>
    <m/>
    <x v="6"/>
    <n v="5"/>
    <m/>
    <m/>
    <m/>
    <m/>
    <m/>
    <m/>
    <m/>
    <m/>
    <m/>
    <m/>
  </r>
  <r>
    <d v="2024-07-01T00:00:00"/>
    <d v="2024-07-03T00:00:00"/>
    <s v="الاربعاء "/>
    <s v="الشؤون الادارية "/>
    <s v="علاء احمد   "/>
    <s v="عمل صيانة للتكيفات "/>
    <s v="تم العمل"/>
    <d v="1899-12-30T09:00:00"/>
    <d v="1899-12-30T10:00:00"/>
    <n v="4.1666666666666685E-2"/>
    <s v="المطابع "/>
    <n v="1.0000000000000004"/>
    <m/>
    <m/>
    <x v="5"/>
    <n v="5"/>
    <m/>
    <m/>
    <m/>
    <m/>
    <m/>
    <m/>
    <m/>
    <m/>
    <m/>
    <m/>
  </r>
  <r>
    <d v="2024-07-01T00:00:00"/>
    <d v="2024-07-03T00:00:00"/>
    <s v="الاربعاء "/>
    <s v="القطاع الهندسى "/>
    <s v="احمد سلامة "/>
    <s v="لحام "/>
    <s v="تم العمل"/>
    <d v="1899-12-30T16:30:00"/>
    <d v="1899-12-30T17:00:00"/>
    <n v="2.083333333333337E-2"/>
    <s v="المطابع "/>
    <n v="0.50000000000000089"/>
    <m/>
    <m/>
    <x v="4"/>
    <n v="5"/>
    <m/>
    <m/>
    <m/>
    <m/>
    <m/>
    <m/>
    <m/>
    <m/>
    <m/>
    <m/>
  </r>
  <r>
    <d v="2024-07-01T00:00:00"/>
    <d v="2024-07-03T00:00:00"/>
    <s v="الاربعاء "/>
    <s v="لفت ايجبت "/>
    <s v="سامى شعبان  "/>
    <s v="صيانة الكلاركات "/>
    <s v="تم العمل"/>
    <d v="1899-12-30T10:00:00"/>
    <d v="1899-12-30T13:00:00"/>
    <n v="0.12499999999999994"/>
    <s v="المخزن القديم "/>
    <n v="2.9999999999999987"/>
    <m/>
    <m/>
    <x v="6"/>
    <n v="5"/>
    <m/>
    <m/>
    <m/>
    <m/>
    <m/>
    <m/>
    <m/>
    <m/>
    <m/>
    <m/>
  </r>
  <r>
    <d v="2024-07-01T00:00:00"/>
    <d v="2024-07-03T00:00:00"/>
    <s v="الاربعاء "/>
    <s v="لفت ايجبت "/>
    <s v="سامى شعبان  "/>
    <s v="صيانة الكلاركات "/>
    <s v="تم العمل"/>
    <d v="1899-12-30T14:00:00"/>
    <d v="1899-12-30T16:00:00"/>
    <n v="8.3333333333333259E-2"/>
    <s v="المخزن الجديد "/>
    <n v="1.9999999999999982"/>
    <m/>
    <m/>
    <x v="2"/>
    <n v="5"/>
    <m/>
    <m/>
    <m/>
    <m/>
    <m/>
    <m/>
    <m/>
    <m/>
    <m/>
    <m/>
  </r>
  <r>
    <d v="2024-07-01T00:00:00"/>
    <d v="2024-07-03T00:00:00"/>
    <s v="الاربعاء "/>
    <s v="الشؤون الادارية "/>
    <s v="احمد سعيد  "/>
    <s v="تركيب خزانات الحريق "/>
    <s v="تم العمل"/>
    <d v="1899-12-30T00:30:00"/>
    <d v="1899-12-30T17:00:00"/>
    <n v="0.6875"/>
    <s v="المخزن القديم "/>
    <n v="3"/>
    <m/>
    <m/>
    <x v="6"/>
    <n v="5"/>
    <m/>
    <m/>
    <m/>
    <m/>
    <m/>
    <m/>
    <m/>
    <m/>
    <m/>
    <m/>
  </r>
  <r>
    <d v="2024-07-01T00:00:00"/>
    <d v="2024-07-03T00:00:00"/>
    <s v="الاربعاء "/>
    <s v="الشؤون الادارية "/>
    <s v="مجدى كرم   "/>
    <s v="دهانات بالمخزن المدرسى  "/>
    <s v="تم العمل"/>
    <d v="1899-12-30T10:00:00"/>
    <d v="1899-12-30T13:00:00"/>
    <n v="0.12499999999999994"/>
    <s v="الفجالة"/>
    <n v="3.9999999999999991"/>
    <m/>
    <m/>
    <x v="11"/>
    <n v="3"/>
    <s v="نافص توقيعات وعدم غلق التصريح "/>
    <m/>
    <m/>
    <m/>
    <m/>
    <m/>
    <m/>
    <m/>
    <m/>
    <m/>
  </r>
  <r>
    <d v="2024-07-01T00:00:00"/>
    <d v="2024-07-04T00:00:00"/>
    <s v="الخميس "/>
    <s v="شركة الدروى "/>
    <s v="محمود الدروى "/>
    <s v="عمل صيانة تكييف"/>
    <s v="تم العمل"/>
    <d v="1899-12-30T10:00:00"/>
    <d v="1899-12-30T11:00:00"/>
    <n v="4.166666666666663E-2"/>
    <s v="المطابع "/>
    <n v="0.99999999999999911"/>
    <m/>
    <m/>
    <x v="4"/>
    <n v="5"/>
    <m/>
    <m/>
    <m/>
    <m/>
    <m/>
    <m/>
    <m/>
    <m/>
    <m/>
    <m/>
  </r>
  <r>
    <d v="2024-07-01T00:00:00"/>
    <d v="2024-07-04T00:00:00"/>
    <s v="الخميس "/>
    <s v="مالك المخزن "/>
    <s v="فيكتور لوندى      "/>
    <s v="تركيب اجهزة انزار "/>
    <s v="تم العمل"/>
    <d v="1899-12-30T13:30:00"/>
    <d v="1899-12-30T17:00:00"/>
    <n v="0.14583333333333337"/>
    <s v="مخزن الوزارة"/>
    <n v="5.5"/>
    <m/>
    <m/>
    <x v="4"/>
    <n v="5"/>
    <m/>
    <m/>
    <m/>
    <m/>
    <m/>
    <m/>
    <m/>
    <m/>
    <m/>
    <m/>
  </r>
  <r>
    <d v="2024-07-01T00:00:00"/>
    <d v="2024-07-04T00:00:00"/>
    <s v="الخميس "/>
    <s v="الشؤون الادارية "/>
    <s v="احمد سعيد  "/>
    <s v="تركيب خزانات الحريق "/>
    <s v="تم العمل"/>
    <d v="1899-12-30T10:00:00"/>
    <d v="1899-12-30T16:00:00"/>
    <n v="0.24999999999999994"/>
    <s v="المخزن القديم "/>
    <n v="3"/>
    <m/>
    <m/>
    <x v="6"/>
    <n v="5"/>
    <m/>
    <m/>
    <m/>
    <m/>
    <m/>
    <m/>
    <m/>
    <m/>
    <m/>
    <m/>
  </r>
  <r>
    <d v="2024-07-01T00:00:00"/>
    <d v="2024-07-04T00:00:00"/>
    <s v="الخميس "/>
    <s v="الشؤون الادارية "/>
    <s v="مجدى كرم   "/>
    <s v="دهانات بالمخزن المدرسى  "/>
    <s v="تم العمل"/>
    <d v="1899-12-30T10:00:00"/>
    <d v="1899-12-30T18:00:00"/>
    <n v="0.33333333333333331"/>
    <s v="الفجالة"/>
    <n v="1.0000000000000004"/>
    <m/>
    <m/>
    <x v="11"/>
    <n v="3"/>
    <s v="نافص توقيعات وعدم غلق التصريح "/>
    <m/>
    <m/>
    <m/>
    <m/>
    <m/>
    <m/>
    <m/>
    <m/>
    <m/>
  </r>
  <r>
    <d v="2024-07-01T00:00:00"/>
    <d v="2024-07-06T00:00:00"/>
    <s v="السبت "/>
    <s v="شركة شلاندر "/>
    <s v="احمد السيد "/>
    <s v="صيانة الاسانسير"/>
    <s v="تم العمل"/>
    <d v="1899-12-30T10:00:00"/>
    <d v="1899-12-30T17:30:00"/>
    <n v="0.31249999999999994"/>
    <s v="المخزن الجديد "/>
    <n v="7.4999999999999982"/>
    <m/>
    <m/>
    <x v="4"/>
    <n v="5"/>
    <m/>
    <m/>
    <m/>
    <m/>
    <m/>
    <m/>
    <m/>
    <m/>
    <m/>
    <m/>
  </r>
  <r>
    <d v="2024-07-01T00:00:00"/>
    <d v="2024-07-06T00:00:00"/>
    <s v="السبت "/>
    <s v="الورشة الهندسية للخراطة"/>
    <s v="فارس خليل "/>
    <s v="تشطيب سلم الطوارىء "/>
    <s v="تم العمل"/>
    <d v="1899-12-30T13:00:00"/>
    <d v="1899-12-30T16:00:00"/>
    <n v="0.125"/>
    <s v="المخزن الجديد "/>
    <n v="3"/>
    <m/>
    <m/>
    <x v="4"/>
    <n v="5"/>
    <m/>
    <m/>
    <m/>
    <m/>
    <m/>
    <m/>
    <m/>
    <m/>
    <m/>
    <m/>
  </r>
  <r>
    <d v="2024-07-01T00:00:00"/>
    <d v="2024-07-06T00:00:00"/>
    <s v="السبت "/>
    <s v="الشركة المصرية "/>
    <s v="علاء احمد "/>
    <s v="صيانةالتكيف المركزى فى الدور الاول "/>
    <s v="تم العمل"/>
    <d v="1899-12-30T09:00:00"/>
    <d v="1899-12-30T11:00:00"/>
    <n v="8.3333333333333315E-2"/>
    <s v="البرج"/>
    <n v="1.9999999999999996"/>
    <m/>
    <m/>
    <x v="3"/>
    <n v="5"/>
    <m/>
    <m/>
    <m/>
    <m/>
    <m/>
    <m/>
    <m/>
    <m/>
    <m/>
    <m/>
  </r>
  <r>
    <d v="2024-07-01T00:00:00"/>
    <d v="2024-07-06T00:00:00"/>
    <s v="السبت "/>
    <s v="KUC  شركة "/>
    <s v="مصطفى السيد "/>
    <s v="تركيبات "/>
    <s v="تم العمل"/>
    <d v="1899-12-30T11:30:00"/>
    <d v="1899-12-30T20:30:00"/>
    <n v="0.37499999999999994"/>
    <s v="البرج"/>
    <n v="8.9999999999999982"/>
    <m/>
    <m/>
    <x v="3"/>
    <n v="5"/>
    <m/>
    <m/>
    <m/>
    <m/>
    <m/>
    <m/>
    <m/>
    <m/>
    <m/>
    <m/>
  </r>
  <r>
    <d v="2024-07-01T00:00:00"/>
    <d v="2024-07-07T00:00:00"/>
    <s v="الاحد "/>
    <s v="الورشة الهندسية للخراطة"/>
    <s v="ايمن رمضان "/>
    <s v="تشطيب سلم الطوارىء "/>
    <s v="تم العمل"/>
    <d v="1899-12-30T09:00:00"/>
    <d v="1899-12-30T16:00:00"/>
    <n v="0.29166666666666663"/>
    <s v="المخزن الجديد "/>
    <n v="6.9999999999999991"/>
    <m/>
    <m/>
    <x v="4"/>
    <n v="5"/>
    <m/>
    <m/>
    <m/>
    <m/>
    <m/>
    <m/>
    <m/>
    <m/>
    <m/>
    <m/>
  </r>
  <r>
    <d v="2024-07-01T00:00:00"/>
    <d v="2024-07-07T00:00:00"/>
    <s v="الاحد "/>
    <s v="الشركة الالمانية "/>
    <s v="محمد ماهر "/>
    <s v="مكافحة الحشرات "/>
    <s v="تم العمل"/>
    <d v="1899-12-30T10:00:00"/>
    <d v="1899-12-30T14:00:00"/>
    <n v="0.16666666666666669"/>
    <s v="المخزن الجديد "/>
    <n v="4"/>
    <m/>
    <m/>
    <x v="4"/>
    <n v="5"/>
    <m/>
    <m/>
    <m/>
    <m/>
    <m/>
    <m/>
    <m/>
    <m/>
    <m/>
    <m/>
  </r>
  <r>
    <d v="2024-07-01T00:00:00"/>
    <d v="2024-07-07T00:00:00"/>
    <s v="الاحد "/>
    <s v="شركة سكوير "/>
    <s v="محمد مصطفى "/>
    <s v="تشطيب باب الامن "/>
    <s v="تم العمل"/>
    <d v="1899-12-30T16:00:00"/>
    <d v="1899-12-30T17:30:00"/>
    <n v="6.25E-2"/>
    <s v="المخزن الجديد "/>
    <n v="1.5"/>
    <m/>
    <m/>
    <x v="4"/>
    <n v="5"/>
    <m/>
    <m/>
    <m/>
    <m/>
    <m/>
    <m/>
    <m/>
    <m/>
    <m/>
    <m/>
  </r>
  <r>
    <d v="2024-07-01T00:00:00"/>
    <d v="2024-07-07T00:00:00"/>
    <s v="الاحد "/>
    <s v="الشؤون الادارية "/>
    <s v="مجدى كرم   "/>
    <s v="دهانات بالمخزن المدرسى  "/>
    <s v="تم العمل"/>
    <d v="1899-12-30T10:30:00"/>
    <d v="1899-12-30T18:00:00"/>
    <n v="0.3125"/>
    <s v="الفجالة"/>
    <n v="5.9999999999999982"/>
    <m/>
    <m/>
    <x v="5"/>
    <n v="5"/>
    <m/>
    <m/>
    <m/>
    <m/>
    <m/>
    <m/>
    <m/>
    <m/>
    <m/>
    <m/>
  </r>
  <r>
    <d v="2024-07-01T00:00:00"/>
    <d v="2024-07-08T00:00:00"/>
    <s v="الاثنين "/>
    <s v="الشؤون الادارية "/>
    <s v="مجدى كرم   "/>
    <s v="دهانات بالمخزن المدرسى  "/>
    <s v="تم العمل"/>
    <d v="1899-12-30T10:00:00"/>
    <d v="1899-12-30T17:30:00"/>
    <n v="0.31249999999999994"/>
    <s v="الفجالة"/>
    <n v="8"/>
    <m/>
    <m/>
    <x v="5"/>
    <n v="5"/>
    <m/>
    <m/>
    <m/>
    <m/>
    <m/>
    <m/>
    <m/>
    <m/>
    <m/>
    <m/>
  </r>
  <r>
    <d v="2024-07-01T00:00:00"/>
    <d v="2024-07-08T00:00:00"/>
    <s v="الاثنين "/>
    <s v="مالك المخزن "/>
    <s v="فيكتور لوندى      "/>
    <s v="تركيب شبكة الانزار "/>
    <s v="تم العمل"/>
    <d v="1899-12-30T10:30:00"/>
    <d v="1899-12-30T17:00:00"/>
    <n v="0.27083333333333337"/>
    <s v="مخزن الوزارة"/>
    <n v="5.5"/>
    <m/>
    <m/>
    <x v="10"/>
    <n v="5"/>
    <s v="عدم غلق التصريح "/>
    <m/>
    <m/>
    <m/>
    <m/>
    <m/>
    <m/>
    <m/>
    <m/>
    <m/>
  </r>
  <r>
    <d v="2024-07-01T00:00:00"/>
    <d v="2024-07-08T00:00:00"/>
    <s v="الاثنين "/>
    <s v="الورشة الهندسية للخراطة"/>
    <s v="ايمن رمضان "/>
    <s v="تشطيب سلم الطوارىء "/>
    <s v="تم العمل"/>
    <d v="1899-12-30T13:00:00"/>
    <d v="1899-12-30T17:00:00"/>
    <n v="0.16666666666666674"/>
    <s v="المخزن الجديد "/>
    <n v="4.0000000000000018"/>
    <m/>
    <m/>
    <x v="4"/>
    <n v="5"/>
    <m/>
    <m/>
    <m/>
    <m/>
    <m/>
    <m/>
    <m/>
    <m/>
    <m/>
    <m/>
  </r>
  <r>
    <d v="2024-07-01T00:00:00"/>
    <d v="2024-07-08T00:00:00"/>
    <s v="الاثنين "/>
    <s v="شركة شلاندر "/>
    <s v="عبد الرحمن حسين "/>
    <s v="تركيب الاسانسير "/>
    <s v="تم العمل"/>
    <d v="1899-12-30T10:00:00"/>
    <d v="1899-12-30T17:00:00"/>
    <n v="0.29166666666666669"/>
    <s v="المخزن الجديد "/>
    <n v="7"/>
    <m/>
    <m/>
    <x v="4"/>
    <n v="5"/>
    <m/>
    <m/>
    <m/>
    <m/>
    <m/>
    <m/>
    <m/>
    <m/>
    <m/>
    <m/>
  </r>
  <r>
    <d v="2024-07-01T00:00:00"/>
    <d v="2024-07-08T00:00:00"/>
    <s v="الاثنين "/>
    <s v="شركة اوزوريون "/>
    <s v="مراد صالح  "/>
    <s v="ترميم خزان خط الحريق  "/>
    <s v="تم العمل"/>
    <d v="1899-12-30T09:30:00"/>
    <d v="1899-12-30T16:00:00"/>
    <n v="0.27083333333333331"/>
    <s v="المخزن القديم "/>
    <n v="6.5"/>
    <m/>
    <m/>
    <x v="6"/>
    <n v="5"/>
    <m/>
    <m/>
    <m/>
    <m/>
    <m/>
    <m/>
    <m/>
    <m/>
    <m/>
    <m/>
  </r>
  <r>
    <d v="2024-07-01T00:00:00"/>
    <d v="2024-07-08T00:00:00"/>
    <s v="الاثنين "/>
    <s v="الشركة المتحدة "/>
    <s v="محمود سالم "/>
    <s v="فك طلمبات الحريق "/>
    <s v="تم العمل"/>
    <d v="1899-12-30T12:00:00"/>
    <d v="1899-12-30T15:00:00"/>
    <n v="0.125"/>
    <s v="المخزن القديم "/>
    <n v="3"/>
    <m/>
    <m/>
    <x v="6"/>
    <n v="5"/>
    <m/>
    <m/>
    <m/>
    <m/>
    <m/>
    <m/>
    <m/>
    <m/>
    <m/>
    <m/>
  </r>
  <r>
    <d v="2024-07-01T00:00:00"/>
    <d v="2024-07-09T00:00:00"/>
    <s v="الثلاثاء "/>
    <s v="شركة الهدى "/>
    <s v="احمد سمير "/>
    <s v="صيانة ctB"/>
    <s v="تم العمل"/>
    <d v="1899-12-30T13:00:00"/>
    <d v="1899-12-30T17:00:00"/>
    <n v="0.16666666666666674"/>
    <s v="المطابع "/>
    <n v="4.0000000000000018"/>
    <m/>
    <m/>
    <x v="1"/>
    <n v="5"/>
    <m/>
    <m/>
    <m/>
    <m/>
    <m/>
    <m/>
    <m/>
    <m/>
    <m/>
    <m/>
  </r>
  <r>
    <d v="2024-07-01T00:00:00"/>
    <d v="2024-07-09T00:00:00"/>
    <s v="الثلاثاء "/>
    <s v="مالك المخزن "/>
    <s v="فيكتور لوندى      "/>
    <s v="تركيب شبكة الانزار "/>
    <s v="تم العمل"/>
    <d v="1899-12-30T10:00:00"/>
    <d v="1899-12-30T14:00:00"/>
    <n v="0.16666666666666669"/>
    <s v="مخزن الوزارة"/>
    <n v="5.5"/>
    <m/>
    <m/>
    <x v="10"/>
    <n v="5"/>
    <m/>
    <m/>
    <m/>
    <m/>
    <m/>
    <m/>
    <m/>
    <m/>
    <m/>
    <m/>
  </r>
  <r>
    <d v="2024-07-01T00:00:00"/>
    <d v="2024-07-09T00:00:00"/>
    <s v="الثلاثاء "/>
    <s v="شركة شلاندر "/>
    <s v="عبد الرحمن حسين "/>
    <s v="تركيب الاسانسير "/>
    <s v="تم العمل"/>
    <d v="1899-12-30T09:30:00"/>
    <d v="1899-12-30T18:00:00"/>
    <n v="0.35416666666666669"/>
    <s v="المخزن الجديد "/>
    <n v="8.5"/>
    <m/>
    <m/>
    <x v="4"/>
    <n v="5"/>
    <m/>
    <m/>
    <m/>
    <m/>
    <m/>
    <m/>
    <m/>
    <m/>
    <m/>
    <m/>
  </r>
  <r>
    <d v="2024-07-01T00:00:00"/>
    <d v="2024-07-09T00:00:00"/>
    <s v="الثلاثاء "/>
    <s v="الورشة الهندسية للخراطة"/>
    <s v="ايمن رمضان "/>
    <s v="تشطيب سلم الطوارىء "/>
    <s v="تم العمل"/>
    <d v="1899-12-30T09:30:00"/>
    <d v="1899-12-30T14:00:00"/>
    <n v="0.18750000000000006"/>
    <s v="المخزن الجديد "/>
    <n v="4.5000000000000018"/>
    <m/>
    <m/>
    <x v="4"/>
    <n v="5"/>
    <m/>
    <m/>
    <m/>
    <m/>
    <m/>
    <m/>
    <m/>
    <m/>
    <m/>
    <m/>
  </r>
  <r>
    <d v="2024-07-01T00:00:00"/>
    <d v="2024-07-09T00:00:00"/>
    <s v="الثلاثاء "/>
    <s v="شركة سكوير "/>
    <s v="احمد سعيد "/>
    <s v="تركيب  باب الامن "/>
    <s v="تم العمل"/>
    <d v="1899-12-30T14:00:00"/>
    <d v="1899-12-30T16:00:00"/>
    <n v="8.3333333333333259E-2"/>
    <s v="المخزن الجديد "/>
    <n v="1.9999999999999982"/>
    <m/>
    <m/>
    <x v="4"/>
    <n v="5"/>
    <m/>
    <m/>
    <m/>
    <m/>
    <m/>
    <m/>
    <m/>
    <m/>
    <m/>
    <m/>
  </r>
  <r>
    <d v="2024-07-01T00:00:00"/>
    <d v="2024-07-09T00:00:00"/>
    <s v="الثلاثاء "/>
    <s v="شركة اوزوريون "/>
    <s v="مراد صالح  "/>
    <s v="ترميم خزان خط الحريق  "/>
    <s v="تم العمل"/>
    <d v="1899-12-30T09:30:00"/>
    <d v="1899-12-30T16:00:00"/>
    <n v="0.27083333333333331"/>
    <s v="المخزن القديم "/>
    <n v="6.5"/>
    <m/>
    <m/>
    <x v="6"/>
    <n v="5"/>
    <m/>
    <m/>
    <m/>
    <m/>
    <m/>
    <m/>
    <m/>
    <m/>
    <m/>
    <m/>
  </r>
  <r>
    <d v="2024-07-01T00:00:00"/>
    <d v="2024-07-10T00:00:00"/>
    <s v="الاربعاء "/>
    <s v="الشؤون الادارية "/>
    <s v="احمد سعيد  "/>
    <s v="تغيير محبس "/>
    <s v="تم العمل"/>
    <d v="1899-12-30T11:30:00"/>
    <d v="1899-12-30T13:00:00"/>
    <n v="6.2499999999999944E-2"/>
    <s v="المطابع "/>
    <n v="3"/>
    <m/>
    <m/>
    <x v="10"/>
    <n v="5"/>
    <m/>
    <m/>
    <m/>
    <m/>
    <m/>
    <m/>
    <m/>
    <m/>
    <m/>
    <m/>
  </r>
  <r>
    <d v="2024-07-01T00:00:00"/>
    <d v="2024-07-10T00:00:00"/>
    <s v="الاربعاء "/>
    <s v="شركة الكريم "/>
    <s v="حامد ابو المحاميد  "/>
    <s v="المرور الدورى على المعدات  "/>
    <s v="تم العمل"/>
    <d v="1899-12-30T10:30:00"/>
    <d v="1899-12-30T15:00:00"/>
    <n v="0.1875"/>
    <s v="المطابع "/>
    <n v="4.5"/>
    <m/>
    <m/>
    <x v="0"/>
    <n v="5"/>
    <m/>
    <m/>
    <m/>
    <m/>
    <m/>
    <m/>
    <m/>
    <m/>
    <m/>
    <m/>
  </r>
  <r>
    <d v="2024-07-01T00:00:00"/>
    <d v="2024-07-10T00:00:00"/>
    <s v="الاربعاء "/>
    <s v="بازان "/>
    <s v="احمد على "/>
    <s v="استكمال تركيب شبكة الفاير "/>
    <s v="تم العمل"/>
    <d v="1899-12-30T11:00:00"/>
    <d v="1899-12-30T17:00:00"/>
    <n v="0.25000000000000006"/>
    <s v="المخزن الجديد "/>
    <n v="6.0000000000000018"/>
    <m/>
    <m/>
    <x v="4"/>
    <n v="5"/>
    <m/>
    <m/>
    <m/>
    <m/>
    <m/>
    <m/>
    <m/>
    <m/>
    <m/>
    <m/>
  </r>
  <r>
    <d v="2024-07-01T00:00:00"/>
    <d v="2024-07-10T00:00:00"/>
    <s v="الاربعاء "/>
    <s v="القطاع الهندسى "/>
    <s v="هانى محمد  "/>
    <s v="تصليح المقص "/>
    <s v="تم العمل"/>
    <d v="1899-12-30T17:00:00"/>
    <d v="1899-12-30T18:00:00"/>
    <n v="4.166666666666663E-2"/>
    <s v="المطابع "/>
    <n v="0.99999999999999911"/>
    <m/>
    <m/>
    <x v="1"/>
    <n v="5"/>
    <m/>
    <m/>
    <m/>
    <m/>
    <m/>
    <m/>
    <m/>
    <m/>
    <m/>
    <m/>
  </r>
  <r>
    <d v="2024-07-01T00:00:00"/>
    <d v="2024-07-10T00:00:00"/>
    <s v="الاربعاء "/>
    <s v="شركة اوزوريون "/>
    <s v="مراد صالح  "/>
    <s v="ترميم خزان خط الحريق  "/>
    <s v="تم العمل"/>
    <d v="1899-12-30T09:30:00"/>
    <d v="1899-12-30T16:00:00"/>
    <n v="0.27083333333333331"/>
    <s v="المخزن القديم "/>
    <n v="6.5"/>
    <m/>
    <m/>
    <x v="6"/>
    <n v="5"/>
    <m/>
    <m/>
    <m/>
    <m/>
    <m/>
    <m/>
    <m/>
    <m/>
    <m/>
    <m/>
  </r>
  <r>
    <d v="2024-07-01T00:00:00"/>
    <d v="2024-07-10T00:00:00"/>
    <s v="الاربعاء "/>
    <s v="شركة شلاندر "/>
    <s v="احمد السيد  "/>
    <s v="تركيب الاسانسير "/>
    <s v="تم العمل"/>
    <d v="1899-12-30T10:00:00"/>
    <d v="1899-12-30T17:00:00"/>
    <n v="0.29166666666666669"/>
    <s v="المخزن الجديد "/>
    <n v="7"/>
    <m/>
    <m/>
    <x v="4"/>
    <n v="5"/>
    <m/>
    <m/>
    <m/>
    <m/>
    <m/>
    <m/>
    <m/>
    <m/>
    <m/>
    <m/>
  </r>
  <r>
    <d v="2024-07-01T00:00:00"/>
    <d v="2024-07-10T00:00:00"/>
    <s v="الاربعاء "/>
    <s v="الشؤون الادارية "/>
    <s v="مجدى كرم   "/>
    <s v="دهانات بالمخزن المدرسى  "/>
    <s v="تم العمل"/>
    <d v="1899-12-30T10:00:00"/>
    <d v="1899-12-30T17:00:00"/>
    <n v="0.29166666666666669"/>
    <s v="الفجالة"/>
    <n v="4.5000000000000018"/>
    <m/>
    <m/>
    <x v="11"/>
    <n v="5"/>
    <m/>
    <m/>
    <m/>
    <m/>
    <m/>
    <m/>
    <m/>
    <m/>
    <m/>
    <m/>
  </r>
  <r>
    <d v="2024-07-01T00:00:00"/>
    <d v="2024-07-11T00:00:00"/>
    <s v="الخميس "/>
    <s v="الشؤون الادارية "/>
    <s v="مجدى كرم   "/>
    <s v="دهانات بالمخزن المدرسى  "/>
    <s v="تم العمل"/>
    <d v="1899-12-30T11:00:00"/>
    <d v="1899-12-30T19:00:00"/>
    <n v="0.33333333333333331"/>
    <s v="الفجالة"/>
    <n v="4.5000000000000018"/>
    <m/>
    <m/>
    <x v="11"/>
    <n v="5"/>
    <m/>
    <m/>
    <m/>
    <m/>
    <m/>
    <m/>
    <m/>
    <m/>
    <m/>
    <m/>
  </r>
  <r>
    <d v="2024-07-01T00:00:00"/>
    <d v="2024-07-11T00:00:00"/>
    <s v="الخميس "/>
    <s v="شركة شلاندر "/>
    <s v="احمد السيد  "/>
    <s v="تركيب الاسانسير "/>
    <s v="تم العمل"/>
    <d v="1899-12-30T09:30:00"/>
    <d v="1899-12-30T17:00:00"/>
    <n v="0.31250000000000006"/>
    <s v="المخزن الجديد "/>
    <n v="7.5000000000000018"/>
    <m/>
    <m/>
    <x v="0"/>
    <n v="5"/>
    <m/>
    <m/>
    <m/>
    <m/>
    <m/>
    <m/>
    <m/>
    <m/>
    <m/>
    <m/>
  </r>
  <r>
    <d v="2024-07-01T00:00:00"/>
    <d v="2024-07-11T00:00:00"/>
    <s v="الخميس "/>
    <s v="شركة اوزوريون "/>
    <s v="مراد صالح  "/>
    <s v="ترميم خزان خط الحريق  "/>
    <s v="تم العمل"/>
    <d v="1899-12-30T09:30:00"/>
    <d v="1899-12-30T16:00:00"/>
    <n v="0.27083333333333331"/>
    <s v="المخزن القديم "/>
    <n v="6.5"/>
    <m/>
    <m/>
    <x v="6"/>
    <n v="5"/>
    <m/>
    <m/>
    <m/>
    <m/>
    <m/>
    <m/>
    <m/>
    <m/>
    <m/>
    <m/>
  </r>
  <r>
    <d v="2024-07-01T00:00:00"/>
    <d v="2024-07-13T00:00:00"/>
    <s v="السبت "/>
    <s v="القطاع الهندسى "/>
    <s v="صابر ابراهيم "/>
    <s v="تثبيت حاجز  المقص اليدوى "/>
    <s v="تم العمل"/>
    <d v="1899-12-30T11:30:00"/>
    <d v="1899-12-30T12:00:00"/>
    <n v="2.0833333333333315E-2"/>
    <s v="المطابع "/>
    <n v="0.49999999999999956"/>
    <m/>
    <m/>
    <x v="7"/>
    <n v="5"/>
    <m/>
    <m/>
    <m/>
    <m/>
    <m/>
    <m/>
    <m/>
    <m/>
    <m/>
    <m/>
  </r>
  <r>
    <d v="2024-07-01T00:00:00"/>
    <d v="2024-07-13T00:00:00"/>
    <s v="السبت "/>
    <s v="الشؤون الادارية "/>
    <s v="مجدى كرم   "/>
    <s v="دهانات بالمخزن المدرسى  "/>
    <s v="تم العمل"/>
    <d v="1899-12-30T10:00:00"/>
    <d v="1899-12-30T19:00:00"/>
    <n v="0.37499999999999994"/>
    <s v="الفجالة"/>
    <n v="4.5"/>
    <m/>
    <m/>
    <x v="11"/>
    <n v="2"/>
    <s v="اهدار لموارد الشركة "/>
    <m/>
    <m/>
    <m/>
    <m/>
    <m/>
    <m/>
    <m/>
    <m/>
    <m/>
  </r>
  <r>
    <d v="2024-07-01T00:00:00"/>
    <d v="2024-07-13T00:00:00"/>
    <s v="السبت "/>
    <s v="شركة اوزوريون "/>
    <s v="مراد صالح  "/>
    <s v="تكسير خرسانة "/>
    <s v="تم العمل"/>
    <d v="1899-12-30T21:00:00"/>
    <d v="1899-12-30T16:00:00"/>
    <n v="0.20833333333333337"/>
    <s v="المخزن القديم "/>
    <n v="5.0000000000000009"/>
    <m/>
    <m/>
    <x v="10"/>
    <n v="5"/>
    <m/>
    <m/>
    <m/>
    <m/>
    <m/>
    <m/>
    <m/>
    <m/>
    <m/>
    <m/>
  </r>
  <r>
    <d v="2024-07-01T00:00:00"/>
    <d v="2024-07-13T00:00:00"/>
    <s v="السبت "/>
    <s v="لفت ايجبت "/>
    <s v="سامى شعبان  "/>
    <s v="صيانة الكلاركات "/>
    <s v="تم العمل"/>
    <d v="1899-12-30T10:00:00"/>
    <d v="1899-12-30T13:00:00"/>
    <n v="0.12499999999999994"/>
    <s v="المخزن الجديد "/>
    <n v="2.9999999999999987"/>
    <m/>
    <m/>
    <x v="10"/>
    <n v="5"/>
    <m/>
    <m/>
    <m/>
    <m/>
    <m/>
    <m/>
    <m/>
    <m/>
    <m/>
    <m/>
  </r>
  <r>
    <d v="2024-07-01T00:00:00"/>
    <d v="2024-07-14T00:00:00"/>
    <s v="الاحد "/>
    <s v="شركة الكريم "/>
    <s v="على  شحات "/>
    <s v="صيانة نظام الانزار "/>
    <s v="تم العمل"/>
    <d v="1899-12-30T11:00:00"/>
    <d v="1899-12-30T11:30:00"/>
    <n v="2.083333333333337E-2"/>
    <s v="المطابع "/>
    <n v="0.50000000000000089"/>
    <m/>
    <m/>
    <x v="7"/>
    <n v="5"/>
    <m/>
    <m/>
    <m/>
    <m/>
    <m/>
    <m/>
    <m/>
    <m/>
    <m/>
    <m/>
  </r>
  <r>
    <d v="2024-07-01T00:00:00"/>
    <d v="2024-07-14T00:00:00"/>
    <s v="الاحد "/>
    <s v="شركة الدلتا "/>
    <s v="مصطفى شعبان "/>
    <s v="صيانة ماكينات التربيط "/>
    <s v="تم العمل"/>
    <d v="1899-12-30T10:30:00"/>
    <d v="1899-12-30T04:00:00"/>
    <n v="0.27083333333333337"/>
    <s v="المطابع "/>
    <n v="6.5000000000000009"/>
    <m/>
    <m/>
    <x v="7"/>
    <n v="5"/>
    <m/>
    <m/>
    <m/>
    <m/>
    <m/>
    <m/>
    <m/>
    <m/>
    <m/>
    <m/>
  </r>
  <r>
    <d v="2024-07-01T00:00:00"/>
    <d v="2024-07-14T00:00:00"/>
    <s v="الاحد "/>
    <s v="الشؤون الادارية "/>
    <s v="احمد سعيد  "/>
    <s v="تسليك انسداد بلاعة صرف "/>
    <s v="تم العمل"/>
    <d v="1899-12-30T01:30:00"/>
    <d v="1899-12-30T14:30:00"/>
    <n v="0.54166666666666663"/>
    <s v="المطابع "/>
    <n v="3"/>
    <m/>
    <m/>
    <x v="7"/>
    <n v="5"/>
    <m/>
    <m/>
    <m/>
    <m/>
    <m/>
    <m/>
    <m/>
    <m/>
    <m/>
    <m/>
  </r>
  <r>
    <d v="2024-07-01T00:00:00"/>
    <d v="2024-07-14T00:00:00"/>
    <s v="الاحد "/>
    <s v="الشؤون الادارية "/>
    <s v="رامى محمد "/>
    <s v="تركيب وتثبيت باب المونتال  فى فسم CD "/>
    <s v="تم العمل"/>
    <d v="1899-12-30T14:00:00"/>
    <d v="1899-12-30T17:00:00"/>
    <n v="0.125"/>
    <s v="المطابع "/>
    <n v="3"/>
    <m/>
    <m/>
    <x v="7"/>
    <n v="5"/>
    <m/>
    <m/>
    <m/>
    <m/>
    <m/>
    <m/>
    <m/>
    <m/>
    <m/>
    <m/>
  </r>
  <r>
    <d v="2024-07-01T00:00:00"/>
    <d v="2024-07-14T00:00:00"/>
    <s v="الاحد "/>
    <s v="مالك المخزن "/>
    <s v="فيكتور لوندى      "/>
    <s v="عمل لحام فى الرامب وتغيير زيت الديزل "/>
    <s v="تم العمل"/>
    <d v="1899-12-30T10:00:00"/>
    <d v="1899-12-30T01:30:00"/>
    <n v="-0.35416666666666669"/>
    <s v="مخزن الوزارة"/>
    <n v="5.5"/>
    <m/>
    <m/>
    <x v="0"/>
    <n v="5"/>
    <m/>
    <m/>
    <m/>
    <m/>
    <m/>
    <m/>
    <m/>
    <m/>
    <m/>
    <m/>
  </r>
  <r>
    <d v="2024-07-01T00:00:00"/>
    <d v="2024-07-14T00:00:00"/>
    <s v="الاحد "/>
    <s v="الشؤون الادارية "/>
    <s v="مجدى كرم   "/>
    <s v="دهانات بالمخزن المدرسى  "/>
    <s v="تم العمل"/>
    <d v="1899-12-30T10:00:00"/>
    <d v="1899-12-30T21:00:00"/>
    <n v="0.45833333333333331"/>
    <s v="الفجالة"/>
    <n v="6.5"/>
    <m/>
    <m/>
    <x v="11"/>
    <n v="5"/>
    <m/>
    <m/>
    <m/>
    <m/>
    <m/>
    <m/>
    <m/>
    <m/>
    <m/>
    <m/>
  </r>
  <r>
    <d v="2024-07-01T00:00:00"/>
    <d v="2024-07-14T00:00:00"/>
    <s v="الاحد "/>
    <s v="الشؤون الادارية "/>
    <s v="احمد سعيد  "/>
    <s v="عمل صيانة لخزنات الحريق  "/>
    <s v="تم العمل"/>
    <d v="1899-12-30T11:00:00"/>
    <d v="1899-12-30T01:30:00"/>
    <n v="-0.39583333333333331"/>
    <s v="المخزن القديم "/>
    <n v="3"/>
    <m/>
    <m/>
    <x v="10"/>
    <n v="5"/>
    <m/>
    <m/>
    <m/>
    <m/>
    <m/>
    <m/>
    <m/>
    <m/>
    <m/>
    <m/>
  </r>
  <r>
    <d v="2024-07-01T00:00:00"/>
    <d v="2024-07-14T00:00:00"/>
    <s v="الاحد "/>
    <s v="شركة اوزوريون "/>
    <s v="مراد صالح  "/>
    <s v="تكسير خرسانة "/>
    <s v="تم العمل"/>
    <d v="1899-12-30T21:00:00"/>
    <d v="1899-12-30T16:00:00"/>
    <n v="0.20833333333333337"/>
    <s v="المخزن القديم "/>
    <n v="5.0000000000000009"/>
    <m/>
    <m/>
    <x v="10"/>
    <n v="4"/>
    <s v="عدم غلق التصريح "/>
    <m/>
    <m/>
    <m/>
    <m/>
    <m/>
    <m/>
    <m/>
    <m/>
    <m/>
  </r>
  <r>
    <d v="2024-07-01T00:00:00"/>
    <d v="2024-07-14T00:00:00"/>
    <s v="الاحد "/>
    <s v="القطاع الهندسى "/>
    <s v="حسن عبد العظيم "/>
    <s v="صيانة كشافات المخزن "/>
    <s v="تم العمل"/>
    <d v="1899-12-30T23:30:00"/>
    <d v="1899-12-30T12:30:00"/>
    <n v="0.45833333333333326"/>
    <s v="المخزن القديم "/>
    <n v="10.999999999999998"/>
    <m/>
    <m/>
    <x v="10"/>
    <n v="5"/>
    <m/>
    <m/>
    <m/>
    <m/>
    <m/>
    <m/>
    <m/>
    <m/>
    <m/>
    <m/>
  </r>
  <r>
    <d v="2024-07-01T00:00:00"/>
    <d v="2024-07-14T00:00:00"/>
    <s v="الاحد "/>
    <s v="KUC  شركة "/>
    <s v="محمد رفعت  "/>
    <s v="تركيبات "/>
    <s v="تم العمل"/>
    <d v="1899-12-30T17:00:00"/>
    <d v="1899-12-30T22:00:00"/>
    <n v="0.20833333333333326"/>
    <s v="البرج"/>
    <n v="4.9999999999999982"/>
    <m/>
    <m/>
    <x v="3"/>
    <n v="4"/>
    <s v="عدم كتابة وقت فتح التصريح"/>
    <m/>
    <m/>
    <m/>
    <m/>
    <m/>
    <m/>
    <m/>
    <m/>
    <m/>
  </r>
  <r>
    <d v="2024-07-01T00:00:00"/>
    <d v="2024-07-14T00:00:00"/>
    <s v="الاحد "/>
    <s v="بازان "/>
    <s v="احمد محمد "/>
    <s v="تركيب رشاشات الفاير "/>
    <s v="تم العمل"/>
    <d v="1899-12-30T10:00:00"/>
    <d v="1899-12-30T17:00:00"/>
    <n v="0.29166666666666669"/>
    <s v="المخزن الجديد "/>
    <n v="7"/>
    <m/>
    <m/>
    <x v="2"/>
    <n v="5"/>
    <m/>
    <m/>
    <m/>
    <m/>
    <m/>
    <m/>
    <m/>
    <m/>
    <m/>
    <m/>
  </r>
  <r>
    <d v="2024-07-01T00:00:00"/>
    <d v="2024-07-14T00:00:00"/>
    <s v="الاحد "/>
    <s v="شركة شلاندر "/>
    <s v="محمود  السيد  "/>
    <s v="استكمال تركيب الاسانسير "/>
    <s v="تم العمل"/>
    <d v="1899-12-30T10:00:00"/>
    <d v="1899-12-30T17:00:00"/>
    <n v="0.29166666666666669"/>
    <s v="المخزن الجديد "/>
    <n v="7"/>
    <m/>
    <m/>
    <x v="2"/>
    <n v="5"/>
    <m/>
    <m/>
    <m/>
    <m/>
    <m/>
    <m/>
    <m/>
    <m/>
    <m/>
    <m/>
  </r>
  <r>
    <d v="2024-07-01T00:00:00"/>
    <d v="2024-07-14T00:00:00"/>
    <s v="الاحد "/>
    <s v="شركة الكريم "/>
    <s v="على  شحات "/>
    <s v="صيانة نظام الانزار "/>
    <s v="تم العمل"/>
    <d v="1899-12-30T11:00:00"/>
    <d v="1899-12-30T12:00:00"/>
    <n v="4.1666666666666685E-2"/>
    <s v="المطابع "/>
    <n v="1.0000000000000004"/>
    <m/>
    <m/>
    <x v="2"/>
    <n v="5"/>
    <m/>
    <m/>
    <m/>
    <m/>
    <m/>
    <m/>
    <m/>
    <m/>
    <m/>
    <m/>
  </r>
  <r>
    <d v="2024-07-01T00:00:00"/>
    <d v="2024-07-15T00:00:00"/>
    <s v="الاثنين "/>
    <s v="شركة الدروى "/>
    <s v="محمود عويس  "/>
    <s v="صيانة القارورة  "/>
    <s v="تم العمل"/>
    <d v="1899-12-30T10:30:00"/>
    <d v="1899-12-30T14:00:00"/>
    <n v="0.14583333333333337"/>
    <s v="المطابع "/>
    <n v="3"/>
    <m/>
    <m/>
    <x v="0"/>
    <n v="5"/>
    <m/>
    <m/>
    <m/>
    <m/>
    <m/>
    <m/>
    <m/>
    <m/>
    <m/>
    <m/>
  </r>
  <r>
    <d v="2024-07-01T00:00:00"/>
    <d v="2024-07-15T00:00:00"/>
    <s v="الاثنين "/>
    <s v="شركة اوزوريون "/>
    <s v="مراد صالح  "/>
    <s v="تكسير خرسانة "/>
    <s v="تم العمل"/>
    <d v="1899-12-30T21:00:00"/>
    <d v="1899-12-30T16:00:00"/>
    <n v="0.20833333333333337"/>
    <s v="المخزن القديم "/>
    <n v="5.0000000000000009"/>
    <m/>
    <m/>
    <x v="10"/>
    <n v="5"/>
    <s v=" "/>
    <m/>
    <m/>
    <m/>
    <m/>
    <m/>
    <m/>
    <m/>
    <m/>
    <m/>
  </r>
  <r>
    <d v="2024-07-01T00:00:00"/>
    <d v="2024-07-15T00:00:00"/>
    <s v="الاثنين "/>
    <s v="شركة الفرج"/>
    <s v="فرج محمد "/>
    <s v="تركيب فراشة بالشارع  "/>
    <s v="تم العمل"/>
    <d v="1899-12-30T17:00:00"/>
    <d v="1899-12-30T20:30:00"/>
    <n v="0.14583333333333326"/>
    <s v="المخزن القديم "/>
    <n v="6"/>
    <m/>
    <m/>
    <x v="10"/>
    <n v="5"/>
    <m/>
    <m/>
    <m/>
    <m/>
    <m/>
    <m/>
    <m/>
    <m/>
    <m/>
    <m/>
  </r>
  <r>
    <d v="2024-07-01T00:00:00"/>
    <d v="2024-07-15T00:00:00"/>
    <s v="الاثنين "/>
    <s v="شركة شلاندر "/>
    <s v="احمد السيد "/>
    <s v="استكمال تركيب الاسانسير "/>
    <s v="تم العمل"/>
    <d v="1899-12-30T10:00:00"/>
    <d v="1899-12-30T17:00:00"/>
    <n v="0.29166666666666669"/>
    <s v="المخزن الجديد "/>
    <n v="7"/>
    <m/>
    <m/>
    <x v="2"/>
    <n v="5"/>
    <m/>
    <m/>
    <m/>
    <m/>
    <m/>
    <m/>
    <m/>
    <m/>
    <m/>
    <m/>
  </r>
  <r>
    <d v="2024-07-01T00:00:00"/>
    <d v="2024-07-16T00:00:00"/>
    <s v="الثلاثاء "/>
    <s v="شركة شلاندر "/>
    <s v="محمود السيد "/>
    <s v="استكمال تركيب الاسانسير "/>
    <s v="تم العمل"/>
    <d v="1899-12-30T10:00:00"/>
    <d v="1899-12-30T17:00:00"/>
    <n v="0.29166666666666669"/>
    <s v="المخزن الجديد "/>
    <n v="7"/>
    <m/>
    <m/>
    <x v="2"/>
    <n v="5"/>
    <m/>
    <m/>
    <m/>
    <m/>
    <m/>
    <m/>
    <m/>
    <m/>
    <m/>
    <m/>
  </r>
  <r>
    <d v="2024-07-01T00:00:00"/>
    <d v="2024-07-16T00:00:00"/>
    <s v="الثلاثاء "/>
    <s v="شركة الفرج"/>
    <s v="احمد فرج    "/>
    <s v="تركيب فراشة بالشارع  "/>
    <s v="تم العمل"/>
    <d v="1899-12-30T17:00:00"/>
    <d v="1899-12-30T17:30:00"/>
    <n v="2.0833333333333259E-2"/>
    <s v="المخزن القديم "/>
    <n v="6"/>
    <m/>
    <m/>
    <x v="10"/>
    <n v="5"/>
    <m/>
    <m/>
    <m/>
    <m/>
    <m/>
    <m/>
    <m/>
    <m/>
    <m/>
    <m/>
  </r>
  <r>
    <d v="2024-07-01T00:00:00"/>
    <d v="2024-07-16T00:00:00"/>
    <s v="الثلاثاء "/>
    <s v="شركة اوزوريون "/>
    <s v="مراد صالح  "/>
    <s v="تكسير خرسانة "/>
    <s v="تم العمل"/>
    <d v="1899-12-30T21:00:00"/>
    <d v="1899-12-30T16:30:00"/>
    <n v="0.1875"/>
    <s v="المخزن القديم "/>
    <n v="4.5"/>
    <m/>
    <m/>
    <x v="10"/>
    <n v="5"/>
    <s v=" "/>
    <m/>
    <m/>
    <m/>
    <m/>
    <m/>
    <m/>
    <m/>
    <m/>
    <m/>
  </r>
  <r>
    <d v="2024-07-01T00:00:00"/>
    <d v="2024-07-16T00:00:00"/>
    <s v="الثلاثاء "/>
    <s v="شركة الدروى "/>
    <s v="محمود عويس  "/>
    <s v="صيانةوحدات التكييف "/>
    <s v="تم العمل"/>
    <d v="1899-12-30T11:00:00"/>
    <d v="1899-12-30T00:30:00"/>
    <n v="-0.4375"/>
    <s v="المطابع "/>
    <n v="3"/>
    <m/>
    <m/>
    <x v="5"/>
    <n v="5"/>
    <m/>
    <m/>
    <m/>
    <m/>
    <m/>
    <m/>
    <m/>
    <m/>
    <m/>
    <m/>
  </r>
  <r>
    <d v="2024-07-01T00:00:00"/>
    <d v="2024-07-17T00:00:00"/>
    <s v="الاربعاء "/>
    <s v="شركة الدروى "/>
    <s v="محمود عويس  "/>
    <s v="صيانة تكييف لوحة كهرباء كولبس 5"/>
    <s v="تم العمل"/>
    <d v="1899-12-30T10:30:00"/>
    <d v="1899-12-30T00:00:00"/>
    <n v="-0.4375"/>
    <s v="المطابع "/>
    <n v="3"/>
    <m/>
    <m/>
    <x v="0"/>
    <n v="5"/>
    <m/>
    <m/>
    <m/>
    <m/>
    <m/>
    <m/>
    <m/>
    <m/>
    <m/>
    <m/>
  </r>
  <r>
    <d v="2024-07-01T00:00:00"/>
    <d v="2024-07-17T00:00:00"/>
    <s v="الاربعاء "/>
    <s v="الشركة الالمانية "/>
    <s v="محمود احمد "/>
    <s v="المرور الاسبوعى للمكافحة "/>
    <s v="تم العمل"/>
    <d v="1899-12-30T10:30:00"/>
    <d v="1899-12-30T13:00:00"/>
    <n v="0.10416666666666663"/>
    <s v="المخزن الجديد "/>
    <n v="2.4999999999999991"/>
    <m/>
    <m/>
    <x v="5"/>
    <n v="5"/>
    <m/>
    <m/>
    <m/>
    <m/>
    <m/>
    <m/>
    <m/>
    <m/>
    <m/>
    <m/>
  </r>
  <r>
    <d v="2024-07-01T00:00:00"/>
    <d v="2024-07-17T00:00:00"/>
    <s v="الاربعاء "/>
    <s v="شركة اشتيكس "/>
    <s v="السيد اسماعيل  "/>
    <s v="عمل صيانةلخط السيتما "/>
    <s v="تم العمل"/>
    <d v="1899-12-30T14:00:00"/>
    <d v="1899-12-30T17:00:00"/>
    <n v="0.125"/>
    <s v="المطابع "/>
    <n v="3"/>
    <m/>
    <m/>
    <x v="0"/>
    <n v="5"/>
    <m/>
    <m/>
    <m/>
    <m/>
    <m/>
    <m/>
    <m/>
    <m/>
    <m/>
    <m/>
  </r>
  <r>
    <d v="2024-07-01T00:00:00"/>
    <d v="2024-07-17T00:00:00"/>
    <s v="الاربعاء "/>
    <s v="شركة شلاندر "/>
    <s v="احمد السيد "/>
    <s v="استكمال تركيب الاسانسير "/>
    <s v="تم العمل"/>
    <d v="1899-12-30T11:00:00"/>
    <d v="1899-12-30T15:00:00"/>
    <n v="0.16666666666666669"/>
    <s v="المخزن الجديد "/>
    <n v="4"/>
    <m/>
    <m/>
    <x v="2"/>
    <n v="5"/>
    <m/>
    <m/>
    <m/>
    <m/>
    <m/>
    <m/>
    <m/>
    <m/>
    <m/>
    <m/>
  </r>
  <r>
    <d v="2024-07-01T00:00:00"/>
    <d v="2024-07-17T00:00:00"/>
    <s v="الاربعاء "/>
    <s v="الشركة الالمانية "/>
    <s v="محمود احمد "/>
    <s v="عمل مكافحة "/>
    <s v="تم العمل"/>
    <d v="1899-12-30T14:00:00"/>
    <d v="1899-12-30T15:30:00"/>
    <n v="6.25E-2"/>
    <s v="مخزن الوزارة"/>
    <n v="1.5"/>
    <m/>
    <m/>
    <x v="8"/>
    <n v="5"/>
    <m/>
    <m/>
    <m/>
    <m/>
    <m/>
    <m/>
    <m/>
    <m/>
    <m/>
    <m/>
  </r>
  <r>
    <d v="2024-07-01T00:00:00"/>
    <d v="2024-07-17T00:00:00"/>
    <s v="الاربعاء "/>
    <s v="الشؤون الادارية "/>
    <s v="علاء احمد "/>
    <s v="صيانة تكييف "/>
    <s v="تم العمل"/>
    <d v="1899-12-30T21:30:00"/>
    <d v="1899-12-30T16:00:00"/>
    <n v="0.22916666666666674"/>
    <s v="المطابع "/>
    <n v="3"/>
    <m/>
    <m/>
    <x v="10"/>
    <n v="5"/>
    <m/>
    <m/>
    <m/>
    <m/>
    <m/>
    <m/>
    <m/>
    <m/>
    <m/>
    <m/>
  </r>
  <r>
    <d v="2024-07-01T00:00:00"/>
    <d v="2024-07-17T00:00:00"/>
    <s v="الاربعاء "/>
    <s v="شركة اوزوريون "/>
    <s v="مراد صالح  "/>
    <s v="ترميم خزان الحريق "/>
    <s v="تم العمل"/>
    <d v="1899-12-30T21:30:00"/>
    <d v="1899-12-30T16:00:00"/>
    <n v="0.22916666666666674"/>
    <s v="المخزن القديم "/>
    <n v="5.5000000000000018"/>
    <m/>
    <m/>
    <x v="6"/>
    <n v="5"/>
    <s v=" "/>
    <m/>
    <m/>
    <m/>
    <m/>
    <m/>
    <m/>
    <m/>
    <m/>
    <m/>
  </r>
  <r>
    <d v="2024-07-01T00:00:00"/>
    <d v="2024-07-18T00:00:00"/>
    <s v="الخميس "/>
    <s v="شركة ابداع "/>
    <s v="محمد سعيد   "/>
    <s v="تركيب ابواب التربيزات "/>
    <s v="تم العمل"/>
    <d v="1899-12-30T01:00:00"/>
    <d v="1899-12-30T06:00:00"/>
    <n v="0.20833333333333334"/>
    <s v="المطابع "/>
    <n v="5"/>
    <m/>
    <m/>
    <x v="5"/>
    <n v="5"/>
    <s v=" "/>
    <m/>
    <m/>
    <m/>
    <m/>
    <m/>
    <m/>
    <m/>
    <m/>
    <m/>
  </r>
  <r>
    <d v="2024-07-01T00:00:00"/>
    <d v="2024-07-18T00:00:00"/>
    <s v="الخميس "/>
    <s v="شركة اوزوريون "/>
    <s v="مراد صالح  "/>
    <s v="ترميم خزان الحريق "/>
    <s v="تم العمل"/>
    <d v="1899-12-30T21:30:00"/>
    <d v="1899-12-30T15:00:00"/>
    <n v="0.27083333333333337"/>
    <s v="المخزن القديم "/>
    <n v="6.5000000000000009"/>
    <m/>
    <m/>
    <x v="6"/>
    <n v="5"/>
    <s v=" "/>
    <m/>
    <m/>
    <m/>
    <m/>
    <m/>
    <m/>
    <m/>
    <m/>
    <m/>
  </r>
  <r>
    <d v="2024-07-01T00:00:00"/>
    <d v="2024-07-18T00:00:00"/>
    <s v="الخميس "/>
    <s v="شركة شلاندر "/>
    <s v="احمد السيد "/>
    <s v="استكمال تركيب الاسانسير "/>
    <s v="تم العمل"/>
    <d v="1899-12-30T10:00:00"/>
    <d v="1899-12-30T17:00:00"/>
    <n v="0.29166666666666669"/>
    <s v="المخزن الجديد "/>
    <n v="7"/>
    <m/>
    <m/>
    <x v="8"/>
    <n v="5"/>
    <m/>
    <m/>
    <m/>
    <m/>
    <m/>
    <m/>
    <m/>
    <m/>
    <m/>
    <m/>
  </r>
  <r>
    <d v="2024-07-01T00:00:00"/>
    <d v="2024-07-19T00:00:00"/>
    <s v="الجمعة "/>
    <s v="شركة اوزوريون "/>
    <s v="مصطفى صلاح "/>
    <s v="ترميم ارضية الكفتريا "/>
    <s v="تم العمل"/>
    <d v="1899-12-30T11:00:00"/>
    <d v="1899-12-30T18:00:00"/>
    <n v="0.29166666666666669"/>
    <s v="المطابع "/>
    <n v="7"/>
    <m/>
    <m/>
    <x v="8"/>
    <n v="5"/>
    <m/>
    <m/>
    <m/>
    <m/>
    <m/>
    <m/>
    <m/>
    <m/>
    <m/>
    <m/>
  </r>
  <r>
    <d v="2024-07-01T00:00:00"/>
    <d v="2024-07-20T00:00:00"/>
    <s v="السبت "/>
    <s v="شركة راية "/>
    <s v="عهدى ابراهيم "/>
    <s v="تركيبات وصيانة "/>
    <s v="تم العمل"/>
    <d v="1899-12-30T10:00:00"/>
    <d v="1899-12-30T15:30:00"/>
    <n v="0.22916666666666669"/>
    <s v="البرج"/>
    <n v="5.5"/>
    <m/>
    <m/>
    <x v="3"/>
    <n v="5"/>
    <m/>
    <m/>
    <m/>
    <m/>
    <m/>
    <m/>
    <m/>
    <m/>
    <m/>
    <m/>
  </r>
  <r>
    <d v="2024-07-01T00:00:00"/>
    <d v="2024-07-20T00:00:00"/>
    <s v="السبت "/>
    <s v="KUC  شركة "/>
    <s v="محمد رفعت  "/>
    <s v="تركيبات وصيانة "/>
    <s v="تم العمل"/>
    <d v="1899-12-30T00:00:00"/>
    <d v="1899-12-30T09:00:00"/>
    <n v="0.375"/>
    <s v="البرج"/>
    <n v="9"/>
    <m/>
    <m/>
    <x v="3"/>
    <n v="5"/>
    <m/>
    <m/>
    <m/>
    <m/>
    <m/>
    <m/>
    <m/>
    <m/>
    <m/>
    <m/>
  </r>
  <r>
    <d v="2024-07-01T00:00:00"/>
    <d v="2024-07-20T00:00:00"/>
    <s v="السبت "/>
    <s v="شركة اوزوريون "/>
    <s v="مصطفى صلاح "/>
    <s v="ترميم ارضية الكفتريا "/>
    <s v="تم العمل"/>
    <d v="1899-12-30T10:30:00"/>
    <d v="1899-12-30T17:00:00"/>
    <n v="0.27083333333333337"/>
    <s v="المطابع "/>
    <n v="6.5000000000000009"/>
    <m/>
    <m/>
    <x v="8"/>
    <n v="5"/>
    <m/>
    <m/>
    <m/>
    <m/>
    <m/>
    <m/>
    <m/>
    <m/>
    <m/>
    <m/>
  </r>
  <r>
    <d v="2024-07-01T00:00:00"/>
    <d v="2024-07-20T00:00:00"/>
    <s v="السبت "/>
    <s v="شركة ابداع "/>
    <s v="محمد سعيد   "/>
    <s v="تركيب ابواب التربيزات "/>
    <s v="تم العمل"/>
    <d v="1899-12-30T14:30:00"/>
    <d v="1899-12-30T18:30:00"/>
    <n v="0.16666666666666674"/>
    <s v="المطابع "/>
    <n v="4.0000000000000018"/>
    <m/>
    <m/>
    <x v="8"/>
    <n v="5"/>
    <s v=" "/>
    <m/>
    <m/>
    <m/>
    <m/>
    <m/>
    <m/>
    <m/>
    <m/>
    <m/>
  </r>
  <r>
    <d v="2024-07-01T00:00:00"/>
    <d v="2024-07-20T00:00:00"/>
    <s v="السبت "/>
    <s v="ستار كول  للتبريد والتكيف "/>
    <s v="سعيد متولى    "/>
    <s v="عمل لحام فى كباس وصيانة فى ماكينة سبيد 4 "/>
    <s v="تم العمل"/>
    <d v="1899-12-30T16:00:00"/>
    <d v="1899-12-30T18:00:00"/>
    <n v="8.333333333333337E-2"/>
    <s v="المطابع "/>
    <n v="2.0000000000000009"/>
    <m/>
    <m/>
    <x v="8"/>
    <n v="5"/>
    <s v=" "/>
    <m/>
    <m/>
    <m/>
    <m/>
    <m/>
    <m/>
    <m/>
    <m/>
    <m/>
  </r>
  <r>
    <d v="2024-07-01T00:00:00"/>
    <d v="2024-07-20T00:00:00"/>
    <s v="السبت "/>
    <s v="شركة شلاندر "/>
    <s v="احمد السيد "/>
    <s v="استكمال تركيب الاسانسير "/>
    <s v="تم العمل"/>
    <d v="1899-12-30T21:30:00"/>
    <d v="1899-12-30T17:00:00"/>
    <n v="0.1875"/>
    <s v="المخزن الجديد "/>
    <n v="4.5"/>
    <m/>
    <m/>
    <x v="5"/>
    <n v="5"/>
    <m/>
    <m/>
    <m/>
    <m/>
    <m/>
    <m/>
    <m/>
    <m/>
    <m/>
    <m/>
  </r>
  <r>
    <d v="2024-07-01T00:00:00"/>
    <d v="2024-07-21T00:00:00"/>
    <s v="الاحد "/>
    <s v="شركة الدروى "/>
    <s v="محمود عويس  "/>
    <s v="صيانة كولدير  المياه الخاص بالعمال "/>
    <s v="تم العمل"/>
    <d v="1899-12-30T20:00:00"/>
    <d v="1899-12-30T21:00:00"/>
    <n v="4.166666666666663E-2"/>
    <s v="المخزن القديم "/>
    <n v="3"/>
    <m/>
    <m/>
    <x v="10"/>
    <n v="5"/>
    <m/>
    <m/>
    <m/>
    <m/>
    <m/>
    <m/>
    <m/>
    <m/>
    <m/>
    <m/>
  </r>
  <r>
    <d v="2024-07-01T00:00:00"/>
    <d v="2024-07-21T00:00:00"/>
    <s v="الاحد "/>
    <s v="الشركة الالمانية "/>
    <s v="محمود احمد  "/>
    <s v="الزيارة الشهرية ومكافحة الحشرات "/>
    <s v="تم العمل"/>
    <d v="1899-12-30T10:00:00"/>
    <d v="1899-12-30T01:30:00"/>
    <n v="0.35416666666666669"/>
    <s v="مخزن الوزارة"/>
    <n v="3"/>
    <m/>
    <m/>
    <x v="8"/>
    <n v="4"/>
    <s v="شكل التصريح سىء"/>
    <m/>
    <m/>
    <m/>
    <m/>
    <m/>
    <m/>
    <m/>
    <m/>
    <m/>
  </r>
  <r>
    <d v="2024-07-01T00:00:00"/>
    <d v="2024-07-21T00:00:00"/>
    <s v="الاحد "/>
    <s v="مالك المخزن "/>
    <s v="فيكتور لوندى      "/>
    <s v="ضبط ضغط شبكة الحريق  "/>
    <s v="تم العمل"/>
    <d v="1899-12-30T00:00:00"/>
    <d v="1899-12-30T01:00:00"/>
    <n v="4.1666666666666664E-2"/>
    <s v="مخزن الوزارة"/>
    <n v="5.5"/>
    <m/>
    <m/>
    <x v="8"/>
    <n v="5"/>
    <m/>
    <m/>
    <m/>
    <m/>
    <m/>
    <m/>
    <m/>
    <m/>
    <m/>
    <m/>
  </r>
  <r>
    <d v="2024-07-01T00:00:00"/>
    <d v="2024-07-21T00:00:00"/>
    <s v="الاحد "/>
    <s v="الشركة الالمانية "/>
    <s v="محمود شعبان "/>
    <s v="الزيارة الشهرية ومكافحة الحشرات "/>
    <s v="تم العمل"/>
    <d v="1899-12-30T14:00:00"/>
    <d v="1899-12-30T15:00:00"/>
    <n v="4.166666666666663E-2"/>
    <s v="المخزن القديم "/>
    <n v="3"/>
    <m/>
    <m/>
    <x v="6"/>
    <n v="5"/>
    <m/>
    <m/>
    <m/>
    <m/>
    <m/>
    <m/>
    <m/>
    <m/>
    <m/>
    <m/>
  </r>
  <r>
    <d v="2024-07-01T00:00:00"/>
    <d v="2024-07-21T00:00:00"/>
    <s v="الاحد "/>
    <s v="الشركة الالمانية "/>
    <s v="زياد عادل "/>
    <s v="الزيارة الشهرية ومكافحة الحشرات "/>
    <s v="تم العمل"/>
    <d v="1899-12-30T11:00:00"/>
    <d v="1899-12-30T14:00:00"/>
    <n v="0.12500000000000006"/>
    <s v="المخزن الجديد "/>
    <n v="3"/>
    <m/>
    <m/>
    <x v="2"/>
    <n v="5"/>
    <m/>
    <m/>
    <m/>
    <m/>
    <m/>
    <m/>
    <m/>
    <m/>
    <m/>
    <m/>
  </r>
  <r>
    <d v="2024-07-01T00:00:00"/>
    <d v="2024-07-21T00:00:00"/>
    <s v="الاحد "/>
    <s v="الورشة الهندسية "/>
    <s v="مراد صالح  "/>
    <s v="استكمال اعمال سلم الطوارىء"/>
    <s v="تم العمل"/>
    <d v="1899-12-30T11:00:00"/>
    <d v="1899-12-30T14:00:00"/>
    <n v="0.12500000000000006"/>
    <s v="المخزن الجديد "/>
    <n v="3"/>
    <m/>
    <m/>
    <x v="2"/>
    <n v="5"/>
    <m/>
    <m/>
    <m/>
    <m/>
    <m/>
    <m/>
    <m/>
    <m/>
    <m/>
    <m/>
  </r>
  <r>
    <d v="2024-07-01T00:00:00"/>
    <d v="2024-07-21T00:00:00"/>
    <s v="الاحد "/>
    <s v="شركة شلاندر "/>
    <s v="محمود السيد "/>
    <s v="استكمال تركيب الاسانسير "/>
    <s v="تم العمل"/>
    <d v="1899-12-30T10:00:00"/>
    <d v="1899-12-30T17:00:00"/>
    <n v="0.29166666666666669"/>
    <s v="المخزن الجديد "/>
    <n v="7"/>
    <m/>
    <m/>
    <x v="2"/>
    <n v="5"/>
    <m/>
    <m/>
    <m/>
    <m/>
    <m/>
    <m/>
    <m/>
    <m/>
    <m/>
    <m/>
  </r>
  <r>
    <d v="2024-07-01T00:00:00"/>
    <d v="2024-07-22T00:00:00"/>
    <s v="الاثنين "/>
    <s v="شركة الدروى "/>
    <s v="محمود الدروى  "/>
    <s v="المرور الدورى على تكيف ويب 11"/>
    <s v="تم العمل"/>
    <d v="1899-12-30T10:00:00"/>
    <d v="1899-12-30T11:00:00"/>
    <n v="4.166666666666663E-2"/>
    <s v="المطابع "/>
    <n v="3"/>
    <m/>
    <m/>
    <x v="1"/>
    <n v="5"/>
    <m/>
    <m/>
    <m/>
    <m/>
    <m/>
    <m/>
    <m/>
    <m/>
    <m/>
    <m/>
  </r>
  <r>
    <d v="2024-07-01T00:00:00"/>
    <d v="2024-07-22T00:00:00"/>
    <s v="الاثنين "/>
    <s v="شركة شلاندر "/>
    <s v="محمود السيد "/>
    <s v="استكمال تركيب الاسانسير "/>
    <s v="تم العمل"/>
    <d v="1899-12-30T10:00:00"/>
    <d v="1899-12-30T17:00:00"/>
    <n v="0.29166666666666669"/>
    <s v="المخزن الجديد "/>
    <n v="7"/>
    <m/>
    <m/>
    <x v="2"/>
    <n v="5"/>
    <m/>
    <m/>
    <m/>
    <m/>
    <m/>
    <m/>
    <m/>
    <m/>
    <m/>
    <m/>
  </r>
  <r>
    <d v="2024-07-01T00:00:00"/>
    <d v="2024-07-22T00:00:00"/>
    <s v="الاثنين "/>
    <s v="القطاع الهندسى "/>
    <s v="صابر ابراهيم "/>
    <s v="تركيب عجلات السلالم  المتحركة "/>
    <s v="تم العمل"/>
    <d v="1899-12-30T00:00:00"/>
    <d v="1899-12-30T16:00:00"/>
    <n v="0.66666666666666663"/>
    <s v="المخزن الجديد "/>
    <n v="3"/>
    <m/>
    <m/>
    <x v="2"/>
    <n v="5"/>
    <m/>
    <m/>
    <m/>
    <m/>
    <m/>
    <m/>
    <m/>
    <m/>
    <m/>
    <m/>
  </r>
  <r>
    <d v="2024-07-01T00:00:00"/>
    <d v="2024-07-22T00:00:00"/>
    <s v="الاثنين "/>
    <s v="الورشة الهندسية "/>
    <s v="مراد صالح  "/>
    <s v="عمل مكان لباب سلم الطوارىء"/>
    <s v="تم العمل"/>
    <d v="1899-12-30T10:00:00"/>
    <d v="1899-12-30T16:00:00"/>
    <n v="0.24999999999999994"/>
    <s v="المخزن الجديد "/>
    <n v="5.5"/>
    <m/>
    <m/>
    <x v="2"/>
    <n v="5"/>
    <m/>
    <m/>
    <m/>
    <m/>
    <m/>
    <m/>
    <m/>
    <m/>
    <m/>
    <m/>
  </r>
  <r>
    <d v="2024-07-01T00:00:00"/>
    <d v="2024-07-23T00:00:00"/>
    <s v="الثلاثاء "/>
    <s v="شركة الدروى "/>
    <s v="محمود الدروى  "/>
    <s v="صيانة تكييف غرفة السرفر "/>
    <s v="تم العمل"/>
    <d v="1899-12-30T11:00:00"/>
    <d v="1899-12-30T01:00:00"/>
    <n v="0.41666666666666663"/>
    <s v="المطابع "/>
    <n v="3"/>
    <m/>
    <m/>
    <x v="9"/>
    <n v="5"/>
    <m/>
    <m/>
    <m/>
    <m/>
    <m/>
    <m/>
    <m/>
    <m/>
    <m/>
    <m/>
  </r>
  <r>
    <d v="2024-07-01T00:00:00"/>
    <d v="2024-07-23T00:00:00"/>
    <s v="الثلاثاء "/>
    <s v="شركة ابداع "/>
    <s v="محمد عبد الستار   "/>
    <s v="تركيب مقابض وعمل صيانة "/>
    <s v="تم العمل"/>
    <d v="1899-12-30T11:00:00"/>
    <d v="1899-12-30T01:30:00"/>
    <n v="0.39583333333333331"/>
    <s v="المطابع "/>
    <n v="9.5"/>
    <m/>
    <m/>
    <x v="4"/>
    <n v="5"/>
    <s v=" "/>
    <m/>
    <m/>
    <m/>
    <m/>
    <m/>
    <m/>
    <m/>
    <m/>
    <m/>
  </r>
  <r>
    <d v="2024-07-01T00:00:00"/>
    <d v="2024-07-23T00:00:00"/>
    <s v="الثلاثاء "/>
    <s v="الشؤون الادارية "/>
    <s v="احمد سعيد    "/>
    <s v="صيانة تكييف وحدة السريفر  "/>
    <s v="تم العمل"/>
    <d v="1899-12-30T10:00:00"/>
    <d v="1899-12-30T02:00:00"/>
    <n v="0.33333333333333337"/>
    <s v="الفجالة"/>
    <n v="8"/>
    <m/>
    <m/>
    <x v="11"/>
    <n v="3"/>
    <s v=" عدم فتح توقبت بداية التصريح وغلقة "/>
    <m/>
    <m/>
    <m/>
    <m/>
    <m/>
    <m/>
    <m/>
    <m/>
    <m/>
  </r>
  <r>
    <d v="2024-07-01T00:00:00"/>
    <d v="2024-07-23T00:00:00"/>
    <s v="الثلاثاء "/>
    <s v="المصرية للاسكان "/>
    <s v="علاء احمد     "/>
    <s v="صيانة التكييف المركزى "/>
    <s v="تم العمل"/>
    <d v="1899-12-30T09:00:00"/>
    <d v="1899-12-30T12:00:00"/>
    <n v="0.125"/>
    <s v="البرج"/>
    <n v="3"/>
    <m/>
    <m/>
    <x v="3"/>
    <n v="5"/>
    <m/>
    <m/>
    <m/>
    <m/>
    <m/>
    <m/>
    <m/>
    <m/>
    <m/>
    <m/>
  </r>
  <r>
    <d v="2024-07-01T00:00:00"/>
    <d v="2024-07-23T00:00:00"/>
    <s v="الثلاثاء "/>
    <s v="القطاع الهندسى "/>
    <s v="صابر ابراهيم "/>
    <s v="مد كابلات كهرباء "/>
    <s v="تم العمل"/>
    <d v="1899-12-30T10:00:00"/>
    <d v="1899-12-30T17:00:00"/>
    <n v="0.29166666666666669"/>
    <s v="المخزن الجديد "/>
    <n v="3"/>
    <m/>
    <m/>
    <x v="2"/>
    <n v="5"/>
    <m/>
    <m/>
    <m/>
    <m/>
    <m/>
    <m/>
    <m/>
    <m/>
    <m/>
    <m/>
  </r>
  <r>
    <d v="2024-07-01T00:00:00"/>
    <d v="2024-07-23T00:00:00"/>
    <s v="الثلاثاء "/>
    <s v="شركة شلاندر "/>
    <s v="احمد  السيد "/>
    <s v="استكمال تركيب الاسانسير "/>
    <s v="تم العمل"/>
    <d v="1899-12-30T10:00:00"/>
    <d v="1899-12-30T17:00:00"/>
    <n v="0.29166666666666669"/>
    <s v="المخزن الجديد "/>
    <n v="7"/>
    <m/>
    <m/>
    <x v="2"/>
    <n v="5"/>
    <m/>
    <m/>
    <m/>
    <m/>
    <m/>
    <m/>
    <m/>
    <m/>
    <m/>
    <m/>
  </r>
  <r>
    <d v="2024-07-01T00:00:00"/>
    <d v="2024-07-23T00:00:00"/>
    <s v="الثلاثاء "/>
    <s v="الورشة الهندسية "/>
    <s v="مراد صالح  "/>
    <s v="اعمال البناء "/>
    <s v="تم العمل"/>
    <d v="1899-12-30T10:00:00"/>
    <d v="1899-12-30T16:00:00"/>
    <n v="0.24999999999999994"/>
    <s v="المخزن الجديد "/>
    <n v="5.5"/>
    <m/>
    <m/>
    <x v="2"/>
    <n v="5"/>
    <m/>
    <m/>
    <m/>
    <m/>
    <m/>
    <m/>
    <m/>
    <m/>
    <m/>
    <m/>
  </r>
  <r>
    <d v="2024-07-01T00:00:00"/>
    <d v="2024-07-24T00:00:00"/>
    <s v="الاربعاء "/>
    <s v="العشرى للمقاولات "/>
    <s v="عبد الله مبارك     "/>
    <s v="تركيبات  "/>
    <s v="تم العمل"/>
    <d v="1899-12-30T12:30:00"/>
    <d v="1899-12-30T16:00:00"/>
    <n v="0.14583333333333326"/>
    <s v="البرج"/>
    <n v="3.4999999999999982"/>
    <m/>
    <m/>
    <x v="3"/>
    <n v="5"/>
    <m/>
    <m/>
    <m/>
    <m/>
    <m/>
    <m/>
    <m/>
    <m/>
    <m/>
    <m/>
  </r>
  <r>
    <d v="2024-07-01T00:00:00"/>
    <d v="2024-07-24T00:00:00"/>
    <s v="الاربعاء "/>
    <s v="شركة اوزوريون "/>
    <s v="مراد صالح  "/>
    <s v="تكسير خزان الاطفاء "/>
    <s v="تم العمل"/>
    <d v="1899-12-30T10:00:00"/>
    <d v="1899-12-30T16:00:00"/>
    <n v="0.24999999999999994"/>
    <s v="المخزن القديم "/>
    <n v="5.9999999999999982"/>
    <m/>
    <m/>
    <x v="9"/>
    <n v="5"/>
    <s v=" "/>
    <m/>
    <m/>
    <m/>
    <m/>
    <m/>
    <m/>
    <m/>
    <m/>
    <m/>
  </r>
  <r>
    <d v="2024-07-01T00:00:00"/>
    <d v="2024-07-24T00:00:00"/>
    <s v="الاربعاء "/>
    <s v="الشؤون الادارية "/>
    <s v="احمد حسن "/>
    <s v="صيانة العربية الهاند بالن "/>
    <s v="تم العمل"/>
    <d v="1899-12-30T10:30:00"/>
    <d v="1899-12-30T11:30:00"/>
    <n v="4.1666666666666685E-2"/>
    <s v="الفجالة"/>
    <n v="1.0000000000000004"/>
    <m/>
    <m/>
    <x v="11"/>
    <n v="5"/>
    <s v=" "/>
    <m/>
    <m/>
    <m/>
    <m/>
    <m/>
    <m/>
    <m/>
    <m/>
    <m/>
  </r>
  <r>
    <d v="2024-07-01T00:00:00"/>
    <d v="2024-07-24T00:00:00"/>
    <s v="الاربعاء "/>
    <s v="شركة شلاندر "/>
    <s v="عبد الرحمن حسين "/>
    <s v="استكمال تركيب الاسانسير "/>
    <s v="تم العمل"/>
    <d v="1899-12-30T10:00:00"/>
    <d v="1899-12-30T17:00:00"/>
    <n v="0.29166666666666669"/>
    <s v="المخزن الجديد "/>
    <n v="7"/>
    <m/>
    <m/>
    <x v="2"/>
    <n v="5"/>
    <m/>
    <m/>
    <m/>
    <m/>
    <m/>
    <m/>
    <m/>
    <m/>
    <m/>
    <m/>
  </r>
  <r>
    <d v="2024-07-01T00:00:00"/>
    <d v="2024-07-25T00:00:00"/>
    <s v="الخميس "/>
    <s v="شركة اوزوريون "/>
    <s v="مراد صالح  "/>
    <s v="احلال وتجديدخزان الاطفاء "/>
    <s v="تم العمل"/>
    <d v="1899-12-30T10:00:00"/>
    <d v="1899-12-30T16:00:00"/>
    <n v="0.24999999999999994"/>
    <s v="المخزن القديم "/>
    <n v="5.9999999999999982"/>
    <m/>
    <m/>
    <x v="9"/>
    <n v="5"/>
    <s v=" "/>
    <m/>
    <m/>
    <m/>
    <m/>
    <m/>
    <m/>
    <m/>
    <m/>
    <m/>
  </r>
  <r>
    <d v="2024-07-01T00:00:00"/>
    <d v="2024-07-25T00:00:00"/>
    <s v="الخميس "/>
    <s v="شركة اوزوريون "/>
    <s v="عمرو فاروق      "/>
    <s v="انشاءات  "/>
    <s v="تم العمل"/>
    <d v="1899-12-30T11:00:00"/>
    <d v="1899-12-30T16:30:00"/>
    <n v="0.22916666666666669"/>
    <s v="البرج"/>
    <n v="5.5"/>
    <m/>
    <m/>
    <x v="3"/>
    <n v="5"/>
    <m/>
    <m/>
    <m/>
    <m/>
    <m/>
    <m/>
    <m/>
    <m/>
    <m/>
    <m/>
  </r>
  <r>
    <d v="2024-07-01T00:00:00"/>
    <d v="2024-07-25T00:00:00"/>
    <s v="الخميس "/>
    <s v="شركة شلاندر "/>
    <s v="انس احمد  "/>
    <s v="توصيل كهرباء المصعد "/>
    <s v="تم العمل"/>
    <d v="1899-12-30T21:30:00"/>
    <d v="1899-12-30T17:00:00"/>
    <n v="0.1875"/>
    <s v="المخزن الجديد "/>
    <n v="4.5"/>
    <m/>
    <m/>
    <x v="4"/>
    <n v="3"/>
    <s v="عدم غلق التصريح "/>
    <m/>
    <m/>
    <m/>
    <m/>
    <m/>
    <m/>
    <m/>
    <m/>
    <m/>
  </r>
  <r>
    <d v="2024-07-01T00:00:00"/>
    <d v="2024-07-25T00:00:00"/>
    <s v="الخميس "/>
    <s v="الشؤون الادارية "/>
    <s v="علاء احمد "/>
    <s v="صيانة عامة  تكييف "/>
    <s v="تم العمل"/>
    <d v="1899-12-30T10:00:00"/>
    <d v="1899-12-30T16:30:00"/>
    <n v="0.27083333333333331"/>
    <s v="المطابع "/>
    <n v="3"/>
    <m/>
    <m/>
    <x v="13"/>
    <n v="5"/>
    <m/>
    <m/>
    <m/>
    <m/>
    <m/>
    <m/>
    <m/>
    <m/>
    <m/>
    <m/>
  </r>
  <r>
    <d v="2024-07-01T00:00:00"/>
    <d v="2024-07-25T00:00:00"/>
    <s v="الخميس "/>
    <s v="شركة شلاندر "/>
    <s v="عبد الرحمن حسين "/>
    <s v="استكمال تركيب الاسانسير "/>
    <s v="تم العمل"/>
    <d v="1899-12-30T21:30:00"/>
    <d v="1899-12-30T17:00:00"/>
    <n v="0.1875"/>
    <s v="المخزن الجديد "/>
    <n v="4.5"/>
    <m/>
    <m/>
    <x v="4"/>
    <n v="3"/>
    <s v="عدم غلق التصريح "/>
    <m/>
    <m/>
    <m/>
    <m/>
    <m/>
    <m/>
    <m/>
    <m/>
    <m/>
  </r>
  <r>
    <d v="2024-07-01T00:00:00"/>
    <d v="2024-07-27T00:00:00"/>
    <s v="السبت "/>
    <s v="الشؤون الادارية "/>
    <s v="علاء احمد "/>
    <s v="تركيب تكييف فى غرفة المراقب المالى "/>
    <s v="تم العمل"/>
    <d v="1899-12-30T13:00:00"/>
    <d v="1899-12-30T15:00:00"/>
    <n v="8.333333333333337E-2"/>
    <s v="الفجالة"/>
    <n v="2.0000000000000009"/>
    <m/>
    <m/>
    <x v="11"/>
    <n v="5"/>
    <s v=" "/>
    <m/>
    <m/>
    <m/>
    <m/>
    <m/>
    <m/>
    <m/>
    <m/>
    <m/>
  </r>
  <r>
    <d v="2024-07-01T00:00:00"/>
    <d v="2024-07-27T00:00:00"/>
    <s v="السبت "/>
    <s v="شركة الفرج"/>
    <s v="حماده شعبان   "/>
    <s v="فك فراشة الشوارع "/>
    <s v="تم العمل"/>
    <d v="1899-12-30T01:30:00"/>
    <d v="1899-12-30T17:00:00"/>
    <n v="0.64583333333333337"/>
    <s v="المخزن القديم "/>
    <n v="3"/>
    <m/>
    <m/>
    <x v="6"/>
    <n v="5"/>
    <m/>
    <m/>
    <m/>
    <m/>
    <m/>
    <m/>
    <m/>
    <m/>
    <m/>
    <m/>
  </r>
  <r>
    <d v="2024-07-01T00:00:00"/>
    <d v="2024-07-27T00:00:00"/>
    <s v="السبت "/>
    <s v="شركة الدروى "/>
    <s v="محمود عويس  "/>
    <s v="صيانةكولدير المياه "/>
    <s v="تم العمل"/>
    <d v="1899-12-30T16:00:00"/>
    <d v="1899-12-30T20:30:00"/>
    <n v="0.1875"/>
    <s v="المخزن القديم "/>
    <n v="3"/>
    <m/>
    <m/>
    <x v="6"/>
    <n v="5"/>
    <m/>
    <m/>
    <m/>
    <m/>
    <m/>
    <m/>
    <m/>
    <m/>
    <m/>
    <m/>
  </r>
  <r>
    <d v="2024-07-01T00:00:00"/>
    <d v="2024-07-27T00:00:00"/>
    <s v="السبت "/>
    <s v="شركة الدروى "/>
    <s v="محمود عويس  "/>
    <s v="صيانة تكييف كولبس 5 وصيانة عامة"/>
    <s v="تم العمل"/>
    <d v="1899-12-30T01:00:00"/>
    <d v="1899-12-30T16:00:00"/>
    <n v="0.625"/>
    <s v="المطابع "/>
    <n v="3"/>
    <m/>
    <m/>
    <x v="7"/>
    <n v="5"/>
    <m/>
    <m/>
    <m/>
    <m/>
    <m/>
    <m/>
    <m/>
    <m/>
    <m/>
    <m/>
  </r>
  <r>
    <d v="2024-07-01T00:00:00"/>
    <d v="2024-07-27T00:00:00"/>
    <s v="السبت "/>
    <s v="شركة شلاندر "/>
    <s v="عبد الرحمن حسين "/>
    <s v="استكمال تركيب الاسانسير "/>
    <s v="تم العمل"/>
    <d v="1899-12-30T10:00:00"/>
    <d v="1899-12-30T17:00:00"/>
    <n v="0.29166666666666669"/>
    <s v="المخزن الجديد "/>
    <n v="7"/>
    <m/>
    <m/>
    <x v="1"/>
    <n v="5"/>
    <m/>
    <m/>
    <m/>
    <m/>
    <m/>
    <m/>
    <m/>
    <m/>
    <m/>
    <m/>
  </r>
  <r>
    <d v="2024-07-01T00:00:00"/>
    <d v="2024-07-27T00:00:00"/>
    <s v="السبت "/>
    <s v="شركة اوزوريون "/>
    <s v="مرادصالح "/>
    <s v="فك خشب عامود باب الطوارىء "/>
    <s v="تم العمل"/>
    <d v="1899-12-30T10:00:00"/>
    <d v="1899-12-30T12:00:00"/>
    <n v="8.3333333333333315E-2"/>
    <s v="المخزن الجديد "/>
    <n v="1.9999999999999996"/>
    <m/>
    <m/>
    <x v="1"/>
    <n v="5"/>
    <m/>
    <m/>
    <m/>
    <m/>
    <m/>
    <m/>
    <m/>
    <m/>
    <m/>
    <m/>
  </r>
  <r>
    <d v="2024-07-01T00:00:00"/>
    <d v="2024-07-28T00:00:00"/>
    <s v="الاحد "/>
    <s v="شركة الكريم "/>
    <s v="حامد ابو المحاميد "/>
    <s v="الزيارة  الشهرية المرور على خط الحريق  "/>
    <s v="تم العمل"/>
    <d v="1899-12-30T10:30:00"/>
    <d v="1899-12-30T03:00:00"/>
    <n v="0.3125"/>
    <s v="المطابع "/>
    <n v="7.5"/>
    <m/>
    <m/>
    <x v="5"/>
    <n v="5"/>
    <m/>
    <m/>
    <m/>
    <m/>
    <m/>
    <m/>
    <m/>
    <m/>
    <m/>
    <m/>
  </r>
  <r>
    <d v="2024-07-01T00:00:00"/>
    <d v="2024-07-28T00:00:00"/>
    <s v="الاحد "/>
    <s v="الشؤون الادارية "/>
    <s v="مصطفى محمد "/>
    <s v="قص الاشجار "/>
    <s v="تم العمل"/>
    <d v="1899-12-30T10:30:00"/>
    <d v="1899-12-30T14:30:00"/>
    <n v="0.16666666666666663"/>
    <s v="المطابع "/>
    <n v="3"/>
    <m/>
    <m/>
    <x v="6"/>
    <n v="5"/>
    <m/>
    <m/>
    <m/>
    <m/>
    <m/>
    <m/>
    <m/>
    <m/>
    <m/>
    <m/>
  </r>
  <r>
    <d v="2024-07-01T00:00:00"/>
    <d v="2024-07-28T00:00:00"/>
    <s v="الاحد "/>
    <s v="شركة الدروى "/>
    <s v="محمود عويس  "/>
    <s v="تركيب  تكييف كولبس 5"/>
    <s v="تم العمل"/>
    <d v="1899-12-30T02:30:00"/>
    <d v="1899-12-30T03:00:00"/>
    <n v="2.0833333333333329E-2"/>
    <s v="المطابع "/>
    <n v="3"/>
    <m/>
    <m/>
    <x v="0"/>
    <n v="5"/>
    <m/>
    <m/>
    <m/>
    <m/>
    <m/>
    <m/>
    <m/>
    <m/>
    <m/>
    <m/>
  </r>
  <r>
    <d v="2024-07-01T00:00:00"/>
    <d v="2024-07-28T00:00:00"/>
    <s v="الاحد "/>
    <s v="شركة شلاندر "/>
    <s v="احمد السيد "/>
    <s v="استكمال تركيب الاسانسير "/>
    <s v="تم العمل"/>
    <d v="1899-12-30T10:00:00"/>
    <d v="1899-12-30T17:00:00"/>
    <n v="0.29166666666666669"/>
    <s v="المخزن الجديد "/>
    <n v="7"/>
    <m/>
    <m/>
    <x v="2"/>
    <n v="5"/>
    <m/>
    <m/>
    <m/>
    <m/>
    <m/>
    <m/>
    <m/>
    <m/>
    <m/>
    <m/>
  </r>
  <r>
    <d v="2024-07-01T00:00:00"/>
    <d v="2024-07-28T00:00:00"/>
    <s v="الاحد "/>
    <s v="الورشة الهندسية "/>
    <s v="مراد صالح  "/>
    <s v="تركيب باب الطوارىء"/>
    <s v="تم العمل"/>
    <d v="1899-12-30T10:00:00"/>
    <d v="1899-12-30T14:00:00"/>
    <n v="0.16666666666666669"/>
    <s v="المخزن الجديد "/>
    <n v="5.5"/>
    <m/>
    <m/>
    <x v="2"/>
    <n v="5"/>
    <m/>
    <m/>
    <m/>
    <m/>
    <m/>
    <m/>
    <m/>
    <m/>
    <m/>
    <m/>
  </r>
  <r>
    <d v="2024-07-01T00:00:00"/>
    <d v="2024-07-29T00:00:00"/>
    <s v="الاثنين "/>
    <s v="شركة سكوير "/>
    <s v="مراد صالح  "/>
    <s v="تركيب رخام لباب الامن الجديد "/>
    <s v="تم العمل"/>
    <d v="1899-12-30T00:00:00"/>
    <d v="1899-12-30T16:00:00"/>
    <n v="0.66666666666666663"/>
    <s v="المخزن الجديد "/>
    <n v="5.5"/>
    <m/>
    <m/>
    <x v="2"/>
    <n v="5"/>
    <m/>
    <m/>
    <m/>
    <m/>
    <m/>
    <m/>
    <m/>
    <m/>
    <m/>
    <m/>
  </r>
  <r>
    <d v="2024-07-01T00:00:00"/>
    <d v="2024-07-29T00:00:00"/>
    <s v="الاثنين "/>
    <s v="شركة اوزوريون "/>
    <s v="مراد صالح  "/>
    <s v="احلال وتجديدخزان الاطفاء "/>
    <s v="تم العمل"/>
    <d v="1899-12-30T10:00:00"/>
    <d v="1899-12-30T15:00:00"/>
    <n v="0.20833333333333331"/>
    <s v="المخزن القديم "/>
    <n v="5"/>
    <m/>
    <m/>
    <x v="9"/>
    <n v="4"/>
    <s v=" عدم غلق التصريح "/>
    <m/>
    <m/>
    <m/>
    <m/>
    <m/>
    <m/>
    <m/>
    <m/>
    <m/>
  </r>
  <r>
    <d v="2024-07-01T00:00:00"/>
    <d v="2024-07-29T00:00:00"/>
    <s v="الاثنين "/>
    <s v="شركة الدروى "/>
    <s v="محمود عويس  "/>
    <s v="صيانة تكيفات "/>
    <s v="تم العمل"/>
    <d v="1899-12-30T11:00:00"/>
    <d v="1899-12-30T16:00:00"/>
    <n v="0.20833333333333331"/>
    <s v="المطابع "/>
    <n v="3"/>
    <m/>
    <m/>
    <x v="1"/>
    <n v="5"/>
    <m/>
    <m/>
    <m/>
    <m/>
    <m/>
    <m/>
    <m/>
    <m/>
    <m/>
    <m/>
  </r>
  <r>
    <d v="2024-07-01T00:00:00"/>
    <d v="2024-07-29T00:00:00"/>
    <s v="الاثنين "/>
    <s v="شركة الكريم "/>
    <s v="حامد ابو المحاميد   "/>
    <s v=" الزيارة الشهرية وصيانة فى غرفة الطلمبات "/>
    <s v="تم العمل"/>
    <d v="1899-12-30T00:00:00"/>
    <d v="1899-12-30T20:00:00"/>
    <n v="0.83333333333333337"/>
    <s v="المخزن القديم "/>
    <n v="3"/>
    <m/>
    <m/>
    <x v="9"/>
    <n v="3"/>
    <s v=" عدم غلق التصريح  وناقص توقيعات "/>
    <m/>
    <m/>
    <m/>
    <m/>
    <m/>
    <m/>
    <m/>
    <m/>
    <m/>
  </r>
  <r>
    <d v="2024-07-01T00:00:00"/>
    <d v="2024-07-29T00:00:00"/>
    <s v="الاثنين "/>
    <s v="الشؤون الادارية "/>
    <s v="احمد حسن "/>
    <s v="تركيب اللوحة الضوئية "/>
    <s v="تم العمل"/>
    <d v="1899-12-30T13:00:00"/>
    <d v="1899-12-30T14:30:00"/>
    <n v="6.25E-2"/>
    <s v="الفجالة"/>
    <n v="1.5"/>
    <m/>
    <m/>
    <x v="11"/>
    <n v="5"/>
    <s v=" "/>
    <m/>
    <m/>
    <m/>
    <m/>
    <m/>
    <m/>
    <m/>
    <m/>
    <m/>
  </r>
  <r>
    <d v="2024-07-01T00:00:00"/>
    <d v="2024-07-29T00:00:00"/>
    <s v="الاثنين "/>
    <s v="شركة اوزوريون "/>
    <s v="مراد صالح  "/>
    <s v="اعمال محارة وبناء "/>
    <s v="تم العمل"/>
    <d v="1899-12-30T11:00:00"/>
    <d v="1899-12-30T15:00:00"/>
    <n v="0.16666666666666669"/>
    <s v="المخزن القديم "/>
    <n v="4"/>
    <m/>
    <m/>
    <x v="2"/>
    <n v="5"/>
    <m/>
    <m/>
    <m/>
    <m/>
    <m/>
    <m/>
    <m/>
    <m/>
    <m/>
    <m/>
  </r>
  <r>
    <d v="2024-07-01T00:00:00"/>
    <d v="2024-07-29T00:00:00"/>
    <s v="الاثنين "/>
    <s v="القطاع الهندسى "/>
    <s v="صابر ابراهيم "/>
    <s v="تركيب باب فى مخزن CD"/>
    <s v="تم العمل"/>
    <d v="1899-12-30T11:00:00"/>
    <d v="1899-12-30T15:00:00"/>
    <n v="0.16666666666666669"/>
    <s v="المطابع "/>
    <n v="3"/>
    <m/>
    <m/>
    <x v="6"/>
    <n v="5"/>
    <m/>
    <m/>
    <m/>
    <m/>
    <m/>
    <m/>
    <m/>
    <m/>
    <m/>
    <m/>
  </r>
  <r>
    <d v="2024-07-01T00:00:00"/>
    <d v="2024-07-30T00:00:00"/>
    <s v="الثلاثاء "/>
    <s v="شركة نما "/>
    <s v="مصطفى حمزة "/>
    <s v="صيانة كبروسر الهواء "/>
    <s v="تم العمل"/>
    <d v="1899-12-30T00:30:00"/>
    <d v="1899-12-30T17:00:00"/>
    <n v="0.6875"/>
    <s v="المطابع "/>
    <n v="3"/>
    <m/>
    <m/>
    <x v="5"/>
    <n v="5"/>
    <m/>
    <m/>
    <m/>
    <m/>
    <m/>
    <m/>
    <m/>
    <m/>
    <m/>
    <m/>
  </r>
  <r>
    <d v="2024-07-01T00:00:00"/>
    <d v="2024-07-30T00:00:00"/>
    <s v="الثلاثاء "/>
    <s v="شركة الكريم "/>
    <s v="حامد ابو المحاميد "/>
    <s v="الزيارة الشهرية والمرور علىخط الحريق "/>
    <s v="تم العمل"/>
    <d v="1899-12-30T15:00:00"/>
    <d v="1899-12-30T16:00:00"/>
    <n v="4.166666666666663E-2"/>
    <s v="المخزن الجديد "/>
    <n v="0.99999999999999911"/>
    <m/>
    <m/>
    <x v="2"/>
    <n v="5"/>
    <m/>
    <m/>
    <m/>
    <m/>
    <m/>
    <m/>
    <m/>
    <m/>
    <m/>
    <m/>
  </r>
  <r>
    <d v="2024-07-01T00:00:00"/>
    <d v="2024-07-30T00:00:00"/>
    <s v="الثلاثاء "/>
    <s v="شركة اوزوريون "/>
    <s v="مراد صالح  "/>
    <s v="احلال وتجديدخزان الحريق "/>
    <s v="تم العمل"/>
    <d v="1899-12-30T10:00:00"/>
    <d v="1899-12-30T15:00:00"/>
    <n v="0.20833333333333331"/>
    <s v="المخزن القديم "/>
    <n v="5"/>
    <m/>
    <m/>
    <x v="9"/>
    <n v="5"/>
    <m/>
    <m/>
    <m/>
    <m/>
    <m/>
    <m/>
    <m/>
    <m/>
    <m/>
    <m/>
  </r>
  <r>
    <d v="2024-07-01T00:00:00"/>
    <d v="2024-07-30T00:00:00"/>
    <s v="الثلاثاء "/>
    <s v="شركة الفرج"/>
    <s v="الحاج فرج  "/>
    <s v="فك فراشة الشوارع "/>
    <s v="تم العمل"/>
    <d v="1899-12-30T10:00:00"/>
    <d v="1899-12-30T15:00:00"/>
    <n v="0.20833333333333331"/>
    <s v="المخزن القديم "/>
    <n v="3"/>
    <m/>
    <m/>
    <x v="9"/>
    <n v="5"/>
    <m/>
    <m/>
    <m/>
    <m/>
    <m/>
    <m/>
    <m/>
    <m/>
    <m/>
    <m/>
  </r>
  <r>
    <d v="2024-07-01T00:00:00"/>
    <d v="2024-07-30T00:00:00"/>
    <s v="الثلاثاء "/>
    <s v="شركة اوزوريون "/>
    <s v="مراد صالح  "/>
    <s v="تحميل كسر باللودر "/>
    <s v="تم العمل"/>
    <d v="1899-12-30T11:00:00"/>
    <d v="1899-12-30T14:00:00"/>
    <n v="0.12500000000000006"/>
    <s v="المخزن القديم "/>
    <n v="3.0000000000000013"/>
    <m/>
    <m/>
    <x v="9"/>
    <n v="3"/>
    <s v=" عدم غلق التصريح  وناقص توقيعات "/>
    <m/>
    <m/>
    <m/>
    <m/>
    <m/>
    <m/>
    <m/>
    <m/>
    <m/>
  </r>
  <r>
    <d v="2024-07-01T00:00:00"/>
    <d v="2024-07-30T00:00:00"/>
    <s v="الثلاثاء "/>
    <s v="شركة الكريم "/>
    <s v="حامد ابو المحاميد "/>
    <s v="الزيارة الشهرية والمرور على خط الحريق "/>
    <s v="تم العمل"/>
    <d v="1899-12-30T10:00:00"/>
    <d v="1899-12-30T15:00:00"/>
    <n v="0.20833333333333331"/>
    <s v="المخزن القديم "/>
    <n v="5"/>
    <m/>
    <m/>
    <x v="9"/>
    <n v="5"/>
    <m/>
    <m/>
    <m/>
    <m/>
    <m/>
    <m/>
    <m/>
    <m/>
    <m/>
    <m/>
  </r>
  <r>
    <d v="2024-07-01T00:00:00"/>
    <d v="2024-07-30T00:00:00"/>
    <s v="الثلاثاء "/>
    <s v="الشؤون الادارية "/>
    <s v="احمد سعيد "/>
    <s v="عمل صيانة للكلدير "/>
    <s v="تم العمل"/>
    <d v="1899-12-30T14:00:00"/>
    <d v="1899-12-30T15:00:00"/>
    <n v="4.166666666666663E-2"/>
    <s v="المخزن القديم "/>
    <n v="3"/>
    <m/>
    <m/>
    <x v="9"/>
    <n v="5"/>
    <m/>
    <m/>
    <m/>
    <m/>
    <m/>
    <m/>
    <m/>
    <m/>
    <m/>
    <m/>
  </r>
  <r>
    <d v="2024-07-01T00:00:00"/>
    <d v="2024-07-30T00:00:00"/>
    <s v="الثلاثاء "/>
    <s v="شركة الدروى "/>
    <s v="محمود عويس  "/>
    <s v="صيانة تكيفات "/>
    <s v="تم العمل"/>
    <d v="1899-12-30T21:30:00"/>
    <d v="1899-12-30T10:30:00"/>
    <n v="0.45833333333333337"/>
    <s v="المطابع "/>
    <n v="3"/>
    <m/>
    <m/>
    <x v="1"/>
    <n v="5"/>
    <m/>
    <m/>
    <m/>
    <m/>
    <m/>
    <m/>
    <m/>
    <m/>
    <m/>
    <m/>
  </r>
  <r>
    <d v="2024-07-01T00:00:00"/>
    <d v="2024-07-31T00:00:00"/>
    <s v="الاربعاء "/>
    <s v="شركة الامل "/>
    <s v="رامى محمد "/>
    <s v="تركيب باب "/>
    <s v="تم العمل"/>
    <d v="1899-12-30T14:00:00"/>
    <d v="1899-12-30T15:00:00"/>
    <n v="4.166666666666663E-2"/>
    <s v="المطابع "/>
    <n v="3"/>
    <m/>
    <m/>
    <x v="5"/>
    <n v="5"/>
    <m/>
    <m/>
    <m/>
    <m/>
    <m/>
    <m/>
    <m/>
    <m/>
    <m/>
    <m/>
  </r>
  <r>
    <d v="2024-07-01T00:00:00"/>
    <d v="2024-07-31T00:00:00"/>
    <s v="الاربعاء "/>
    <s v="شركة اوزوريون "/>
    <s v="مراد صالح  "/>
    <s v="احلال وتجديدخزان الحريق "/>
    <s v="تم العمل"/>
    <d v="1899-12-30T21:30:00"/>
    <d v="1899-12-30T15:00:00"/>
    <n v="0.27083333333333337"/>
    <s v="المخزن القديم "/>
    <n v="6.5000000000000009"/>
    <m/>
    <m/>
    <x v="9"/>
    <n v="5"/>
    <m/>
    <m/>
    <m/>
    <m/>
    <m/>
    <m/>
    <m/>
    <m/>
    <m/>
    <m/>
  </r>
  <r>
    <d v="2024-08-01T00:00:00"/>
    <d v="2024-08-01T00:00:00"/>
    <s v="الخميس "/>
    <s v="الشؤون الادارية "/>
    <s v="احمد حسن "/>
    <s v="فك تكييف قديم من المكتبة "/>
    <s v="تم العمل"/>
    <d v="1899-12-30T15:30:00"/>
    <d v="1899-12-30T16:00:00"/>
    <n v="2.0833333333333259E-2"/>
    <s v="الفجالة"/>
    <n v="0.49999999999999822"/>
    <m/>
    <m/>
    <x v="11"/>
    <n v="5"/>
    <s v=" "/>
    <m/>
    <m/>
    <m/>
    <m/>
    <m/>
    <m/>
    <m/>
    <m/>
    <m/>
  </r>
  <r>
    <d v="2024-08-01T00:00:00"/>
    <d v="2024-08-01T00:00:00"/>
    <s v="الخميس "/>
    <s v="شركة الدروى "/>
    <s v="محمود عويس  "/>
    <s v="صيانة تكييف "/>
    <s v="تم العمل"/>
    <d v="1899-12-30T15:00:00"/>
    <d v="1899-12-30T16:00:00"/>
    <n v="4.166666666666663E-2"/>
    <s v="المطابع "/>
    <n v="0.99999999999999911"/>
    <m/>
    <m/>
    <x v="1"/>
    <n v="5"/>
    <s v=" "/>
    <m/>
    <m/>
    <m/>
    <m/>
    <m/>
    <m/>
    <m/>
    <m/>
    <m/>
  </r>
  <r>
    <d v="2024-08-01T00:00:00"/>
    <d v="2024-08-02T00:00:00"/>
    <s v="الجمعة "/>
    <s v="الشؤون الادارية "/>
    <s v="محمد شكرى "/>
    <s v="صيانة تكييف وحدة السريفر  "/>
    <s v="تم العمل"/>
    <d v="1899-12-30T18:00:00"/>
    <d v="1899-12-30T19:30:00"/>
    <n v="6.25E-2"/>
    <s v="الفجالة"/>
    <n v="1.5"/>
    <m/>
    <m/>
    <x v="11"/>
    <n v="5"/>
    <s v=" "/>
    <m/>
    <m/>
    <m/>
    <m/>
    <m/>
    <m/>
    <m/>
    <m/>
    <m/>
  </r>
  <r>
    <d v="2024-08-01T00:00:00"/>
    <d v="2024-08-03T00:00:00"/>
    <s v="السبت "/>
    <s v="شركة اوزوريون "/>
    <s v="احمد زنفل "/>
    <s v="رفع وازالة التكسير "/>
    <s v="تم العمل"/>
    <d v="1899-12-30T11:00:00"/>
    <d v="1899-12-30T15:00:00"/>
    <n v="0.16666666666666669"/>
    <s v="المخزن القديم "/>
    <n v="4"/>
    <m/>
    <m/>
    <x v="5"/>
    <n v="5"/>
    <m/>
    <m/>
    <m/>
    <m/>
    <m/>
    <m/>
    <m/>
    <m/>
    <m/>
    <m/>
  </r>
  <r>
    <d v="2024-08-01T00:00:00"/>
    <d v="2024-08-03T00:00:00"/>
    <s v="السبت "/>
    <s v="شركة الفرج"/>
    <s v="احمد فرج   "/>
    <s v="فك وازالة الفراشة "/>
    <s v="تم العمل"/>
    <d v="1899-12-30T10:30:00"/>
    <d v="1899-12-30T17:30:00"/>
    <n v="0.29166666666666663"/>
    <s v="المخزن القديم "/>
    <n v="3"/>
    <m/>
    <m/>
    <x v="5"/>
    <n v="5"/>
    <m/>
    <m/>
    <m/>
    <m/>
    <m/>
    <m/>
    <m/>
    <m/>
    <m/>
    <m/>
  </r>
  <r>
    <d v="2024-08-01T00:00:00"/>
    <d v="2024-08-03T00:00:00"/>
    <s v="السبت "/>
    <s v="الشؤون الادارية "/>
    <s v="محمد شكرى "/>
    <s v="صيانة تكييف وحدة السريفر  "/>
    <s v="تم العمل"/>
    <d v="1899-12-30T00:00:00"/>
    <d v="1899-12-30T07:00:00"/>
    <n v="0.29166666666666669"/>
    <s v="الفجالة"/>
    <n v="7"/>
    <m/>
    <m/>
    <x v="11"/>
    <n v="3"/>
    <s v="نافص توقيعات وعدم غلق التصريح "/>
    <m/>
    <m/>
    <m/>
    <m/>
    <m/>
    <m/>
    <m/>
    <m/>
    <m/>
  </r>
  <r>
    <d v="2024-08-01T00:00:00"/>
    <d v="2024-08-03T00:00:00"/>
    <s v="السبت "/>
    <s v="الشؤون الادارية "/>
    <s v="مجدى كرم  "/>
    <s v="تغطية ملاحظات بالكهرباء "/>
    <s v="تم العمل"/>
    <d v="1899-12-30T21:00:00"/>
    <d v="1899-12-30T12:00:00"/>
    <n v="0.375"/>
    <s v="الفجالة"/>
    <n v="9"/>
    <m/>
    <m/>
    <x v="11"/>
    <n v="4"/>
    <s v="ناقص توقيعات "/>
    <m/>
    <m/>
    <m/>
    <m/>
    <m/>
    <m/>
    <m/>
    <m/>
    <m/>
  </r>
  <r>
    <d v="2024-08-01T00:00:00"/>
    <d v="2024-08-04T00:00:00"/>
    <s v="الاحد "/>
    <s v="شركة جلوب ويل "/>
    <s v="اسلام مليجى "/>
    <s v="تغيير فلاتر المياه "/>
    <s v="تم العمل"/>
    <d v="1899-12-30T00:00:00"/>
    <d v="1899-12-30T12:30:00"/>
    <n v="0.52083333333333337"/>
    <s v="المطابع "/>
    <n v="3"/>
    <m/>
    <m/>
    <x v="8"/>
    <n v="4"/>
    <s v="عدم غلق التصريح "/>
    <m/>
    <m/>
    <m/>
    <m/>
    <m/>
    <m/>
    <m/>
    <m/>
    <m/>
  </r>
  <r>
    <d v="2024-08-01T00:00:00"/>
    <d v="2024-08-04T00:00:00"/>
    <s v="الاحد "/>
    <s v="لفت ايجبت "/>
    <s v="محمد شعبان "/>
    <s v="صيانة الكلاركات "/>
    <s v="تم العمل"/>
    <d v="1899-12-30T11:00:00"/>
    <d v="1899-12-30T00:00:00"/>
    <n v="0.45833333333333331"/>
    <s v="المخزن الجديد "/>
    <n v="3"/>
    <m/>
    <m/>
    <x v="2"/>
    <n v="5"/>
    <m/>
    <m/>
    <m/>
    <m/>
    <m/>
    <m/>
    <m/>
    <m/>
    <m/>
    <m/>
  </r>
  <r>
    <d v="2024-08-01T00:00:00"/>
    <d v="2024-08-04T00:00:00"/>
    <s v="الاحد "/>
    <s v="الشركة الالمانية "/>
    <s v="محمود احمد "/>
    <s v="الزيارة الشهرية  مكافحة القوارض "/>
    <s v="تم العمل"/>
    <d v="1899-12-30T14:00:00"/>
    <d v="1899-12-30T16:00:00"/>
    <n v="8.3333333333333259E-2"/>
    <s v="المخزن الجديد "/>
    <n v="3"/>
    <m/>
    <m/>
    <x v="2"/>
    <n v="5"/>
    <m/>
    <m/>
    <m/>
    <m/>
    <m/>
    <m/>
    <m/>
    <m/>
    <m/>
    <m/>
  </r>
  <r>
    <d v="2024-08-01T00:00:00"/>
    <d v="2024-08-04T00:00:00"/>
    <s v="الاحد "/>
    <s v="شركة اوزوريون "/>
    <s v="مراد صالح  "/>
    <s v="استكمال اعمال سلم الطوارىء  "/>
    <s v="تم العمل"/>
    <d v="1899-12-30T10:00:00"/>
    <d v="1899-12-30T17:00:00"/>
    <n v="0.29166666666666669"/>
    <s v="المخزن الجديد "/>
    <n v="3"/>
    <m/>
    <m/>
    <x v="2"/>
    <n v="5"/>
    <m/>
    <m/>
    <m/>
    <m/>
    <m/>
    <m/>
    <m/>
    <m/>
    <m/>
    <m/>
  </r>
  <r>
    <d v="2024-08-01T00:00:00"/>
    <d v="2024-08-04T00:00:00"/>
    <s v="الاحد "/>
    <s v="شركة شلاندر "/>
    <s v="احمد السيد "/>
    <s v="استكمال تركيب الاسانسير "/>
    <s v="تم العمل"/>
    <d v="1899-12-30T10:00:00"/>
    <d v="1899-12-30T17:00:00"/>
    <n v="0.29166666666666669"/>
    <s v="المخزن الجديد "/>
    <n v="7"/>
    <m/>
    <m/>
    <x v="2"/>
    <n v="5"/>
    <m/>
    <m/>
    <m/>
    <m/>
    <m/>
    <m/>
    <m/>
    <m/>
    <m/>
    <m/>
  </r>
  <r>
    <d v="2024-08-01T00:00:00"/>
    <d v="2024-08-04T00:00:00"/>
    <s v="الاحد "/>
    <s v="بازان "/>
    <s v="احمد مخيمر "/>
    <s v="تركيب الرشاشات "/>
    <s v="تم العمل"/>
    <d v="1899-12-30T10:00:00"/>
    <d v="1899-12-30T17:00:00"/>
    <n v="0.29166666666666669"/>
    <s v="المخزن الجديد "/>
    <n v="7"/>
    <m/>
    <m/>
    <x v="2"/>
    <n v="5"/>
    <m/>
    <m/>
    <m/>
    <m/>
    <m/>
    <m/>
    <m/>
    <m/>
    <m/>
    <m/>
  </r>
  <r>
    <d v="2024-08-01T00:00:00"/>
    <d v="2024-08-04T00:00:00"/>
    <s v="الاحد "/>
    <s v="الشركة الالمانية "/>
    <s v="محمود احمد "/>
    <s v="الزيارة الشهرية  مكافحة القوارض "/>
    <s v="تم العمل"/>
    <d v="1899-12-30T12:30:00"/>
    <d v="1899-12-30T14:00:00"/>
    <n v="6.25E-2"/>
    <s v="مخزن الوزارة"/>
    <n v="3"/>
    <m/>
    <m/>
    <x v="10"/>
    <n v="5"/>
    <m/>
    <m/>
    <m/>
    <m/>
    <m/>
    <m/>
    <m/>
    <m/>
    <m/>
    <m/>
  </r>
  <r>
    <d v="2024-08-01T00:00:00"/>
    <d v="2024-08-04T00:00:00"/>
    <s v="الاحد "/>
    <s v="مالك المخزن "/>
    <s v="فيكتور لاوندى "/>
    <s v="عمل لحام فى الرامب "/>
    <s v="تم العمل"/>
    <d v="1899-12-30T00:00:00"/>
    <d v="1899-12-30T17:00:00"/>
    <n v="0.70833333333333337"/>
    <s v="مخزن الوزارة"/>
    <n v="3"/>
    <m/>
    <m/>
    <x v="10"/>
    <n v="5"/>
    <m/>
    <m/>
    <m/>
    <m/>
    <m/>
    <m/>
    <m/>
    <m/>
    <m/>
    <m/>
  </r>
  <r>
    <d v="2024-08-01T00:00:00"/>
    <d v="2024-08-04T00:00:00"/>
    <s v="الاحد "/>
    <s v="شركة الفرج"/>
    <s v="احمد فرج   "/>
    <s v="فك وازالة الفراشة "/>
    <s v="تم العمل"/>
    <d v="1899-12-30T00:00:00"/>
    <d v="1899-12-30T15:00:00"/>
    <n v="0.625"/>
    <s v="المخزن القديم "/>
    <n v="3"/>
    <m/>
    <m/>
    <x v="9"/>
    <n v="5"/>
    <m/>
    <m/>
    <m/>
    <m/>
    <m/>
    <m/>
    <m/>
    <m/>
    <m/>
    <m/>
  </r>
  <r>
    <d v="2024-08-01T00:00:00"/>
    <d v="2024-08-04T00:00:00"/>
    <s v="الاحد "/>
    <s v="الشركة الالمانية "/>
    <s v="محمود احمد "/>
    <s v="الزيارة الشهرية  مكافحة القوارض "/>
    <s v="تم العمل"/>
    <d v="1899-12-30T11:00:00"/>
    <d v="1899-12-30T13:00:00"/>
    <n v="8.3333333333333315E-2"/>
    <s v="المخزن القديم "/>
    <n v="3"/>
    <m/>
    <m/>
    <x v="9"/>
    <n v="5"/>
    <m/>
    <m/>
    <m/>
    <m/>
    <m/>
    <m/>
    <m/>
    <m/>
    <m/>
    <m/>
  </r>
  <r>
    <d v="2024-08-01T00:00:00"/>
    <d v="2024-08-04T00:00:00"/>
    <s v="الاحد "/>
    <s v="شركة الدروى "/>
    <s v="محمود عويس  "/>
    <s v="صيانة تكييف "/>
    <s v="تم العمل"/>
    <d v="1899-12-30T19:00:00"/>
    <d v="1899-12-30T21:00:00"/>
    <n v="8.333333333333337E-2"/>
    <s v="المطابع "/>
    <n v="2.0000000000000009"/>
    <m/>
    <m/>
    <x v="10"/>
    <n v="5"/>
    <s v=" "/>
    <m/>
    <m/>
    <m/>
    <m/>
    <m/>
    <m/>
    <m/>
    <m/>
    <m/>
  </r>
  <r>
    <d v="2024-07-01T00:00:00"/>
    <d v="2024-08-05T00:00:00"/>
    <s v="الاثنين "/>
    <s v="شركة شلاندر "/>
    <s v="عبد الرحمن حسين "/>
    <s v="تركيب المصاعد "/>
    <s v="تم العمل"/>
    <d v="1899-12-30T10:00:00"/>
    <d v="1899-12-30T17:00:00"/>
    <n v="0.29166666666666669"/>
    <s v="المخزن الجديد "/>
    <n v="7"/>
    <m/>
    <m/>
    <x v="6"/>
    <n v="5"/>
    <m/>
    <m/>
    <m/>
    <m/>
    <m/>
    <m/>
    <m/>
    <m/>
    <m/>
    <m/>
  </r>
  <r>
    <d v="2024-08-01T00:00:00"/>
    <d v="2024-08-05T00:00:00"/>
    <s v="الاثنين "/>
    <s v="الشؤون الادارية "/>
    <s v="محمد جابر "/>
    <s v="تكسير خرسانة "/>
    <s v="تم العمل"/>
    <d v="1899-12-30T14:00:00"/>
    <d v="1899-12-30T19:00:00"/>
    <n v="0.20833333333333326"/>
    <s v="المطابع "/>
    <n v="4.9999999999999982"/>
    <m/>
    <m/>
    <x v="4"/>
    <n v="5"/>
    <s v=" "/>
    <m/>
    <m/>
    <m/>
    <m/>
    <m/>
    <m/>
    <m/>
    <m/>
    <m/>
  </r>
  <r>
    <d v="2024-08-01T00:00:00"/>
    <d v="2024-08-05T00:00:00"/>
    <s v="الاثنين "/>
    <s v="شركة اوزوريون "/>
    <s v="مراد صالح  "/>
    <s v=" اعمال دهان فى سلم الطوارىء  "/>
    <s v="تم العمل"/>
    <d v="1899-12-30T00:00:00"/>
    <d v="1899-12-30T14:00:00"/>
    <n v="0.58333333333333337"/>
    <s v="المخزن الجديد "/>
    <n v="3"/>
    <m/>
    <m/>
    <x v="6"/>
    <n v="5"/>
    <m/>
    <m/>
    <m/>
    <m/>
    <m/>
    <m/>
    <m/>
    <m/>
    <m/>
    <m/>
  </r>
  <r>
    <d v="2024-08-01T00:00:00"/>
    <d v="2024-08-05T00:00:00"/>
    <s v="الاثنين "/>
    <s v="بازان "/>
    <s v="احمد مخيمر "/>
    <s v="تركيب خط الحريق   "/>
    <s v="تم العمل"/>
    <d v="1899-12-30T10:00:00"/>
    <d v="1899-12-30T16:00:00"/>
    <n v="0.24999999999999994"/>
    <s v="المخزن الجديد "/>
    <n v="5.9999999999999982"/>
    <m/>
    <m/>
    <x v="6"/>
    <n v="5"/>
    <m/>
    <m/>
    <m/>
    <m/>
    <m/>
    <m/>
    <m/>
    <m/>
    <m/>
    <m/>
  </r>
  <r>
    <d v="2024-08-01T00:00:00"/>
    <d v="2024-08-05T00:00:00"/>
    <s v="الاثنين "/>
    <s v="القطاع الهندسى "/>
    <s v="محمود عويس  "/>
    <s v="فك وحدة التكيف "/>
    <s v="تم العمل"/>
    <d v="1899-12-30T10:00:00"/>
    <d v="1899-12-30T10:30:00"/>
    <n v="2.0833333333333315E-2"/>
    <s v="المطابع "/>
    <n v="0.49999999999999956"/>
    <m/>
    <m/>
    <x v="5"/>
    <n v="5"/>
    <s v=" "/>
    <m/>
    <m/>
    <m/>
    <m/>
    <m/>
    <m/>
    <m/>
    <m/>
    <m/>
  </r>
  <r>
    <d v="2024-08-01T00:00:00"/>
    <d v="2024-08-05T00:00:00"/>
    <s v="الاثنين "/>
    <s v="القطاع الهندسى "/>
    <s v="صابر ايراهيم   "/>
    <s v="تركيب حاجز حماية "/>
    <s v="تم العمل"/>
    <d v="1899-12-30T10:00:00"/>
    <d v="1899-12-30T10:30:00"/>
    <n v="2.0833333333333315E-2"/>
    <s v="المطابع "/>
    <n v="0.49999999999999956"/>
    <m/>
    <m/>
    <x v="5"/>
    <n v="5"/>
    <s v=" "/>
    <m/>
    <m/>
    <m/>
    <m/>
    <m/>
    <m/>
    <m/>
    <m/>
    <m/>
  </r>
  <r>
    <d v="2024-08-01T00:00:00"/>
    <d v="2024-08-05T00:00:00"/>
    <s v="الاثنين "/>
    <s v="شركة الهدى "/>
    <s v="على السعيد  "/>
    <s v="عمل صيانة كراسى المكاتب الادارية "/>
    <s v="تم العمل"/>
    <d v="1899-12-30T14:30:00"/>
    <d v="1899-12-30T15:30:00"/>
    <n v="4.1666666666666741E-2"/>
    <s v="المطابع "/>
    <n v="1.0000000000000018"/>
    <m/>
    <m/>
    <x v="10"/>
    <n v="5"/>
    <s v=" "/>
    <m/>
    <m/>
    <m/>
    <m/>
    <m/>
    <m/>
    <m/>
    <m/>
    <m/>
  </r>
  <r>
    <d v="2024-08-01T00:00:00"/>
    <d v="2024-08-05T00:00:00"/>
    <s v="الاثنين "/>
    <s v="شركة اكوا تراست "/>
    <s v="اسلام محمد "/>
    <s v="صيانة فلتر المياة "/>
    <s v="تم العمل"/>
    <d v="1899-12-30T12:00:00"/>
    <d v="1899-12-30T13:00:00"/>
    <n v="4.166666666666663E-2"/>
    <s v="المطابع "/>
    <n v="0.99999999999999911"/>
    <m/>
    <m/>
    <x v="10"/>
    <n v="5"/>
    <s v=" "/>
    <m/>
    <m/>
    <m/>
    <m/>
    <m/>
    <m/>
    <m/>
    <m/>
    <m/>
  </r>
  <r>
    <d v="2024-08-01T00:00:00"/>
    <d v="2024-08-06T00:00:00"/>
    <s v="الثلاثاء "/>
    <s v="الشؤون الادارية "/>
    <s v="علاء احمد "/>
    <s v="عمل صيانة لتكيفات "/>
    <s v="تم العمل"/>
    <d v="1899-12-30T10:00:00"/>
    <d v="1899-12-30T13:00:00"/>
    <n v="0.12499999999999994"/>
    <s v="المطابع "/>
    <n v="2.9999999999999987"/>
    <m/>
    <m/>
    <x v="8"/>
    <n v="5"/>
    <s v=" "/>
    <m/>
    <m/>
    <m/>
    <m/>
    <m/>
    <m/>
    <m/>
    <m/>
    <m/>
  </r>
  <r>
    <d v="2024-08-01T00:00:00"/>
    <d v="2024-08-06T00:00:00"/>
    <s v="الثلاثاء "/>
    <s v="القطاع الهندسى "/>
    <s v="محمود عويس  "/>
    <s v="تركيب وحدة فان التكيف  "/>
    <s v="تم العمل"/>
    <d v="1899-12-30T15:00:00"/>
    <d v="1899-12-30T16:00:00"/>
    <n v="4.166666666666663E-2"/>
    <s v="المطابع "/>
    <n v="0.99999999999999911"/>
    <m/>
    <m/>
    <x v="5"/>
    <n v="5"/>
    <s v=" "/>
    <m/>
    <m/>
    <m/>
    <m/>
    <m/>
    <m/>
    <m/>
    <m/>
    <m/>
  </r>
  <r>
    <d v="2024-08-01T00:00:00"/>
    <d v="2024-08-06T00:00:00"/>
    <s v="الثلاثاء "/>
    <s v="مالك المخزن "/>
    <s v="فيكتور لاوندى "/>
    <s v="عمل ترميم و لحام فى الرامب "/>
    <s v="تم العمل"/>
    <d v="1899-12-30T13:00:00"/>
    <d v="1899-12-30T17:00:00"/>
    <n v="0.16666666666666674"/>
    <s v="مخزن الوزارة"/>
    <n v="3"/>
    <m/>
    <m/>
    <x v="8"/>
    <n v="4"/>
    <s v="ناقص توقيعات "/>
    <m/>
    <m/>
    <m/>
    <m/>
    <m/>
    <m/>
    <m/>
    <m/>
    <m/>
  </r>
  <r>
    <d v="2024-08-01T00:00:00"/>
    <d v="2024-08-06T00:00:00"/>
    <s v="الثلاثاء "/>
    <s v="الشؤون الادارية "/>
    <s v="محمد "/>
    <s v="تصليح وصيانة مواتير المياه "/>
    <s v="تم العمل"/>
    <d v="1899-12-30T16:00:00"/>
    <d v="1899-12-30T22:00:00"/>
    <n v="0.25"/>
    <s v="الفجالة"/>
    <n v="6"/>
    <m/>
    <m/>
    <x v="11"/>
    <n v="5"/>
    <s v=" "/>
    <m/>
    <m/>
    <m/>
    <m/>
    <m/>
    <m/>
    <m/>
    <m/>
    <m/>
  </r>
  <r>
    <d v="2024-08-01T00:00:00"/>
    <d v="2024-08-06T00:00:00"/>
    <s v="الثلاثاء "/>
    <s v="القطاع الهندسى "/>
    <s v="احمد سلامة "/>
    <s v="صيانة بوابة 3 الخلفية  "/>
    <s v="تم العمل"/>
    <d v="1899-12-30T13:00:00"/>
    <d v="1899-12-30T17:00:00"/>
    <n v="0.16666666666666674"/>
    <s v="المخزن الجديد "/>
    <n v="4.0000000000000018"/>
    <m/>
    <m/>
    <x v="6"/>
    <n v="5"/>
    <s v=" "/>
    <m/>
    <m/>
    <m/>
    <m/>
    <m/>
    <m/>
    <m/>
    <m/>
    <m/>
  </r>
  <r>
    <d v="2024-08-01T00:00:00"/>
    <d v="2024-08-06T00:00:00"/>
    <s v="الثلاثاء "/>
    <s v="شركة اوزوريون "/>
    <s v="مراد صالح  "/>
    <s v="صيانة الشبابيك الالموتال "/>
    <s v="تم العمل"/>
    <d v="1899-12-30T11:00:00"/>
    <d v="1899-12-30T16:00:00"/>
    <n v="0.20833333333333331"/>
    <s v="المخزن الجديد "/>
    <n v="3"/>
    <m/>
    <m/>
    <x v="6"/>
    <n v="5"/>
    <m/>
    <m/>
    <m/>
    <m/>
    <m/>
    <m/>
    <m/>
    <m/>
    <m/>
    <m/>
  </r>
  <r>
    <d v="2024-08-01T00:00:00"/>
    <d v="2024-08-06T00:00:00"/>
    <s v="الثلاثاء "/>
    <s v="القطاع الهندسى "/>
    <s v="احمد ماهر "/>
    <s v="عمل صيانة بوحدة الايوشر "/>
    <s v="تم العمل"/>
    <d v="1899-12-30T15:30:00"/>
    <d v="1899-12-30T17:00:00"/>
    <n v="6.25E-2"/>
    <s v="المخزن الجديد "/>
    <n v="1.5"/>
    <m/>
    <m/>
    <x v="5"/>
    <n v="5"/>
    <s v=" "/>
    <m/>
    <m/>
    <m/>
    <m/>
    <m/>
    <m/>
    <m/>
    <m/>
    <m/>
  </r>
  <r>
    <d v="2024-08-01T00:00:00"/>
    <d v="2024-08-07T00:00:00"/>
    <s v="الاربعاء "/>
    <s v="الشؤون الادارية "/>
    <s v="محمد جابر "/>
    <s v="تكسير خرسانة "/>
    <s v="تم العمل"/>
    <d v="1899-12-30T16:00:00"/>
    <d v="1899-12-30T17:30:00"/>
    <n v="6.25E-2"/>
    <s v="المطابع "/>
    <n v="1.5"/>
    <m/>
    <m/>
    <x v="10"/>
    <n v="5"/>
    <s v=" "/>
    <m/>
    <m/>
    <m/>
    <m/>
    <m/>
    <m/>
    <m/>
    <m/>
    <m/>
  </r>
  <r>
    <d v="2024-08-01T00:00:00"/>
    <d v="2024-08-07T00:00:00"/>
    <s v="الاربعاء "/>
    <s v="القطاع الهندسى "/>
    <s v="صابر ايراهيم   "/>
    <s v="اصلاح ابواب عنابر الانتاج  "/>
    <s v="تم العمل"/>
    <d v="1899-12-30T11:00:00"/>
    <d v="1899-12-30T16:00:00"/>
    <n v="0.20833333333333331"/>
    <s v="المطابع "/>
    <n v="5"/>
    <m/>
    <m/>
    <x v="4"/>
    <n v="5"/>
    <s v=" "/>
    <m/>
    <m/>
    <m/>
    <m/>
    <m/>
    <m/>
    <m/>
    <m/>
    <m/>
  </r>
  <r>
    <d v="2024-08-01T00:00:00"/>
    <d v="2024-08-07T00:00:00"/>
    <s v="الاربعاء "/>
    <s v="شركة شلاندر "/>
    <s v="احمد السيد  "/>
    <s v="تركيب المصاعد "/>
    <s v="تم العمل"/>
    <d v="1899-12-30T10:00:00"/>
    <d v="1899-12-30T17:00:00"/>
    <n v="0.29166666666666669"/>
    <s v="المخزن الجديد "/>
    <n v="7"/>
    <m/>
    <m/>
    <x v="2"/>
    <n v="5"/>
    <m/>
    <m/>
    <m/>
    <m/>
    <m/>
    <m/>
    <m/>
    <m/>
    <m/>
    <m/>
  </r>
  <r>
    <d v="2024-08-01T00:00:00"/>
    <d v="2024-08-07T00:00:00"/>
    <s v="الاربعاء "/>
    <s v="بازان "/>
    <s v="احمد ياسر"/>
    <s v="استكمال اعمال الفاير  "/>
    <s v="تم العمل"/>
    <d v="1899-12-30T12:00:00"/>
    <d v="1899-12-30T16:00:00"/>
    <n v="0.16666666666666663"/>
    <s v="المخزن الجديد "/>
    <n v="3.9999999999999991"/>
    <m/>
    <m/>
    <x v="2"/>
    <n v="5"/>
    <m/>
    <m/>
    <m/>
    <m/>
    <m/>
    <m/>
    <m/>
    <m/>
    <m/>
    <m/>
  </r>
  <r>
    <d v="2024-08-01T00:00:00"/>
    <d v="2024-08-07T00:00:00"/>
    <s v="الاربعاء "/>
    <s v="الشؤون الادارية "/>
    <s v="محمد "/>
    <s v="استكمال اعمال صيانة وتغيير فى شبكة خط المياه"/>
    <s v="تم العمل"/>
    <d v="1899-12-30T00:00:00"/>
    <d v="1899-12-30T12:00:00"/>
    <n v="0.5"/>
    <s v="الفجالة"/>
    <n v="12"/>
    <m/>
    <m/>
    <x v="11"/>
    <n v="5"/>
    <s v=" "/>
    <m/>
    <m/>
    <m/>
    <m/>
    <m/>
    <m/>
    <m/>
    <m/>
    <m/>
  </r>
  <r>
    <d v="2024-08-01T00:00:00"/>
    <d v="2024-08-08T00:00:00"/>
    <s v="الخميس "/>
    <s v="شركة الكريم "/>
    <s v="علاء الشحات "/>
    <s v="الزيارة الشهرية لصيانة خط الانزار "/>
    <s v="تم العمل"/>
    <d v="1899-12-30T12:00:00"/>
    <d v="1899-12-30T13:00:00"/>
    <n v="4.166666666666663E-2"/>
    <s v="المطابع "/>
    <n v="0.99999999999999911"/>
    <m/>
    <m/>
    <x v="5"/>
    <n v="5"/>
    <s v=" "/>
    <m/>
    <m/>
    <m/>
    <m/>
    <m/>
    <m/>
    <m/>
    <m/>
    <m/>
  </r>
  <r>
    <d v="2024-08-01T00:00:00"/>
    <d v="2024-08-08T00:00:00"/>
    <s v="الخميس "/>
    <s v="شركة الكريم "/>
    <s v="علاء الشحات "/>
    <s v="الزيارة الشهرية لصيانة خط الانزار "/>
    <s v="تم العمل"/>
    <d v="1899-12-30T13:30:00"/>
    <d v="1899-12-30T14:00:00"/>
    <n v="2.083333333333337E-2"/>
    <s v="المخزن القديم "/>
    <n v="0.50000000000000089"/>
    <m/>
    <m/>
    <x v="9"/>
    <n v="4"/>
    <s v="ناقص توقيعات "/>
    <m/>
    <m/>
    <m/>
    <m/>
    <m/>
    <m/>
    <m/>
    <m/>
    <m/>
  </r>
  <r>
    <d v="2024-08-01T00:00:00"/>
    <d v="2024-08-08T00:00:00"/>
    <s v="الخميس "/>
    <s v="شركة الكريم "/>
    <s v="علاء الشحات "/>
    <s v="الزيارة الشهرية لصيانة خط الانزار "/>
    <s v="تم العمل"/>
    <d v="1899-12-30T10:00:00"/>
    <d v="1899-12-30T11:00:00"/>
    <n v="4.166666666666663E-2"/>
    <s v="المخزن الجديد "/>
    <n v="0.99999999999999911"/>
    <m/>
    <m/>
    <x v="2"/>
    <n v="5"/>
    <m/>
    <m/>
    <m/>
    <m/>
    <m/>
    <m/>
    <m/>
    <m/>
    <m/>
    <m/>
  </r>
  <r>
    <d v="2024-08-01T00:00:00"/>
    <d v="2024-08-08T00:00:00"/>
    <s v="الخميس "/>
    <s v="شركة شلاندر "/>
    <s v="عبد الرحمن حسين   "/>
    <s v="تركيب المصاعد "/>
    <s v="تم العمل"/>
    <d v="1899-12-30T10:00:00"/>
    <d v="1899-12-30T17:00:00"/>
    <n v="0.29166666666666669"/>
    <s v="المخزن الجديد "/>
    <n v="7"/>
    <m/>
    <m/>
    <x v="2"/>
    <n v="5"/>
    <m/>
    <m/>
    <m/>
    <m/>
    <m/>
    <m/>
    <m/>
    <m/>
    <m/>
    <m/>
  </r>
  <r>
    <d v="2024-08-01T00:00:00"/>
    <d v="2024-08-08T00:00:00"/>
    <s v="الخميس "/>
    <s v="شركة اوزوريون "/>
    <s v="وائل انور مصطفى  "/>
    <s v="صيانة شبابيك الالمونتال "/>
    <s v="تم العمل"/>
    <d v="1899-12-30T14:00:00"/>
    <d v="1899-12-30T17:00:00"/>
    <n v="0.125"/>
    <s v="المخزن الجديد "/>
    <n v="3"/>
    <m/>
    <m/>
    <x v="2"/>
    <n v="5"/>
    <m/>
    <m/>
    <m/>
    <m/>
    <m/>
    <m/>
    <m/>
    <m/>
    <m/>
    <m/>
  </r>
  <r>
    <d v="2024-08-01T00:00:00"/>
    <d v="2024-08-10T00:00:00"/>
    <s v="السبت "/>
    <s v="شركة الهدى "/>
    <s v="محسن عبد الباسط  "/>
    <s v="عمل صيانة تنكات الاحبار "/>
    <s v="تم العمل"/>
    <d v="1899-12-30T16:00:00"/>
    <d v="1899-12-30T17:30:00"/>
    <n v="6.25E-2"/>
    <s v="المخزن الجديد "/>
    <n v="1.5"/>
    <m/>
    <m/>
    <x v="5"/>
    <n v="4"/>
    <s v="ناقص توقيعات "/>
    <m/>
    <m/>
    <m/>
    <m/>
    <m/>
    <m/>
    <m/>
    <m/>
    <m/>
  </r>
  <r>
    <d v="2024-08-01T00:00:00"/>
    <d v="2024-08-10T00:00:00"/>
    <s v="السبت "/>
    <s v="بازان "/>
    <s v="احمد ياسر"/>
    <s v="تركيب الكهرباء "/>
    <s v="تم العمل"/>
    <d v="1899-12-30T00:00:00"/>
    <d v="1899-12-30T05:00:00"/>
    <n v="0.20833333333333334"/>
    <s v="المخزن الجديد "/>
    <n v="5"/>
    <m/>
    <m/>
    <x v="10"/>
    <n v="5"/>
    <m/>
    <m/>
    <m/>
    <m/>
    <m/>
    <m/>
    <m/>
    <m/>
    <m/>
    <m/>
  </r>
  <r>
    <d v="2024-08-01T00:00:00"/>
    <d v="2024-08-10T00:00:00"/>
    <s v="السبت "/>
    <s v="بازان "/>
    <s v="محب منسى "/>
    <s v="تركيب خط الحريق "/>
    <s v="تم العمل"/>
    <d v="1899-12-30T10:00:00"/>
    <d v="1899-12-30T18:00:00"/>
    <n v="0.33333333333333331"/>
    <s v="المخزن الجديد "/>
    <n v="8"/>
    <m/>
    <m/>
    <x v="10"/>
    <n v="5"/>
    <m/>
    <m/>
    <m/>
    <m/>
    <m/>
    <m/>
    <m/>
    <m/>
    <m/>
    <m/>
  </r>
  <r>
    <d v="2024-08-01T00:00:00"/>
    <d v="2024-08-11T00:00:00"/>
    <s v="الاحد "/>
    <s v="الشركة الالمانية "/>
    <s v="زياد عادل "/>
    <s v="الزيارة الشهرية "/>
    <s v="تم العمل"/>
    <d v="1899-12-30T13:00:00"/>
    <d v="1899-12-30T15:00:00"/>
    <n v="8.333333333333337E-2"/>
    <s v="المطابع "/>
    <n v="2.0000000000000009"/>
    <m/>
    <m/>
    <x v="1"/>
    <n v="5"/>
    <m/>
    <m/>
    <m/>
    <m/>
    <m/>
    <m/>
    <m/>
    <m/>
    <m/>
    <m/>
  </r>
  <r>
    <d v="2024-08-01T00:00:00"/>
    <d v="2024-08-11T00:00:00"/>
    <s v="الاحد "/>
    <s v="القطاع الهندسى "/>
    <s v="صابر ابراهيم "/>
    <s v="الزيارة الشهرية "/>
    <s v="تم العمل"/>
    <d v="1899-12-30T16:00:00"/>
    <d v="1899-12-30T17:30:00"/>
    <n v="6.25E-2"/>
    <s v="المطابع "/>
    <n v="1.5"/>
    <m/>
    <m/>
    <x v="0"/>
    <n v="5"/>
    <m/>
    <m/>
    <m/>
    <m/>
    <m/>
    <m/>
    <m/>
    <m/>
    <m/>
    <m/>
  </r>
  <r>
    <d v="2024-08-01T00:00:00"/>
    <d v="2024-08-11T00:00:00"/>
    <s v="الاحد "/>
    <s v="مالك المخزن "/>
    <s v="فيكتور لاوند  "/>
    <s v="صيانة البطاريات والتشيك على ضغط الخط"/>
    <s v="تم العمل"/>
    <d v="1899-12-30T10:30:00"/>
    <d v="1899-12-30T15:30:00"/>
    <n v="0.20833333333333337"/>
    <s v="مخزن الوزارة"/>
    <n v="5.0000000000000009"/>
    <m/>
    <m/>
    <x v="0"/>
    <n v="5"/>
    <m/>
    <m/>
    <m/>
    <m/>
    <m/>
    <m/>
    <m/>
    <m/>
    <m/>
    <m/>
  </r>
  <r>
    <d v="2024-08-01T00:00:00"/>
    <d v="2024-08-11T00:00:00"/>
    <s v="الاحد "/>
    <s v="KUC  شركة "/>
    <s v="مصطفى محمد "/>
    <s v="تركيبات "/>
    <s v="تم العمل"/>
    <d v="1899-12-30T12:00:00"/>
    <d v="1899-12-30T15:00:00"/>
    <n v="0.125"/>
    <s v="البرج"/>
    <n v="3"/>
    <m/>
    <m/>
    <x v="3"/>
    <n v="5"/>
    <m/>
    <m/>
    <m/>
    <m/>
    <m/>
    <m/>
    <m/>
    <m/>
    <m/>
    <m/>
  </r>
  <r>
    <d v="2024-08-01T00:00:00"/>
    <d v="2024-08-11T00:00:00"/>
    <s v="الاحد "/>
    <s v="المصرية للاسكان "/>
    <s v="علاء محمد "/>
    <s v="تركيبات "/>
    <s v="تم العمل"/>
    <d v="1899-12-30T11:00:00"/>
    <d v="1899-12-30T14:00:00"/>
    <n v="0.12500000000000006"/>
    <s v="البرج"/>
    <n v="3.0000000000000013"/>
    <m/>
    <m/>
    <x v="3"/>
    <n v="5"/>
    <m/>
    <m/>
    <m/>
    <m/>
    <m/>
    <m/>
    <m/>
    <m/>
    <m/>
    <m/>
  </r>
  <r>
    <d v="2024-08-01T00:00:00"/>
    <d v="2024-08-11T00:00:00"/>
    <s v="الاحد "/>
    <s v="بازان "/>
    <s v="احمد ياسر "/>
    <s v="مراجعة لوحات كهرباء "/>
    <s v="تم العمل"/>
    <d v="1899-12-30T11:00:00"/>
    <d v="1899-12-30T17:00:00"/>
    <n v="0.25000000000000006"/>
    <s v="المخزن الجديد "/>
    <n v="6.0000000000000018"/>
    <m/>
    <m/>
    <x v="2"/>
    <n v="5"/>
    <m/>
    <m/>
    <m/>
    <m/>
    <m/>
    <m/>
    <m/>
    <m/>
    <m/>
    <m/>
  </r>
  <r>
    <d v="2024-08-01T00:00:00"/>
    <d v="2024-08-11T00:00:00"/>
    <s v="الاحد "/>
    <s v="شركة اوزوريون "/>
    <s v="مراد صالح  "/>
    <s v="صيانة شبابيك الالمونتال "/>
    <s v="تم العمل"/>
    <d v="1899-12-30T10:00:00"/>
    <d v="1899-12-30T17:00:00"/>
    <n v="0.29166666666666669"/>
    <s v="المخزن الجديد "/>
    <n v="7"/>
    <m/>
    <m/>
    <x v="2"/>
    <n v="5"/>
    <m/>
    <m/>
    <m/>
    <m/>
    <m/>
    <m/>
    <m/>
    <m/>
    <m/>
    <m/>
  </r>
  <r>
    <d v="2024-08-01T00:00:00"/>
    <d v="2024-08-12T00:00:00"/>
    <s v="الاثنين "/>
    <s v="الشؤون الادارية "/>
    <s v="محمد جابر "/>
    <s v="عمل ترميم فى ارضية جراج السيارات  "/>
    <s v="تم العمل"/>
    <d v="1899-12-30T12:00:00"/>
    <d v="1899-12-30T14:30:00"/>
    <n v="0.10416666666666663"/>
    <s v="المطابع "/>
    <n v="2.4999999999999991"/>
    <m/>
    <m/>
    <x v="8"/>
    <n v="5"/>
    <s v=" "/>
    <m/>
    <m/>
    <m/>
    <m/>
    <m/>
    <m/>
    <m/>
    <m/>
    <m/>
  </r>
  <r>
    <d v="2024-08-01T00:00:00"/>
    <d v="2024-08-12T00:00:00"/>
    <s v="الاثنين "/>
    <s v="القطاع الهندسى "/>
    <s v="صابر ابراهيم "/>
    <s v="لحام الباب الخلفى "/>
    <s v="تم العمل"/>
    <d v="1899-12-30T11:00:00"/>
    <d v="1899-12-30T12:00:00"/>
    <n v="4.1666666666666685E-2"/>
    <s v="المطابع "/>
    <n v="1.0000000000000004"/>
    <m/>
    <m/>
    <x v="1"/>
    <n v="5"/>
    <m/>
    <m/>
    <m/>
    <m/>
    <m/>
    <m/>
    <m/>
    <m/>
    <m/>
    <m/>
  </r>
  <r>
    <d v="2024-08-01T00:00:00"/>
    <d v="2024-08-12T00:00:00"/>
    <s v="الاثنين "/>
    <s v="شركة منصور للتبريد والتكيف "/>
    <s v="صلاح منصور "/>
    <s v="صيانة تكييف ويب 11"/>
    <s v="تم العمل"/>
    <d v="1899-12-30T14:00:00"/>
    <d v="1899-12-30T16:00:00"/>
    <n v="8.3333333333333259E-2"/>
    <s v="المطابع "/>
    <n v="1.9999999999999982"/>
    <m/>
    <m/>
    <x v="5"/>
    <n v="5"/>
    <m/>
    <m/>
    <m/>
    <m/>
    <m/>
    <m/>
    <m/>
    <m/>
    <m/>
    <m/>
  </r>
  <r>
    <d v="2024-08-01T00:00:00"/>
    <d v="2024-08-12T00:00:00"/>
    <s v="الاثنين "/>
    <s v="شركة الهدى "/>
    <s v="ايمن محمد كامل "/>
    <s v="لحام تسريب  الاحبار "/>
    <s v="تم العمل"/>
    <d v="1899-12-30T14:00:00"/>
    <d v="1899-12-30T18:00:00"/>
    <n v="0.16666666666666663"/>
    <s v="المخزن القديم "/>
    <n v="3.9999999999999991"/>
    <m/>
    <m/>
    <x v="9"/>
    <n v="5"/>
    <m/>
    <m/>
    <m/>
    <m/>
    <m/>
    <m/>
    <m/>
    <m/>
    <m/>
    <m/>
  </r>
  <r>
    <d v="2024-08-01T00:00:00"/>
    <d v="2024-08-12T00:00:00"/>
    <s v="الاثنين "/>
    <s v="شركة الكريم "/>
    <s v="حامد ابو المحاميد  "/>
    <s v="صيانة الخط المكسور بمخزن رقم 2"/>
    <s v="تم العمل"/>
    <d v="1899-12-30T12:00:00"/>
    <d v="1899-12-30T16:00:00"/>
    <n v="0.16666666666666663"/>
    <s v="المخزن القديم "/>
    <n v="3.9999999999999991"/>
    <m/>
    <m/>
    <x v="9"/>
    <n v="5"/>
    <m/>
    <m/>
    <m/>
    <m/>
    <m/>
    <m/>
    <m/>
    <m/>
    <m/>
    <m/>
  </r>
  <r>
    <d v="2024-08-01T00:00:00"/>
    <d v="2024-08-12T00:00:00"/>
    <s v="الاثنين "/>
    <s v="شركة اوزوريون "/>
    <s v="مراد صالح  "/>
    <s v="صيانة شبابيك الالمونتال "/>
    <s v="تم العمل"/>
    <d v="1899-12-30T10:00:00"/>
    <d v="1899-12-30T17:00:00"/>
    <n v="0.29166666666666669"/>
    <s v="المخزن الجديد "/>
    <n v="7"/>
    <m/>
    <m/>
    <x v="2"/>
    <n v="5"/>
    <m/>
    <m/>
    <m/>
    <m/>
    <m/>
    <m/>
    <m/>
    <m/>
    <m/>
    <m/>
  </r>
  <r>
    <d v="2024-08-01T00:00:00"/>
    <d v="2024-08-12T00:00:00"/>
    <s v="الاثنين "/>
    <s v="بازان "/>
    <s v="احمد ياسر "/>
    <s v="مراجعة لوحات كهرباء "/>
    <s v="تم العمل"/>
    <d v="1899-12-30T11:00:00"/>
    <d v="1899-12-30T17:00:00"/>
    <n v="0.25000000000000006"/>
    <s v="المخزن الجديد "/>
    <n v="6.0000000000000018"/>
    <m/>
    <m/>
    <x v="2"/>
    <n v="5"/>
    <m/>
    <m/>
    <m/>
    <m/>
    <m/>
    <m/>
    <m/>
    <m/>
    <m/>
    <m/>
  </r>
  <r>
    <d v="2024-08-01T00:00:00"/>
    <d v="2024-08-12T00:00:00"/>
    <s v="الاثنين "/>
    <s v="الشؤون الادارية "/>
    <s v="مصطفى عبد الجواد "/>
    <s v="الكشف على جهاز التكييف من ضمان كارير "/>
    <s v="تم العمل"/>
    <d v="1899-12-30T10:30:00"/>
    <d v="1899-12-30T11:30:00"/>
    <n v="4.1666666666666685E-2"/>
    <s v="الفجالة"/>
    <n v="1.0000000000000004"/>
    <m/>
    <m/>
    <x v="11"/>
    <n v="5"/>
    <m/>
    <m/>
    <m/>
    <m/>
    <m/>
    <m/>
    <m/>
    <m/>
    <m/>
    <m/>
  </r>
  <r>
    <d v="2024-08-01T00:00:00"/>
    <d v="2024-08-12T00:00:00"/>
    <s v="الاثنين "/>
    <s v="الشؤون الادارية "/>
    <s v="احمد عبد الله  "/>
    <s v="شحن فريون للتكييف 5 حصان فى غرفة السلفر "/>
    <s v="تم العمل"/>
    <d v="1899-12-30T15:00:00"/>
    <d v="1899-12-30T15:30:00"/>
    <n v="2.083333333333337E-2"/>
    <s v="الفجالة"/>
    <n v="0.50000000000000089"/>
    <m/>
    <m/>
    <x v="11"/>
    <n v="5"/>
    <m/>
    <m/>
    <m/>
    <m/>
    <m/>
    <m/>
    <m/>
    <m/>
    <m/>
    <m/>
  </r>
  <r>
    <d v="2024-08-01T00:00:00"/>
    <d v="2024-08-12T00:00:00"/>
    <s v="الاثنين "/>
    <s v="الشؤون الادارية "/>
    <s v="احمد عبد الله  "/>
    <s v="تركيب قاعدة تثبيت للماتور "/>
    <s v="تم العمل"/>
    <d v="1899-12-30T16:00:00"/>
    <d v="1899-12-30T20:00:00"/>
    <n v="0.16666666666666674"/>
    <s v="الفجالة"/>
    <n v="4.0000000000000018"/>
    <m/>
    <m/>
    <x v="11"/>
    <n v="5"/>
    <m/>
    <m/>
    <m/>
    <m/>
    <m/>
    <m/>
    <m/>
    <m/>
    <m/>
    <m/>
  </r>
  <r>
    <d v="2024-08-01T00:00:00"/>
    <d v="2024-08-12T00:00:00"/>
    <s v="الاثنين "/>
    <s v="الشؤون الادارية "/>
    <s v="احمد عبد الله  "/>
    <s v="صيانة الكولدير "/>
    <s v="تم العمل"/>
    <d v="1899-12-30T19:00:00"/>
    <d v="1899-12-30T20:00:00"/>
    <n v="4.1666666666666741E-2"/>
    <s v="الفجالة"/>
    <n v="1.0000000000000018"/>
    <m/>
    <m/>
    <x v="11"/>
    <n v="5"/>
    <m/>
    <m/>
    <m/>
    <m/>
    <m/>
    <m/>
    <m/>
    <m/>
    <m/>
    <m/>
  </r>
  <r>
    <d v="2024-08-01T00:00:00"/>
    <d v="2024-08-13T00:00:00"/>
    <s v="الثلاثاء "/>
    <s v="بازان "/>
    <s v="احمد ياسر "/>
    <s v="استكمال تقفيل لوحات كهرباء "/>
    <s v="تم العمل"/>
    <d v="1899-12-30T00:00:00"/>
    <d v="1899-12-30T17:00:00"/>
    <n v="0.70833333333333337"/>
    <s v="المخزن الجديد "/>
    <n v="17"/>
    <m/>
    <m/>
    <x v="2"/>
    <n v="5"/>
    <m/>
    <m/>
    <m/>
    <m/>
    <m/>
    <m/>
    <m/>
    <m/>
    <m/>
    <m/>
  </r>
  <r>
    <d v="2024-08-01T00:00:00"/>
    <d v="2024-08-13T00:00:00"/>
    <s v="الثلاثاء "/>
    <s v="شركة اوزوريون "/>
    <s v="محمد زنفل  "/>
    <s v="استكمال تركيب  شبابيك الالمونتال "/>
    <s v="تم العمل"/>
    <d v="1899-12-30T10:00:00"/>
    <d v="1899-12-30T17:00:00"/>
    <n v="0.29166666666666669"/>
    <s v="المخزن الجديد "/>
    <n v="7"/>
    <m/>
    <m/>
    <x v="2"/>
    <n v="5"/>
    <m/>
    <m/>
    <m/>
    <m/>
    <m/>
    <m/>
    <m/>
    <m/>
    <m/>
    <m/>
  </r>
  <r>
    <d v="2024-08-01T00:00:00"/>
    <d v="2024-08-13T00:00:00"/>
    <s v="الثلاثاء "/>
    <s v="الشؤون الادارية "/>
    <s v="محمود عويس  "/>
    <s v="صيانة تكييف "/>
    <s v="تم العمل"/>
    <d v="1899-12-30T13:00:00"/>
    <d v="1899-12-30T14:00:00"/>
    <n v="4.1666666666666741E-2"/>
    <s v="المطابع "/>
    <n v="1.0000000000000018"/>
    <m/>
    <m/>
    <x v="10"/>
    <n v="5"/>
    <m/>
    <m/>
    <m/>
    <m/>
    <m/>
    <m/>
    <m/>
    <m/>
    <m/>
    <m/>
  </r>
  <r>
    <d v="2024-08-01T00:00:00"/>
    <d v="2024-08-13T00:00:00"/>
    <s v="الثلاثاء "/>
    <s v="الشؤون الادارية "/>
    <s v="علاء احمد   "/>
    <s v="صيانة تكييف "/>
    <s v="تم العمل"/>
    <d v="1899-12-30T11:00:00"/>
    <d v="1899-12-30T12:00:00"/>
    <n v="4.1666666666666685E-2"/>
    <s v="المطابع "/>
    <n v="1.0000000000000004"/>
    <m/>
    <m/>
    <x v="1"/>
    <n v="5"/>
    <m/>
    <m/>
    <m/>
    <m/>
    <m/>
    <m/>
    <m/>
    <m/>
    <m/>
    <m/>
  </r>
  <r>
    <d v="2024-08-01T00:00:00"/>
    <d v="2024-08-13T00:00:00"/>
    <s v="الثلاثاء "/>
    <s v="شركة منصور للتبريد والتكيف "/>
    <s v="صلاح منصور "/>
    <s v="صيانة تكييف "/>
    <s v="تم العمل"/>
    <d v="1899-12-30T13:00:00"/>
    <d v="1899-12-30T16:00:00"/>
    <n v="0.125"/>
    <s v="المطابع "/>
    <n v="3"/>
    <m/>
    <m/>
    <x v="1"/>
    <n v="5"/>
    <m/>
    <m/>
    <m/>
    <m/>
    <m/>
    <m/>
    <m/>
    <m/>
    <m/>
    <m/>
  </r>
  <r>
    <d v="2024-08-01T00:00:00"/>
    <d v="2024-08-14T00:00:00"/>
    <s v="الاربعاء "/>
    <s v="مالك المخزن "/>
    <s v="فيكتور لاوند  "/>
    <s v="عمل صيانة للطرمبة الكهرباء "/>
    <s v="تم العمل"/>
    <d v="1899-12-30T14:00:00"/>
    <d v="1899-12-30T16:00:00"/>
    <n v="8.3333333333333259E-2"/>
    <s v="مخزن الوزارة"/>
    <n v="1.9999999999999982"/>
    <m/>
    <m/>
    <x v="10"/>
    <n v="5"/>
    <m/>
    <m/>
    <m/>
    <m/>
    <m/>
    <m/>
    <m/>
    <m/>
    <m/>
    <m/>
  </r>
  <r>
    <d v="2024-08-01T00:00:00"/>
    <d v="2024-08-14T00:00:00"/>
    <s v="الاربعاء "/>
    <s v="شركةأودك "/>
    <s v="حسن محمد حسن "/>
    <s v="عمل صيانةفى ماكينة التكويد "/>
    <s v="تم العمل"/>
    <d v="1899-12-30T10:30:00"/>
    <d v="1899-12-30T17:30:00"/>
    <n v="0.29166666666666663"/>
    <s v="مخزن الوزارة"/>
    <n v="6.9999999999999991"/>
    <m/>
    <m/>
    <x v="10"/>
    <n v="5"/>
    <m/>
    <m/>
    <m/>
    <m/>
    <m/>
    <m/>
    <m/>
    <m/>
    <m/>
    <m/>
  </r>
  <r>
    <d v="2024-08-01T00:00:00"/>
    <d v="2024-08-14T00:00:00"/>
    <s v="الاربعاء "/>
    <s v="شركة هاى سكيور"/>
    <s v="ابراهيم  الخزرجى "/>
    <s v="عمل صيانة فى نظام  FM200"/>
    <s v="تم العمل"/>
    <d v="1899-12-30T10:00:00"/>
    <d v="1899-12-30T12:30:00"/>
    <n v="0.10416666666666669"/>
    <s v="المطابع "/>
    <n v="2.5000000000000004"/>
    <m/>
    <m/>
    <x v="10"/>
    <n v="5"/>
    <m/>
    <m/>
    <m/>
    <m/>
    <m/>
    <m/>
    <m/>
    <m/>
    <m/>
    <m/>
  </r>
  <r>
    <d v="2024-08-01T00:00:00"/>
    <d v="2024-08-14T00:00:00"/>
    <s v="الاربعاء "/>
    <s v="الشؤون الادارية "/>
    <s v="محمود ابوشادى "/>
    <s v="تجديد دهان المسجد  "/>
    <s v="تم العمل"/>
    <d v="1899-12-30T10:00:00"/>
    <d v="1899-12-30T20:00:00"/>
    <n v="0.41666666666666669"/>
    <s v="المطابع "/>
    <n v="10"/>
    <m/>
    <m/>
    <x v="0"/>
    <n v="5"/>
    <s v=" "/>
    <m/>
    <m/>
    <m/>
    <m/>
    <m/>
    <m/>
    <m/>
    <m/>
    <m/>
  </r>
  <r>
    <d v="2024-08-01T00:00:00"/>
    <d v="2024-08-14T00:00:00"/>
    <s v="الاربعاء "/>
    <s v="شركة الكريم "/>
    <s v="حامد ابو المحاميد  "/>
    <s v="الزيارة الشهرية والمرور على خط الحريق "/>
    <s v="تم العمل"/>
    <d v="1899-12-30T10:00:00"/>
    <d v="1899-12-30T14:00:00"/>
    <n v="0.16666666666666669"/>
    <s v="المخزن القديم "/>
    <n v="4"/>
    <m/>
    <m/>
    <x v="9"/>
    <n v="5"/>
    <m/>
    <m/>
    <m/>
    <m/>
    <m/>
    <m/>
    <m/>
    <m/>
    <m/>
    <m/>
  </r>
  <r>
    <d v="2024-08-01T00:00:00"/>
    <d v="2024-08-14T00:00:00"/>
    <s v="الاربعاء "/>
    <s v="شركة الهدى "/>
    <s v="ايمن محمد كامل "/>
    <s v="لحام تسريب  الاحبار "/>
    <s v="تم العمل"/>
    <d v="1899-12-30T13:00:00"/>
    <d v="1899-12-30T20:00:00"/>
    <n v="0.29166666666666674"/>
    <s v="المخزن القديم "/>
    <n v="7.0000000000000018"/>
    <m/>
    <m/>
    <x v="9"/>
    <n v="5"/>
    <m/>
    <m/>
    <m/>
    <m/>
    <m/>
    <m/>
    <m/>
    <m/>
    <m/>
    <m/>
  </r>
  <r>
    <d v="2024-08-01T00:00:00"/>
    <d v="2024-08-14T00:00:00"/>
    <s v="الاربعاء "/>
    <s v="شركة اوزوريون "/>
    <s v="مراد صالح   "/>
    <s v="تكسير خزان الاطفاء  "/>
    <s v="تم العمل"/>
    <d v="1899-12-30T10:00:00"/>
    <d v="1899-12-30T16:00:00"/>
    <n v="0.24999999999999994"/>
    <s v="المخزن القديم "/>
    <n v="5.9999999999999982"/>
    <m/>
    <m/>
    <x v="9"/>
    <n v="5"/>
    <m/>
    <m/>
    <m/>
    <m/>
    <m/>
    <m/>
    <m/>
    <m/>
    <m/>
    <m/>
  </r>
  <r>
    <d v="2024-08-01T00:00:00"/>
    <d v="2024-08-14T00:00:00"/>
    <s v="الاربعاء "/>
    <s v="بازان "/>
    <s v="احمد مبروك "/>
    <s v="تركيب محابس خط الحريق "/>
    <s v="تم العمل"/>
    <d v="1899-12-30T10:00:00"/>
    <d v="1899-12-30T17:00:00"/>
    <n v="0.29166666666666669"/>
    <s v="المخزن الجديد "/>
    <n v="7"/>
    <m/>
    <m/>
    <x v="2"/>
    <n v="5"/>
    <m/>
    <m/>
    <m/>
    <m/>
    <m/>
    <m/>
    <m/>
    <m/>
    <m/>
    <m/>
  </r>
  <r>
    <d v="2024-08-01T00:00:00"/>
    <d v="2024-08-14T00:00:00"/>
    <s v="الاربعاء "/>
    <s v="شركة شلاندر "/>
    <s v="عبد الرحمن حسين   "/>
    <s v="تركيب المصاعد "/>
    <s v="تم العمل"/>
    <d v="1899-12-30T10:00:00"/>
    <d v="1899-12-30T17:00:00"/>
    <n v="0.29166666666666669"/>
    <s v="المخزن الجديد "/>
    <n v="7"/>
    <m/>
    <m/>
    <x v="2"/>
    <n v="5"/>
    <m/>
    <m/>
    <m/>
    <m/>
    <m/>
    <m/>
    <m/>
    <m/>
    <m/>
    <m/>
  </r>
  <r>
    <d v="2024-08-01T00:00:00"/>
    <d v="2024-08-14T00:00:00"/>
    <s v="الاربعاء "/>
    <s v="شركة اوزوريون "/>
    <s v="محمد زنفل  "/>
    <s v="استكمال تركيب شبابيك الالمونتال "/>
    <s v="تم العمل"/>
    <d v="1899-12-30T10:00:00"/>
    <d v="1899-12-30T17:00:00"/>
    <n v="0.29166666666666669"/>
    <s v="المخزن الجديد "/>
    <n v="7"/>
    <m/>
    <m/>
    <x v="2"/>
    <n v="5"/>
    <m/>
    <m/>
    <m/>
    <m/>
    <m/>
    <m/>
    <m/>
    <m/>
    <m/>
    <m/>
  </r>
  <r>
    <d v="2024-08-01T00:00:00"/>
    <d v="2024-08-15T00:00:00"/>
    <s v="الخميس "/>
    <s v="شركة اوزوريون "/>
    <s v="محمد زنفل  "/>
    <s v="صيانة شبابيك الالمونتال "/>
    <s v="تم العمل"/>
    <d v="1899-12-30T10:00:00"/>
    <d v="1899-12-30T18:00:00"/>
    <n v="0.33333333333333331"/>
    <s v="المخزن الجديد "/>
    <n v="8"/>
    <m/>
    <m/>
    <x v="10"/>
    <n v="5"/>
    <m/>
    <m/>
    <m/>
    <m/>
    <m/>
    <m/>
    <m/>
    <m/>
    <m/>
    <m/>
  </r>
  <r>
    <d v="2024-08-01T00:00:00"/>
    <d v="2024-08-15T00:00:00"/>
    <s v="الخميس "/>
    <s v="بازان "/>
    <s v="احمد مبروك "/>
    <s v="لحام وتقطيع  "/>
    <s v="تم العمل"/>
    <d v="1899-12-30T12:00:00"/>
    <d v="1899-12-30T18:00:00"/>
    <n v="0.25"/>
    <s v="المخزن الجديد "/>
    <n v="6"/>
    <m/>
    <m/>
    <x v="10"/>
    <n v="5"/>
    <m/>
    <m/>
    <m/>
    <m/>
    <m/>
    <m/>
    <m/>
    <m/>
    <m/>
    <m/>
  </r>
  <r>
    <d v="2024-08-01T00:00:00"/>
    <d v="2024-08-15T00:00:00"/>
    <s v="الخميس "/>
    <s v="بازان "/>
    <s v="ايهاب خليل "/>
    <s v="عمل صيانة فى الانزار "/>
    <s v="تم العمل"/>
    <d v="1899-12-30T12:00:00"/>
    <d v="1899-12-30T18:00:00"/>
    <n v="0.25"/>
    <s v="المخزن الجديد "/>
    <n v="6"/>
    <m/>
    <m/>
    <x v="10"/>
    <n v="5"/>
    <m/>
    <m/>
    <m/>
    <m/>
    <m/>
    <m/>
    <m/>
    <m/>
    <m/>
    <m/>
  </r>
  <r>
    <d v="2024-08-01T00:00:00"/>
    <d v="2024-08-15T00:00:00"/>
    <s v="الخميس "/>
    <s v="شركة شلاندر "/>
    <s v="حسام مرزوق   "/>
    <s v="تركيب المصاعد "/>
    <s v="تم العمل"/>
    <d v="1899-12-30T15:30:00"/>
    <d v="1899-12-30T19:30:00"/>
    <n v="0.16666666666666663"/>
    <s v="المخزن الجديد "/>
    <n v="3.9999999999999991"/>
    <m/>
    <m/>
    <x v="10"/>
    <n v="5"/>
    <m/>
    <m/>
    <m/>
    <m/>
    <m/>
    <m/>
    <m/>
    <m/>
    <m/>
    <m/>
  </r>
  <r>
    <d v="2024-08-01T00:00:00"/>
    <d v="2024-08-15T00:00:00"/>
    <s v="الخميس "/>
    <s v="مالك المخزن "/>
    <s v="فيكتور لاوند  "/>
    <s v="لحام شكمان كلارك  60550"/>
    <s v="تم العمل"/>
    <d v="1899-12-30T15:00:00"/>
    <d v="1899-12-30T16:00:00"/>
    <n v="4.166666666666663E-2"/>
    <s v="مخزن الوزارة"/>
    <n v="0.99999999999999911"/>
    <m/>
    <m/>
    <x v="1"/>
    <n v="5"/>
    <m/>
    <m/>
    <m/>
    <m/>
    <m/>
    <m/>
    <m/>
    <m/>
    <m/>
    <m/>
  </r>
  <r>
    <d v="2024-08-01T00:00:00"/>
    <d v="2024-08-15T00:00:00"/>
    <s v="الخميس "/>
    <s v="شركة ابداع "/>
    <s v="محمد سعيد  "/>
    <s v="تركيب علبة "/>
    <s v="تم العمل"/>
    <d v="1899-12-30T15:30:00"/>
    <d v="1899-12-30T16:30:00"/>
    <n v="4.166666666666663E-2"/>
    <s v="المطابع "/>
    <n v="0.99999999999999911"/>
    <m/>
    <m/>
    <x v="5"/>
    <n v="5"/>
    <m/>
    <m/>
    <m/>
    <m/>
    <m/>
    <m/>
    <m/>
    <m/>
    <m/>
    <m/>
  </r>
  <r>
    <d v="2024-08-01T00:00:00"/>
    <d v="2024-08-16T00:00:00"/>
    <s v="الجمعة "/>
    <s v="القطاع الهندسى "/>
    <s v="حسام احمد "/>
    <s v="تركيب كشافات لاسانسير  "/>
    <s v="تم العمل"/>
    <d v="1899-12-30T10:00:00"/>
    <d v="1899-12-30T17:30:00"/>
    <n v="0.31249999999999994"/>
    <s v="المخزن الجديد "/>
    <n v="7.4999999999999982"/>
    <m/>
    <m/>
    <x v="1"/>
    <n v="4"/>
    <s v="ناقص توقيعات "/>
    <m/>
    <m/>
    <m/>
    <m/>
    <m/>
    <m/>
    <m/>
    <m/>
    <m/>
  </r>
  <r>
    <d v="2024-08-01T00:00:00"/>
    <d v="2024-08-17T00:00:00"/>
    <s v="السبت "/>
    <s v="الهندسية لضواغط الهواء "/>
    <s v="معروف محمد  "/>
    <s v="صيانة لغرف الهواء "/>
    <s v="تم العمل"/>
    <d v="1899-12-30T11:00:00"/>
    <d v="1899-12-30T16:30:00"/>
    <n v="0.22916666666666669"/>
    <s v="المطابع "/>
    <n v="5.5"/>
    <m/>
    <m/>
    <x v="7"/>
    <n v="5"/>
    <s v=" "/>
    <m/>
    <m/>
    <m/>
    <m/>
    <m/>
    <m/>
    <m/>
    <m/>
    <m/>
  </r>
  <r>
    <d v="2024-08-01T00:00:00"/>
    <d v="2024-08-17T00:00:00"/>
    <s v="السبت "/>
    <s v="مالك المخزن "/>
    <s v="فيكتور لواندى "/>
    <s v="تركيبات وصيانة "/>
    <s v="تم العمل"/>
    <d v="1899-12-30T11:30:00"/>
    <d v="1899-12-30T14:00:00"/>
    <n v="0.10416666666666669"/>
    <s v="مخزن الوزارة"/>
    <n v="2.5000000000000004"/>
    <m/>
    <m/>
    <x v="3"/>
    <n v="5"/>
    <m/>
    <m/>
    <m/>
    <m/>
    <m/>
    <m/>
    <m/>
    <m/>
    <m/>
    <m/>
  </r>
  <r>
    <d v="2024-08-01T00:00:00"/>
    <d v="2024-08-18T00:00:00"/>
    <s v="الاحد "/>
    <s v="الشؤون الادارية "/>
    <s v="محمود عويس  "/>
    <s v="تصليح المبرد  "/>
    <s v="تم العمل"/>
    <d v="1899-12-30T11:00:00"/>
    <d v="1899-12-30T12:00:00"/>
    <n v="4.1666666666666685E-2"/>
    <s v="المطابع "/>
    <n v="1.0000000000000004"/>
    <m/>
    <m/>
    <x v="1"/>
    <n v="5"/>
    <s v=" "/>
    <m/>
    <m/>
    <m/>
    <m/>
    <m/>
    <m/>
    <m/>
    <m/>
    <m/>
  </r>
  <r>
    <d v="2024-08-01T00:00:00"/>
    <d v="2024-08-18T00:00:00"/>
    <s v="الاحد "/>
    <s v="الشؤون الادارية "/>
    <s v="محمود عويس "/>
    <s v="صيانة تكيفات "/>
    <s v="تم العمل"/>
    <d v="1899-12-30T15:00:00"/>
    <d v="1899-12-30T16:00:00"/>
    <n v="4.166666666666663E-2"/>
    <s v="المطابع "/>
    <n v="0.99999999999999911"/>
    <m/>
    <m/>
    <x v="1"/>
    <n v="5"/>
    <s v=" "/>
    <m/>
    <m/>
    <m/>
    <m/>
    <m/>
    <m/>
    <m/>
    <m/>
    <m/>
  </r>
  <r>
    <d v="2024-08-01T00:00:00"/>
    <d v="2024-08-18T00:00:00"/>
    <s v="الاحد "/>
    <s v="شركة شلاندر "/>
    <s v="محمد عادل  "/>
    <s v="صيانة المصاعد "/>
    <s v="تم العمل"/>
    <d v="1899-12-30T16:00:00"/>
    <d v="1899-12-30T17:00:00"/>
    <n v="4.1666666666666741E-2"/>
    <s v="المطابع "/>
    <n v="1.0000000000000018"/>
    <m/>
    <m/>
    <x v="1"/>
    <n v="5"/>
    <m/>
    <m/>
    <m/>
    <m/>
    <m/>
    <m/>
    <m/>
    <m/>
    <m/>
    <m/>
  </r>
  <r>
    <d v="2024-08-01T00:00:00"/>
    <d v="2024-08-18T00:00:00"/>
    <s v="الاحد "/>
    <s v="الشؤون الادارية "/>
    <s v="ابوبكر احمد "/>
    <s v="صيانة ماكينة التصوير "/>
    <s v="تم العمل"/>
    <d v="1899-12-30T14:00:00"/>
    <d v="1899-12-30T15:00:00"/>
    <n v="4.166666666666663E-2"/>
    <s v="المطابع "/>
    <n v="0.99999999999999911"/>
    <m/>
    <m/>
    <x v="6"/>
    <n v="5"/>
    <s v=" "/>
    <m/>
    <m/>
    <m/>
    <m/>
    <m/>
    <m/>
    <m/>
    <m/>
    <m/>
  </r>
  <r>
    <d v="2024-08-01T00:00:00"/>
    <d v="2024-08-18T00:00:00"/>
    <s v="الاحد "/>
    <s v="الشؤون الادارية "/>
    <s v="محمود عويس "/>
    <s v="صيانة تكيفات "/>
    <s v="تم العمل"/>
    <d v="1899-12-30T13:30:00"/>
    <d v="1899-12-30T14:30:00"/>
    <n v="4.166666666666663E-2"/>
    <s v="المطابع "/>
    <n v="0.99999999999999911"/>
    <m/>
    <m/>
    <x v="6"/>
    <n v="5"/>
    <s v=" "/>
    <m/>
    <m/>
    <m/>
    <m/>
    <m/>
    <m/>
    <m/>
    <m/>
    <m/>
  </r>
  <r>
    <d v="2024-08-01T00:00:00"/>
    <d v="2024-08-18T00:00:00"/>
    <s v="الاحد "/>
    <s v="شركة اوزوريون "/>
    <s v="مراد صالح   "/>
    <s v="احلال وتجديد خزان الاطفاء "/>
    <s v="تم العمل"/>
    <d v="1899-12-30T09:30:00"/>
    <d v="1899-12-30T16:00:00"/>
    <n v="0.27083333333333331"/>
    <s v="المخزن القديم "/>
    <n v="6.5"/>
    <m/>
    <m/>
    <x v="9"/>
    <n v="5"/>
    <m/>
    <m/>
    <m/>
    <m/>
    <m/>
    <m/>
    <m/>
    <m/>
    <m/>
    <m/>
  </r>
  <r>
    <d v="2024-08-01T00:00:00"/>
    <d v="2024-08-18T00:00:00"/>
    <s v="الاحد "/>
    <s v="الشركة الالمانية "/>
    <s v="زياد عادل "/>
    <s v="الزيارة الشهرية  مكافحة القوارض "/>
    <s v="تم العمل"/>
    <d v="1899-12-30T13:00:00"/>
    <d v="1899-12-30T14:30:00"/>
    <n v="6.25E-2"/>
    <s v="المخزن القديم "/>
    <n v="3"/>
    <m/>
    <m/>
    <x v="9"/>
    <n v="5"/>
    <m/>
    <m/>
    <m/>
    <m/>
    <m/>
    <m/>
    <m/>
    <m/>
    <m/>
    <m/>
  </r>
  <r>
    <d v="2024-08-01T00:00:00"/>
    <d v="2024-08-18T00:00:00"/>
    <s v="الاحد "/>
    <s v="شركة اوزوريون "/>
    <s v="مصطفى حسين   "/>
    <s v="اصلاح  شبابيك الالمونتال "/>
    <s v="تم العمل"/>
    <d v="1899-12-30T11:00:00"/>
    <d v="1899-12-30T17:00:00"/>
    <n v="0.25000000000000006"/>
    <s v="المخزن الجديد "/>
    <n v="6.0000000000000018"/>
    <m/>
    <m/>
    <x v="4"/>
    <n v="5"/>
    <m/>
    <m/>
    <m/>
    <m/>
    <m/>
    <m/>
    <m/>
    <m/>
    <m/>
    <m/>
  </r>
  <r>
    <d v="2024-08-01T00:00:00"/>
    <d v="2024-08-18T00:00:00"/>
    <s v="الاحد "/>
    <s v="شركة الهدى "/>
    <s v="اسلام مصطفى    "/>
    <s v="صيانة ماكينات CTP"/>
    <s v="تم العمل"/>
    <d v="1899-12-30T14:00:00"/>
    <d v="1899-12-30T16:00:00"/>
    <n v="8.3333333333333259E-2"/>
    <s v="المطابع "/>
    <n v="1.9999999999999982"/>
    <m/>
    <m/>
    <x v="1"/>
    <n v="5"/>
    <m/>
    <m/>
    <m/>
    <m/>
    <m/>
    <m/>
    <m/>
    <m/>
    <m/>
    <m/>
  </r>
  <r>
    <d v="2024-08-01T00:00:00"/>
    <d v="2024-08-19T00:00:00"/>
    <s v="الاثنين "/>
    <s v="شركة الهدى "/>
    <s v="ايمن محمد كامل "/>
    <s v="لحام تسريب  الاحبار "/>
    <s v="تم العمل"/>
    <d v="1899-12-30T14:00:00"/>
    <d v="1899-12-30T18:00:00"/>
    <n v="0.16666666666666663"/>
    <s v="المخزن القديم "/>
    <n v="3.9999999999999991"/>
    <m/>
    <m/>
    <x v="9"/>
    <n v="5"/>
    <m/>
    <m/>
    <m/>
    <m/>
    <m/>
    <m/>
    <m/>
    <m/>
    <m/>
    <m/>
  </r>
  <r>
    <d v="2024-08-01T00:00:00"/>
    <d v="2024-08-19T00:00:00"/>
    <s v="الاثنين "/>
    <s v="الشركة المتحدة "/>
    <s v="ابراهيم  "/>
    <s v="عمل فتحات فى حائط غرفة الطلمبات "/>
    <s v="تم العمل"/>
    <d v="1899-12-30T10:00:00"/>
    <d v="1899-12-30T14:00:00"/>
    <n v="0.16666666666666669"/>
    <s v="المخزن القديم "/>
    <n v="4"/>
    <m/>
    <m/>
    <x v="9"/>
    <n v="5"/>
    <m/>
    <m/>
    <m/>
    <m/>
    <m/>
    <m/>
    <m/>
    <m/>
    <m/>
    <m/>
  </r>
  <r>
    <d v="2024-08-01T00:00:00"/>
    <d v="2024-08-19T00:00:00"/>
    <s v="الاثنين "/>
    <s v="شركة الكريم "/>
    <s v="حامد ابو المجد "/>
    <s v="الزيارة الشهرية وصيانة شبكة الانزار "/>
    <s v="تم العمل"/>
    <d v="1899-12-30T10:00:00"/>
    <d v="1899-12-30T14:00:00"/>
    <n v="0.16666666666666669"/>
    <s v="المخزن القديم "/>
    <n v="4"/>
    <m/>
    <m/>
    <x v="9"/>
    <n v="5"/>
    <m/>
    <m/>
    <m/>
    <m/>
    <m/>
    <m/>
    <m/>
    <m/>
    <m/>
    <m/>
  </r>
  <r>
    <d v="2024-08-01T00:00:00"/>
    <d v="2024-08-19T00:00:00"/>
    <s v="الاثنين "/>
    <s v="شركة الهدى "/>
    <s v="محمد عبد الغفار     "/>
    <s v="صيانة ماكينات CTP"/>
    <s v="تم العمل"/>
    <d v="1899-12-30T11:00:00"/>
    <d v="1899-12-30T14:00:00"/>
    <n v="0.12500000000000006"/>
    <s v="المطابع "/>
    <n v="3.0000000000000013"/>
    <m/>
    <m/>
    <x v="6"/>
    <n v="5"/>
    <m/>
    <m/>
    <m/>
    <m/>
    <m/>
    <m/>
    <m/>
    <m/>
    <m/>
    <m/>
  </r>
  <r>
    <d v="2024-08-01T00:00:00"/>
    <d v="2024-08-19T00:00:00"/>
    <s v="الاثنين "/>
    <s v="بازان "/>
    <s v="احمد ياسر"/>
    <s v="توصيل كهرباء كابلات"/>
    <s v="تم العمل"/>
    <d v="1899-12-30T09:00:00"/>
    <d v="1899-12-30T17:30:00"/>
    <n v="0.35416666666666663"/>
    <s v="المخزن الجديد "/>
    <n v="8.5"/>
    <m/>
    <m/>
    <x v="4"/>
    <n v="5"/>
    <m/>
    <m/>
    <m/>
    <m/>
    <m/>
    <m/>
    <m/>
    <m/>
    <m/>
    <m/>
  </r>
  <r>
    <d v="2024-08-01T00:00:00"/>
    <d v="2024-08-19T00:00:00"/>
    <s v="الاثنين "/>
    <s v="شركة اوزوريون "/>
    <s v="مصطفى حسين   "/>
    <s v="اصلاح  شبابيك الالمونتال "/>
    <s v="تم العمل"/>
    <d v="1899-12-30T10:00:00"/>
    <d v="1899-12-30T17:00:00"/>
    <n v="0.29166666666666669"/>
    <s v="المخزن الجديد "/>
    <n v="7"/>
    <m/>
    <m/>
    <x v="4"/>
    <n v="5"/>
    <m/>
    <m/>
    <m/>
    <m/>
    <m/>
    <m/>
    <m/>
    <m/>
    <m/>
    <m/>
  </r>
  <r>
    <d v="2024-08-01T00:00:00"/>
    <d v="2024-08-19T00:00:00"/>
    <s v="الاثنين "/>
    <s v="شركة شلاندر "/>
    <s v="عبد الرحمن حسين    "/>
    <s v="تركيب المصاعد "/>
    <s v="تم العمل"/>
    <d v="1899-12-30T09:00:00"/>
    <d v="1899-12-30T16:00:00"/>
    <n v="0.29166666666666663"/>
    <s v="المخزن الجديد "/>
    <n v="6.9999999999999991"/>
    <m/>
    <m/>
    <x v="4"/>
    <n v="5"/>
    <m/>
    <m/>
    <m/>
    <m/>
    <m/>
    <m/>
    <m/>
    <m/>
    <m/>
    <m/>
  </r>
  <r>
    <d v="2024-08-01T00:00:00"/>
    <d v="2024-08-20T00:00:00"/>
    <s v="الثلاثاء "/>
    <s v="شركة الهدى "/>
    <s v="اسلام مصطفى    "/>
    <s v="صيانة ماكينات CTP"/>
    <s v="تم العمل"/>
    <d v="1899-12-30T15:30:00"/>
    <d v="1899-12-30T17:30:00"/>
    <n v="8.3333333333333259E-2"/>
    <s v="المطابع "/>
    <n v="1.9999999999999982"/>
    <m/>
    <m/>
    <x v="6"/>
    <n v="5"/>
    <m/>
    <m/>
    <m/>
    <m/>
    <m/>
    <m/>
    <m/>
    <m/>
    <m/>
    <m/>
  </r>
  <r>
    <d v="2024-08-01T00:00:00"/>
    <d v="2024-08-20T00:00:00"/>
    <s v="الثلاثاء "/>
    <s v="الشؤون الادارية "/>
    <s v="احمد حسنى     "/>
    <s v="بناء حائط المصاعد "/>
    <s v="تم العمل"/>
    <d v="1899-12-30T09:00:00"/>
    <d v="1899-12-30T17:00:00"/>
    <n v="0.33333333333333337"/>
    <s v="المخزن الجديد "/>
    <n v="8"/>
    <m/>
    <m/>
    <x v="4"/>
    <n v="5"/>
    <m/>
    <m/>
    <m/>
    <m/>
    <m/>
    <m/>
    <m/>
    <m/>
    <m/>
    <m/>
  </r>
  <r>
    <d v="2024-08-01T00:00:00"/>
    <d v="2024-08-21T00:00:00"/>
    <s v="الاربعاء "/>
    <s v="شركة نما "/>
    <s v="مصطفى حمزة     "/>
    <s v="صيانة كبروسر الهواء "/>
    <s v="تم العمل"/>
    <d v="1899-12-30T12:00:00"/>
    <d v="1899-12-30T15:00:00"/>
    <n v="0.125"/>
    <s v="المطابع "/>
    <n v="3"/>
    <m/>
    <m/>
    <x v="1"/>
    <n v="5"/>
    <m/>
    <m/>
    <m/>
    <m/>
    <m/>
    <m/>
    <m/>
    <m/>
    <m/>
    <m/>
  </r>
  <r>
    <d v="2024-08-01T00:00:00"/>
    <d v="2024-08-21T00:00:00"/>
    <s v="الاربعاء "/>
    <s v="شركة ابداع "/>
    <s v="محمد سعيد    "/>
    <s v="تركيب مكونات "/>
    <s v="تم العمل"/>
    <d v="1899-12-30T12:00:00"/>
    <d v="1899-12-30T17:30:00"/>
    <n v="0.22916666666666663"/>
    <s v="المطابع "/>
    <n v="5.4999999999999991"/>
    <m/>
    <m/>
    <x v="5"/>
    <n v="5"/>
    <m/>
    <m/>
    <m/>
    <m/>
    <m/>
    <m/>
    <m/>
    <m/>
    <m/>
    <m/>
  </r>
  <r>
    <d v="2024-08-01T00:00:00"/>
    <d v="2024-08-21T00:00:00"/>
    <s v="الاربعاء "/>
    <s v="شركة الامل "/>
    <s v="رامى محمد    "/>
    <s v="صيانة باب الامونتال "/>
    <s v="تم العمل"/>
    <d v="1899-12-30T14:00:00"/>
    <d v="1899-12-30T16:00:00"/>
    <n v="8.3333333333333259E-2"/>
    <s v="المطابع "/>
    <n v="1.9999999999999982"/>
    <m/>
    <m/>
    <x v="10"/>
    <n v="5"/>
    <m/>
    <m/>
    <m/>
    <m/>
    <m/>
    <m/>
    <m/>
    <m/>
    <m/>
    <m/>
  </r>
  <r>
    <d v="2024-08-01T00:00:00"/>
    <d v="2024-08-21T00:00:00"/>
    <s v="الاربعاء "/>
    <s v="الشؤون الادارية "/>
    <s v="محمود عويس     "/>
    <s v="صيانة كولدير الماء بالطبع شيت "/>
    <s v="تم العمل"/>
    <d v="1899-12-30T14:00:00"/>
    <d v="1899-12-30T16:30:00"/>
    <n v="0.10416666666666663"/>
    <s v="المطابع "/>
    <n v="2.4999999999999991"/>
    <m/>
    <m/>
    <x v="10"/>
    <n v="5"/>
    <m/>
    <m/>
    <m/>
    <m/>
    <m/>
    <m/>
    <m/>
    <m/>
    <m/>
    <m/>
  </r>
  <r>
    <d v="2024-08-01T00:00:00"/>
    <d v="2024-08-21T00:00:00"/>
    <s v="الاربعاء "/>
    <s v="بازان "/>
    <s v="محمد عبد الحميد "/>
    <s v="تركيب محبس  "/>
    <s v="تم العمل"/>
    <d v="1899-12-30T11:00:00"/>
    <d v="1899-12-30T17:00:00"/>
    <n v="0.25000000000000006"/>
    <s v="المخزن الجديد "/>
    <n v="6.0000000000000018"/>
    <m/>
    <m/>
    <x v="4"/>
    <n v="5"/>
    <m/>
    <m/>
    <m/>
    <m/>
    <m/>
    <m/>
    <m/>
    <m/>
    <m/>
    <m/>
  </r>
  <r>
    <d v="2024-08-01T00:00:00"/>
    <d v="2024-08-21T00:00:00"/>
    <s v="الاربعاء "/>
    <s v="الشؤون الادارية "/>
    <s v="احمد حسنى     "/>
    <s v="استكمال بناء حائط المصاعد "/>
    <s v="تم العمل"/>
    <d v="1899-12-30T10:00:00"/>
    <d v="1899-12-30T17:00:00"/>
    <n v="0.29166666666666669"/>
    <s v="المخزن الجديد "/>
    <n v="7"/>
    <m/>
    <m/>
    <x v="4"/>
    <n v="5"/>
    <m/>
    <m/>
    <m/>
    <m/>
    <m/>
    <m/>
    <m/>
    <m/>
    <m/>
    <m/>
  </r>
  <r>
    <d v="2024-08-01T00:00:00"/>
    <d v="2024-08-21T00:00:00"/>
    <s v="الاربعاء "/>
    <s v="بازان "/>
    <s v="احمد ياسر "/>
    <s v="توصيل كهرباء "/>
    <s v="تم العمل"/>
    <d v="1899-12-30T10:00:00"/>
    <d v="1899-12-30T17:30:00"/>
    <n v="0.31249999999999994"/>
    <s v="المخزن الجديد "/>
    <n v="7.4999999999999982"/>
    <m/>
    <m/>
    <x v="4"/>
    <n v="5"/>
    <m/>
    <m/>
    <m/>
    <m/>
    <m/>
    <m/>
    <m/>
    <m/>
    <m/>
    <m/>
  </r>
  <r>
    <d v="2024-08-01T00:00:00"/>
    <d v="2024-08-22T00:00:00"/>
    <s v="الخميس "/>
    <s v="بازان "/>
    <s v="محمد عبد الحميد "/>
    <s v="عمل دهان  "/>
    <s v="تم العمل"/>
    <d v="1899-12-30T10:00:00"/>
    <d v="1899-12-30T14:00:00"/>
    <n v="0.16666666666666669"/>
    <s v="المخزن الجديد "/>
    <n v="4"/>
    <m/>
    <m/>
    <x v="4"/>
    <n v="5"/>
    <m/>
    <m/>
    <m/>
    <m/>
    <m/>
    <m/>
    <m/>
    <m/>
    <m/>
    <m/>
  </r>
  <r>
    <d v="2024-08-01T00:00:00"/>
    <d v="2024-08-22T00:00:00"/>
    <s v="الخميس "/>
    <s v="بازان "/>
    <s v="احمد ياسر "/>
    <s v="توصيل كهرباء "/>
    <s v="تم العمل"/>
    <d v="1899-12-30T10:00:00"/>
    <d v="1899-12-30T17:00:00"/>
    <n v="0.29166666666666669"/>
    <s v="المخزن الجديد "/>
    <n v="7"/>
    <m/>
    <m/>
    <x v="4"/>
    <n v="3"/>
    <s v="لم يتم غلق التصريح وناقص  توقيعات "/>
    <m/>
    <m/>
    <m/>
    <m/>
    <m/>
    <m/>
    <m/>
    <m/>
    <m/>
  </r>
  <r>
    <d v="2024-08-01T00:00:00"/>
    <d v="2024-08-22T00:00:00"/>
    <s v="الخميس "/>
    <s v="الشؤون الادارية "/>
    <s v="احمد حسنى     "/>
    <s v="استكمال بناء حائط المصاعد "/>
    <s v="تم العمل"/>
    <d v="1899-12-30T10:00:00"/>
    <d v="1899-12-30T17:00:00"/>
    <n v="0.29166666666666669"/>
    <s v="المخزن الجديد "/>
    <n v="7"/>
    <m/>
    <m/>
    <x v="4"/>
    <n v="5"/>
    <m/>
    <m/>
    <m/>
    <m/>
    <m/>
    <m/>
    <m/>
    <m/>
    <m/>
    <m/>
  </r>
  <r>
    <d v="2024-08-01T00:00:00"/>
    <d v="2024-08-22T00:00:00"/>
    <s v="الخميس "/>
    <s v="شركة الكريم "/>
    <s v="حامد ابو المجد "/>
    <s v="الزيارة الشهرية وتركيب  محبس و2 حنفية  "/>
    <s v="تم العمل"/>
    <d v="1899-12-30T12:00:00"/>
    <d v="1899-12-30T15:00:00"/>
    <n v="0.125"/>
    <s v="المخزن الجديد "/>
    <n v="3"/>
    <m/>
    <m/>
    <x v="4"/>
    <n v="5"/>
    <m/>
    <m/>
    <m/>
    <m/>
    <m/>
    <m/>
    <m/>
    <m/>
    <m/>
    <m/>
  </r>
  <r>
    <d v="2024-08-01T00:00:00"/>
    <d v="2024-08-22T00:00:00"/>
    <s v="الخميس "/>
    <s v="الشركة الوطنية "/>
    <s v="محمد رمضان   "/>
    <s v="صيانة الكلاركات "/>
    <s v="تم العمل"/>
    <d v="1899-12-30T12:00:00"/>
    <d v="1899-12-30T15:00:00"/>
    <n v="0.125"/>
    <s v="المطابع "/>
    <n v="3"/>
    <m/>
    <m/>
    <x v="1"/>
    <n v="4"/>
    <s v="ناقص توقيعات "/>
    <m/>
    <m/>
    <m/>
    <m/>
    <m/>
    <m/>
    <m/>
    <m/>
    <m/>
  </r>
  <r>
    <d v="2024-08-01T00:00:00"/>
    <d v="2024-08-24T00:00:00"/>
    <s v="السبت "/>
    <s v="شركة اوزوريون "/>
    <s v="مراد  صالح "/>
    <s v="تكسير واحلال الخزان  "/>
    <s v="تم العمل"/>
    <d v="1899-12-30T10:00:00"/>
    <d v="1899-12-30T15:00:00"/>
    <n v="0.20833333333333331"/>
    <s v="المخزن القديم "/>
    <n v="5"/>
    <m/>
    <m/>
    <x v="9"/>
    <n v="5"/>
    <m/>
    <m/>
    <m/>
    <m/>
    <m/>
    <m/>
    <m/>
    <m/>
    <m/>
    <m/>
  </r>
  <r>
    <d v="2024-08-01T00:00:00"/>
    <d v="2024-08-24T00:00:00"/>
    <s v="السبت "/>
    <s v="الشؤون الادارية "/>
    <s v="محمد عويس "/>
    <s v="اعمال صيانة بالكولدير  "/>
    <s v="تم العمل"/>
    <d v="1899-12-30T10:30:00"/>
    <d v="1899-12-30T17:00:00"/>
    <n v="0.27083333333333337"/>
    <s v="المطابع "/>
    <n v="6.5000000000000009"/>
    <m/>
    <m/>
    <x v="13"/>
    <n v="5"/>
    <m/>
    <m/>
    <m/>
    <m/>
    <m/>
    <m/>
    <m/>
    <m/>
    <m/>
    <m/>
  </r>
  <r>
    <d v="2024-08-01T00:00:00"/>
    <d v="2024-08-25T00:00:00"/>
    <s v="الاحد "/>
    <s v="الشؤون الادارية "/>
    <s v="محمد عويس "/>
    <s v="تركيب غطاء على مروحة تكيف كولبس 5 "/>
    <s v="تم العمل"/>
    <d v="1899-12-30T10:00:00"/>
    <d v="1899-12-30T11:00:00"/>
    <n v="4.166666666666663E-2"/>
    <s v="المطابع "/>
    <n v="0.99999999999999911"/>
    <m/>
    <m/>
    <x v="1"/>
    <n v="5"/>
    <m/>
    <m/>
    <m/>
    <m/>
    <m/>
    <m/>
    <m/>
    <m/>
    <m/>
    <m/>
  </r>
  <r>
    <d v="2024-08-01T00:00:00"/>
    <d v="2024-08-25T00:00:00"/>
    <s v="الاحد "/>
    <s v="الشركة الالمانية "/>
    <s v="زياد عادل "/>
    <s v="الزيارة الشهرية ومكافحة القوارض "/>
    <s v="تم العمل"/>
    <d v="1899-12-30T11:00:00"/>
    <d v="1899-12-30T16:00:00"/>
    <n v="0.20833333333333331"/>
    <s v="المطابع "/>
    <n v="5"/>
    <m/>
    <m/>
    <x v="1"/>
    <n v="5"/>
    <m/>
    <m/>
    <m/>
    <m/>
    <m/>
    <m/>
    <m/>
    <m/>
    <m/>
    <m/>
  </r>
  <r>
    <d v="2024-08-01T00:00:00"/>
    <d v="2024-08-25T00:00:00"/>
    <s v="الاحد "/>
    <s v="الشؤون الادارية "/>
    <s v="محمود احمد "/>
    <s v="صيانة كولدير مياه "/>
    <s v="تم العمل"/>
    <d v="1899-12-30T12:00:00"/>
    <d v="1899-12-30T15:00:00"/>
    <n v="0.125"/>
    <s v="المطابع "/>
    <n v="3"/>
    <m/>
    <m/>
    <x v="6"/>
    <n v="5"/>
    <m/>
    <m/>
    <m/>
    <m/>
    <m/>
    <m/>
    <m/>
    <m/>
    <m/>
    <m/>
  </r>
  <r>
    <d v="2024-08-01T00:00:00"/>
    <d v="2024-08-25T00:00:00"/>
    <s v="الاحد "/>
    <s v="شركة الكريم "/>
    <s v="علاء الشابورى  "/>
    <s v="الزيارة الشهرية وفك الحساسات القديمة "/>
    <s v="تم العمل"/>
    <d v="1899-12-30T10:30:00"/>
    <d v="1899-12-30T14:30:00"/>
    <n v="0.16666666666666663"/>
    <s v="المطابع "/>
    <n v="3.9999999999999991"/>
    <m/>
    <m/>
    <x v="5"/>
    <n v="5"/>
    <m/>
    <m/>
    <m/>
    <m/>
    <m/>
    <m/>
    <m/>
    <m/>
    <m/>
    <m/>
  </r>
  <r>
    <d v="2024-08-01T00:00:00"/>
    <d v="2024-08-25T00:00:00"/>
    <s v="الاحد "/>
    <s v="شركة اوزوريون "/>
    <s v="محمد زفل   "/>
    <s v="صيانة شبابيك الالمونتال "/>
    <s v="تم العمل"/>
    <d v="1899-12-30T10:00:00"/>
    <d v="1899-12-30T17:00:00"/>
    <n v="0.29166666666666669"/>
    <s v="المخزن الجديد "/>
    <n v="7"/>
    <m/>
    <m/>
    <x v="2"/>
    <n v="5"/>
    <m/>
    <m/>
    <m/>
    <m/>
    <m/>
    <m/>
    <m/>
    <m/>
    <m/>
    <m/>
  </r>
  <r>
    <d v="2024-08-01T00:00:00"/>
    <d v="2024-08-25T00:00:00"/>
    <s v="الاحد "/>
    <s v="الشركة الالمانية "/>
    <s v="محمود احمد "/>
    <s v="عمل مكافحة فى مخزن الوزارة "/>
    <s v="تم العمل"/>
    <d v="1899-12-30T12:00:00"/>
    <d v="1899-12-30T13:00:00"/>
    <n v="4.166666666666663E-2"/>
    <s v="مخزن الوزارة"/>
    <n v="0.99999999999999911"/>
    <m/>
    <m/>
    <x v="8"/>
    <n v="5"/>
    <m/>
    <m/>
    <m/>
    <m/>
    <m/>
    <m/>
    <m/>
    <m/>
    <m/>
    <m/>
  </r>
  <r>
    <d v="2024-08-01T00:00:00"/>
    <d v="2024-08-25T00:00:00"/>
    <s v="الاحد "/>
    <s v="بازان "/>
    <s v="محمد عبد الحميد "/>
    <s v="تركيب عدادات  ضغط "/>
    <s v="تم العمل"/>
    <d v="1899-12-30T11:00:00"/>
    <d v="1899-12-30T17:00:00"/>
    <n v="0.25000000000000006"/>
    <s v="المخزن الجديد "/>
    <n v="6.0000000000000018"/>
    <m/>
    <m/>
    <x v="2"/>
    <n v="5"/>
    <m/>
    <m/>
    <m/>
    <m/>
    <m/>
    <m/>
    <m/>
    <m/>
    <m/>
    <m/>
  </r>
  <r>
    <d v="2024-08-01T00:00:00"/>
    <d v="2024-08-25T00:00:00"/>
    <s v="الاحد "/>
    <s v="شركة اوزوريون "/>
    <s v="مراد  صالح "/>
    <s v="احلال وتجديد خزان الاطفاء   "/>
    <s v="تم العمل"/>
    <d v="1899-12-30T10:00:00"/>
    <d v="1899-12-30T15:00:00"/>
    <n v="0.20833333333333331"/>
    <s v="المخزن القديم "/>
    <n v="5"/>
    <m/>
    <m/>
    <x v="9"/>
    <n v="5"/>
    <m/>
    <m/>
    <m/>
    <m/>
    <m/>
    <m/>
    <m/>
    <m/>
    <m/>
    <m/>
  </r>
  <r>
    <d v="2024-08-01T00:00:00"/>
    <d v="2024-08-25T00:00:00"/>
    <s v="الاحد "/>
    <s v="بازان "/>
    <s v="احمد ياسر "/>
    <s v="تركيب لوحات كهرباء "/>
    <s v="تم العمل"/>
    <d v="1899-12-30T10:00:00"/>
    <d v="1899-12-30T17:00:00"/>
    <n v="0.29166666666666669"/>
    <s v="المخزن الجديد "/>
    <n v="7"/>
    <m/>
    <m/>
    <x v="2"/>
    <n v="5"/>
    <m/>
    <m/>
    <m/>
    <m/>
    <m/>
    <m/>
    <m/>
    <m/>
    <m/>
    <m/>
  </r>
  <r>
    <d v="2024-08-01T00:00:00"/>
    <d v="2024-08-25T00:00:00"/>
    <s v="الاحد "/>
    <s v="القطاع الهندسى "/>
    <s v="صابر ابراهيم "/>
    <s v="تركيب تندة حديد اعلى المصاعد "/>
    <s v="تم العمل"/>
    <d v="1899-12-30T11:00:00"/>
    <d v="1899-12-30T17:00:00"/>
    <n v="0.25000000000000006"/>
    <s v="المخزن الجديد "/>
    <n v="6.0000000000000018"/>
    <m/>
    <m/>
    <x v="2"/>
    <n v="5"/>
    <m/>
    <m/>
    <m/>
    <m/>
    <m/>
    <m/>
    <m/>
    <m/>
    <m/>
    <m/>
  </r>
  <r>
    <d v="2024-08-01T00:00:00"/>
    <d v="2024-08-25T00:00:00"/>
    <s v="الاحد "/>
    <s v="القطاع الهندسى "/>
    <s v="شريف عيد "/>
    <s v="توصيل كهرباء بالمصاعد  "/>
    <s v="تم العمل"/>
    <d v="1899-12-30T10:00:00"/>
    <d v="1899-12-30T17:00:00"/>
    <n v="0.29166666666666669"/>
    <s v="المخزن الجديد "/>
    <n v="7"/>
    <m/>
    <m/>
    <x v="2"/>
    <n v="5"/>
    <m/>
    <m/>
    <m/>
    <m/>
    <m/>
    <m/>
    <m/>
    <m/>
    <m/>
    <m/>
  </r>
  <r>
    <d v="2024-08-01T00:00:00"/>
    <d v="2024-08-25T00:00:00"/>
    <s v="الاحد "/>
    <s v="شركة منصور للتبريد والتكيف "/>
    <s v="صلاح منصور "/>
    <s v="صيانة تكييف CTP"/>
    <s v="تم العمل"/>
    <d v="1899-12-30T12:00:00"/>
    <d v="1899-12-30T18:00:00"/>
    <n v="0.25"/>
    <s v="المطابع "/>
    <n v="6"/>
    <m/>
    <m/>
    <x v="0"/>
    <n v="5"/>
    <m/>
    <m/>
    <m/>
    <m/>
    <m/>
    <m/>
    <m/>
    <m/>
    <m/>
    <m/>
  </r>
  <r>
    <d v="2024-08-01T00:00:00"/>
    <d v="2024-08-26T00:00:00"/>
    <s v="الاثنين "/>
    <s v="الشؤون الادارية "/>
    <s v="أدم محمد "/>
    <s v="تركيب صرف تكييف "/>
    <s v="تم العمل"/>
    <d v="1899-12-30T11:30:00"/>
    <d v="1899-12-30T12:00:00"/>
    <n v="2.0833333333333315E-2"/>
    <s v="المطابع "/>
    <n v="0.49999999999999956"/>
    <m/>
    <m/>
    <x v="0"/>
    <n v="5"/>
    <m/>
    <m/>
    <m/>
    <m/>
    <m/>
    <m/>
    <m/>
    <m/>
    <m/>
    <m/>
  </r>
  <r>
    <d v="2024-08-01T00:00:00"/>
    <d v="2024-08-26T00:00:00"/>
    <s v="الاثنين "/>
    <s v="الشؤون الادارية "/>
    <s v="محمود  عويس "/>
    <s v="صيانة مبرد مياة الطبع شيت "/>
    <s v="تم العمل"/>
    <d v="1899-12-30T14:00:00"/>
    <d v="1899-12-30T15:00:00"/>
    <n v="4.166666666666663E-2"/>
    <s v="المطابع "/>
    <n v="0.99999999999999911"/>
    <m/>
    <m/>
    <x v="1"/>
    <n v="5"/>
    <m/>
    <m/>
    <m/>
    <m/>
    <m/>
    <m/>
    <m/>
    <m/>
    <m/>
    <m/>
  </r>
  <r>
    <d v="2024-08-01T00:00:00"/>
    <d v="2024-08-26T00:00:00"/>
    <s v="الاثنين "/>
    <s v="بازان "/>
    <s v="احمد ياسر "/>
    <s v="تركيب لوحات كهرباء "/>
    <s v="تم العمل"/>
    <d v="1899-12-30T10:00:00"/>
    <d v="1899-12-30T17:00:00"/>
    <n v="0.29166666666666669"/>
    <s v="المخزن الجديد "/>
    <n v="7"/>
    <m/>
    <m/>
    <x v="2"/>
    <n v="5"/>
    <m/>
    <m/>
    <m/>
    <m/>
    <m/>
    <m/>
    <m/>
    <m/>
    <m/>
    <m/>
  </r>
  <r>
    <d v="2024-08-01T00:00:00"/>
    <d v="2024-08-26T00:00:00"/>
    <s v="الاثنين "/>
    <s v="شركة اوزوريون "/>
    <s v="محمد زنفل  "/>
    <s v="استكمال سلم الطوارىء "/>
    <s v="تم العمل"/>
    <d v="1899-12-30T11:00:00"/>
    <d v="1899-12-30T17:00:00"/>
    <n v="0.25000000000000006"/>
    <s v="المخزن الجديد "/>
    <n v="6.0000000000000018"/>
    <m/>
    <m/>
    <x v="2"/>
    <n v="5"/>
    <m/>
    <m/>
    <m/>
    <m/>
    <m/>
    <m/>
    <m/>
    <m/>
    <m/>
    <m/>
  </r>
  <r>
    <d v="2024-08-01T00:00:00"/>
    <d v="2024-08-26T00:00:00"/>
    <s v="الاثنين "/>
    <s v="القطاع الهندسى "/>
    <s v="صابر ابراهيم "/>
    <s v="تركيب تندة حديد اعلى المصاعد "/>
    <s v="تم العمل"/>
    <d v="1899-12-30T11:00:00"/>
    <d v="1899-12-30T17:00:00"/>
    <n v="0.25000000000000006"/>
    <s v="المخزن الجديد "/>
    <n v="6.0000000000000018"/>
    <m/>
    <m/>
    <x v="2"/>
    <n v="5"/>
    <m/>
    <m/>
    <m/>
    <m/>
    <m/>
    <m/>
    <m/>
    <m/>
    <m/>
    <m/>
  </r>
  <r>
    <d v="2024-08-01T00:00:00"/>
    <d v="2024-08-26T00:00:00"/>
    <s v="الاثنين "/>
    <s v="القطاع الهندسى "/>
    <s v="اسلام صالح "/>
    <s v="تركيب انارة  "/>
    <s v="تم العمل"/>
    <d v="1899-12-30T10:00:00"/>
    <d v="1899-12-30T17:00:00"/>
    <n v="0.29166666666666669"/>
    <s v="المخزن الجديد "/>
    <n v="7"/>
    <m/>
    <m/>
    <x v="2"/>
    <n v="5"/>
    <m/>
    <m/>
    <m/>
    <m/>
    <m/>
    <m/>
    <m/>
    <m/>
    <m/>
    <m/>
  </r>
  <r>
    <d v="2024-08-01T00:00:00"/>
    <d v="2024-08-26T00:00:00"/>
    <s v="الاثنين "/>
    <s v="شركة اوزوريون "/>
    <s v="محمد زفل   "/>
    <s v="استكمال صيانة شبابيك الالمونتال "/>
    <s v="تم العمل"/>
    <d v="1899-12-30T10:00:00"/>
    <d v="1899-12-30T17:00:00"/>
    <n v="0.29166666666666669"/>
    <s v="المخزن الجديد "/>
    <n v="7"/>
    <m/>
    <m/>
    <x v="2"/>
    <n v="5"/>
    <m/>
    <m/>
    <m/>
    <m/>
    <m/>
    <m/>
    <m/>
    <m/>
    <m/>
    <m/>
  </r>
  <r>
    <d v="2024-08-01T00:00:00"/>
    <d v="2024-08-26T00:00:00"/>
    <s v="الاثنين "/>
    <s v="شركة الهدى "/>
    <s v="ايمن محمد كامل "/>
    <s v="لحام تسريب  الاحبار "/>
    <s v="تم العمل"/>
    <d v="1899-12-30T14:00:00"/>
    <d v="1899-12-30T18:00:00"/>
    <n v="0.16666666666666663"/>
    <s v="المخزن القديم "/>
    <n v="3.9999999999999991"/>
    <m/>
    <m/>
    <x v="9"/>
    <n v="5"/>
    <m/>
    <m/>
    <m/>
    <m/>
    <m/>
    <m/>
    <m/>
    <m/>
    <m/>
    <m/>
  </r>
  <r>
    <d v="2024-08-01T00:00:00"/>
    <d v="2024-08-26T00:00:00"/>
    <s v="الاثنين "/>
    <s v="شركة اوزوريون "/>
    <s v="مراد  صالح "/>
    <s v="احلال وتجديد خزان الاطفاء   "/>
    <s v="تم العمل"/>
    <d v="1899-12-30T10:00:00"/>
    <d v="1899-12-30T15:00:00"/>
    <n v="0.20833333333333331"/>
    <s v="المخزن القديم "/>
    <n v="5"/>
    <m/>
    <m/>
    <x v="9"/>
    <n v="5"/>
    <m/>
    <m/>
    <m/>
    <m/>
    <m/>
    <m/>
    <m/>
    <m/>
    <m/>
    <m/>
  </r>
  <r>
    <d v="2024-08-01T00:00:00"/>
    <d v="2024-08-26T00:00:00"/>
    <s v="الاثنين "/>
    <s v="شركة الهدى "/>
    <s v="اسلام مصطفى    "/>
    <s v="صيانة ماكينات CTP"/>
    <s v="تم العمل"/>
    <d v="1899-12-30T14:00:00"/>
    <d v="1899-12-30T18:00:00"/>
    <n v="0.16666666666666663"/>
    <s v="المطابع "/>
    <n v="3.9999999999999991"/>
    <m/>
    <m/>
    <x v="0"/>
    <n v="5"/>
    <m/>
    <m/>
    <m/>
    <m/>
    <m/>
    <m/>
    <m/>
    <m/>
    <m/>
    <m/>
  </r>
  <r>
    <d v="2024-08-01T00:00:00"/>
    <d v="2024-08-26T00:00:00"/>
    <s v="الاثنين "/>
    <s v="الشؤون الادارية "/>
    <s v="ياسر الروبى     "/>
    <s v="صيانة رخام حوض الحمام "/>
    <s v="تم العمل"/>
    <d v="1899-12-30T17:30:00"/>
    <d v="1899-12-30T20:00:00"/>
    <n v="0.10416666666666674"/>
    <s v="المطابع "/>
    <n v="2.5000000000000018"/>
    <m/>
    <m/>
    <x v="6"/>
    <n v="5"/>
    <m/>
    <m/>
    <m/>
    <m/>
    <m/>
    <m/>
    <m/>
    <m/>
    <m/>
    <m/>
  </r>
  <r>
    <d v="2024-08-01T00:00:00"/>
    <d v="2024-08-27T00:00:00"/>
    <s v="الثلاثاء "/>
    <s v="الشؤون الادارية "/>
    <s v="محمود  عويس "/>
    <s v="صيانة تكييف المكتب  "/>
    <s v="تم العمل"/>
    <d v="1899-12-30T10:00:00"/>
    <d v="1899-12-30T15:00:00"/>
    <n v="0.20833333333333331"/>
    <s v="المطابع "/>
    <n v="5"/>
    <m/>
    <m/>
    <x v="0"/>
    <n v="5"/>
    <m/>
    <m/>
    <m/>
    <m/>
    <m/>
    <m/>
    <m/>
    <m/>
    <m/>
    <m/>
  </r>
  <r>
    <d v="2024-08-01T00:00:00"/>
    <d v="2024-08-27T00:00:00"/>
    <s v="الثلاثاء "/>
    <s v="شركة MFP"/>
    <s v="هيثم سعيد "/>
    <s v="صيانة ماكينة طباعة بالتسليمات   "/>
    <s v="تم العمل"/>
    <d v="1899-12-30T15:00:00"/>
    <d v="1899-12-30T16:00:00"/>
    <n v="4.166666666666663E-2"/>
    <s v="المطابع "/>
    <n v="0.99999999999999911"/>
    <m/>
    <m/>
    <x v="1"/>
    <n v="5"/>
    <m/>
    <m/>
    <m/>
    <m/>
    <m/>
    <m/>
    <m/>
    <m/>
    <m/>
    <m/>
  </r>
  <r>
    <d v="2024-08-01T00:00:00"/>
    <d v="2024-08-27T00:00:00"/>
    <s v="الثلاثاء "/>
    <s v="الشؤون الادارية "/>
    <s v="ادم محمد "/>
    <s v="ترميم وتثبيت باب وطوارىء "/>
    <s v="تم العمل"/>
    <d v="1899-12-30T15:30:00"/>
    <d v="1899-12-30T17:30:00"/>
    <n v="8.3333333333333259E-2"/>
    <s v="المطابع "/>
    <n v="1.9999999999999982"/>
    <m/>
    <m/>
    <x v="0"/>
    <n v="5"/>
    <m/>
    <m/>
    <m/>
    <m/>
    <m/>
    <m/>
    <m/>
    <m/>
    <m/>
    <m/>
  </r>
  <r>
    <d v="2024-08-01T00:00:00"/>
    <d v="2024-08-27T00:00:00"/>
    <s v="الثلاثاء "/>
    <s v="الشؤون الادارية "/>
    <s v="محمود  عويس "/>
    <s v="صيانة تكييف"/>
    <s v="تم العمل"/>
    <d v="1899-12-30T16:00:00"/>
    <d v="1899-12-30T17:00:00"/>
    <n v="4.1666666666666741E-2"/>
    <s v="المطابع "/>
    <n v="1.0000000000000018"/>
    <m/>
    <m/>
    <x v="1"/>
    <n v="5"/>
    <m/>
    <m/>
    <m/>
    <m/>
    <m/>
    <m/>
    <m/>
    <m/>
    <m/>
    <m/>
  </r>
  <r>
    <d v="2024-08-01T00:00:00"/>
    <d v="2024-08-27T00:00:00"/>
    <s v="الثلاثاء "/>
    <s v="شركة اوزوريون "/>
    <s v="محمد زفل   "/>
    <s v="استكمال سلم الطوارىء "/>
    <s v="تم العمل"/>
    <d v="1899-12-30T11:00:00"/>
    <d v="1899-12-30T17:00:00"/>
    <n v="0.25000000000000006"/>
    <s v="المخزن الجديد "/>
    <n v="6.0000000000000018"/>
    <m/>
    <m/>
    <x v="2"/>
    <n v="5"/>
    <m/>
    <m/>
    <m/>
    <m/>
    <m/>
    <m/>
    <m/>
    <m/>
    <m/>
    <m/>
  </r>
  <r>
    <d v="2024-08-01T00:00:00"/>
    <d v="2024-08-27T00:00:00"/>
    <s v="الثلاثاء "/>
    <s v="القطاع الهندسى "/>
    <s v="صابر ابراهيم "/>
    <s v="استكمال تركيب تندة حديد اعلى المصاعد "/>
    <s v="تم العمل"/>
    <d v="1899-12-30T00:00:00"/>
    <d v="1899-12-30T17:00:00"/>
    <n v="0.70833333333333337"/>
    <s v="المخزن الجديد "/>
    <n v="17"/>
    <m/>
    <m/>
    <x v="2"/>
    <n v="5"/>
    <m/>
    <m/>
    <m/>
    <m/>
    <m/>
    <m/>
    <m/>
    <m/>
    <m/>
    <m/>
  </r>
  <r>
    <d v="2024-08-01T00:00:00"/>
    <d v="2024-08-27T00:00:00"/>
    <s v="الثلاثاء "/>
    <s v="بازان "/>
    <s v="احمد ياسر "/>
    <s v="توصيلات كهربائية "/>
    <s v="تم العمل"/>
    <d v="1899-12-30T10:00:00"/>
    <d v="1899-12-30T17:00:00"/>
    <n v="0.29166666666666669"/>
    <s v="المخزن الجديد "/>
    <n v="7"/>
    <m/>
    <m/>
    <x v="2"/>
    <n v="5"/>
    <m/>
    <m/>
    <m/>
    <m/>
    <m/>
    <m/>
    <m/>
    <m/>
    <m/>
    <m/>
  </r>
  <r>
    <d v="2024-08-01T00:00:00"/>
    <d v="2024-08-28T00:00:00"/>
    <s v="الاربعاء "/>
    <s v="شركة الكريم "/>
    <s v="حامد ابو المحاميد   "/>
    <s v="الزيارة الشهرية وتغيير حنفية 2.3 بوصة "/>
    <s v="تم العمل"/>
    <d v="1899-12-30T09:30:00"/>
    <d v="1899-12-30T11:30:00"/>
    <n v="8.333333333333337E-2"/>
    <s v="المطابع "/>
    <n v="2.0000000000000009"/>
    <m/>
    <m/>
    <x v="5"/>
    <n v="5"/>
    <m/>
    <m/>
    <m/>
    <m/>
    <m/>
    <m/>
    <m/>
    <m/>
    <m/>
    <m/>
  </r>
  <r>
    <d v="2024-08-01T00:00:00"/>
    <d v="2024-08-28T00:00:00"/>
    <s v="الاربعاء "/>
    <s v="الشؤون الادارية "/>
    <s v="محمود  عويس "/>
    <s v="صيانة تكييف"/>
    <s v="تم العمل"/>
    <d v="1899-12-30T16:00:00"/>
    <d v="1899-12-30T17:00:00"/>
    <n v="4.1666666666666741E-2"/>
    <s v="المطابع "/>
    <n v="1.0000000000000018"/>
    <m/>
    <m/>
    <x v="5"/>
    <n v="5"/>
    <m/>
    <m/>
    <m/>
    <m/>
    <m/>
    <m/>
    <m/>
    <m/>
    <m/>
    <m/>
  </r>
  <r>
    <d v="2024-08-01T00:00:00"/>
    <d v="2024-08-28T00:00:00"/>
    <s v="الاربعاء "/>
    <s v="الشؤون الادارية "/>
    <s v="محمود  عويس "/>
    <s v="صيانة تكييف"/>
    <s v="تم العمل"/>
    <d v="1899-12-30T00:00:00"/>
    <d v="1899-12-30T16:00:00"/>
    <n v="0.66666666666666663"/>
    <s v="المطابع "/>
    <n v="16"/>
    <m/>
    <m/>
    <x v="8"/>
    <n v="5"/>
    <m/>
    <m/>
    <m/>
    <m/>
    <m/>
    <m/>
    <m/>
    <m/>
    <m/>
    <m/>
  </r>
  <r>
    <d v="2024-08-01T00:00:00"/>
    <d v="2024-08-28T00:00:00"/>
    <s v="الاربعاء "/>
    <s v="القطاع الهندسى "/>
    <s v="كمال مرسى "/>
    <s v="صيانة ايروشر  "/>
    <s v="تم العمل"/>
    <d v="1899-12-30T00:00:00"/>
    <d v="1899-12-30T17:00:00"/>
    <n v="0.70833333333333337"/>
    <s v="المطابع "/>
    <n v="17"/>
    <m/>
    <m/>
    <x v="6"/>
    <n v="5"/>
    <m/>
    <m/>
    <m/>
    <m/>
    <m/>
    <m/>
    <m/>
    <m/>
    <m/>
    <m/>
  </r>
  <r>
    <d v="2024-08-01T00:00:00"/>
    <d v="2024-08-28T00:00:00"/>
    <s v="الاربعاء "/>
    <s v="الورشة الهندسية "/>
    <s v="فارس خليل "/>
    <s v="تركيب تاندة حديد "/>
    <s v="تم العمل"/>
    <d v="1899-12-30T14:30:00"/>
    <d v="1899-12-30T15:30:00"/>
    <n v="4.1666666666666741E-2"/>
    <s v="دويتش "/>
    <n v="1.0000000000000018"/>
    <m/>
    <m/>
    <x v="6"/>
    <n v="5"/>
    <m/>
    <m/>
    <m/>
    <m/>
    <m/>
    <m/>
    <m/>
    <m/>
    <m/>
    <m/>
  </r>
  <r>
    <d v="2024-08-01T00:00:00"/>
    <d v="2024-08-28T00:00:00"/>
    <s v="الاربعاء "/>
    <s v="بازان "/>
    <s v="احمد ياسر "/>
    <s v="تركيبات كهربائية "/>
    <s v="تم العمل"/>
    <d v="1899-12-30T10:00:00"/>
    <d v="1899-12-30T17:00:00"/>
    <n v="0.29166666666666669"/>
    <s v="المخزن الجديد "/>
    <n v="7"/>
    <m/>
    <m/>
    <x v="2"/>
    <n v="5"/>
    <m/>
    <m/>
    <m/>
    <m/>
    <m/>
    <m/>
    <m/>
    <m/>
    <m/>
    <m/>
  </r>
  <r>
    <d v="2024-08-01T00:00:00"/>
    <d v="2024-08-28T00:00:00"/>
    <s v="الاربعاء "/>
    <s v="القطاع الهندسى "/>
    <s v="اسلام صالح "/>
    <s v="صيانة كشافات الطوارىء "/>
    <s v="تم العمل"/>
    <d v="1899-12-30T10:00:00"/>
    <d v="1899-12-30T17:00:00"/>
    <n v="0.29166666666666669"/>
    <s v="المخزن الجديد "/>
    <n v="7"/>
    <m/>
    <m/>
    <x v="2"/>
    <n v="5"/>
    <m/>
    <m/>
    <m/>
    <m/>
    <m/>
    <m/>
    <m/>
    <m/>
    <m/>
    <m/>
  </r>
  <r>
    <d v="2024-08-01T00:00:00"/>
    <d v="2024-08-31T00:00:00"/>
    <s v="السبت "/>
    <s v="الورشة الهندسية "/>
    <s v="فارس خليل "/>
    <s v="تركيب تاندة حديد "/>
    <s v="تم العمل"/>
    <d v="1899-12-30T00:00:00"/>
    <d v="1899-12-30T15:30:00"/>
    <n v="0.64583333333333337"/>
    <s v="دويتش "/>
    <n v="15.5"/>
    <m/>
    <m/>
    <x v="7"/>
    <n v="5"/>
    <m/>
    <m/>
    <m/>
    <m/>
    <m/>
    <m/>
    <m/>
    <m/>
    <m/>
    <m/>
  </r>
  <r>
    <d v="2024-08-01T00:00:00"/>
    <d v="2024-08-31T00:00:00"/>
    <s v="السبت "/>
    <s v="بازان "/>
    <s v="احمد ياسر "/>
    <s v="تجميع شبكة  الكهرباء "/>
    <s v="تم العمل"/>
    <d v="1899-12-30T10:00:00"/>
    <d v="1899-12-30T17:30:00"/>
    <n v="0.31249999999999994"/>
    <s v="المخزن الجديد "/>
    <n v="7.4999999999999982"/>
    <m/>
    <m/>
    <x v="5"/>
    <n v="5"/>
    <m/>
    <m/>
    <m/>
    <m/>
    <m/>
    <m/>
    <m/>
    <m/>
    <m/>
    <m/>
  </r>
  <r>
    <d v="2024-08-01T00:00:00"/>
    <d v="2024-08-31T00:00:00"/>
    <s v="السبت "/>
    <s v="شركة شلاندر "/>
    <s v="احمد السيد"/>
    <s v="تركيب مصعد البضائع "/>
    <s v="تم العمل"/>
    <d v="1899-12-30T10:00:00"/>
    <d v="1899-12-30T17:30:00"/>
    <n v="0.31249999999999994"/>
    <s v="المخزن الجديد "/>
    <n v="7.4999999999999982"/>
    <m/>
    <m/>
    <x v="5"/>
    <n v="5"/>
    <m/>
    <m/>
    <m/>
    <m/>
    <m/>
    <m/>
    <m/>
    <m/>
    <m/>
    <m/>
  </r>
  <r>
    <d v="2024-08-01T00:00:00"/>
    <d v="2024-08-31T00:00:00"/>
    <s v="السبت "/>
    <s v="لفت ايجبت "/>
    <s v="سامى شعبان  "/>
    <s v="منع تسريب الزيت "/>
    <s v="تم العمل"/>
    <d v="1899-12-30T11:00:00"/>
    <d v="1899-12-30T16:30:00"/>
    <n v="0.22916666666666669"/>
    <s v="المخزن القديم "/>
    <n v="5.5"/>
    <m/>
    <m/>
    <x v="8"/>
    <n v="4"/>
    <s v="عدم غلق التصريح "/>
    <m/>
    <m/>
    <m/>
    <m/>
    <m/>
    <m/>
    <m/>
    <m/>
    <m/>
  </r>
  <r>
    <d v="2024-09-01T00:00:00"/>
    <d v="2024-09-01T00:00:00"/>
    <s v="الاحد "/>
    <s v="الشركة الالمانية "/>
    <s v="ذياد عادل"/>
    <s v="الزيارة الشهرية  مكافحة القوارض "/>
    <s v="تم العمل"/>
    <d v="1899-12-30T14:00:00"/>
    <d v="1899-12-30T15:00:00"/>
    <n v="4.166666666666663E-2"/>
    <s v="المخزن القديم "/>
    <n v="0.99999999999999911"/>
    <m/>
    <m/>
    <x v="9"/>
    <n v="5"/>
    <m/>
    <m/>
    <m/>
    <m/>
    <m/>
    <m/>
    <m/>
    <m/>
    <m/>
    <m/>
  </r>
  <r>
    <d v="2024-09-01T00:00:00"/>
    <d v="2024-09-01T00:00:00"/>
    <s v="الاحد "/>
    <s v="لفت ايجبت "/>
    <s v="سامى شعبان  "/>
    <s v="صيانة كلارك "/>
    <s v="تم العمل"/>
    <d v="1899-12-30T11:00:00"/>
    <d v="1899-12-30T13:00:00"/>
    <n v="8.3333333333333315E-2"/>
    <s v="المخزن الجديد "/>
    <n v="1.9999999999999996"/>
    <m/>
    <m/>
    <x v="1"/>
    <n v="5"/>
    <m/>
    <m/>
    <m/>
    <m/>
    <m/>
    <m/>
    <m/>
    <m/>
    <m/>
    <m/>
  </r>
  <r>
    <d v="2024-09-01T00:00:00"/>
    <d v="2024-09-01T00:00:00"/>
    <s v="الاحد "/>
    <s v="الشركة الالمانية "/>
    <s v="ذياد عادل"/>
    <s v="عمل مكافحة فى مخزن الوزارة "/>
    <s v="تم العمل"/>
    <d v="1899-12-30T12:00:00"/>
    <d v="1899-12-30T13:00:00"/>
    <n v="4.166666666666663E-2"/>
    <s v="مخزن الوزارة"/>
    <n v="0.99999999999999911"/>
    <m/>
    <m/>
    <x v="2"/>
    <n v="5"/>
    <m/>
    <m/>
    <m/>
    <m/>
    <m/>
    <m/>
    <m/>
    <m/>
    <m/>
    <m/>
  </r>
  <r>
    <d v="2024-09-01T00:00:00"/>
    <d v="2024-09-01T00:00:00"/>
    <s v="الاحد "/>
    <s v="بازان "/>
    <s v="احمد ياسر "/>
    <s v="تجميع شبكة  الكهرباء "/>
    <s v="تم العمل"/>
    <d v="1899-12-30T13:00:00"/>
    <d v="1899-12-30T17:00:00"/>
    <n v="0.16666666666666674"/>
    <s v="المخزن الجديد "/>
    <n v="4.0000000000000018"/>
    <m/>
    <m/>
    <x v="2"/>
    <n v="4"/>
    <s v="ناقص توقيعات "/>
    <m/>
    <m/>
    <m/>
    <m/>
    <m/>
    <m/>
    <m/>
    <m/>
    <m/>
  </r>
  <r>
    <d v="2024-09-01T00:00:00"/>
    <d v="2024-09-01T00:00:00"/>
    <s v="الاحد "/>
    <s v="الشركة الالمانية "/>
    <s v="ذياد عادل"/>
    <s v="عمل مكافحة فى مخزن الوزارة "/>
    <s v="تم العمل"/>
    <d v="1899-12-30T11:00:00"/>
    <d v="1899-12-30T12:00:00"/>
    <n v="4.1666666666666685E-2"/>
    <s v="المخزن الجديد "/>
    <n v="1.0000000000000004"/>
    <m/>
    <m/>
    <x v="2"/>
    <n v="5"/>
    <m/>
    <m/>
    <m/>
    <m/>
    <m/>
    <m/>
    <m/>
    <m/>
    <m/>
    <m/>
  </r>
  <r>
    <d v="2024-09-01T00:00:00"/>
    <d v="2024-09-01T00:00:00"/>
    <s v="الاحد "/>
    <s v="لفت ايجبت "/>
    <s v="سامى شعبان  "/>
    <s v="منع تسريب الزيت "/>
    <s v="تم العمل"/>
    <d v="1899-12-30T14:00:00"/>
    <d v="1899-12-30T15:00:00"/>
    <n v="4.166666666666663E-2"/>
    <s v="المخزن الجديد "/>
    <n v="0.99999999999999911"/>
    <m/>
    <m/>
    <x v="2"/>
    <n v="5"/>
    <m/>
    <m/>
    <m/>
    <m/>
    <m/>
    <m/>
    <m/>
    <m/>
    <m/>
    <m/>
  </r>
  <r>
    <d v="2024-09-01T00:00:00"/>
    <d v="2024-09-02T00:00:00"/>
    <s v="الاثنين "/>
    <s v="الشؤون الادارية "/>
    <s v="علاء احمد "/>
    <s v="صيانة تكيفات "/>
    <s v="تم العمل"/>
    <d v="1899-12-30T10:00:00"/>
    <d v="1899-12-30T12:00:00"/>
    <n v="8.3333333333333315E-2"/>
    <s v="المطابع "/>
    <n v="1.9999999999999996"/>
    <m/>
    <m/>
    <x v="10"/>
    <n v="5"/>
    <m/>
    <m/>
    <m/>
    <m/>
    <m/>
    <m/>
    <m/>
    <m/>
    <m/>
    <m/>
  </r>
  <r>
    <d v="2024-09-01T00:00:00"/>
    <d v="2024-09-02T00:00:00"/>
    <s v="الاثنين "/>
    <s v="الشؤون الادارية "/>
    <s v="محمود  عويس "/>
    <s v="صيانة تكييف"/>
    <s v="تم العمل"/>
    <d v="1899-12-30T12:30:00"/>
    <d v="1899-12-30T13:30:00"/>
    <n v="4.166666666666663E-2"/>
    <s v="المطابع "/>
    <n v="0.99999999999999911"/>
    <m/>
    <m/>
    <x v="6"/>
    <n v="5"/>
    <m/>
    <m/>
    <m/>
    <m/>
    <m/>
    <m/>
    <m/>
    <m/>
    <m/>
    <m/>
  </r>
  <r>
    <d v="2024-09-01T00:00:00"/>
    <d v="2024-09-03T00:00:00"/>
    <s v="الثلاثاء "/>
    <s v="العشرى للمقاولات "/>
    <s v="وليد فتحى "/>
    <s v="تركيب  تكييف"/>
    <s v="تم العمل"/>
    <d v="1899-12-30T13:00:00"/>
    <d v="1899-12-30T15:00:00"/>
    <n v="8.333333333333337E-2"/>
    <s v="المطابع "/>
    <n v="2.0000000000000009"/>
    <m/>
    <m/>
    <x v="10"/>
    <n v="5"/>
    <m/>
    <m/>
    <m/>
    <m/>
    <m/>
    <m/>
    <m/>
    <m/>
    <m/>
    <m/>
  </r>
  <r>
    <d v="2024-09-01T00:00:00"/>
    <d v="2024-09-03T00:00:00"/>
    <s v="الثلاثاء "/>
    <s v="شركة اوزوريون "/>
    <s v="مراد  صالح "/>
    <s v="العمل فى خزان الاطفاء    "/>
    <s v="تم العمل"/>
    <d v="1899-12-30T10:00:00"/>
    <d v="1899-12-30T15:00:00"/>
    <n v="0.20833333333333331"/>
    <s v="المخزن القديم "/>
    <n v="5"/>
    <m/>
    <m/>
    <x v="9"/>
    <n v="5"/>
    <m/>
    <m/>
    <m/>
    <m/>
    <m/>
    <m/>
    <m/>
    <m/>
    <m/>
    <m/>
  </r>
  <r>
    <d v="2024-09-01T00:00:00"/>
    <d v="2024-09-03T00:00:00"/>
    <s v="الثلاثاء "/>
    <s v="شركة الهدى "/>
    <s v="ايمن محمد كامل "/>
    <s v="لحام منع تسريب الاحبار  "/>
    <s v="تم العمل"/>
    <d v="1899-12-30T14:00:00"/>
    <d v="1899-12-30T18:00:00"/>
    <n v="0.16666666666666663"/>
    <s v="المخزن القديم "/>
    <n v="3.9999999999999991"/>
    <m/>
    <m/>
    <x v="9"/>
    <n v="5"/>
    <m/>
    <m/>
    <m/>
    <m/>
    <m/>
    <m/>
    <m/>
    <m/>
    <m/>
    <m/>
  </r>
  <r>
    <d v="2024-09-01T00:00:00"/>
    <d v="2024-09-04T00:00:00"/>
    <s v="الاربعاء "/>
    <s v="الشؤون الادارية "/>
    <s v="محمود  عويس "/>
    <s v="صيانة تكييف مكتب السلامة والصحة والسرفر "/>
    <s v="تم العمل"/>
    <d v="1899-12-30T22:30:00"/>
    <d v="1899-12-30T23:00:00"/>
    <n v="2.083333333333337E-2"/>
    <s v="المطابع "/>
    <n v="0.50000000000000089"/>
    <m/>
    <m/>
    <x v="7"/>
    <n v="5"/>
    <m/>
    <m/>
    <m/>
    <m/>
    <m/>
    <m/>
    <m/>
    <m/>
    <m/>
    <m/>
  </r>
  <r>
    <d v="2024-09-01T00:00:00"/>
    <d v="2024-09-04T00:00:00"/>
    <s v="الاربعاء "/>
    <s v="نظم المعلومات (IT)"/>
    <s v="مصطفى نصار  "/>
    <s v="العمل على ارتفعات تحرير كابل الفايبر  "/>
    <s v="تم العمل"/>
    <d v="1899-12-30T12:00:00"/>
    <d v="1899-12-30T16:00:00"/>
    <n v="0.16666666666666663"/>
    <s v="البرج"/>
    <n v="3.9999999999999991"/>
    <m/>
    <m/>
    <x v="3"/>
    <n v="5"/>
    <m/>
    <m/>
    <m/>
    <m/>
    <m/>
    <m/>
    <m/>
    <m/>
    <m/>
    <m/>
  </r>
  <r>
    <d v="2024-09-01T00:00:00"/>
    <d v="2024-09-04T00:00:00"/>
    <s v="الاربعاء "/>
    <s v="الشؤون الادارية "/>
    <s v="محمود  عويس "/>
    <s v="صيانة تكييف غرفة الكهرباء ويب 7 "/>
    <s v="تم العمل"/>
    <d v="1899-12-30T11:30:00"/>
    <d v="1899-12-30T13:00:00"/>
    <n v="6.2499999999999944E-2"/>
    <s v="المطابع "/>
    <n v="1.4999999999999987"/>
    <m/>
    <m/>
    <x v="10"/>
    <n v="5"/>
    <m/>
    <m/>
    <m/>
    <m/>
    <m/>
    <m/>
    <m/>
    <m/>
    <m/>
    <m/>
  </r>
  <r>
    <d v="2024-09-01T00:00:00"/>
    <d v="2024-09-04T00:00:00"/>
    <s v="الاربعاء "/>
    <s v="القطاع الهندسى "/>
    <s v="شريف  عيد "/>
    <s v="توصيل كهرباء بالمصاعد  "/>
    <s v="تم العمل"/>
    <d v="1899-12-30T10:00:00"/>
    <d v="1899-12-30T11:00:00"/>
    <n v="4.166666666666663E-2"/>
    <s v="المخزن الجديد "/>
    <n v="0.99999999999999911"/>
    <m/>
    <m/>
    <x v="6"/>
    <n v="5"/>
    <m/>
    <m/>
    <m/>
    <m/>
    <m/>
    <m/>
    <m/>
    <m/>
    <m/>
    <m/>
  </r>
  <r>
    <d v="2024-09-01T00:00:00"/>
    <d v="2024-09-05T00:00:00"/>
    <s v="الخميس "/>
    <s v="شركة منصور للتبريد والتكيف "/>
    <s v="صلاح منصور "/>
    <s v="صيانة تكييف "/>
    <s v="تم العمل"/>
    <d v="1899-12-30T11:30:00"/>
    <d v="1899-12-30T14:00:00"/>
    <n v="0.10416666666666669"/>
    <s v="المطابع "/>
    <n v="2.5000000000000004"/>
    <m/>
    <m/>
    <x v="10"/>
    <n v="5"/>
    <m/>
    <m/>
    <m/>
    <m/>
    <m/>
    <m/>
    <m/>
    <m/>
    <m/>
    <m/>
  </r>
  <r>
    <d v="2024-09-01T00:00:00"/>
    <d v="2024-09-05T00:00:00"/>
    <s v="الخميس "/>
    <s v="الشؤون الادارية "/>
    <s v="مصطفى رشاد  "/>
    <s v="انشاءات و دهانات "/>
    <s v="تم العمل"/>
    <d v="1899-12-30T11:30:00"/>
    <d v="1899-12-30T15:00:00"/>
    <n v="0.14583333333333331"/>
    <s v="البرج"/>
    <n v="3.4999999999999996"/>
    <m/>
    <m/>
    <x v="3"/>
    <n v="5"/>
    <m/>
    <m/>
    <m/>
    <m/>
    <m/>
    <m/>
    <m/>
    <m/>
    <m/>
    <m/>
  </r>
  <r>
    <d v="2024-09-01T00:00:00"/>
    <d v="2024-09-05T00:00:00"/>
    <s v="الخميس "/>
    <s v="الشؤون الادارية "/>
    <s v="صلاح منصور "/>
    <s v="صيانة تكييف "/>
    <s v="تم العمل"/>
    <d v="1899-12-30T11:30:00"/>
    <d v="1899-12-30T13:00:00"/>
    <n v="6.2499999999999944E-2"/>
    <s v="المطابع "/>
    <n v="1.4999999999999987"/>
    <m/>
    <m/>
    <x v="10"/>
    <n v="5"/>
    <m/>
    <m/>
    <m/>
    <m/>
    <m/>
    <m/>
    <m/>
    <m/>
    <m/>
    <m/>
  </r>
  <r>
    <d v="2024-09-01T00:00:00"/>
    <d v="2024-09-05T00:00:00"/>
    <s v="الخميس "/>
    <s v="الشركة الالمانية "/>
    <s v="سامى الامير "/>
    <s v="عمل مكافحة لشقق  العاملين عدد 3 لحشرة للبق"/>
    <s v="تم العمل"/>
    <d v="1899-12-30T10:00:00"/>
    <d v="1899-12-30T12:00:00"/>
    <n v="8.3333333333333315E-2"/>
    <s v="المطابع "/>
    <n v="1.9999999999999996"/>
    <m/>
    <m/>
    <x v="1"/>
    <n v="5"/>
    <m/>
    <m/>
    <m/>
    <m/>
    <m/>
    <m/>
    <m/>
    <m/>
    <m/>
    <m/>
  </r>
  <r>
    <d v="2024-09-01T00:00:00"/>
    <d v="2024-09-06T00:00:00"/>
    <s v="الجمعة "/>
    <s v="شركة راية "/>
    <s v="عادل ابراهيم "/>
    <s v="تركيبات "/>
    <s v="تم العمل"/>
    <d v="1899-12-30T09:00:00"/>
    <d v="1899-12-30T16:00:00"/>
    <n v="0.29166666666666663"/>
    <s v="البرج"/>
    <n v="6.9999999999999991"/>
    <m/>
    <m/>
    <x v="3"/>
    <n v="5"/>
    <m/>
    <m/>
    <m/>
    <m/>
    <m/>
    <m/>
    <m/>
    <m/>
    <m/>
    <m/>
  </r>
  <r>
    <d v="2024-09-01T00:00:00"/>
    <d v="2024-09-07T00:00:00"/>
    <s v="السبت "/>
    <s v="شركة اوزوريون "/>
    <s v="مراد  صالح "/>
    <s v="ترميم خزان الاطفاء    "/>
    <s v="تم العمل"/>
    <d v="1899-12-30T11:00:00"/>
    <d v="1899-12-30T17:00:00"/>
    <n v="0.25000000000000006"/>
    <s v="المخزن القديم "/>
    <n v="6.0000000000000018"/>
    <m/>
    <m/>
    <x v="2"/>
    <n v="5"/>
    <m/>
    <m/>
    <m/>
    <m/>
    <m/>
    <m/>
    <m/>
    <m/>
    <m/>
    <m/>
  </r>
  <r>
    <d v="2024-09-01T00:00:00"/>
    <d v="2024-09-08T00:00:00"/>
    <s v="الاحد "/>
    <s v="شركة الكريم "/>
    <s v="علاء الشابورى "/>
    <s v="الزيارة الشهرية لصيانة نظام الانزار    "/>
    <s v="تم العمل"/>
    <d v="1899-12-30T11:00:00"/>
    <d v="1899-12-30T12:00:00"/>
    <n v="4.1666666666666685E-2"/>
    <s v="المطابع "/>
    <n v="1.0000000000000004"/>
    <m/>
    <m/>
    <x v="5"/>
    <n v="5"/>
    <m/>
    <m/>
    <m/>
    <m/>
    <m/>
    <m/>
    <m/>
    <m/>
    <m/>
    <m/>
  </r>
  <r>
    <d v="2024-09-01T00:00:00"/>
    <d v="2024-09-08T00:00:00"/>
    <s v="الاحد "/>
    <s v="الشؤون الادارية "/>
    <s v="محمود  عويس "/>
    <s v="عمل صيانةلكولدير مياة الطبع شيت"/>
    <s v="تم العمل"/>
    <d v="1899-12-30T11:30:00"/>
    <d v="1899-12-30T12:00:00"/>
    <n v="2.0833333333333315E-2"/>
    <s v="المطابع "/>
    <n v="0.49999999999999956"/>
    <m/>
    <m/>
    <x v="8"/>
    <n v="5"/>
    <m/>
    <m/>
    <m/>
    <m/>
    <m/>
    <m/>
    <m/>
    <m/>
    <m/>
    <m/>
  </r>
  <r>
    <d v="2024-09-01T00:00:00"/>
    <d v="2024-09-08T00:00:00"/>
    <s v="الاحد "/>
    <s v="شركة الهدى "/>
    <s v="اسلام مصطفى    "/>
    <s v="صيانة ماكينات CTP"/>
    <s v="تم العمل"/>
    <d v="1899-12-30T13:30:00"/>
    <d v="1899-12-30T17:00:00"/>
    <n v="0.14583333333333337"/>
    <s v="المطابع "/>
    <n v="3.5000000000000009"/>
    <m/>
    <m/>
    <x v="6"/>
    <n v="5"/>
    <m/>
    <m/>
    <m/>
    <m/>
    <m/>
    <m/>
    <m/>
    <m/>
    <m/>
    <m/>
  </r>
  <r>
    <d v="2024-09-01T00:00:00"/>
    <d v="2024-09-08T00:00:00"/>
    <s v="الاحد "/>
    <s v="الشركة الالمانية "/>
    <s v="زياد عادل "/>
    <s v="الزيارة الشهرية وعمل مكافحة للحشرات "/>
    <s v="تم العمل"/>
    <d v="1899-12-30T12:30:00"/>
    <d v="1899-12-30T15:00:00"/>
    <n v="0.10416666666666663"/>
    <s v="المطابع "/>
    <n v="2.4999999999999991"/>
    <m/>
    <m/>
    <x v="6"/>
    <n v="5"/>
    <m/>
    <m/>
    <m/>
    <m/>
    <m/>
    <m/>
    <m/>
    <m/>
    <m/>
    <m/>
  </r>
  <r>
    <d v="2024-09-01T00:00:00"/>
    <d v="2024-09-08T00:00:00"/>
    <s v="الاحد "/>
    <s v="شركة شلاندر "/>
    <s v="مخلص كامل "/>
    <s v="عمل صيانة المصاعد "/>
    <s v="تم العمل"/>
    <d v="1899-12-30T16:00:00"/>
    <d v="1899-12-30T16:30:00"/>
    <n v="2.083333333333337E-2"/>
    <s v="المطابع "/>
    <n v="0.50000000000000089"/>
    <m/>
    <m/>
    <x v="8"/>
    <n v="5"/>
    <m/>
    <m/>
    <m/>
    <m/>
    <m/>
    <m/>
    <m/>
    <m/>
    <m/>
    <m/>
  </r>
  <r>
    <d v="2024-09-01T00:00:00"/>
    <d v="2024-09-08T00:00:00"/>
    <s v="الاحد "/>
    <s v="الشؤون الادارية "/>
    <s v="محمود ابو شادى "/>
    <s v="اعمال البناء  "/>
    <s v="تم العمل"/>
    <d v="1899-12-30T09:30:00"/>
    <d v="1899-12-30T16:00:00"/>
    <n v="0.27083333333333331"/>
    <s v="المطابع "/>
    <n v="1.5"/>
    <m/>
    <m/>
    <x v="0"/>
    <n v="5"/>
    <m/>
    <m/>
    <m/>
    <m/>
    <m/>
    <m/>
    <m/>
    <m/>
    <m/>
    <m/>
  </r>
  <r>
    <d v="2024-09-01T00:00:00"/>
    <d v="2024-09-09T00:00:00"/>
    <s v="الاثنين "/>
    <s v="الشؤون الادارية "/>
    <s v="محمود  عويس "/>
    <s v="عمل صيانةلكولدير مياة الكافتريا"/>
    <s v="تم العمل"/>
    <d v="1899-12-30T15:00:00"/>
    <d v="1899-12-30T16:30:00"/>
    <n v="6.25E-2"/>
    <s v="المخزن القديم "/>
    <n v="1.5"/>
    <m/>
    <m/>
    <x v="9"/>
    <n v="5"/>
    <m/>
    <m/>
    <m/>
    <m/>
    <m/>
    <m/>
    <m/>
    <m/>
    <m/>
    <m/>
  </r>
  <r>
    <d v="2024-09-01T00:00:00"/>
    <d v="2024-09-09T00:00:00"/>
    <s v="الاثنين "/>
    <s v="شركة سيتا "/>
    <s v="اشرف فتجى "/>
    <s v="تغيير بطاريات "/>
    <s v="تم العمل"/>
    <d v="1899-12-30T00:00:00"/>
    <d v="1899-12-30T15:00:00"/>
    <n v="0.625"/>
    <s v="المطابع "/>
    <n v="1.5"/>
    <m/>
    <m/>
    <x v="1"/>
    <n v="5"/>
    <m/>
    <m/>
    <m/>
    <m/>
    <m/>
    <m/>
    <m/>
    <m/>
    <m/>
    <m/>
  </r>
  <r>
    <d v="2024-09-01T00:00:00"/>
    <d v="2024-09-09T00:00:00"/>
    <s v="الاثنين "/>
    <s v="الشؤون الادارية "/>
    <s v="محمود ابو شادى  "/>
    <s v="نظافة ورفع المخلفات حول المخزن "/>
    <s v="تم العمل"/>
    <d v="1899-12-30T11:00:00"/>
    <d v="1899-12-30T12:30:00"/>
    <n v="6.2500000000000056E-2"/>
    <s v="المخزن القديم "/>
    <n v="1.5"/>
    <m/>
    <m/>
    <x v="9"/>
    <n v="5"/>
    <m/>
    <m/>
    <m/>
    <m/>
    <m/>
    <m/>
    <m/>
    <m/>
    <m/>
    <m/>
  </r>
  <r>
    <d v="2024-09-01T00:00:00"/>
    <d v="2024-09-10T00:00:00"/>
    <s v="الثلاثاء "/>
    <s v="شركة شلاندر "/>
    <s v="محمد على "/>
    <s v="صيانة المصاعد "/>
    <s v="تم العمل"/>
    <d v="1899-12-30T10:00:00"/>
    <d v="1899-12-30T16:00:00"/>
    <n v="0.24999999999999994"/>
    <s v="المطابع "/>
    <n v="5.9999999999999982"/>
    <m/>
    <m/>
    <x v="1"/>
    <n v="5"/>
    <m/>
    <m/>
    <m/>
    <m/>
    <m/>
    <m/>
    <m/>
    <m/>
    <m/>
    <m/>
  </r>
  <r>
    <d v="2024-09-01T00:00:00"/>
    <d v="2024-09-10T00:00:00"/>
    <s v="الثلاثاء "/>
    <s v="ستار كول  للتبريد والتكيف "/>
    <s v="عبد الرحمن حسين "/>
    <s v="صيانة غرفة الكمبروسر "/>
    <s v="تم العمل"/>
    <d v="1899-12-30T14:00:00"/>
    <d v="1899-12-30T16:00:00"/>
    <n v="8.3333333333333259E-2"/>
    <s v="المطابع "/>
    <n v="1.9999999999999982"/>
    <m/>
    <m/>
    <x v="6"/>
    <n v="5"/>
    <m/>
    <m/>
    <m/>
    <m/>
    <m/>
    <m/>
    <m/>
    <m/>
    <m/>
    <m/>
  </r>
  <r>
    <d v="2024-09-01T00:00:00"/>
    <d v="2024-09-10T00:00:00"/>
    <s v="الثلاثاء "/>
    <s v="شركة سيتا "/>
    <s v="اشرف فهمى  "/>
    <s v="صيانة بطاريات"/>
    <s v="تم العمل"/>
    <d v="1899-12-30T15:00:00"/>
    <d v="1899-12-30T16:00:00"/>
    <n v="4.166666666666663E-2"/>
    <s v="المطابع "/>
    <n v="0.99999999999999911"/>
    <m/>
    <m/>
    <x v="6"/>
    <n v="5"/>
    <m/>
    <m/>
    <m/>
    <m/>
    <m/>
    <m/>
    <m/>
    <m/>
    <m/>
    <m/>
  </r>
  <r>
    <d v="2024-09-01T00:00:00"/>
    <d v="2024-09-11T00:00:00"/>
    <s v="الاربعاء "/>
    <s v="بازان "/>
    <s v="احمد ياسر "/>
    <s v=" استكمال تجميع شبكة  الكهرباء "/>
    <s v="تم العمل"/>
    <d v="1899-12-30T09:00:00"/>
    <d v="1899-12-30T14:00:00"/>
    <n v="0.20833333333333337"/>
    <s v="المخزن الجديد "/>
    <n v="5.0000000000000009"/>
    <m/>
    <m/>
    <x v="2"/>
    <n v="5"/>
    <s v=" "/>
    <m/>
    <m/>
    <m/>
    <m/>
    <m/>
    <m/>
    <m/>
    <m/>
    <m/>
  </r>
  <r>
    <d v="2024-09-01T00:00:00"/>
    <d v="2024-09-11T00:00:00"/>
    <s v="الاربعاء "/>
    <s v="شركة هيدروليك ميكانيك "/>
    <s v="سالم حسام "/>
    <s v="صيانة الرامب الجديد  "/>
    <s v="تم العمل"/>
    <d v="1899-12-30T11:00:00"/>
    <d v="1899-12-30T16:00:00"/>
    <n v="0.20833333333333331"/>
    <s v="المخزن الجديد "/>
    <n v="5"/>
    <m/>
    <m/>
    <x v="2"/>
    <n v="5"/>
    <s v=" "/>
    <m/>
    <m/>
    <m/>
    <m/>
    <m/>
    <m/>
    <m/>
    <m/>
    <m/>
  </r>
  <r>
    <d v="2024-09-01T00:00:00"/>
    <d v="2024-09-12T00:00:00"/>
    <s v="الخميس "/>
    <s v="بازان "/>
    <s v="احمد ياسر "/>
    <s v=" استكمال تجميع شبكة  الكهرباء "/>
    <s v="تم العمل"/>
    <d v="1899-12-30T11:00:00"/>
    <d v="1899-12-30T17:00:00"/>
    <n v="0.25000000000000006"/>
    <s v="المخزن الجديد "/>
    <n v="6.0000000000000018"/>
    <m/>
    <m/>
    <x v="2"/>
    <n v="5"/>
    <s v=" "/>
    <m/>
    <m/>
    <m/>
    <m/>
    <m/>
    <m/>
    <m/>
    <m/>
    <m/>
  </r>
  <r>
    <d v="2024-09-01T00:00:00"/>
    <d v="2024-09-12T00:00:00"/>
    <s v="الخميس "/>
    <s v="شركة الامل "/>
    <s v="رامى محمد  "/>
    <s v="عمل صيانة للابواب الالمونتال "/>
    <s v="تم العمل"/>
    <d v="1899-12-30T16:00:00"/>
    <d v="1899-12-30T16:30:00"/>
    <n v="2.083333333333337E-2"/>
    <s v="المخزن القديم "/>
    <n v="0.50000000000000089"/>
    <m/>
    <m/>
    <x v="5"/>
    <n v="5"/>
    <s v=" "/>
    <m/>
    <m/>
    <m/>
    <m/>
    <m/>
    <m/>
    <m/>
    <m/>
    <m/>
  </r>
  <r>
    <d v="2024-09-01T00:00:00"/>
    <d v="2024-09-12T00:00:00"/>
    <s v="الخميس "/>
    <s v="شركة منصور للتبريد والتكيف "/>
    <s v="صلاح منصور "/>
    <s v="صيانة تكيفات "/>
    <s v="تم العمل"/>
    <d v="1899-12-30T10:30:00"/>
    <d v="1899-12-30T13:00:00"/>
    <n v="0.10416666666666663"/>
    <s v="المطابع "/>
    <n v="2.4999999999999991"/>
    <m/>
    <m/>
    <x v="6"/>
    <n v="5"/>
    <s v=" "/>
    <m/>
    <m/>
    <m/>
    <m/>
    <m/>
    <m/>
    <m/>
    <m/>
    <m/>
  </r>
  <r>
    <d v="2024-09-01T00:00:00"/>
    <d v="2024-09-14T00:00:00"/>
    <s v="السبت "/>
    <s v="بازان "/>
    <s v="احمد ياسر "/>
    <s v=" تجميع شبكة  الكهرباء "/>
    <s v="تم العمل"/>
    <d v="1899-12-30T10:00:00"/>
    <d v="1899-12-30T17:30:00"/>
    <n v="0.31249999999999994"/>
    <s v="المخزن الجديد "/>
    <n v="7.4999999999999982"/>
    <m/>
    <m/>
    <x v="5"/>
    <n v="5"/>
    <s v=" "/>
    <m/>
    <m/>
    <m/>
    <m/>
    <m/>
    <m/>
    <m/>
    <m/>
    <m/>
  </r>
  <r>
    <d v="2024-09-01T00:00:00"/>
    <d v="2024-09-14T00:00:00"/>
    <s v="السبت "/>
    <s v="شركة شلاندر "/>
    <s v="ناروز  سليمان "/>
    <s v="تجميع  المصاعد "/>
    <s v="تم العمل"/>
    <d v="1899-12-30T10:00:00"/>
    <d v="1899-12-30T17:30:00"/>
    <n v="0.31249999999999994"/>
    <s v="المخزن الجديد "/>
    <n v="7.4999999999999982"/>
    <m/>
    <m/>
    <x v="5"/>
    <n v="5"/>
    <m/>
    <m/>
    <m/>
    <m/>
    <m/>
    <m/>
    <m/>
    <m/>
    <m/>
    <m/>
  </r>
  <r>
    <d v="2024-09-01T00:00:00"/>
    <d v="2024-09-14T00:00:00"/>
    <s v="السبت "/>
    <s v="شركة اوزوريون "/>
    <s v="مراد  صالح "/>
    <s v="انشائات   "/>
    <s v="تم العمل"/>
    <d v="1899-12-30T09:30:00"/>
    <d v="1899-12-30T16:30:00"/>
    <n v="0.29166666666666669"/>
    <s v="المخزن القديم "/>
    <n v="7"/>
    <m/>
    <m/>
    <x v="3"/>
    <n v="4"/>
    <s v="عدم غلق التصريح "/>
    <m/>
    <m/>
    <m/>
    <m/>
    <m/>
    <m/>
    <m/>
    <m/>
    <m/>
  </r>
  <r>
    <d v="2024-09-01T00:00:00"/>
    <d v="2024-09-15T00:00:00"/>
    <s v="الاحد "/>
    <s v="شركة الهدى "/>
    <s v="اسلام مصطفى    "/>
    <s v="صيانة ماكينات CTP"/>
    <s v="تم العمل"/>
    <d v="1899-12-30T12:30:00"/>
    <d v="1899-12-30T14:00:00"/>
    <n v="6.25E-2"/>
    <s v="المخزن القديم "/>
    <n v="1.5"/>
    <m/>
    <m/>
    <x v="9"/>
    <n v="5"/>
    <m/>
    <m/>
    <m/>
    <m/>
    <m/>
    <m/>
    <m/>
    <m/>
    <m/>
    <m/>
  </r>
  <r>
    <d v="2024-09-01T00:00:00"/>
    <d v="2024-09-15T00:00:00"/>
    <s v="الاحد "/>
    <s v="شركة اوزوريون "/>
    <s v="سلامة يوسف "/>
    <s v="صيانة لحام العاملين بالكفتريا    "/>
    <s v="تم العمل"/>
    <d v="1899-12-30T10:00:00"/>
    <d v="1899-12-30T15:00:00"/>
    <n v="0.20833333333333331"/>
    <s v="المطابع "/>
    <n v="5"/>
    <m/>
    <m/>
    <x v="7"/>
    <n v="5"/>
    <m/>
    <m/>
    <m/>
    <m/>
    <m/>
    <m/>
    <m/>
    <m/>
    <m/>
    <m/>
  </r>
  <r>
    <d v="2024-09-01T00:00:00"/>
    <d v="2024-09-15T00:00:00"/>
    <s v="الاحد "/>
    <s v="الشؤون الادارية "/>
    <s v="ادم مجمد "/>
    <s v="اعمال النقاشة  "/>
    <s v="تم العمل"/>
    <d v="1899-12-30T10:00:00"/>
    <d v="1899-12-30T17:00:00"/>
    <n v="0.29166666666666669"/>
    <s v="المطابع "/>
    <n v="7"/>
    <m/>
    <m/>
    <x v="7"/>
    <n v="5"/>
    <m/>
    <m/>
    <m/>
    <m/>
    <m/>
    <m/>
    <m/>
    <m/>
    <m/>
    <m/>
  </r>
  <r>
    <d v="2024-09-01T00:00:00"/>
    <d v="2024-09-15T00:00:00"/>
    <s v="الاحد "/>
    <s v="شركة شلاندر "/>
    <s v="ناروز  سليمان "/>
    <s v="تجميع  المصاعد "/>
    <s v="تم العمل"/>
    <d v="1899-12-30T10:00:00"/>
    <d v="1899-12-30T17:30:00"/>
    <n v="0.31249999999999994"/>
    <s v="المخزن الجديد "/>
    <n v="7.4999999999999982"/>
    <m/>
    <m/>
    <x v="8"/>
    <n v="5"/>
    <m/>
    <m/>
    <m/>
    <m/>
    <m/>
    <m/>
    <m/>
    <m/>
    <m/>
    <m/>
  </r>
  <r>
    <d v="2024-09-01T00:00:00"/>
    <d v="2024-09-15T00:00:00"/>
    <s v="الاحد "/>
    <s v="بازان "/>
    <s v="احمد ياسر "/>
    <s v=" تجميع شبكة  الكهرباء "/>
    <s v="تم العمل"/>
    <d v="1899-12-30T10:00:00"/>
    <d v="1899-12-30T17:30:00"/>
    <n v="0.31249999999999994"/>
    <s v="المخزن الجديد "/>
    <n v="7.4999999999999982"/>
    <m/>
    <m/>
    <x v="8"/>
    <n v="5"/>
    <s v=" "/>
    <m/>
    <m/>
    <m/>
    <m/>
    <m/>
    <m/>
    <m/>
    <m/>
    <m/>
  </r>
  <r>
    <d v="2024-09-01T00:00:00"/>
    <d v="2024-09-15T00:00:00"/>
    <s v="الاحد "/>
    <s v="شركة اوزوريون "/>
    <s v="مراد "/>
    <s v="احلال وتجديد خزان الاطفاء    "/>
    <s v="تم العمل"/>
    <d v="1899-12-30T09:00:00"/>
    <d v="1899-12-30T16:00:00"/>
    <n v="0.29166666666666663"/>
    <s v="المخزن القديم "/>
    <n v="6.9999999999999991"/>
    <m/>
    <m/>
    <x v="9"/>
    <n v="5"/>
    <m/>
    <m/>
    <m/>
    <m/>
    <m/>
    <m/>
    <m/>
    <m/>
    <m/>
    <m/>
  </r>
  <r>
    <d v="2024-09-01T00:00:00"/>
    <d v="2024-09-16T00:00:00"/>
    <s v="الاثنين "/>
    <s v="الشؤون الادارية "/>
    <s v="علاء احمد "/>
    <s v="صيانة التكيفات "/>
    <s v="تم العمل"/>
    <d v="1899-12-30T10:00:00"/>
    <d v="1899-12-30T11:30:00"/>
    <n v="6.25E-2"/>
    <s v="المطابع "/>
    <n v="1.5"/>
    <m/>
    <m/>
    <x v="14"/>
    <n v="5"/>
    <m/>
    <m/>
    <m/>
    <m/>
    <m/>
    <m/>
    <m/>
    <m/>
    <m/>
    <m/>
  </r>
  <r>
    <d v="2024-09-01T00:00:00"/>
    <d v="2024-09-16T00:00:00"/>
    <s v="الاثنين "/>
    <s v="الشؤون الادارية "/>
    <s v="محمود  عويس "/>
    <s v="عمل صيانة للتكيفات "/>
    <s v="تم العمل"/>
    <d v="1899-12-30T00:30:00"/>
    <d v="1899-12-30T16:30:00"/>
    <n v="0.66666666666666663"/>
    <s v="المخزن القديم "/>
    <n v="1.5"/>
    <m/>
    <m/>
    <x v="9"/>
    <n v="5"/>
    <m/>
    <m/>
    <m/>
    <m/>
    <m/>
    <m/>
    <m/>
    <m/>
    <m/>
    <m/>
  </r>
  <r>
    <d v="2024-09-01T00:00:00"/>
    <d v="2024-09-16T00:00:00"/>
    <s v="الاثنين "/>
    <s v="الشركة الوطنية "/>
    <s v="محمد رمضان   "/>
    <s v="صيانة الكلاركات "/>
    <s v="تم العمل"/>
    <d v="1899-12-30T14:30:00"/>
    <d v="1899-12-30T16:00:00"/>
    <n v="6.25E-2"/>
    <s v="المطابع "/>
    <n v="1.5"/>
    <m/>
    <m/>
    <x v="14"/>
    <n v="5"/>
    <m/>
    <m/>
    <m/>
    <m/>
    <m/>
    <m/>
    <m/>
    <m/>
    <m/>
    <m/>
  </r>
  <r>
    <d v="2024-09-01T00:00:00"/>
    <d v="2024-09-16T00:00:00"/>
    <s v="الاثنين "/>
    <s v="شركة اوزوريون "/>
    <s v="مراد "/>
    <s v="احلال وتجديد بخزان حريق     "/>
    <s v="تم العمل"/>
    <d v="1899-12-30T09:00:00"/>
    <d v="1899-12-30T16:00:00"/>
    <n v="0.29166666666666663"/>
    <s v="المخزن القديم "/>
    <n v="6.9999999999999991"/>
    <m/>
    <m/>
    <x v="9"/>
    <n v="5"/>
    <m/>
    <m/>
    <m/>
    <m/>
    <m/>
    <m/>
    <m/>
    <m/>
    <m/>
    <m/>
  </r>
  <r>
    <d v="2024-09-01T00:00:00"/>
    <d v="2024-09-16T00:00:00"/>
    <s v="الاثنين "/>
    <s v="الشؤون الادارية "/>
    <s v="احمد حسين "/>
    <s v="اعمال سيراميك"/>
    <s v="تم العمل"/>
    <d v="1899-12-30T10:00:00"/>
    <d v="1899-12-30T17:00:00"/>
    <n v="0.29166666666666669"/>
    <s v="المطابع "/>
    <n v="7"/>
    <m/>
    <m/>
    <x v="4"/>
    <n v="5"/>
    <m/>
    <m/>
    <m/>
    <m/>
    <m/>
    <m/>
    <m/>
    <m/>
    <m/>
    <m/>
  </r>
  <r>
    <d v="2024-09-01T00:00:00"/>
    <d v="2024-09-16T00:00:00"/>
    <s v="الاثنين "/>
    <s v="بازان "/>
    <s v="احمد ياسر "/>
    <s v="استكمال العمل فى  شبكة  الكهرباء "/>
    <s v="تم العمل"/>
    <d v="1899-12-30T10:00:00"/>
    <d v="1899-12-30T17:00:00"/>
    <n v="0.29166666666666669"/>
    <s v="المخزن الجديد "/>
    <n v="7"/>
    <m/>
    <m/>
    <x v="8"/>
    <n v="5"/>
    <s v=" "/>
    <m/>
    <m/>
    <m/>
    <m/>
    <m/>
    <m/>
    <m/>
    <m/>
    <m/>
  </r>
  <r>
    <d v="2024-09-01T00:00:00"/>
    <d v="2024-09-16T00:00:00"/>
    <s v="الاثنين "/>
    <s v="شركة لنك مصر "/>
    <s v="ابراهيم حسين "/>
    <s v="تركيب الراكات بالعنبر"/>
    <s v="تم العمل"/>
    <d v="1899-12-30T09:30:00"/>
    <d v="1899-12-30T16:00:00"/>
    <n v="0.27083333333333331"/>
    <s v="المخزن الجديد "/>
    <n v="6.5"/>
    <m/>
    <m/>
    <x v="8"/>
    <n v="5"/>
    <s v=" "/>
    <m/>
    <m/>
    <m/>
    <m/>
    <m/>
    <m/>
    <m/>
    <m/>
    <m/>
  </r>
  <r>
    <d v="2024-09-01T00:00:00"/>
    <d v="2024-09-17T00:00:00"/>
    <s v="الثلاثاء "/>
    <s v="شركة اكوا تراست "/>
    <s v="عرفات  محمد "/>
    <s v="صيانة فلتر مياه "/>
    <s v="تم العمل"/>
    <d v="1899-12-30T13:30:00"/>
    <d v="1899-12-30T15:30:00"/>
    <n v="8.333333333333337E-2"/>
    <s v="المطابع "/>
    <n v="2.0000000000000009"/>
    <m/>
    <m/>
    <x v="14"/>
    <n v="5"/>
    <s v=" "/>
    <m/>
    <m/>
    <m/>
    <m/>
    <m/>
    <m/>
    <m/>
    <m/>
    <m/>
  </r>
  <r>
    <d v="2024-09-01T00:00:00"/>
    <d v="2024-09-17T00:00:00"/>
    <s v="الثلاثاء "/>
    <s v="شركة الهدى "/>
    <s v="اسلام مصطفى    "/>
    <s v="صيانة ماكينات CTP"/>
    <s v="تم العمل"/>
    <d v="1899-12-30T11:30:00"/>
    <d v="1899-12-30T17:00:00"/>
    <n v="0.22916666666666669"/>
    <s v="المطابع "/>
    <n v="5.5"/>
    <m/>
    <m/>
    <x v="10"/>
    <n v="5"/>
    <m/>
    <m/>
    <m/>
    <m/>
    <m/>
    <m/>
    <m/>
    <m/>
    <m/>
    <m/>
  </r>
  <r>
    <d v="2024-09-01T00:00:00"/>
    <d v="2024-09-17T00:00:00"/>
    <s v="الثلاثاء "/>
    <s v="الشؤون الادارية "/>
    <s v="محمود  عويس "/>
    <s v="عمل صيانة للتكيفات "/>
    <s v="تم العمل"/>
    <d v="1899-12-30T00:00:00"/>
    <d v="1899-12-30T14:00:00"/>
    <n v="0.58333333333333337"/>
    <s v="المخزن القديم "/>
    <n v="1.5"/>
    <m/>
    <m/>
    <x v="9"/>
    <n v="5"/>
    <m/>
    <m/>
    <m/>
    <m/>
    <m/>
    <m/>
    <m/>
    <m/>
    <m/>
    <m/>
  </r>
  <r>
    <d v="2024-09-01T00:00:00"/>
    <d v="2024-09-17T00:00:00"/>
    <s v="الثلاثاء "/>
    <s v="شركة اوزوريون "/>
    <s v="مراد "/>
    <s v="عمل تسليح حديد بخزان حريق     "/>
    <s v="تم العمل"/>
    <d v="1899-12-30T09:00:00"/>
    <d v="1899-12-30T16:00:00"/>
    <n v="0.29166666666666663"/>
    <s v="المخزن القديم "/>
    <n v="6.9999999999999991"/>
    <m/>
    <m/>
    <x v="9"/>
    <n v="5"/>
    <m/>
    <m/>
    <m/>
    <m/>
    <m/>
    <m/>
    <m/>
    <m/>
    <m/>
    <m/>
  </r>
  <r>
    <d v="2024-09-01T00:00:00"/>
    <d v="2024-09-18T00:00:00"/>
    <s v="الاربعاء "/>
    <s v="شركة الكريم "/>
    <s v="حامد ابو المحاميد "/>
    <s v="الزيارة الشهرية  المرور على نقط الاطفاء   "/>
    <s v="تم العمل"/>
    <d v="1899-12-30T10:00:00"/>
    <d v="1899-12-30T14:00:00"/>
    <n v="0.16666666666666669"/>
    <s v="المطابع "/>
    <n v="4"/>
    <m/>
    <m/>
    <x v="5"/>
    <n v="5"/>
    <m/>
    <m/>
    <m/>
    <m/>
    <m/>
    <m/>
    <m/>
    <m/>
    <m/>
    <m/>
  </r>
  <r>
    <d v="2024-09-01T00:00:00"/>
    <d v="2024-09-18T00:00:00"/>
    <s v="الاربعاء "/>
    <s v="شركة الكريم "/>
    <s v="حامد ابو المحاميد "/>
    <s v="تركيبات حساسات   "/>
    <s v="تم العمل"/>
    <d v="1899-12-30T10:00:00"/>
    <d v="1899-12-30T12:00:00"/>
    <n v="8.3333333333333315E-2"/>
    <s v="المطابع "/>
    <n v="1.9999999999999996"/>
    <m/>
    <m/>
    <x v="5"/>
    <n v="5"/>
    <m/>
    <m/>
    <m/>
    <m/>
    <m/>
    <m/>
    <m/>
    <m/>
    <m/>
    <m/>
  </r>
  <r>
    <d v="2024-09-01T00:00:00"/>
    <d v="2024-09-18T00:00:00"/>
    <s v="الاربعاء "/>
    <s v="شركة اكوا تراست "/>
    <s v="اسلام محمد "/>
    <s v="صيانة فلتر مياه "/>
    <s v="تم العمل"/>
    <d v="1899-12-30T13:30:00"/>
    <d v="1899-12-30T15:00:00"/>
    <n v="6.25E-2"/>
    <s v="المطابع "/>
    <n v="1.5"/>
    <m/>
    <m/>
    <x v="10"/>
    <n v="5"/>
    <s v=" "/>
    <m/>
    <m/>
    <m/>
    <m/>
    <m/>
    <m/>
    <m/>
    <m/>
    <m/>
  </r>
  <r>
    <d v="2024-09-01T00:00:00"/>
    <d v="2024-09-18T00:00:00"/>
    <s v="الاربعاء "/>
    <s v="شركة الامل "/>
    <s v="رامى محمد  "/>
    <s v="فك وتركيب باب المونتال  "/>
    <s v="تم العمل"/>
    <d v="1899-12-30T15:30:00"/>
    <d v="1899-12-30T16:00:00"/>
    <n v="2.0833333333333259E-2"/>
    <s v="المطابع "/>
    <n v="0.49999999999999822"/>
    <m/>
    <m/>
    <x v="14"/>
    <n v="5"/>
    <s v=" "/>
    <m/>
    <m/>
    <m/>
    <m/>
    <m/>
    <m/>
    <m/>
    <m/>
    <m/>
  </r>
  <r>
    <d v="2024-09-01T00:00:00"/>
    <d v="2024-09-18T00:00:00"/>
    <s v="الاربعاء "/>
    <s v="شركة اوزوريون "/>
    <s v="مراد "/>
    <s v="تجديد واحلال خزان الاطفاء     "/>
    <s v="تم العمل"/>
    <d v="1899-12-30T09:00:00"/>
    <d v="1899-12-30T16:00:00"/>
    <n v="0.29166666666666663"/>
    <s v="المخزن القديم "/>
    <n v="6.9999999999999991"/>
    <m/>
    <m/>
    <x v="9"/>
    <n v="5"/>
    <m/>
    <m/>
    <m/>
    <m/>
    <m/>
    <m/>
    <m/>
    <m/>
    <m/>
    <m/>
  </r>
  <r>
    <d v="2024-09-01T00:00:00"/>
    <d v="2024-09-18T00:00:00"/>
    <s v="الاربعاء "/>
    <s v="شركة الامل "/>
    <s v="رامى محمد  "/>
    <s v="تركيب باب الامونتال "/>
    <s v="تم العمل"/>
    <d v="1899-12-30T13:00:00"/>
    <d v="1899-12-30T16:30:00"/>
    <n v="0.14583333333333337"/>
    <s v="المطابع "/>
    <n v="3.5000000000000009"/>
    <m/>
    <m/>
    <x v="14"/>
    <n v="5"/>
    <s v=" "/>
    <m/>
    <m/>
    <m/>
    <m/>
    <m/>
    <m/>
    <m/>
    <m/>
    <m/>
  </r>
  <r>
    <d v="2024-09-01T00:00:00"/>
    <d v="2024-09-18T00:00:00"/>
    <s v="الاربعاء "/>
    <s v="بازان "/>
    <s v="احمد ياسر "/>
    <s v="اعمال تركيبات كهرباء"/>
    <s v="تم العمل"/>
    <d v="1899-12-30T12:00:00"/>
    <d v="1899-12-30T17:00:00"/>
    <n v="0.20833333333333337"/>
    <s v="المخزن الجديد "/>
    <n v="5.0000000000000009"/>
    <m/>
    <m/>
    <x v="4"/>
    <n v="5"/>
    <s v=" "/>
    <m/>
    <m/>
    <m/>
    <m/>
    <m/>
    <m/>
    <m/>
    <m/>
    <m/>
  </r>
  <r>
    <d v="2024-09-01T00:00:00"/>
    <d v="2024-09-18T00:00:00"/>
    <s v="الاربعاء "/>
    <s v="شركة لنك مصر "/>
    <s v="ابراهيم حسين "/>
    <s v="تركيب الراكات بالعنبر"/>
    <s v="تم العمل"/>
    <d v="1899-12-30T10:00:00"/>
    <d v="1899-12-30T16:00:00"/>
    <n v="0.24999999999999994"/>
    <s v="المخزن الجديد "/>
    <n v="5.9999999999999982"/>
    <m/>
    <m/>
    <x v="4"/>
    <n v="5"/>
    <s v=" "/>
    <m/>
    <m/>
    <m/>
    <m/>
    <m/>
    <m/>
    <m/>
    <m/>
    <m/>
  </r>
  <r>
    <d v="2024-09-01T00:00:00"/>
    <d v="2024-09-19T00:00:00"/>
    <s v="الخميس "/>
    <s v="شركة فينسيا للستائر "/>
    <s v="حكيم سعيد "/>
    <s v="تركيب ستائر "/>
    <s v="تم العمل"/>
    <d v="1899-12-30T12:30:00"/>
    <d v="1899-12-30T14:30:00"/>
    <n v="8.3333333333333259E-2"/>
    <s v="المطابع "/>
    <n v="1.9999999999999982"/>
    <m/>
    <m/>
    <x v="5"/>
    <n v="5"/>
    <s v=" "/>
    <m/>
    <m/>
    <m/>
    <m/>
    <m/>
    <m/>
    <m/>
    <m/>
    <m/>
  </r>
  <r>
    <d v="2024-09-01T00:00:00"/>
    <d v="2024-09-21T00:00:00"/>
    <s v="السبت "/>
    <s v="شركة اوزوريون "/>
    <s v="مراد صالح "/>
    <s v="عمل حدادة      "/>
    <s v="تم العمل"/>
    <d v="1899-12-30T10:00:00"/>
    <d v="1899-12-30T16:00:00"/>
    <n v="0.24999999999999994"/>
    <s v="المخزن القديم "/>
    <n v="5.9999999999999982"/>
    <m/>
    <m/>
    <x v="10"/>
    <n v="5"/>
    <m/>
    <m/>
    <m/>
    <m/>
    <m/>
    <m/>
    <m/>
    <m/>
    <m/>
    <m/>
  </r>
  <r>
    <d v="2024-09-01T00:00:00"/>
    <d v="2024-09-22T00:00:00"/>
    <s v="الاحد "/>
    <s v="الشؤون الادارية "/>
    <s v="محمود  عويس "/>
    <s v="صيانة للتكيفات "/>
    <s v="تم العمل"/>
    <d v="1899-12-30T14:30:00"/>
    <d v="1899-12-30T15:30:00"/>
    <n v="4.1666666666666741E-2"/>
    <s v="المطابع "/>
    <n v="1.5"/>
    <m/>
    <m/>
    <x v="10"/>
    <n v="5"/>
    <m/>
    <m/>
    <m/>
    <m/>
    <m/>
    <m/>
    <m/>
    <m/>
    <m/>
    <m/>
  </r>
  <r>
    <d v="2024-09-01T00:00:00"/>
    <d v="2024-09-22T00:00:00"/>
    <s v="الاحد "/>
    <s v="شركة اوزوريون "/>
    <s v="مراد "/>
    <s v="تجديد واحلال خزان الاطفاء     "/>
    <s v="تم العمل"/>
    <d v="1899-12-30T10:00:00"/>
    <d v="1899-12-30T15:00:00"/>
    <n v="0.20833333333333331"/>
    <s v="المخزن القديم "/>
    <n v="5"/>
    <m/>
    <m/>
    <x v="14"/>
    <n v="5"/>
    <m/>
    <m/>
    <m/>
    <m/>
    <m/>
    <m/>
    <m/>
    <m/>
    <m/>
    <m/>
  </r>
  <r>
    <d v="2024-09-01T00:00:00"/>
    <d v="2024-09-23T00:00:00"/>
    <s v="الاثنين "/>
    <s v="الشركة الهندسية"/>
    <s v="كمال مرسى "/>
    <s v="قطع ولحام     "/>
    <s v="تم العمل"/>
    <d v="1899-12-30T15:00:00"/>
    <d v="1899-12-30T16:30:00"/>
    <n v="6.25E-2"/>
    <s v="المطابع "/>
    <n v="1.5"/>
    <m/>
    <m/>
    <x v="0"/>
    <n v="4"/>
    <s v="ناقص توقيعات "/>
    <m/>
    <m/>
    <m/>
    <m/>
    <m/>
    <m/>
    <m/>
    <m/>
    <m/>
  </r>
  <r>
    <d v="2024-09-01T00:00:00"/>
    <d v="2024-09-23T00:00:00"/>
    <s v="الاثنين "/>
    <s v="الشؤون الادارية "/>
    <s v="محمود عويس  "/>
    <s v="صيانة تكييف  "/>
    <s v="تم العمل"/>
    <d v="1899-12-30T12:30:00"/>
    <d v="1899-12-30T16:00:00"/>
    <n v="0.14583333333333326"/>
    <s v="المطابع "/>
    <n v="3.4999999999999982"/>
    <m/>
    <m/>
    <x v="5"/>
    <n v="4"/>
    <s v="ناقص توقيعات "/>
    <m/>
    <m/>
    <m/>
    <m/>
    <m/>
    <m/>
    <m/>
    <m/>
    <m/>
  </r>
  <r>
    <d v="2024-09-01T00:00:00"/>
    <d v="2024-09-23T00:00:00"/>
    <s v="الاثنين "/>
    <s v="شركة اوزوريون "/>
    <s v="مراد صالح "/>
    <s v="عمل تسليح بخزان الاطفاء    "/>
    <s v="تم العمل"/>
    <d v="1899-12-30T09:00:00"/>
    <d v="1899-12-30T16:00:00"/>
    <n v="0.29166666666666663"/>
    <s v="المخزن القديم "/>
    <n v="6.9999999999999991"/>
    <m/>
    <m/>
    <x v="9"/>
    <n v="5"/>
    <m/>
    <m/>
    <m/>
    <m/>
    <m/>
    <m/>
    <m/>
    <m/>
    <m/>
    <m/>
  </r>
  <r>
    <d v="2024-09-01T00:00:00"/>
    <d v="2024-09-23T00:00:00"/>
    <s v="الاثنين "/>
    <s v="شركة الكريم "/>
    <s v="حامد ابو المجد "/>
    <s v="الزيارة الشهرية والمرور على شبكة الحريق  "/>
    <s v="تم العمل"/>
    <d v="1899-12-30T12:00:00"/>
    <d v="1899-12-30T13:00:00"/>
    <n v="4.166666666666663E-2"/>
    <s v="المخزن القديم "/>
    <n v="0.99999999999999911"/>
    <m/>
    <m/>
    <x v="9"/>
    <n v="5"/>
    <m/>
    <m/>
    <m/>
    <m/>
    <m/>
    <m/>
    <m/>
    <m/>
    <m/>
    <m/>
  </r>
  <r>
    <d v="2024-09-01T00:00:00"/>
    <d v="2024-09-23T00:00:00"/>
    <s v="الاثنين "/>
    <s v="الشركة المتحدة "/>
    <s v="ابراهيم الصفتى  "/>
    <s v="تويصلات غرفة الطلمبات   "/>
    <s v="تم العمل"/>
    <d v="1899-12-30T13:00:00"/>
    <d v="1899-12-30T16:00:00"/>
    <n v="0.125"/>
    <s v="المخزن القديم "/>
    <n v="3"/>
    <m/>
    <m/>
    <x v="9"/>
    <n v="5"/>
    <m/>
    <m/>
    <m/>
    <m/>
    <m/>
    <m/>
    <m/>
    <m/>
    <m/>
    <m/>
  </r>
  <r>
    <d v="2024-09-01T00:00:00"/>
    <d v="2024-09-24T00:00:00"/>
    <s v="الثلاثاء "/>
    <s v="الشؤون الادارية "/>
    <s v="محمود عويس  "/>
    <s v="عمل صيانة لوحات تكييف  "/>
    <s v="تم العمل"/>
    <d v="1899-12-30T10:00:00"/>
    <d v="1899-12-30T17:30:00"/>
    <n v="0.31249999999999994"/>
    <s v="المطابع "/>
    <n v="7.4999999999999982"/>
    <m/>
    <m/>
    <x v="5"/>
    <n v="5"/>
    <m/>
    <m/>
    <m/>
    <m/>
    <m/>
    <m/>
    <m/>
    <m/>
    <m/>
    <m/>
  </r>
  <r>
    <d v="2024-09-01T00:00:00"/>
    <d v="2024-09-25T00:00:00"/>
    <s v="الاربعاء "/>
    <s v="شركة اوزوريون "/>
    <s v="مراد صالح "/>
    <s v="احلال وتجديد خزان الاطفاء     "/>
    <s v="تم العمل"/>
    <d v="1899-12-30T10:00:00"/>
    <d v="1899-12-30T16:00:00"/>
    <n v="0.24999999999999994"/>
    <s v="المخزن القديم "/>
    <n v="5.9999999999999982"/>
    <m/>
    <m/>
    <x v="9"/>
    <n v="5"/>
    <m/>
    <m/>
    <m/>
    <m/>
    <m/>
    <m/>
    <m/>
    <m/>
    <m/>
    <m/>
  </r>
  <r>
    <d v="2024-09-01T00:00:00"/>
    <d v="2024-09-25T00:00:00"/>
    <s v="الاربعاء "/>
    <s v="القطاع الهندسى "/>
    <s v="صابر ابراهيم "/>
    <s v="اعمال تركيبات كهرباء"/>
    <s v="تم العمل"/>
    <d v="1899-12-30T12:00:00"/>
    <d v="1899-12-30T12:30:00"/>
    <n v="2.083333333333337E-2"/>
    <s v="المطابع "/>
    <n v="0.50000000000000089"/>
    <m/>
    <m/>
    <x v="5"/>
    <n v="5"/>
    <s v=" "/>
    <m/>
    <m/>
    <m/>
    <m/>
    <m/>
    <m/>
    <m/>
    <m/>
    <m/>
  </r>
  <r>
    <d v="2024-09-01T00:00:00"/>
    <d v="2024-09-25T00:00:00"/>
    <s v="الاربعاء "/>
    <s v="شركة الامل "/>
    <s v="رامى محمد  "/>
    <s v="عمل صيانة لابواب الامونتال "/>
    <s v="تم العمل"/>
    <d v="1899-12-30T14:30:00"/>
    <d v="1899-12-30T16:00:00"/>
    <n v="6.25E-2"/>
    <s v="المطابع "/>
    <n v="1.5"/>
    <m/>
    <m/>
    <x v="5"/>
    <n v="5"/>
    <s v=" "/>
    <m/>
    <m/>
    <m/>
    <m/>
    <m/>
    <m/>
    <m/>
    <m/>
    <m/>
  </r>
  <r>
    <d v="2024-09-01T00:00:00"/>
    <d v="2024-09-26T00:00:00"/>
    <s v="الخميس "/>
    <s v="شركة اوزوريون "/>
    <s v="مراد صالح "/>
    <s v="استكمال احلال وتجديد خزان الاطفاء     "/>
    <s v="تم العمل"/>
    <d v="1899-12-30T09:00:00"/>
    <d v="1899-12-30T16:00:00"/>
    <n v="0.29166666666666663"/>
    <s v="المخزن القديم "/>
    <n v="6.9999999999999991"/>
    <m/>
    <m/>
    <x v="9"/>
    <n v="5"/>
    <m/>
    <m/>
    <m/>
    <m/>
    <m/>
    <m/>
    <m/>
    <m/>
    <m/>
    <m/>
  </r>
  <r>
    <d v="2024-09-01T00:00:00"/>
    <d v="2024-09-26T00:00:00"/>
    <s v="الخميس "/>
    <s v="شركة الامل "/>
    <s v="رامى محمد  "/>
    <s v="عمل غرفة للتدخين بالكفتريا  لابواب الامونتال "/>
    <s v="تم العمل"/>
    <d v="1899-12-30T13:00:00"/>
    <d v="1899-12-30T17:00:00"/>
    <n v="0.16666666666666674"/>
    <s v="المطابع "/>
    <n v="4.0000000000000018"/>
    <m/>
    <m/>
    <x v="5"/>
    <n v="5"/>
    <s v=" "/>
    <m/>
    <m/>
    <m/>
    <m/>
    <m/>
    <m/>
    <m/>
    <m/>
    <m/>
  </r>
  <r>
    <d v="2024-09-01T00:00:00"/>
    <d v="2024-09-26T00:00:00"/>
    <s v="الخميس "/>
    <s v="شركة فودافون "/>
    <s v="عبد الرحمن عادل "/>
    <s v="توصيل كابل الفاير "/>
    <s v="تم العمل"/>
    <d v="1899-12-30T15:00:00"/>
    <d v="1899-12-30T17:30:00"/>
    <n v="0.10416666666666663"/>
    <s v="البرج"/>
    <n v="2.4999999999999991"/>
    <m/>
    <m/>
    <x v="3"/>
    <n v="5"/>
    <s v=" "/>
    <m/>
    <m/>
    <m/>
    <m/>
    <m/>
    <m/>
    <m/>
    <m/>
    <m/>
  </r>
  <r>
    <d v="2024-09-01T00:00:00"/>
    <d v="2024-09-26T00:00:00"/>
    <s v="الخميس "/>
    <s v="شركة ايكو ماستر "/>
    <s v="حسام سمير "/>
    <s v="عمل معايرة وفحص للكلااركات "/>
    <s v="تم العمل"/>
    <d v="1899-12-30T13:00:00"/>
    <d v="1899-12-30T14:00:00"/>
    <n v="4.1666666666666741E-2"/>
    <s v="المطابع "/>
    <n v="1.0000000000000018"/>
    <m/>
    <m/>
    <x v="0"/>
    <n v="5"/>
    <s v=" "/>
    <m/>
    <m/>
    <m/>
    <m/>
    <m/>
    <m/>
    <m/>
    <m/>
    <m/>
  </r>
  <r>
    <d v="2024-09-01T00:00:00"/>
    <d v="2024-09-26T00:00:00"/>
    <s v="الخميس "/>
    <s v="الشركة الدولية الاعمال الهندسية "/>
    <s v="ابراهيم محمد "/>
    <s v="صيانة تكيفات اعلى الطبع شيت "/>
    <s v="تم العمل"/>
    <d v="1899-12-30T12:00:00"/>
    <d v="1899-12-30T14:00:00"/>
    <n v="8.333333333333337E-2"/>
    <s v="المطابع "/>
    <n v="2.0000000000000009"/>
    <m/>
    <m/>
    <x v="1"/>
    <n v="5"/>
    <s v=" "/>
    <m/>
    <m/>
    <m/>
    <m/>
    <m/>
    <m/>
    <m/>
    <m/>
    <m/>
  </r>
  <r>
    <d v="2024-09-01T00:00:00"/>
    <d v="2024-09-28T00:00:00"/>
    <s v="السبت "/>
    <s v="الشركة المصرية "/>
    <s v="علاء احمد "/>
    <s v="نركيبات "/>
    <s v="تم العمل"/>
    <d v="1899-12-30T10:00:00"/>
    <d v="1899-12-30T19:00:00"/>
    <n v="0.37499999999999994"/>
    <s v="البرج"/>
    <n v="8.9999999999999982"/>
    <m/>
    <m/>
    <x v="3"/>
    <n v="5"/>
    <s v=" "/>
    <m/>
    <m/>
    <m/>
    <m/>
    <m/>
    <m/>
    <m/>
    <m/>
    <m/>
  </r>
  <r>
    <d v="2024-09-01T00:00:00"/>
    <d v="2024-09-28T00:00:00"/>
    <s v="السبت "/>
    <s v="شركة اوزوريون "/>
    <s v="مراد صالح "/>
    <s v="استكمال احلال وتجديد خزان الاطفاء     "/>
    <s v="تم العمل"/>
    <d v="1899-12-30T10:00:00"/>
    <d v="1899-12-30T16:30:00"/>
    <n v="0.27083333333333331"/>
    <s v="المخزن القديم "/>
    <n v="6.5"/>
    <m/>
    <m/>
    <x v="9"/>
    <n v="5"/>
    <m/>
    <m/>
    <m/>
    <m/>
    <m/>
    <m/>
    <m/>
    <m/>
    <m/>
    <m/>
  </r>
  <r>
    <d v="2024-09-01T00:00:00"/>
    <d v="2024-09-28T00:00:00"/>
    <s v="السبت "/>
    <s v="شركة استار كول "/>
    <s v="احمد عبد العال "/>
    <s v="صيانة تكيفات اعلى الطبع شيت "/>
    <s v="تم العمل"/>
    <d v="1899-12-30T14:00:00"/>
    <d v="1899-12-30T17:00:00"/>
    <n v="0.125"/>
    <s v="المطابع "/>
    <n v="3"/>
    <m/>
    <m/>
    <x v="2"/>
    <n v="5"/>
    <s v=" "/>
    <m/>
    <m/>
    <m/>
    <m/>
    <m/>
    <m/>
    <m/>
    <m/>
    <m/>
  </r>
  <r>
    <d v="2024-09-01T00:00:00"/>
    <d v="2024-09-29T00:00:00"/>
    <s v="الاحد "/>
    <s v="الشركة الدولية الاعمال الهندسية "/>
    <s v="حسام احمد "/>
    <s v="صيانة تشلير كولبس 3  "/>
    <s v="تم العمل"/>
    <d v="1899-12-30T14:00:00"/>
    <d v="1899-12-30T17:00:00"/>
    <n v="0.125"/>
    <s v="المطابع "/>
    <n v="3"/>
    <m/>
    <m/>
    <x v="6"/>
    <n v="5"/>
    <s v=" "/>
    <m/>
    <m/>
    <m/>
    <m/>
    <m/>
    <m/>
    <m/>
    <m/>
    <m/>
  </r>
  <r>
    <d v="2024-09-01T00:00:00"/>
    <d v="2024-09-29T00:00:00"/>
    <s v="الاحد "/>
    <s v="الشركة العالمية لاعمال الهندسية  "/>
    <s v="احمد عبد العليم "/>
    <s v="نركيبات "/>
    <s v="تم العمل"/>
    <d v="1899-12-30T10:00:00"/>
    <d v="1899-12-30T18:00:00"/>
    <n v="0.33333333333333331"/>
    <s v="البرج"/>
    <n v="8"/>
    <m/>
    <m/>
    <x v="3"/>
    <n v="5"/>
    <s v=" "/>
    <m/>
    <m/>
    <m/>
    <m/>
    <m/>
    <m/>
    <m/>
    <m/>
    <m/>
  </r>
  <r>
    <d v="2024-09-01T00:00:00"/>
    <d v="2024-09-30T00:00:00"/>
    <s v="الاثنين "/>
    <s v="الشركة الالمانية "/>
    <s v="احمد ماهر  "/>
    <s v="الزيارة الشهرية واعمال مكافحة القوارض"/>
    <s v="تم العمل"/>
    <d v="1899-12-30T12:00:00"/>
    <d v="1899-12-30T14:00:00"/>
    <n v="8.333333333333337E-2"/>
    <s v="المخزن الجديد "/>
    <n v="2.0000000000000009"/>
    <m/>
    <m/>
    <x v="2"/>
    <n v="4"/>
    <s v="نا قص توقيعات"/>
    <m/>
    <m/>
    <m/>
    <m/>
    <m/>
    <m/>
    <m/>
    <m/>
    <m/>
  </r>
  <r>
    <d v="2024-09-01T00:00:00"/>
    <d v="2024-09-30T00:00:00"/>
    <s v="الاثنين "/>
    <s v="الشؤون الادارية "/>
    <s v="محمود عويس  "/>
    <s v="صيانة تكيف "/>
    <s v="تم العمل"/>
    <d v="1899-12-30T15:30:00"/>
    <d v="1899-12-30T17:00:00"/>
    <n v="6.25E-2"/>
    <s v="المطابع "/>
    <n v="1.5"/>
    <m/>
    <m/>
    <x v="14"/>
    <n v="5"/>
    <m/>
    <m/>
    <m/>
    <m/>
    <m/>
    <m/>
    <m/>
    <m/>
    <m/>
    <m/>
  </r>
  <r>
    <d v="2024-09-01T00:00:00"/>
    <d v="2024-09-30T00:00:00"/>
    <s v="الاثنين "/>
    <s v="الشركة الالمانية "/>
    <s v="محمود "/>
    <s v="الزيارة الشهرية ومكافحة الحشرات "/>
    <s v="تم العمل"/>
    <d v="1899-12-30T14:00:00"/>
    <d v="1899-12-30T15:00:00"/>
    <n v="4.166666666666663E-2"/>
    <s v="المخزن الجديد "/>
    <n v="0.99999999999999911"/>
    <m/>
    <m/>
    <x v="9"/>
    <n v="5"/>
    <m/>
    <m/>
    <m/>
    <m/>
    <m/>
    <m/>
    <m/>
    <m/>
    <m/>
    <m/>
  </r>
  <r>
    <d v="2024-10-01T00:00:00"/>
    <d v="2024-10-01T00:00:00"/>
    <s v="الثلاثاء "/>
    <s v="الشؤون الادارية "/>
    <s v="محمود عويس  "/>
    <s v="صيانة تكيف "/>
    <s v="تم العمل"/>
    <d v="1899-12-30T09:30:00"/>
    <d v="1899-12-30T17:00:00"/>
    <n v="0.31250000000000006"/>
    <s v="المطابع "/>
    <n v="7.5000000000000018"/>
    <m/>
    <m/>
    <x v="5"/>
    <n v="5"/>
    <m/>
    <m/>
    <m/>
    <m/>
    <m/>
    <m/>
    <m/>
    <m/>
    <m/>
    <m/>
  </r>
  <r>
    <d v="2024-10-01T00:00:00"/>
    <d v="2024-10-01T00:00:00"/>
    <s v="الثلاثاء "/>
    <s v="شركة الامل "/>
    <s v="رامى محمد  "/>
    <s v="عمل صيانة لابواب الامونتال "/>
    <s v="تم العمل"/>
    <d v="1899-12-30T14:30:00"/>
    <d v="1899-12-30T17:00:00"/>
    <n v="0.10416666666666674"/>
    <s v="المطابع "/>
    <n v="2.5000000000000018"/>
    <m/>
    <m/>
    <x v="14"/>
    <n v="5"/>
    <m/>
    <m/>
    <m/>
    <m/>
    <m/>
    <m/>
    <m/>
    <m/>
    <m/>
    <m/>
  </r>
  <r>
    <d v="2024-10-01T00:00:00"/>
    <d v="2024-10-02T00:00:00"/>
    <s v="الاربعاء "/>
    <s v="الشؤون الادارية "/>
    <s v="محمود عويس  "/>
    <s v="صيانة تكيف "/>
    <s v="تم العمل"/>
    <d v="1899-12-30T09:30:00"/>
    <d v="1899-12-30T17:00:00"/>
    <n v="0.31250000000000006"/>
    <s v="المطابع "/>
    <n v="7.5000000000000018"/>
    <m/>
    <m/>
    <x v="5"/>
    <n v="5"/>
    <m/>
    <m/>
    <m/>
    <m/>
    <m/>
    <m/>
    <m/>
    <m/>
    <m/>
    <m/>
  </r>
  <r>
    <d v="2024-10-01T00:00:00"/>
    <d v="2024-10-02T00:00:00"/>
    <s v="الاربعاء "/>
    <s v="شركة اوزوريون "/>
    <s v="مراد صالح "/>
    <s v="استكمال احلال وتجديد خزان الاطفاء     "/>
    <s v="تم العمل"/>
    <d v="1899-12-30T10:00:00"/>
    <d v="1899-12-30T16:30:00"/>
    <n v="0.27083333333333331"/>
    <s v="المخزن القديم "/>
    <n v="6.5"/>
    <m/>
    <m/>
    <x v="1"/>
    <n v="3"/>
    <s v="ناقص توقيعات ولم يتم غلق التصريح "/>
    <m/>
    <m/>
    <m/>
    <m/>
    <m/>
    <m/>
    <m/>
    <m/>
    <m/>
  </r>
  <r>
    <d v="2024-10-01T00:00:00"/>
    <d v="2024-10-02T00:00:00"/>
    <s v="الاربعاء "/>
    <s v="شركة جلوب ويل "/>
    <s v="اسلام مليجى "/>
    <s v="تغيير فلاتر     "/>
    <s v="تم العمل"/>
    <d v="1899-12-30T14:00:00"/>
    <d v="1899-12-30T15:00:00"/>
    <n v="4.166666666666663E-2"/>
    <s v="المخزن القديم "/>
    <n v="0.99999999999999911"/>
    <m/>
    <m/>
    <x v="1"/>
    <n v="3"/>
    <s v="ناقص توقيعات ولم يتم غلق التصريح "/>
    <m/>
    <m/>
    <m/>
    <m/>
    <m/>
    <m/>
    <m/>
    <m/>
    <m/>
  </r>
  <r>
    <d v="2024-10-01T00:00:00"/>
    <d v="2024-10-02T00:00:00"/>
    <s v="الاربعاء "/>
    <s v="شركة الكريم "/>
    <s v=" على الشنوبى     "/>
    <s v="الزيارة الشهرية و صيانة للوح الانزار "/>
    <s v="تم العمل"/>
    <d v="1899-12-30T12:00:00"/>
    <d v="1899-12-30T13:00:00"/>
    <n v="4.166666666666663E-2"/>
    <s v="المخزن القديم "/>
    <n v="0.99999999999999911"/>
    <m/>
    <m/>
    <x v="1"/>
    <n v="4"/>
    <s v="ناقص توقيعات "/>
    <m/>
    <m/>
    <m/>
    <m/>
    <m/>
    <m/>
    <m/>
    <m/>
    <m/>
  </r>
  <r>
    <d v="2024-10-01T00:00:00"/>
    <d v="2024-10-02T00:00:00"/>
    <s v="الاربعاء "/>
    <s v="شركة الكريم "/>
    <s v=" على الشنوبى     "/>
    <s v="الزيارة الشهرية و صيانة للوح الانزار "/>
    <s v="تم العمل"/>
    <d v="1899-12-30T10:30:00"/>
    <d v="1899-12-30T12:00:00"/>
    <n v="6.25E-2"/>
    <s v="المطابع "/>
    <n v="1.5"/>
    <m/>
    <m/>
    <x v="5"/>
    <n v="5"/>
    <m/>
    <m/>
    <m/>
    <m/>
    <m/>
    <m/>
    <m/>
    <m/>
    <m/>
    <m/>
  </r>
  <r>
    <d v="2024-10-01T00:00:00"/>
    <d v="2024-10-02T00:00:00"/>
    <s v="الاربعاء "/>
    <s v="الشركة العالمية لاعمال الهندسية  "/>
    <s v="اسلام محمد "/>
    <s v="تركيبات "/>
    <s v="تم العمل"/>
    <d v="1899-12-30T15:30:00"/>
    <d v="1899-12-30T19:30:00"/>
    <n v="0.16666666666666663"/>
    <s v="البرج"/>
    <n v="3.9999999999999991"/>
    <m/>
    <m/>
    <x v="3"/>
    <n v="5"/>
    <m/>
    <m/>
    <m/>
    <m/>
    <m/>
    <m/>
    <m/>
    <m/>
    <m/>
    <m/>
  </r>
  <r>
    <d v="2024-10-01T00:00:00"/>
    <d v="2024-10-02T00:00:00"/>
    <s v="الاربعاء "/>
    <s v="شركة اوزوريون "/>
    <s v="مراد صالح "/>
    <s v="صيانة الشبابيك الالموتال "/>
    <s v="تم العمل"/>
    <d v="1899-12-30T10:00:00"/>
    <d v="1899-12-30T17:00:00"/>
    <n v="0.29166666666666669"/>
    <s v="المخزن الجديد "/>
    <n v="7"/>
    <m/>
    <m/>
    <x v="2"/>
    <n v="5"/>
    <m/>
    <m/>
    <m/>
    <m/>
    <m/>
    <m/>
    <m/>
    <m/>
    <m/>
    <m/>
  </r>
  <r>
    <d v="2024-10-01T00:00:00"/>
    <d v="2024-10-02T00:00:00"/>
    <s v="الاربعاء "/>
    <s v="شركة الكريم "/>
    <s v=" على الشنوبى     "/>
    <s v="الزيارة الشهرية و صيانة للوح الانزار "/>
    <s v="تم العمل"/>
    <d v="1899-12-30T10:00:00"/>
    <d v="1899-12-30T11:00:00"/>
    <n v="4.166666666666663E-2"/>
    <s v="المخزن الجديد "/>
    <n v="0.99999999999999911"/>
    <m/>
    <m/>
    <x v="2"/>
    <n v="5"/>
    <m/>
    <m/>
    <m/>
    <m/>
    <m/>
    <m/>
    <m/>
    <m/>
    <m/>
    <m/>
  </r>
  <r>
    <d v="2024-10-01T00:00:00"/>
    <d v="2024-10-02T00:00:00"/>
    <s v="الاربعاء "/>
    <s v="الورشة الهندسية "/>
    <s v="مراد صالح "/>
    <s v="دهان سلم الطوارئ"/>
    <s v="تم العمل"/>
    <d v="1899-12-30T11:00:00"/>
    <d v="1899-12-30T16:00:00"/>
    <n v="0.20833333333333365"/>
    <s v="المخزن الجديد "/>
    <n v="5.0000000000000071"/>
    <m/>
    <m/>
    <x v="2"/>
    <n v="5"/>
    <m/>
    <m/>
    <m/>
    <m/>
    <m/>
    <m/>
    <m/>
    <m/>
    <m/>
    <m/>
  </r>
  <r>
    <d v="2024-10-01T00:00:00"/>
    <d v="2024-10-03T00:00:00"/>
    <s v="الخميس "/>
    <s v="الشؤون الادارية "/>
    <s v="محمود عويس  "/>
    <s v="صيانة تكيف "/>
    <s v="تم العمل"/>
    <d v="1899-12-30T10:00:00"/>
    <d v="1899-12-30T11:00:00"/>
    <n v="4.166666666666663E-2"/>
    <s v="المطابع "/>
    <n v="0.99999999999999911"/>
    <m/>
    <m/>
    <x v="1"/>
    <n v="5"/>
    <m/>
    <m/>
    <m/>
    <m/>
    <m/>
    <m/>
    <m/>
    <m/>
    <m/>
    <m/>
  </r>
  <r>
    <d v="2024-10-01T00:00:00"/>
    <d v="2024-10-03T00:00:00"/>
    <s v="الخميس "/>
    <s v="المصرية للاسكان "/>
    <s v="علاء احمد "/>
    <s v="صيانة "/>
    <s v="تم العمل"/>
    <d v="1899-12-30T12:00:00"/>
    <d v="1899-12-30T14:00:00"/>
    <n v="8.333333333333337E-2"/>
    <s v="البرج"/>
    <n v="2.0000000000000009"/>
    <m/>
    <m/>
    <x v="3"/>
    <n v="5"/>
    <m/>
    <m/>
    <m/>
    <m/>
    <m/>
    <m/>
    <m/>
    <m/>
    <m/>
    <m/>
  </r>
  <r>
    <d v="2024-10-01T00:00:00"/>
    <d v="2024-10-05T00:00:00"/>
    <s v="السبت "/>
    <s v="KUC  شركة "/>
    <s v="مصطفى محمد "/>
    <s v="نركيبات "/>
    <s v="تم العمل"/>
    <d v="1899-12-30T11:30:00"/>
    <d v="1899-12-30T21:00:00"/>
    <n v="0.39583333333333331"/>
    <s v="البرج"/>
    <n v="9.5"/>
    <m/>
    <m/>
    <x v="3"/>
    <n v="5"/>
    <s v=" "/>
    <m/>
    <m/>
    <m/>
    <m/>
    <m/>
    <m/>
    <m/>
    <m/>
    <m/>
  </r>
  <r>
    <d v="2024-10-01T00:00:00"/>
    <d v="2024-10-05T00:00:00"/>
    <s v="السبت "/>
    <s v="الشركة العالمية لاعمال الهندسية  "/>
    <s v="اسلام محمد "/>
    <s v="نركيبات "/>
    <s v="تم العمل"/>
    <d v="1899-12-30T10:00:00"/>
    <d v="1899-12-30T18:00:00"/>
    <n v="0.33333333333333331"/>
    <s v="البرج"/>
    <n v="8"/>
    <m/>
    <m/>
    <x v="3"/>
    <n v="5"/>
    <s v=" "/>
    <m/>
    <m/>
    <m/>
    <m/>
    <m/>
    <m/>
    <m/>
    <m/>
    <m/>
  </r>
  <r>
    <d v="2024-10-01T00:00:00"/>
    <d v="2024-10-07T00:00:00"/>
    <s v="الاثنين "/>
    <s v="شركة اوزوريون "/>
    <s v="م/ محمد  صلاح "/>
    <s v="استكمال العمل خزان الاطفاء     "/>
    <s v="تم العمل"/>
    <d v="1899-12-30T10:00:00"/>
    <d v="1899-12-30T16:00:00"/>
    <n v="0.24999999999999994"/>
    <s v="المخزن القديم "/>
    <n v="5.9999999999999982"/>
    <m/>
    <m/>
    <x v="1"/>
    <n v="3"/>
    <s v="ناقص توقيعات ولم يتم غلق التصريح "/>
    <m/>
    <m/>
    <m/>
    <m/>
    <m/>
    <m/>
    <m/>
    <m/>
    <m/>
  </r>
  <r>
    <d v="2024-10-01T00:00:00"/>
    <d v="2024-10-07T00:00:00"/>
    <s v="الاثنين "/>
    <s v="الشؤون الادارية "/>
    <s v="محمود عويس  "/>
    <s v="صيانة تكيف "/>
    <s v="تم العمل"/>
    <d v="1899-12-30T09:00:00"/>
    <d v="1899-12-30T16:00:00"/>
    <n v="0.29166666666666663"/>
    <s v="المخزن القديم "/>
    <n v="6.9999999999999991"/>
    <m/>
    <m/>
    <x v="9"/>
    <n v="5"/>
    <m/>
    <m/>
    <m/>
    <m/>
    <m/>
    <m/>
    <m/>
    <m/>
    <m/>
    <m/>
  </r>
  <r>
    <d v="2024-10-01T00:00:00"/>
    <d v="2024-10-08T00:00:00"/>
    <s v="الثلاثاء "/>
    <s v="شركة نات جاز "/>
    <s v="احمد محمود "/>
    <s v="صيانة غرفة الغاز "/>
    <s v="تم العمل"/>
    <d v="1899-12-30T10:30:00"/>
    <d v="1899-12-30T12:00:00"/>
    <n v="6.25E-2"/>
    <s v="المطابع "/>
    <n v="1.5"/>
    <m/>
    <m/>
    <x v="10"/>
    <n v="3"/>
    <s v="ناقص توقيعات  وعدم غلق التصريح "/>
    <m/>
    <m/>
    <m/>
    <m/>
    <m/>
    <m/>
    <m/>
    <m/>
    <m/>
  </r>
  <r>
    <d v="2024-10-01T00:00:00"/>
    <d v="2024-10-08T00:00:00"/>
    <s v="الثلاثاء "/>
    <s v="ادارة المخازن "/>
    <s v="احمد "/>
    <s v="تدعيم خط الحريق "/>
    <s v="تم العمل"/>
    <d v="1899-12-30T12:00:00"/>
    <d v="1899-12-30T15:00:00"/>
    <n v="0.125"/>
    <s v="مخزن الوزارة"/>
    <n v="3"/>
    <m/>
    <m/>
    <x v="6"/>
    <n v="5"/>
    <m/>
    <m/>
    <m/>
    <m/>
    <m/>
    <m/>
    <m/>
    <m/>
    <m/>
    <m/>
  </r>
  <r>
    <d v="2024-10-01T00:00:00"/>
    <d v="2024-10-08T00:00:00"/>
    <s v="الثلاثاء "/>
    <s v="3M شركة "/>
    <s v="عبد الرحمن اشرف "/>
    <s v="صيانة ماكينة سبيد ماستر "/>
    <s v="تم العمل"/>
    <d v="1899-12-30T12:00:00"/>
    <d v="1899-12-30T20:00:00"/>
    <n v="0.33333333333333337"/>
    <s v="المطابع "/>
    <n v="8"/>
    <m/>
    <m/>
    <x v="14"/>
    <n v="5"/>
    <m/>
    <m/>
    <m/>
    <m/>
    <m/>
    <m/>
    <m/>
    <m/>
    <m/>
    <m/>
  </r>
  <r>
    <d v="2024-10-01T00:00:00"/>
    <d v="2024-10-09T00:00:00"/>
    <s v="الاربعاء "/>
    <s v="الشركة الالمانية "/>
    <s v="محمود احمد "/>
    <s v="الزيارة الشهرية ومكافحة الحشرات "/>
    <s v="تم العمل"/>
    <d v="1899-12-30T11:00:00"/>
    <d v="1899-12-30T13:00:00"/>
    <n v="8.3333333333333315E-2"/>
    <s v="المطابع "/>
    <n v="1.9999999999999996"/>
    <m/>
    <m/>
    <x v="6"/>
    <n v="5"/>
    <m/>
    <m/>
    <m/>
    <m/>
    <m/>
    <m/>
    <m/>
    <m/>
    <m/>
    <m/>
  </r>
  <r>
    <d v="2024-10-01T00:00:00"/>
    <d v="2024-10-10T00:00:00"/>
    <s v="الخميس "/>
    <s v="شركة اوزوريون "/>
    <s v="م/ محمد  صلاح "/>
    <s v="استكمال العمل خزان الاطفاء     "/>
    <s v="تم العمل"/>
    <d v="1899-12-30T10:00:00"/>
    <d v="1899-12-30T17:00:00"/>
    <n v="0.29166666666666669"/>
    <s v="المخزن القديم "/>
    <n v="7"/>
    <m/>
    <m/>
    <x v="14"/>
    <n v="5"/>
    <m/>
    <m/>
    <m/>
    <m/>
    <m/>
    <m/>
    <m/>
    <m/>
    <m/>
    <m/>
  </r>
  <r>
    <d v="2024-10-01T00:00:00"/>
    <d v="2024-10-12T00:00:00"/>
    <s v="السبت "/>
    <s v="KUC  شركة "/>
    <s v="مصطفى محمد "/>
    <s v="تركيبات "/>
    <s v="تم العمل"/>
    <d v="1899-12-30T23:00:00"/>
    <d v="1899-12-30T17:30:00"/>
    <n v="-0.22916666666666674"/>
    <s v="البرج"/>
    <n v="6.5"/>
    <m/>
    <m/>
    <x v="3"/>
    <n v="5"/>
    <m/>
    <m/>
    <m/>
    <m/>
    <m/>
    <m/>
    <m/>
    <m/>
    <m/>
    <m/>
  </r>
  <r>
    <d v="2024-10-01T00:00:00"/>
    <d v="2024-10-12T00:00:00"/>
    <s v="السبت "/>
    <s v="شركة اوزوريون "/>
    <s v="مراد صالح "/>
    <s v="ترميم  خزان الاطفاء     "/>
    <s v="تم العمل"/>
    <d v="1899-12-30T10:00:00"/>
    <d v="1899-12-30T17:30:00"/>
    <n v="0.31249999999999994"/>
    <s v="المخزن القديم "/>
    <n v="7.4999999999999982"/>
    <m/>
    <m/>
    <x v="13"/>
    <n v="5"/>
    <m/>
    <m/>
    <m/>
    <m/>
    <m/>
    <m/>
    <m/>
    <m/>
    <m/>
    <m/>
  </r>
  <r>
    <d v="2024-10-01T00:00:00"/>
    <d v="2024-10-12T00:00:00"/>
    <s v="السبت "/>
    <s v="ستار كول  للتبريد والتكيف "/>
    <s v="عبد الرحمن حسن "/>
    <s v="صيانة ثلاجة تبريد ماكينة ويب 4"/>
    <s v="تم العمل"/>
    <d v="1899-12-30T12:30:00"/>
    <d v="1899-12-30T13:00:00"/>
    <n v="2.0833333333333259E-2"/>
    <s v="المطابع "/>
    <n v="0.49999999999999822"/>
    <m/>
    <m/>
    <x v="7"/>
    <n v="5"/>
    <m/>
    <m/>
    <m/>
    <m/>
    <m/>
    <m/>
    <m/>
    <m/>
    <m/>
    <m/>
  </r>
  <r>
    <d v="2024-10-01T00:00:00"/>
    <d v="2024-10-13T00:00:00"/>
    <s v="الاحد "/>
    <s v="شركة الكريم "/>
    <s v="حامد عطوان      "/>
    <s v="الزيارة الشهرية على نظام الاطفاء "/>
    <s v="تم العمل"/>
    <d v="1899-12-30T10:00:00"/>
    <d v="1899-12-30T12:00:00"/>
    <n v="8.3333333333333315E-2"/>
    <s v="المطابع "/>
    <n v="1.9999999999999996"/>
    <m/>
    <m/>
    <x v="5"/>
    <n v="5"/>
    <m/>
    <m/>
    <m/>
    <m/>
    <m/>
    <m/>
    <m/>
    <m/>
    <m/>
    <m/>
  </r>
  <r>
    <d v="2024-10-01T00:00:00"/>
    <d v="2024-10-13T00:00:00"/>
    <s v="الاحد "/>
    <s v="الشؤون الادارية "/>
    <s v="محمود عويس  "/>
    <s v="صيانة تكيف "/>
    <s v="تم العمل"/>
    <d v="1899-12-30T10:00:00"/>
    <d v="1899-12-30T17:00:00"/>
    <n v="0.29166666666666669"/>
    <s v="المطابع "/>
    <n v="7"/>
    <m/>
    <m/>
    <x v="5"/>
    <n v="5"/>
    <m/>
    <m/>
    <m/>
    <m/>
    <m/>
    <m/>
    <m/>
    <m/>
    <m/>
    <m/>
  </r>
  <r>
    <d v="2024-10-01T00:00:00"/>
    <d v="2024-10-13T00:00:00"/>
    <s v="الاحد "/>
    <s v="الشركة الالمانية "/>
    <s v="اسلام ابراهيم "/>
    <s v="الزيارة الشهرية ومكافحة الحشرات "/>
    <s v="تم العمل"/>
    <d v="1899-12-30T13:00:00"/>
    <d v="1899-12-30T15:00:00"/>
    <n v="8.333333333333337E-2"/>
    <s v="المخزن الجديد "/>
    <n v="2.0000000000000009"/>
    <m/>
    <m/>
    <x v="10"/>
    <n v="5"/>
    <m/>
    <m/>
    <m/>
    <m/>
    <m/>
    <m/>
    <m/>
    <m/>
    <m/>
    <m/>
  </r>
  <r>
    <d v="2024-10-01T00:00:00"/>
    <d v="2024-10-13T00:00:00"/>
    <s v="الاحد "/>
    <s v="الشركة الالمانية "/>
    <s v="اسلام ابراهيم "/>
    <s v="الزيارة الشهرية ومكافحة الحشرات "/>
    <s v="تم العمل"/>
    <d v="1899-12-30T15:00:00"/>
    <d v="1899-12-30T16:00:00"/>
    <n v="4.166666666666663E-2"/>
    <s v="مخزن الوزارة"/>
    <n v="0.99999999999999911"/>
    <m/>
    <m/>
    <x v="10"/>
    <n v="5"/>
    <m/>
    <m/>
    <m/>
    <m/>
    <m/>
    <m/>
    <m/>
    <m/>
    <m/>
    <m/>
  </r>
  <r>
    <d v="2024-10-01T00:00:00"/>
    <d v="2024-10-13T00:00:00"/>
    <s v="الاحد "/>
    <s v="الشركة الالمانية "/>
    <s v="اسلام ابراهيم "/>
    <s v="الزيارة الشهرية ومكافحة الحشرات "/>
    <s v="تم العمل"/>
    <d v="1899-12-30T17:00:00"/>
    <d v="1899-12-30T17:30:00"/>
    <n v="2.0833333333333259E-2"/>
    <s v="المخزن القديم "/>
    <n v="0.49999999999999822"/>
    <m/>
    <m/>
    <x v="14"/>
    <n v="4"/>
    <s v="ناقص توقيعات "/>
    <m/>
    <m/>
    <m/>
    <m/>
    <m/>
    <m/>
    <m/>
    <m/>
    <m/>
  </r>
  <r>
    <d v="2024-10-01T00:00:00"/>
    <d v="2024-10-13T00:00:00"/>
    <s v="الاحد "/>
    <s v="شركة اوزوريون "/>
    <s v="مراد صالح "/>
    <s v="استكمال العمل خزان الاطفاء     "/>
    <s v="تم العمل"/>
    <d v="1899-12-30T10:00:00"/>
    <d v="1899-12-30T15:00:00"/>
    <n v="0.20833333333333331"/>
    <s v="المخزن القديم "/>
    <n v="5"/>
    <m/>
    <m/>
    <x v="14"/>
    <n v="5"/>
    <m/>
    <m/>
    <m/>
    <m/>
    <m/>
    <m/>
    <m/>
    <m/>
    <m/>
    <m/>
  </r>
  <r>
    <d v="2024-10-01T00:00:00"/>
    <d v="2024-10-14T00:00:00"/>
    <s v="الاثنين "/>
    <s v="الشركة الوطنية "/>
    <s v="محمد رمضان   "/>
    <s v="صيانة الكلاركات "/>
    <s v="تم العمل"/>
    <d v="1899-12-30T13:00:00"/>
    <d v="1899-12-30T14:00:00"/>
    <n v="4.1666666666666741E-2"/>
    <s v="المخزن الجديد "/>
    <n v="1.0000000000000018"/>
    <m/>
    <m/>
    <x v="1"/>
    <n v="5"/>
    <m/>
    <m/>
    <m/>
    <m/>
    <m/>
    <m/>
    <m/>
    <m/>
    <m/>
    <m/>
  </r>
  <r>
    <d v="2024-10-01T00:00:00"/>
    <d v="2024-10-14T00:00:00"/>
    <s v="الاثنين "/>
    <s v="الشؤون الادارية "/>
    <s v="محمود عويس  "/>
    <s v="صيانة تكيف "/>
    <s v="تم العمل"/>
    <d v="1899-12-30T11:00:00"/>
    <d v="1899-12-30T15:00:00"/>
    <n v="0.16666666666666669"/>
    <s v="المخزن الجديد "/>
    <n v="4"/>
    <m/>
    <m/>
    <x v="1"/>
    <n v="5"/>
    <m/>
    <m/>
    <m/>
    <m/>
    <m/>
    <m/>
    <m/>
    <m/>
    <m/>
    <m/>
  </r>
  <r>
    <d v="2024-10-01T00:00:00"/>
    <d v="2024-10-14T00:00:00"/>
    <s v="الاثنين "/>
    <s v="شركة شلاندر "/>
    <s v="احمد السيد "/>
    <s v="استكمال اعمال المصاعد "/>
    <s v="تم العمل"/>
    <d v="1899-12-30T10:00:00"/>
    <d v="1899-12-30T16:00:00"/>
    <n v="0.24999999999999994"/>
    <s v="المخزن الجديد "/>
    <n v="5.9999999999999982"/>
    <m/>
    <m/>
    <x v="1"/>
    <n v="5"/>
    <m/>
    <m/>
    <m/>
    <m/>
    <m/>
    <m/>
    <m/>
    <m/>
    <m/>
    <m/>
  </r>
  <r>
    <d v="2024-10-01T00:00:00"/>
    <d v="2024-10-14T00:00:00"/>
    <s v="الاثنين "/>
    <s v="شركة اوزوريون "/>
    <s v="عصام حسين"/>
    <s v="انشائات   "/>
    <s v="تم العمل"/>
    <d v="1899-12-30T10:00:00"/>
    <d v="1899-12-30T17:00:00"/>
    <n v="0.29166666666666669"/>
    <s v="البرج"/>
    <n v="7"/>
    <m/>
    <m/>
    <x v="3"/>
    <n v="5"/>
    <m/>
    <m/>
    <m/>
    <m/>
    <m/>
    <m/>
    <m/>
    <m/>
    <m/>
    <m/>
  </r>
  <r>
    <d v="2024-10-01T00:00:00"/>
    <d v="2024-10-14T00:00:00"/>
    <s v="الاثنين "/>
    <s v="شركة NCR"/>
    <s v="احمد عادل "/>
    <s v="صيانة ماكينة ATM   "/>
    <s v="تم العمل"/>
    <d v="1899-12-30T15:30:00"/>
    <d v="1899-12-30T16:30:00"/>
    <n v="4.166666666666663E-2"/>
    <s v="المطابع "/>
    <n v="0.99999999999999911"/>
    <m/>
    <m/>
    <x v="14"/>
    <n v="5"/>
    <m/>
    <m/>
    <m/>
    <m/>
    <m/>
    <m/>
    <m/>
    <m/>
    <m/>
    <m/>
  </r>
  <r>
    <d v="2024-10-01T00:00:00"/>
    <d v="2024-10-15T00:00:00"/>
    <s v="الثلاثاء "/>
    <s v="الشؤون الادارية "/>
    <s v="علاء احمد "/>
    <s v="صيانة تكيف "/>
    <s v="تم العمل"/>
    <d v="1899-12-30T10:00:00"/>
    <d v="1899-12-30T13:00:00"/>
    <n v="0.12499999999999994"/>
    <s v="المطابع "/>
    <n v="2.9999999999999987"/>
    <m/>
    <m/>
    <x v="10"/>
    <n v="5"/>
    <m/>
    <m/>
    <m/>
    <m/>
    <m/>
    <m/>
    <m/>
    <m/>
    <m/>
    <m/>
  </r>
  <r>
    <d v="2024-10-01T00:00:00"/>
    <d v="2024-10-15T00:00:00"/>
    <s v="الثلاثاء "/>
    <s v="الشؤون الادارية "/>
    <s v="محمود عويس  "/>
    <s v="صيانة تكيف "/>
    <s v="تم العمل"/>
    <d v="1899-12-30T10:00:00"/>
    <d v="1899-12-30T17:30:00"/>
    <n v="0.31249999999999994"/>
    <s v="المطابع "/>
    <n v="7.4999999999999982"/>
    <m/>
    <m/>
    <x v="10"/>
    <n v="5"/>
    <m/>
    <m/>
    <m/>
    <m/>
    <m/>
    <m/>
    <m/>
    <m/>
    <m/>
    <m/>
  </r>
  <r>
    <d v="2024-10-01T00:00:00"/>
    <d v="2024-10-15T00:00:00"/>
    <s v="الثلاثاء "/>
    <s v="شركة الهدى "/>
    <s v="اسلام مصطفى    "/>
    <s v="صيانة ماكينة CTP"/>
    <s v="تم العمل"/>
    <d v="1899-12-30T14:00:00"/>
    <d v="1899-12-30T17:30:00"/>
    <n v="0.14583333333333326"/>
    <s v="المطابع "/>
    <n v="3.4999999999999982"/>
    <m/>
    <m/>
    <x v="6"/>
    <n v="5"/>
    <m/>
    <m/>
    <m/>
    <m/>
    <m/>
    <m/>
    <m/>
    <m/>
    <m/>
    <m/>
  </r>
  <r>
    <d v="2024-10-01T00:00:00"/>
    <d v="2024-10-15T00:00:00"/>
    <s v="الثلاثاء "/>
    <s v="القطاع الهندسى "/>
    <s v="وليد محمد   "/>
    <s v="صيانة كلاركات "/>
    <s v="تم العمل"/>
    <d v="1899-12-30T14:00:00"/>
    <d v="1899-12-30T15:00:00"/>
    <n v="4.166666666666663E-2"/>
    <s v="مخزن الوزارة"/>
    <n v="0.99999999999999911"/>
    <m/>
    <m/>
    <x v="10"/>
    <n v="5"/>
    <m/>
    <m/>
    <m/>
    <m/>
    <m/>
    <m/>
    <m/>
    <m/>
    <m/>
    <m/>
  </r>
  <r>
    <d v="2024-10-01T00:00:00"/>
    <d v="2024-10-15T00:00:00"/>
    <s v="الثلاثاء "/>
    <s v="شركة اوزوريون "/>
    <s v="عصام حسين"/>
    <s v="انشائات   "/>
    <s v="تم العمل"/>
    <d v="1899-12-30T09:30:00"/>
    <d v="1899-12-30T16:30:00"/>
    <n v="0.29166666666666669"/>
    <s v="البرج"/>
    <n v="7"/>
    <m/>
    <m/>
    <x v="3"/>
    <n v="5"/>
    <m/>
    <m/>
    <m/>
    <m/>
    <m/>
    <m/>
    <m/>
    <m/>
    <m/>
    <m/>
  </r>
  <r>
    <d v="2024-10-01T00:00:00"/>
    <d v="2024-10-15T00:00:00"/>
    <s v="الثلاثاء "/>
    <s v="الشؤون الادارية "/>
    <s v="امير"/>
    <s v="تركيب كاميرات"/>
    <s v="تم العمل"/>
    <d v="1899-12-30T13:00:00"/>
    <d v="1899-12-30T14:00:00"/>
    <n v="4.1666666666666741E-2"/>
    <s v="الفجالة"/>
    <n v="1.0000000000000018"/>
    <m/>
    <m/>
    <x v="11"/>
    <n v="5"/>
    <m/>
    <m/>
    <m/>
    <m/>
    <m/>
    <m/>
    <m/>
    <m/>
    <m/>
    <m/>
  </r>
  <r>
    <d v="2024-10-01T00:00:00"/>
    <d v="2024-10-16T00:00:00"/>
    <s v="الاربعاء "/>
    <s v="شركة اوزوريون "/>
    <s v="محمد زنفل  "/>
    <s v="انشائات   "/>
    <s v="تم العمل"/>
    <d v="1899-12-30T10:00:00"/>
    <d v="1899-12-30T16:00:00"/>
    <n v="0.24999999999999994"/>
    <s v="البرج"/>
    <n v="5.9999999999999982"/>
    <m/>
    <m/>
    <x v="3"/>
    <n v="5"/>
    <m/>
    <m/>
    <m/>
    <m/>
    <m/>
    <m/>
    <m/>
    <m/>
    <m/>
    <m/>
  </r>
  <r>
    <d v="2024-10-01T00:00:00"/>
    <d v="2024-10-16T00:00:00"/>
    <s v="الاربعاء "/>
    <s v="ادارة المخازن "/>
    <s v="محمد طنطاوى "/>
    <s v="تركيب حامل لخط الحريق "/>
    <s v="تم العمل"/>
    <d v="1899-12-30T10:00:00"/>
    <d v="1899-12-30T14:00:00"/>
    <n v="0.16666666666666669"/>
    <s v="المخزن الجديد "/>
    <n v="4"/>
    <m/>
    <m/>
    <x v="1"/>
    <n v="3"/>
    <s v="ناقص توقيعات  وعدم غلق التصريح "/>
    <m/>
    <m/>
    <m/>
    <m/>
    <m/>
    <m/>
    <m/>
    <m/>
    <m/>
  </r>
  <r>
    <d v="2024-10-01T00:00:00"/>
    <d v="2024-10-16T00:00:00"/>
    <s v="الاربعاء "/>
    <s v="الشركة العالمية لاعمال الهندسية  "/>
    <s v="اسلام محمد "/>
    <s v="نركيبات "/>
    <s v="تم العمل"/>
    <d v="1899-12-30T11:00:00"/>
    <d v="1899-12-30T17:00:00"/>
    <n v="0.25000000000000006"/>
    <s v="البرج"/>
    <n v="6.0000000000000018"/>
    <m/>
    <m/>
    <x v="3"/>
    <n v="5"/>
    <s v=" "/>
    <m/>
    <m/>
    <m/>
    <m/>
    <m/>
    <m/>
    <m/>
    <m/>
    <m/>
  </r>
  <r>
    <d v="2024-10-01T00:00:00"/>
    <d v="2024-10-16T00:00:00"/>
    <s v="الاربعاء "/>
    <s v="شركة لنك مصر "/>
    <s v="ابراهيم احمد "/>
    <s v="تركيب راكات "/>
    <s v="تم العمل"/>
    <d v="1899-12-30T10:00:00"/>
    <d v="1899-12-30T16:00:00"/>
    <n v="0.24999999999999994"/>
    <s v="المخزن الجديد "/>
    <n v="5.9999999999999982"/>
    <m/>
    <m/>
    <x v="1"/>
    <n v="5"/>
    <m/>
    <m/>
    <m/>
    <m/>
    <m/>
    <m/>
    <m/>
    <m/>
    <m/>
    <m/>
  </r>
  <r>
    <d v="2024-10-01T00:00:00"/>
    <d v="2024-10-16T00:00:00"/>
    <s v="الاربعاء "/>
    <s v="شركة شلاندر "/>
    <s v="احمد السيد "/>
    <s v="استكمال اعمال المصاعد "/>
    <s v="تم العمل"/>
    <d v="1899-12-30T10:00:00"/>
    <d v="1899-12-30T16:00:00"/>
    <n v="0.24999999999999994"/>
    <s v="المخزن الجديد "/>
    <n v="5.9999999999999982"/>
    <m/>
    <m/>
    <x v="1"/>
    <n v="5"/>
    <m/>
    <m/>
    <m/>
    <m/>
    <m/>
    <m/>
    <m/>
    <m/>
    <m/>
    <m/>
  </r>
  <r>
    <d v="2024-10-01T00:00:00"/>
    <d v="2024-10-16T00:00:00"/>
    <s v="الاربعاء "/>
    <s v="شركة الكريم "/>
    <s v="حامد عطوان      "/>
    <s v="الزيارة الشهرية على نظام الاطفاء "/>
    <s v="تم العمل"/>
    <d v="1899-12-30T10:00:00"/>
    <d v="1899-12-30T12:00:00"/>
    <n v="8.3333333333333315E-2"/>
    <s v="المطابع "/>
    <n v="1.9999999999999996"/>
    <m/>
    <m/>
    <x v="5"/>
    <n v="5"/>
    <m/>
    <m/>
    <m/>
    <m/>
    <m/>
    <m/>
    <m/>
    <m/>
    <m/>
    <m/>
  </r>
  <r>
    <d v="2024-10-01T00:00:00"/>
    <d v="2024-10-16T00:00:00"/>
    <s v="الاربعاء "/>
    <s v="مالك المخزن "/>
    <s v="محمد طنطاوى "/>
    <s v="صيانة غرفة الطلمبات  "/>
    <s v="تم العمل"/>
    <d v="1899-12-30T10:00:00"/>
    <d v="1899-12-30T17:00:00"/>
    <n v="0.29166666666666669"/>
    <s v="مخزن الوزارة"/>
    <n v="7"/>
    <m/>
    <m/>
    <x v="10"/>
    <n v="5"/>
    <m/>
    <m/>
    <m/>
    <m/>
    <m/>
    <m/>
    <m/>
    <m/>
    <m/>
    <m/>
  </r>
  <r>
    <d v="2024-10-01T00:00:00"/>
    <d v="2024-10-17T00:00:00"/>
    <s v="الخميس "/>
    <s v="شركة اكوا تراست "/>
    <s v="على مصطفى"/>
    <s v="صيانة فلتر المياة بالبوفية"/>
    <s v="تم العمل"/>
    <d v="1899-12-30T14:00:00"/>
    <d v="1899-12-30T15:00:00"/>
    <n v="4.166666666666663E-2"/>
    <s v="المطابع "/>
    <n v="0.99999999999999911"/>
    <m/>
    <m/>
    <x v="14"/>
    <n v="5"/>
    <m/>
    <m/>
    <m/>
    <m/>
    <m/>
    <m/>
    <m/>
    <m/>
    <m/>
    <m/>
  </r>
  <r>
    <d v="2024-10-01T00:00:00"/>
    <d v="2024-10-17T00:00:00"/>
    <s v="الخميس "/>
    <s v="شركة شلاندر "/>
    <s v="محمد عادل  "/>
    <s v="صيانة اسانسير"/>
    <s v="تم العمل"/>
    <d v="1899-12-30T15:00:00"/>
    <d v="1899-12-30T16:00:00"/>
    <n v="4.1666666666666963E-2"/>
    <s v="المطابع "/>
    <n v="1.0000000000000071"/>
    <m/>
    <m/>
    <x v="14"/>
    <n v="5"/>
    <m/>
    <m/>
    <m/>
    <m/>
    <m/>
    <m/>
    <m/>
    <m/>
    <m/>
    <m/>
  </r>
  <r>
    <d v="2024-10-01T00:00:00"/>
    <d v="2024-10-17T00:00:00"/>
    <s v="الخميس "/>
    <s v="شركة اوزوريون "/>
    <s v="محمد زنفل  "/>
    <s v="انشائات   "/>
    <s v="تم العمل"/>
    <d v="1899-12-30T09:30:00"/>
    <d v="1899-12-30T17:00:00"/>
    <n v="0.31250000000000006"/>
    <s v="البرج"/>
    <n v="7.5000000000000018"/>
    <m/>
    <m/>
    <x v="3"/>
    <n v="5"/>
    <m/>
    <m/>
    <m/>
    <m/>
    <m/>
    <m/>
    <m/>
    <m/>
    <m/>
    <m/>
  </r>
  <r>
    <d v="2024-10-01T00:00:00"/>
    <d v="2024-10-19T00:00:00"/>
    <s v="السبت "/>
    <s v="شركة اوزوريون "/>
    <s v="محمد صلاح "/>
    <s v="أ حلال وتجديد خزان الحريق "/>
    <s v="تم العمل"/>
    <d v="1899-12-30T10:00:00"/>
    <d v="1899-12-30T17:00:00"/>
    <n v="0.29166666666666669"/>
    <s v="المخزن القديم "/>
    <n v="7"/>
    <m/>
    <m/>
    <x v="13"/>
    <n v="5"/>
    <m/>
    <m/>
    <m/>
    <m/>
    <m/>
    <m/>
    <m/>
    <m/>
    <m/>
    <m/>
  </r>
  <r>
    <d v="2024-10-01T00:00:00"/>
    <d v="2024-10-19T00:00:00"/>
    <s v="السبت "/>
    <s v="شركة شلاندر "/>
    <s v="انس احمد  "/>
    <s v="صيانة اسانسير"/>
    <s v="تم العمل"/>
    <d v="1899-12-30T10:00:00"/>
    <d v="1899-12-30T17:00:00"/>
    <n v="0.29166666666666669"/>
    <s v="المخزن الجديد "/>
    <n v="7"/>
    <m/>
    <m/>
    <x v="10"/>
    <n v="5"/>
    <m/>
    <m/>
    <m/>
    <m/>
    <m/>
    <m/>
    <m/>
    <m/>
    <m/>
    <m/>
  </r>
  <r>
    <d v="2024-10-01T00:00:00"/>
    <d v="2024-10-19T00:00:00"/>
    <s v="السبت "/>
    <s v="شركة فودافون "/>
    <s v="سعيد محمد "/>
    <s v="انشائات   "/>
    <s v="تم العمل"/>
    <d v="1899-12-30T11:00:00"/>
    <d v="1899-12-30T14:00:00"/>
    <n v="0.12500000000000006"/>
    <s v="البرج"/>
    <n v="3.0000000000000013"/>
    <m/>
    <m/>
    <x v="3"/>
    <n v="5"/>
    <m/>
    <m/>
    <m/>
    <m/>
    <m/>
    <m/>
    <m/>
    <m/>
    <m/>
    <m/>
  </r>
  <r>
    <d v="2024-10-01T00:00:00"/>
    <d v="2024-10-19T00:00:00"/>
    <s v="السبت "/>
    <s v="شركة اوزوريون "/>
    <s v="محمد زنفل  "/>
    <s v="انشائات   "/>
    <s v="تم العمل"/>
    <d v="1899-12-30T10:00:00"/>
    <d v="1899-12-30T17:30:00"/>
    <n v="0.31249999999999994"/>
    <s v="البرج"/>
    <n v="7.4999999999999982"/>
    <m/>
    <m/>
    <x v="3"/>
    <n v="5"/>
    <m/>
    <m/>
    <m/>
    <m/>
    <m/>
    <m/>
    <m/>
    <m/>
    <m/>
    <m/>
  </r>
  <r>
    <d v="2024-10-01T00:00:00"/>
    <d v="2024-10-20T00:00:00"/>
    <s v="الاحد "/>
    <s v="شركة NCR"/>
    <s v="احمد عادل "/>
    <s v="صيانة ماكينة ATM   "/>
    <s v="تم العمل"/>
    <d v="1899-12-30T14:30:00"/>
    <d v="1899-12-30T15:00:00"/>
    <n v="2.083333333333337E-2"/>
    <s v="المطابع "/>
    <n v="0.50000000000000089"/>
    <m/>
    <m/>
    <x v="0"/>
    <n v="5"/>
    <m/>
    <m/>
    <m/>
    <m/>
    <m/>
    <m/>
    <m/>
    <m/>
    <m/>
    <m/>
  </r>
  <r>
    <d v="2024-10-01T00:00:00"/>
    <d v="2024-10-20T00:00:00"/>
    <s v="الاحد "/>
    <s v="القطاع الهندسى "/>
    <s v="صابر ابراهيم "/>
    <s v="لحامات بأعمدة المخازن "/>
    <s v="تم العمل"/>
    <d v="1899-12-30T11:00:00"/>
    <d v="1899-12-30T17:00:00"/>
    <n v="0.25000000000000006"/>
    <s v="المخزن القديم "/>
    <n v="6.0000000000000018"/>
    <m/>
    <m/>
    <x v="14"/>
    <n v="5"/>
    <m/>
    <m/>
    <m/>
    <m/>
    <m/>
    <m/>
    <m/>
    <m/>
    <m/>
    <m/>
  </r>
  <r>
    <d v="2024-10-01T00:00:00"/>
    <d v="2024-10-20T00:00:00"/>
    <s v="الاحد "/>
    <s v="KUC  شركة "/>
    <s v="مصطفى نصار  "/>
    <s v="تركيبات "/>
    <s v="تم العمل"/>
    <d v="1899-12-30T14:30:00"/>
    <d v="1899-12-30T17:30:00"/>
    <n v="0.125"/>
    <s v="البرج"/>
    <n v="6.5"/>
    <m/>
    <m/>
    <x v="3"/>
    <n v="5"/>
    <m/>
    <m/>
    <m/>
    <m/>
    <m/>
    <m/>
    <m/>
    <m/>
    <m/>
    <m/>
  </r>
  <r>
    <d v="2024-10-01T00:00:00"/>
    <d v="2024-10-20T00:00:00"/>
    <s v="الاحد "/>
    <s v="شركة اوزوريون "/>
    <s v="محمد صلاح "/>
    <s v="استكمال العمل خزان الاطفاء     "/>
    <s v="تم العمل"/>
    <d v="1899-12-30T09:00:00"/>
    <d v="1899-12-30T16:00:00"/>
    <n v="0.29166666666666696"/>
    <s v="المخزن القديم "/>
    <n v="7.0000000000000071"/>
    <m/>
    <m/>
    <x v="14"/>
    <n v="5"/>
    <m/>
    <m/>
    <m/>
    <m/>
    <m/>
    <m/>
    <m/>
    <m/>
    <m/>
    <m/>
  </r>
  <r>
    <d v="2024-10-01T00:00:00"/>
    <d v="2024-10-20T00:00:00"/>
    <s v="الاحد "/>
    <s v="شركة اوزوريون "/>
    <s v="محمد زنفل  "/>
    <s v="انشائات   "/>
    <s v="تم العمل"/>
    <d v="1899-12-30T10:00:00"/>
    <d v="1899-12-30T18:00:00"/>
    <n v="0.33333333333333331"/>
    <s v="البرج"/>
    <n v="8"/>
    <m/>
    <m/>
    <x v="3"/>
    <n v="5"/>
    <m/>
    <m/>
    <m/>
    <m/>
    <m/>
    <m/>
    <m/>
    <m/>
    <m/>
    <m/>
  </r>
  <r>
    <d v="2024-10-01T00:00:00"/>
    <d v="2024-10-20T00:00:00"/>
    <s v="الاحد "/>
    <s v="الشؤون الادارية "/>
    <s v="محمود عويس "/>
    <s v="اصلاح الكولدير بالكفتريا    "/>
    <s v="تم العمل"/>
    <d v="1899-12-30T13:30:00"/>
    <d v="1899-12-30T14:00:00"/>
    <n v="2.083333333333337E-2"/>
    <s v="المخزن القديم "/>
    <n v="0.50000000000000089"/>
    <m/>
    <m/>
    <x v="14"/>
    <n v="5"/>
    <m/>
    <m/>
    <m/>
    <m/>
    <m/>
    <m/>
    <m/>
    <m/>
    <m/>
    <m/>
  </r>
  <r>
    <d v="2024-10-01T00:00:00"/>
    <d v="2024-10-20T00:00:00"/>
    <s v="الاحد "/>
    <s v="شركة لنك مصر "/>
    <s v="ابراهيم امين  "/>
    <s v="تركيب راكات "/>
    <s v="تم العمل"/>
    <d v="1899-12-30T10:00:00"/>
    <d v="1899-12-30T16:00:00"/>
    <n v="0.24999999999999994"/>
    <s v="المخزن الجديد "/>
    <n v="5.9999999999999982"/>
    <m/>
    <m/>
    <x v="10"/>
    <n v="5"/>
    <m/>
    <m/>
    <m/>
    <m/>
    <m/>
    <m/>
    <m/>
    <m/>
    <m/>
    <m/>
  </r>
  <r>
    <d v="2024-10-01T00:00:00"/>
    <d v="2024-10-21T00:00:00"/>
    <s v="الاثنين "/>
    <s v="شركة الهدى "/>
    <s v="اسلام مصطفى    "/>
    <s v="صيانة ماكينة CTP"/>
    <s v="تم العمل"/>
    <d v="1899-12-30T12:00:00"/>
    <d v="1899-12-30T17:30:00"/>
    <n v="0.22916666666666663"/>
    <s v="المطابع "/>
    <n v="5.4999999999999991"/>
    <m/>
    <m/>
    <x v="10"/>
    <n v="5"/>
    <m/>
    <m/>
    <m/>
    <m/>
    <m/>
    <m/>
    <m/>
    <m/>
    <m/>
    <m/>
  </r>
  <r>
    <d v="2024-10-01T00:00:00"/>
    <d v="2024-10-21T00:00:00"/>
    <s v="الاثنين "/>
    <s v="شركة اوزوريون "/>
    <s v="محمد زنفل  "/>
    <s v="انشائات   "/>
    <s v="تم العمل"/>
    <d v="1899-12-30T10:00:00"/>
    <d v="1899-12-30T17:30:00"/>
    <n v="0.31249999999999994"/>
    <s v="البرج"/>
    <n v="7.4999999999999982"/>
    <m/>
    <m/>
    <x v="3"/>
    <n v="5"/>
    <m/>
    <m/>
    <m/>
    <m/>
    <m/>
    <m/>
    <m/>
    <m/>
    <m/>
    <m/>
  </r>
  <r>
    <d v="2024-10-01T00:00:00"/>
    <d v="2024-10-21T00:00:00"/>
    <s v="الاثنين "/>
    <s v="شركة لنك مصر "/>
    <s v="صالح رمضان"/>
    <s v="تركيب راكات "/>
    <s v="تم العمل"/>
    <d v="1899-12-30T10:00:00"/>
    <d v="1899-12-30T16:00:00"/>
    <n v="0.24999999999999994"/>
    <s v="المخزن الجديد "/>
    <n v="5.9999999999999982"/>
    <m/>
    <m/>
    <x v="9"/>
    <n v="5"/>
    <m/>
    <m/>
    <m/>
    <m/>
    <m/>
    <m/>
    <m/>
    <m/>
    <m/>
    <m/>
  </r>
  <r>
    <d v="2024-10-01T00:00:00"/>
    <d v="2024-10-21T00:00:00"/>
    <s v="الاثنين "/>
    <s v="شركة اوزوريون "/>
    <s v="محمد صلاح "/>
    <s v="استكمال اعمال خزان الاطفاء "/>
    <s v="تم العمل"/>
    <d v="1899-12-30T09:00:00"/>
    <d v="1899-12-30T16:00:00"/>
    <n v="0.29166666666666663"/>
    <s v="المخزن القديم "/>
    <n v="6.9999999999999991"/>
    <m/>
    <m/>
    <x v="13"/>
    <n v="5"/>
    <m/>
    <m/>
    <m/>
    <m/>
    <m/>
    <m/>
    <m/>
    <m/>
    <m/>
    <m/>
  </r>
  <r>
    <d v="2024-10-01T00:00:00"/>
    <d v="2024-10-21T00:00:00"/>
    <s v="الاثنين "/>
    <s v="الشركة المصرية "/>
    <s v="علاء احمد "/>
    <s v="صيانة    "/>
    <s v="تم العمل"/>
    <d v="1899-12-30T09:30:00"/>
    <d v="1899-12-30T11:30:00"/>
    <n v="8.333333333333337E-2"/>
    <s v="البرج"/>
    <n v="2.0000000000000009"/>
    <m/>
    <m/>
    <x v="3"/>
    <n v="5"/>
    <m/>
    <m/>
    <m/>
    <m/>
    <m/>
    <m/>
    <m/>
    <m/>
    <m/>
    <m/>
  </r>
  <r>
    <d v="2024-10-01T00:00:00"/>
    <d v="2024-10-22T00:00:00"/>
    <s v="الثلاثاء "/>
    <s v="شركة اوزوريون "/>
    <s v="محمد زنفل  "/>
    <s v="انشائات   "/>
    <s v="تم العمل"/>
    <d v="1899-12-30T10:00:00"/>
    <d v="1899-12-30T18:30:00"/>
    <n v="0.35416666666666669"/>
    <s v="البرج"/>
    <n v="8.5"/>
    <m/>
    <m/>
    <x v="3"/>
    <n v="5"/>
    <m/>
    <m/>
    <m/>
    <m/>
    <m/>
    <m/>
    <m/>
    <m/>
    <m/>
    <m/>
  </r>
  <r>
    <d v="2024-10-01T00:00:00"/>
    <d v="2024-10-22T00:00:00"/>
    <s v="الثلاثاء "/>
    <s v="شركة اوزوريون "/>
    <s v="مراد صالح  "/>
    <s v="استكمال اعمال خزان الاطفاء "/>
    <s v="تم العمل"/>
    <d v="1899-12-30T09:00:00"/>
    <d v="1899-12-30T16:00:00"/>
    <n v="0.29166666666666663"/>
    <s v="المخزن القديم "/>
    <n v="6.9999999999999991"/>
    <m/>
    <m/>
    <x v="13"/>
    <n v="5"/>
    <m/>
    <m/>
    <m/>
    <m/>
    <m/>
    <m/>
    <m/>
    <m/>
    <m/>
    <m/>
  </r>
  <r>
    <d v="2024-10-01T00:00:00"/>
    <d v="2024-10-22T00:00:00"/>
    <s v="الثلاثاء "/>
    <s v="القطاع الهندسى "/>
    <s v="محمد حسين "/>
    <s v="تغيير كشافات عنبر ويب 3"/>
    <s v="تم العمل"/>
    <d v="1899-12-30T14:30:00"/>
    <d v="1899-12-30T15:30:00"/>
    <n v="4.1666666666666741E-2"/>
    <s v="المطابع "/>
    <n v="1.0000000000000018"/>
    <m/>
    <m/>
    <x v="14"/>
    <n v="5"/>
    <m/>
    <m/>
    <m/>
    <m/>
    <m/>
    <m/>
    <m/>
    <m/>
    <m/>
    <m/>
  </r>
  <r>
    <d v="2024-10-01T00:00:00"/>
    <d v="2024-10-22T00:00:00"/>
    <s v="الثلاثاء "/>
    <s v="شركة لنك مصر "/>
    <s v="ابراهيم امين  "/>
    <s v="تركيب راكات "/>
    <s v="تم العمل"/>
    <d v="1899-12-30T10:00:00"/>
    <d v="1899-12-30T15:00:00"/>
    <n v="0.20833333333333331"/>
    <s v="المخزن الجديد "/>
    <n v="5"/>
    <m/>
    <m/>
    <x v="1"/>
    <n v="5"/>
    <m/>
    <m/>
    <m/>
    <m/>
    <m/>
    <m/>
    <m/>
    <m/>
    <m/>
    <m/>
  </r>
  <r>
    <d v="2024-10-01T00:00:00"/>
    <d v="2024-10-22T00:00:00"/>
    <s v="الثلاثاء "/>
    <s v="الشؤون الادارية "/>
    <s v="احمد حسين "/>
    <s v="تعديل وصيانة الكهرباء السلسيون "/>
    <s v="تم العمل"/>
    <d v="1899-12-30T12:30:00"/>
    <d v="1899-12-30T17:00:00"/>
    <n v="0.1875"/>
    <s v="الفجالة"/>
    <n v="4.5"/>
    <m/>
    <m/>
    <x v="11"/>
    <n v="5"/>
    <m/>
    <m/>
    <m/>
    <m/>
    <m/>
    <m/>
    <m/>
    <m/>
    <m/>
    <m/>
  </r>
  <r>
    <d v="2024-10-01T00:00:00"/>
    <d v="2024-10-23T00:00:00"/>
    <s v="الاربعاء "/>
    <s v="شركة اوزوريون "/>
    <s v="محمد زنفل  "/>
    <s v="انشائات   "/>
    <s v="تم العمل"/>
    <d v="1899-12-30T09:30:00"/>
    <d v="1899-12-30T17:30:00"/>
    <n v="0.33333333333333331"/>
    <s v="البرج"/>
    <n v="8"/>
    <m/>
    <m/>
    <x v="3"/>
    <n v="5"/>
    <m/>
    <m/>
    <m/>
    <m/>
    <m/>
    <m/>
    <m/>
    <m/>
    <m/>
    <m/>
  </r>
  <r>
    <d v="2024-10-01T00:00:00"/>
    <d v="2024-10-23T00:00:00"/>
    <s v="الاربعاء "/>
    <s v="مالك المخزن "/>
    <s v="فيكتور لوندي"/>
    <s v="صيانة غرفة الطلمبات  "/>
    <s v="تم العمل"/>
    <d v="1899-12-30T10:00:00"/>
    <d v="1899-12-30T17:00:00"/>
    <n v="0.29166666666666669"/>
    <s v="مخزن الوزارة"/>
    <n v="7"/>
    <m/>
    <m/>
    <x v="10"/>
    <n v="5"/>
    <m/>
    <m/>
    <m/>
    <m/>
    <m/>
    <m/>
    <m/>
    <m/>
    <m/>
    <m/>
  </r>
  <r>
    <d v="2024-10-01T00:00:00"/>
    <d v="2024-10-23T00:00:00"/>
    <s v="الاربعاء "/>
    <s v="شركة لنك مصر "/>
    <s v="ابراهيم امين  "/>
    <s v="تركيب راكات "/>
    <s v="تم العمل"/>
    <d v="1899-12-30T10:00:00"/>
    <d v="1899-12-30T15:00:00"/>
    <n v="0.20833333333333331"/>
    <s v="المخزن الجديد "/>
    <n v="5"/>
    <m/>
    <m/>
    <x v="1"/>
    <n v="5"/>
    <m/>
    <m/>
    <m/>
    <m/>
    <m/>
    <m/>
    <m/>
    <m/>
    <m/>
    <m/>
  </r>
  <r>
    <d v="2024-10-01T00:00:00"/>
    <d v="2024-10-23T00:00:00"/>
    <s v="الاربعاء "/>
    <s v="شركة الهدى "/>
    <s v="اسلام مصطفى    "/>
    <s v="صيانة ماكينة CTP"/>
    <s v="تم العمل"/>
    <d v="1899-12-30T13:00:00"/>
    <d v="1899-12-30T15:00:00"/>
    <n v="8.333333333333337E-2"/>
    <s v="المطابع "/>
    <n v="2.0000000000000009"/>
    <m/>
    <m/>
    <x v="14"/>
    <n v="5"/>
    <m/>
    <m/>
    <m/>
    <m/>
    <m/>
    <m/>
    <m/>
    <m/>
    <m/>
    <m/>
  </r>
  <r>
    <d v="2024-10-01T00:00:00"/>
    <d v="2024-10-24T00:00:00"/>
    <s v="الخميس "/>
    <s v="شركة اوزوريون "/>
    <s v="محمد زنفل  "/>
    <s v="انشائات   "/>
    <s v="تم العمل"/>
    <d v="1899-12-30T10:00:00"/>
    <d v="1899-12-30T18:00:00"/>
    <n v="0.33333333333333331"/>
    <s v="البرج"/>
    <n v="8"/>
    <m/>
    <m/>
    <x v="3"/>
    <n v="5"/>
    <m/>
    <m/>
    <m/>
    <m/>
    <m/>
    <m/>
    <m/>
    <m/>
    <m/>
    <m/>
  </r>
  <r>
    <d v="2024-10-01T00:00:00"/>
    <d v="2024-10-24T00:00:00"/>
    <s v="الخميس "/>
    <s v="مالك المخزن "/>
    <s v="فيكتور لوندي"/>
    <s v="صيانة غرفة الطلمبات  "/>
    <s v="تم العمل"/>
    <d v="1899-12-30T09:30:00"/>
    <d v="1899-12-30T14:00:00"/>
    <n v="0.18750000000000006"/>
    <s v="مخزن الوزارة"/>
    <n v="4.5000000000000018"/>
    <m/>
    <m/>
    <x v="10"/>
    <n v="5"/>
    <m/>
    <m/>
    <m/>
    <m/>
    <m/>
    <m/>
    <m/>
    <m/>
    <m/>
    <m/>
  </r>
  <r>
    <d v="2024-10-01T00:00:00"/>
    <d v="2024-10-26T00:00:00"/>
    <s v="السبت "/>
    <s v="شركة اوزوريون "/>
    <s v="محمد زنفل  "/>
    <s v="اعمال سباكة "/>
    <s v="تم العمل"/>
    <d v="1899-12-30T10:00:00"/>
    <d v="1899-12-30T18:00:00"/>
    <n v="0.33333333333333331"/>
    <s v="البرج"/>
    <n v="8"/>
    <m/>
    <m/>
    <x v="10"/>
    <n v="5"/>
    <m/>
    <m/>
    <m/>
    <m/>
    <m/>
    <m/>
    <m/>
    <m/>
    <m/>
    <m/>
  </r>
  <r>
    <d v="2024-10-01T00:00:00"/>
    <d v="2024-10-26T00:00:00"/>
    <s v="السبت "/>
    <s v="شركة لنك مصر "/>
    <s v="ابراهيم امين  "/>
    <s v="تركيب راكات "/>
    <s v="تم العمل"/>
    <d v="1899-12-30T10:00:00"/>
    <d v="1899-12-30T15:00:00"/>
    <n v="0.20833333333333331"/>
    <s v="المخزن الجديد "/>
    <n v="5"/>
    <m/>
    <m/>
    <x v="14"/>
    <n v="5"/>
    <m/>
    <m/>
    <m/>
    <m/>
    <m/>
    <m/>
    <m/>
    <m/>
    <m/>
    <m/>
  </r>
  <r>
    <d v="2024-10-01T00:00:00"/>
    <d v="2024-10-27T00:00:00"/>
    <s v="الاحد "/>
    <s v="شركة اوزوريون "/>
    <s v="محمد زنفل  "/>
    <s v="اعمال دهانات"/>
    <s v="تم العمل"/>
    <d v="1899-12-30T10:00:00"/>
    <d v="1899-12-30T18:00:00"/>
    <n v="0.33333333333333331"/>
    <s v="البرج"/>
    <n v="8"/>
    <m/>
    <m/>
    <x v="10"/>
    <n v="5"/>
    <m/>
    <m/>
    <m/>
    <m/>
    <m/>
    <m/>
    <m/>
    <m/>
    <m/>
    <m/>
  </r>
  <r>
    <d v="2024-10-01T00:00:00"/>
    <d v="2024-10-27T00:00:00"/>
    <s v="الاحد "/>
    <s v="شركة اوزوريون "/>
    <s v="محمد صلاح "/>
    <s v="استكمال اعمال خزان الاطفاء "/>
    <s v="تم العمل"/>
    <d v="1899-12-30T09:00:00"/>
    <d v="1899-12-30T16:00:00"/>
    <n v="0.29166666666666663"/>
    <s v="المخزن القديم "/>
    <n v="6.9999999999999991"/>
    <m/>
    <m/>
    <x v="9"/>
    <n v="5"/>
    <m/>
    <m/>
    <m/>
    <m/>
    <m/>
    <m/>
    <m/>
    <m/>
    <m/>
    <m/>
  </r>
  <r>
    <d v="2024-10-01T00:00:00"/>
    <d v="2024-10-27T00:00:00"/>
    <s v="الاحد "/>
    <s v="شركة لنك مصر "/>
    <s v="ابراهيم امين  "/>
    <s v="تركيب راكات "/>
    <s v="تم العمل"/>
    <d v="1899-12-30T10:00:00"/>
    <d v="1899-12-30T13:00:00"/>
    <n v="0.12499999999999994"/>
    <s v="المخزن الجديد "/>
    <n v="2.9999999999999987"/>
    <m/>
    <m/>
    <x v="1"/>
    <n v="5"/>
    <m/>
    <m/>
    <m/>
    <m/>
    <m/>
    <m/>
    <m/>
    <m/>
    <m/>
    <m/>
  </r>
  <r>
    <d v="2024-10-01T00:00:00"/>
    <d v="2024-10-28T00:00:00"/>
    <s v="الاثنين "/>
    <s v="شركة اوزوريون "/>
    <s v="محمد زنفل  "/>
    <s v="اعمال دهانات"/>
    <s v="تم العمل"/>
    <d v="1899-12-30T10:00:00"/>
    <d v="1899-12-30T18:00:00"/>
    <n v="0.33333333333333331"/>
    <s v="البرج"/>
    <n v="8"/>
    <m/>
    <m/>
    <x v="10"/>
    <n v="3"/>
    <s v="ناقص توقيعات  وعدم غلق التصريح "/>
    <m/>
    <m/>
    <m/>
    <m/>
    <m/>
    <m/>
    <m/>
    <m/>
    <m/>
  </r>
  <r>
    <d v="2024-10-01T00:00:00"/>
    <d v="2024-10-28T00:00:00"/>
    <s v="الاثنين "/>
    <s v="الشركة الالمانية "/>
    <s v="اسلام ابراهيم "/>
    <s v="رش مبيت الامن وغرفة حركة النقل "/>
    <s v="تم العمل"/>
    <d v="1899-12-30T10:00:00"/>
    <d v="1899-12-30T12:00:00"/>
    <n v="8.3333333333333315E-2"/>
    <s v="المطابع "/>
    <n v="1.9999999999999996"/>
    <m/>
    <m/>
    <x v="4"/>
    <n v="5"/>
    <m/>
    <m/>
    <m/>
    <m/>
    <m/>
    <m/>
    <m/>
    <m/>
    <m/>
    <m/>
  </r>
  <r>
    <d v="2024-10-01T00:00:00"/>
    <d v="2024-10-28T00:00:00"/>
    <s v="الاثنين "/>
    <s v="مالك المخزن "/>
    <s v="فيكتور لوندي"/>
    <s v="صيانة غرفة الطلمبات  "/>
    <s v="تم العمل"/>
    <d v="1899-12-30T10:00:00"/>
    <d v="1899-12-30T16:00:00"/>
    <n v="0.24999999999999994"/>
    <s v="مخزن الوزارة"/>
    <n v="5.9999999999999982"/>
    <m/>
    <m/>
    <x v="6"/>
    <n v="5"/>
    <m/>
    <m/>
    <m/>
    <m/>
    <m/>
    <m/>
    <m/>
    <m/>
    <m/>
    <m/>
  </r>
  <r>
    <d v="2024-10-01T00:00:00"/>
    <d v="2024-10-29T00:00:00"/>
    <s v="الثلاثاء "/>
    <s v="شركة اوزوريون "/>
    <s v="محمد زنفل  "/>
    <s v="اعمال دهانات"/>
    <s v="تم العمل"/>
    <d v="1899-12-30T10:00:00"/>
    <d v="1899-12-30T18:00:00"/>
    <n v="0.33333333333333331"/>
    <s v="البرج"/>
    <n v="8"/>
    <m/>
    <m/>
    <x v="10"/>
    <n v="5"/>
    <m/>
    <m/>
    <m/>
    <m/>
    <m/>
    <m/>
    <m/>
    <m/>
    <m/>
    <m/>
  </r>
  <r>
    <d v="2024-10-01T00:00:00"/>
    <d v="2024-10-29T00:00:00"/>
    <s v="الثلاثاء "/>
    <s v="الشركة الالمانية "/>
    <s v=" اسلام ابراهيم "/>
    <s v="الزيارة الشهرية ومكافحة الحشرات "/>
    <s v="تم العمل"/>
    <d v="1899-12-30T13:00:00"/>
    <d v="1899-12-30T17:00:00"/>
    <n v="0.16666666666666674"/>
    <s v="المطابع "/>
    <n v="4.0000000000000018"/>
    <m/>
    <m/>
    <x v="6"/>
    <n v="5"/>
    <m/>
    <m/>
    <m/>
    <m/>
    <m/>
    <m/>
    <m/>
    <m/>
    <m/>
    <m/>
  </r>
  <r>
    <d v="2024-10-01T00:00:00"/>
    <d v="2024-10-29T00:00:00"/>
    <s v="الثلاثاء "/>
    <s v="شركة كايرو تريد "/>
    <s v="محمود الشحات "/>
    <s v="صيانة شبكة الانزار "/>
    <s v="تم العمل"/>
    <d v="1899-12-30T13:00:00"/>
    <d v="1899-12-30T18:00:00"/>
    <n v="0.20833333333333337"/>
    <s v="البرج"/>
    <n v="5.0000000000000009"/>
    <m/>
    <m/>
    <x v="10"/>
    <n v="5"/>
    <m/>
    <m/>
    <m/>
    <m/>
    <m/>
    <m/>
    <m/>
    <m/>
    <m/>
    <m/>
  </r>
  <r>
    <d v="2024-10-01T00:00:00"/>
    <d v="2024-10-29T00:00:00"/>
    <s v="الثلاثاء "/>
    <s v="شركة اوزوريون "/>
    <s v="محمد صلاح "/>
    <s v="استكمال اعمال خزان الاطفاء "/>
    <s v="تم العمل"/>
    <d v="1899-12-30T09:00:00"/>
    <d v="1899-12-30T16:00:00"/>
    <n v="0.29166666666666663"/>
    <s v="المخزن القديم "/>
    <n v="6.9999999999999991"/>
    <m/>
    <m/>
    <x v="9"/>
    <n v="3"/>
    <s v="ناقص توقيعات  وعدم غلق التصريح "/>
    <m/>
    <m/>
    <m/>
    <m/>
    <m/>
    <m/>
    <m/>
    <m/>
    <m/>
  </r>
  <r>
    <d v="2024-10-01T00:00:00"/>
    <d v="2024-10-29T00:00:00"/>
    <s v="الثلاثاء "/>
    <s v="القطاع الهندسى "/>
    <s v="صابر ابراهيم "/>
    <s v="تركيب زوى حديدبأعمدة المخازن "/>
    <s v="تم العمل"/>
    <d v="1899-12-30T12:00:00"/>
    <d v="1899-12-30T17:00:00"/>
    <n v="0.20833333333333337"/>
    <s v="المخزن القديم "/>
    <n v="5.0000000000000009"/>
    <m/>
    <m/>
    <x v="9"/>
    <n v="2"/>
    <s v="ناقص توقيعات  وعدم غلق التصريح "/>
    <m/>
    <m/>
    <m/>
    <m/>
    <m/>
    <m/>
    <m/>
    <m/>
    <m/>
  </r>
  <r>
    <d v="2024-10-01T00:00:00"/>
    <d v="2024-10-29T00:00:00"/>
    <s v="الثلاثاء "/>
    <s v="بازان "/>
    <s v="اسامة ابراهيم "/>
    <s v="اعمال تركيبات كهرباء"/>
    <s v="تم العمل"/>
    <d v="1899-12-30T11:00:00"/>
    <d v="1899-12-30T15:00:00"/>
    <n v="0.16666666666666669"/>
    <s v="المخزن الجديد "/>
    <n v="4"/>
    <m/>
    <m/>
    <x v="14"/>
    <n v="5"/>
    <s v=" "/>
    <m/>
    <m/>
    <m/>
    <m/>
    <m/>
    <m/>
    <m/>
    <m/>
    <m/>
  </r>
  <r>
    <d v="2024-10-01T00:00:00"/>
    <d v="2024-10-30T00:00:00"/>
    <s v="الاربعاء "/>
    <s v="شركة وان كونكت"/>
    <s v="محمد منير"/>
    <s v="صيانة سماعات المسجد"/>
    <s v="تم العمل"/>
    <d v="1899-12-30T11:00:00"/>
    <d v="1899-12-30T14:00:00"/>
    <n v="0.12500000000000006"/>
    <s v="المطابع "/>
    <n v="3.0000000000000013"/>
    <m/>
    <m/>
    <x v="6"/>
    <n v="5"/>
    <m/>
    <m/>
    <m/>
    <m/>
    <m/>
    <m/>
    <m/>
    <m/>
    <m/>
    <m/>
  </r>
  <r>
    <d v="2024-11-01T00:00:00"/>
    <d v="2024-11-01T00:00:00"/>
    <s v="الجمعة "/>
    <s v="الشؤون الادارية "/>
    <s v="محمد ابوسريع"/>
    <s v="اعمال محارة وبناء "/>
    <s v="تم العمل"/>
    <d v="1899-12-30T10:00:00"/>
    <d v="1899-12-30T17:00:00"/>
    <n v="0.29166666666666635"/>
    <s v="المخزن القديم "/>
    <n v="6.9999999999999929"/>
    <m/>
    <m/>
    <x v="1"/>
    <n v="5"/>
    <m/>
    <m/>
    <m/>
    <m/>
    <m/>
    <m/>
    <m/>
    <m/>
    <m/>
    <m/>
  </r>
  <r>
    <d v="2024-11-01T00:00:00"/>
    <d v="2024-11-02T00:00:00"/>
    <s v="السبت "/>
    <s v="شركة اوزوريون "/>
    <s v="محمد صلاح "/>
    <s v="استكمال اعمال خزان الاطفاء "/>
    <s v="تم العمل"/>
    <d v="1899-12-30T08:00:00"/>
    <d v="1899-12-30T17:00:00"/>
    <n v="0.37499999999999972"/>
    <s v="المخزن القديم "/>
    <n v="8.9999999999999929"/>
    <m/>
    <m/>
    <x v="9"/>
    <n v="5"/>
    <m/>
    <m/>
    <m/>
    <m/>
    <m/>
    <m/>
    <m/>
    <m/>
    <m/>
    <m/>
  </r>
  <r>
    <d v="2024-11-01T00:00:00"/>
    <d v="2024-11-02T00:00:00"/>
    <s v="السبت "/>
    <s v="شركة فودافون "/>
    <s v="سعيد محمد "/>
    <s v="صيانة شبكة فودافون "/>
    <s v="تم العمل"/>
    <d v="1899-12-30T09:30:00"/>
    <d v="1899-12-30T18:00:00"/>
    <n v="0.35416666666666669"/>
    <s v="البرج"/>
    <n v="8.5"/>
    <m/>
    <m/>
    <x v="3"/>
    <n v="5"/>
    <m/>
    <m/>
    <m/>
    <m/>
    <m/>
    <m/>
    <m/>
    <m/>
    <m/>
    <m/>
  </r>
  <r>
    <d v="2024-11-01T00:00:00"/>
    <d v="2024-11-02T00:00:00"/>
    <s v="السبت "/>
    <s v="شركة اوزوريون "/>
    <s v="محمد زنفل  "/>
    <s v="اعمال تركيب تريهات "/>
    <s v="تم العمل"/>
    <d v="1899-12-30T10:00:00"/>
    <d v="1899-12-30T18:00:00"/>
    <n v="0.33333333333333331"/>
    <s v="البرج"/>
    <n v="8"/>
    <m/>
    <m/>
    <x v="10"/>
    <n v="5"/>
    <m/>
    <m/>
    <m/>
    <m/>
    <m/>
    <m/>
    <m/>
    <m/>
    <m/>
    <m/>
  </r>
  <r>
    <d v="2024-11-01T00:00:00"/>
    <d v="2024-11-02T00:00:00"/>
    <s v="السبت "/>
    <s v="شركة بروفيشنال "/>
    <s v="ضياء عبد الله  "/>
    <s v="تركيب كاميرات "/>
    <s v="تم العمل"/>
    <d v="1899-12-30T10:00:00"/>
    <d v="1899-12-30T18:00:00"/>
    <n v="0.33333333333333331"/>
    <s v="البرج"/>
    <n v="8"/>
    <m/>
    <m/>
    <x v="10"/>
    <n v="5"/>
    <m/>
    <m/>
    <m/>
    <m/>
    <m/>
    <m/>
    <m/>
    <m/>
    <m/>
    <m/>
  </r>
  <r>
    <d v="2024-11-01T00:00:00"/>
    <d v="2024-11-02T00:00:00"/>
    <s v="السبت "/>
    <s v="شركة اوزوريون "/>
    <s v="محمد زنفل  "/>
    <s v="اعمال دهانات"/>
    <s v="تم العمل"/>
    <d v="1899-12-30T10:00:00"/>
    <d v="1899-12-30T18:00:00"/>
    <n v="0.33333333333333331"/>
    <s v="البرج"/>
    <n v="8"/>
    <m/>
    <m/>
    <x v="10"/>
    <n v="5"/>
    <m/>
    <m/>
    <m/>
    <m/>
    <m/>
    <m/>
    <m/>
    <m/>
    <m/>
    <m/>
  </r>
  <r>
    <d v="2024-11-01T00:00:00"/>
    <d v="2024-11-02T00:00:00"/>
    <s v="السبت "/>
    <s v="شركة اون فانك "/>
    <s v="عبد الرحمن عامر "/>
    <s v="صيانة سيور "/>
    <s v="تم العمل"/>
    <d v="1899-12-30T11:00:00"/>
    <d v="1899-12-30T15:00:00"/>
    <n v="0.16666666666666669"/>
    <s v="المطابع "/>
    <n v="4"/>
    <m/>
    <m/>
    <x v="7"/>
    <n v="5"/>
    <m/>
    <m/>
    <m/>
    <m/>
    <m/>
    <m/>
    <m/>
    <m/>
    <m/>
    <m/>
  </r>
  <r>
    <d v="2024-11-01T00:00:00"/>
    <d v="2024-11-02T00:00:00"/>
    <s v="السبت "/>
    <s v="KUC  شركة "/>
    <s v="مصطفى محمد "/>
    <s v="تركيبات "/>
    <s v="تم العمل"/>
    <d v="1899-12-30T11:00:00"/>
    <d v="1899-12-30T20:00:00"/>
    <n v="0.37500000000000006"/>
    <s v="المطابع "/>
    <n v="9.0000000000000018"/>
    <m/>
    <m/>
    <x v="7"/>
    <n v="5"/>
    <m/>
    <m/>
    <m/>
    <m/>
    <m/>
    <m/>
    <m/>
    <m/>
    <m/>
    <m/>
  </r>
  <r>
    <d v="2024-11-01T00:00:00"/>
    <d v="2024-11-03T00:00:00"/>
    <s v="الاحد "/>
    <s v="KUC  شركة "/>
    <s v="مصطفى محمد "/>
    <s v="تركيبات "/>
    <s v="تم العمل"/>
    <d v="1899-12-30T12:30:00"/>
    <d v="1899-12-30T18:30:00"/>
    <n v="0.25"/>
    <s v="الفجالة"/>
    <n v="6"/>
    <m/>
    <m/>
    <x v="11"/>
    <n v="5"/>
    <m/>
    <m/>
    <m/>
    <m/>
    <m/>
    <m/>
    <m/>
    <m/>
    <m/>
    <m/>
  </r>
  <r>
    <d v="2024-11-01T00:00:00"/>
    <d v="2024-11-03T00:00:00"/>
    <s v="الاحد "/>
    <s v="شركة الهدى "/>
    <s v="اسلام مصطفى    "/>
    <s v="صيانة ماكينة CTP"/>
    <s v="تم العمل"/>
    <d v="1899-12-30T12:30:00"/>
    <d v="1899-12-30T16:00:00"/>
    <n v="0.14583333333333326"/>
    <s v="المطابع "/>
    <n v="3.4999999999999982"/>
    <m/>
    <m/>
    <x v="14"/>
    <n v="5"/>
    <m/>
    <m/>
    <m/>
    <m/>
    <m/>
    <m/>
    <m/>
    <m/>
    <m/>
    <m/>
  </r>
  <r>
    <d v="2024-11-01T00:00:00"/>
    <d v="2024-11-03T00:00:00"/>
    <s v="الاحد "/>
    <s v="شركة اوزوريون "/>
    <s v="محمد صلاح "/>
    <s v="استكمال اعمال خزان الاطفاء "/>
    <s v="تم العمل"/>
    <d v="1899-12-30T08:00:00"/>
    <d v="1899-12-30T16:00:00"/>
    <n v="0.33333333333333331"/>
    <s v="المخزن القديم "/>
    <n v="8"/>
    <m/>
    <m/>
    <x v="9"/>
    <n v="5"/>
    <m/>
    <m/>
    <m/>
    <m/>
    <m/>
    <m/>
    <m/>
    <m/>
    <m/>
    <m/>
  </r>
  <r>
    <d v="2024-11-01T00:00:00"/>
    <d v="2024-11-04T00:00:00"/>
    <s v="الاثنين "/>
    <s v="شركة اوزوريون "/>
    <s v="محمد زنفل  "/>
    <s v="اعمال دهانات"/>
    <s v="تم العمل"/>
    <d v="1899-12-30T10:00:00"/>
    <d v="1899-12-30T18:00:00"/>
    <n v="0.33333333333333331"/>
    <s v="البرج"/>
    <n v="8"/>
    <m/>
    <m/>
    <x v="10"/>
    <n v="5"/>
    <m/>
    <m/>
    <m/>
    <m/>
    <m/>
    <m/>
    <m/>
    <m/>
    <m/>
    <m/>
  </r>
  <r>
    <d v="2024-11-01T00:00:00"/>
    <d v="2024-11-04T00:00:00"/>
    <s v="الاثنين "/>
    <s v="شركة اوزوريون "/>
    <s v="محمد صلاح "/>
    <s v="استكمال اعمال خزان الاطفاء "/>
    <s v="تم العمل"/>
    <d v="1899-12-30T08:00:00"/>
    <d v="1899-12-30T16:00:00"/>
    <n v="0.33333333333333331"/>
    <s v="المخزن القديم "/>
    <n v="8"/>
    <m/>
    <m/>
    <x v="9"/>
    <n v="5"/>
    <m/>
    <m/>
    <m/>
    <m/>
    <m/>
    <m/>
    <m/>
    <m/>
    <m/>
    <m/>
  </r>
  <r>
    <d v="2024-11-01T00:00:00"/>
    <d v="2024-11-04T00:00:00"/>
    <s v="الاثنين "/>
    <s v="الشؤون الادارية "/>
    <s v="احمد سعيد"/>
    <s v="أعمال سباكة "/>
    <s v="تم العمل"/>
    <d v="1899-12-30T01:00:00"/>
    <d v="1899-12-30T17:00:00"/>
    <n v="0.66666666666666674"/>
    <s v="المخزن الجديد "/>
    <n v="16"/>
    <m/>
    <m/>
    <x v="1"/>
    <n v="5"/>
    <m/>
    <m/>
    <m/>
    <m/>
    <m/>
    <m/>
    <m/>
    <m/>
    <m/>
    <m/>
  </r>
  <r>
    <d v="2024-11-01T00:00:00"/>
    <d v="2024-11-04T00:00:00"/>
    <s v="الاثنين "/>
    <s v="الشركة الالمانية "/>
    <s v="محمد ماهر "/>
    <s v="مكافحة الحشرات "/>
    <s v="تم العمل"/>
    <d v="1899-12-30T01:00:00"/>
    <d v="1899-12-30T15:00:00"/>
    <n v="0.58333333333333337"/>
    <s v="المخزن الجديد "/>
    <n v="14"/>
    <m/>
    <m/>
    <x v="1"/>
    <n v="5"/>
    <m/>
    <m/>
    <m/>
    <m/>
    <m/>
    <m/>
    <m/>
    <m/>
    <m/>
    <m/>
  </r>
  <r>
    <d v="2024-11-01T00:00:00"/>
    <d v="2024-11-04T00:00:00"/>
    <s v="الاثنين "/>
    <s v="شركة اوزوريون "/>
    <s v="احمد على "/>
    <s v="تركيب المونتال "/>
    <s v="تم العمل"/>
    <d v="1899-12-30T10:00:00"/>
    <d v="1899-12-30T16:00:00"/>
    <n v="0.24999999999999994"/>
    <s v="المخزن الجديد "/>
    <n v="5.9999999999999982"/>
    <m/>
    <m/>
    <x v="1"/>
    <n v="5"/>
    <m/>
    <m/>
    <m/>
    <m/>
    <m/>
    <m/>
    <m/>
    <m/>
    <m/>
    <m/>
  </r>
  <r>
    <d v="2024-11-01T00:00:00"/>
    <d v="2024-11-05T00:00:00"/>
    <s v="الثلاثاء "/>
    <s v="شركة اوزوريون "/>
    <s v="محمد صلاح "/>
    <s v="استكمال شد الخشب  لخزان الاطفاء "/>
    <s v="تم العمل"/>
    <d v="1899-12-30T08:00:00"/>
    <d v="1899-12-30T16:00:00"/>
    <n v="0.33333333333333331"/>
    <s v="المخزن القديم "/>
    <n v="8"/>
    <m/>
    <m/>
    <x v="9"/>
    <n v="5"/>
    <m/>
    <m/>
    <m/>
    <m/>
    <m/>
    <m/>
    <m/>
    <m/>
    <m/>
    <m/>
  </r>
  <r>
    <d v="2024-11-01T00:00:00"/>
    <d v="2024-11-05T00:00:00"/>
    <s v="الثلاثاء "/>
    <s v="شركة شلاندر "/>
    <s v="انس احمد  "/>
    <s v="تركيب  المصاعد "/>
    <s v="تم العمل"/>
    <d v="1899-12-30T10:00:00"/>
    <d v="1899-12-30T16:00:00"/>
    <n v="0.24999999999999994"/>
    <s v="المخزن الجديد "/>
    <n v="5.9999999999999982"/>
    <m/>
    <m/>
    <x v="1"/>
    <n v="5"/>
    <m/>
    <m/>
    <m/>
    <m/>
    <m/>
    <m/>
    <m/>
    <m/>
    <m/>
    <m/>
  </r>
  <r>
    <d v="2024-11-01T00:00:00"/>
    <d v="2024-11-05T00:00:00"/>
    <s v="الثلاثاء "/>
    <s v="شركة اوزوريون "/>
    <s v="محمد زنفل  "/>
    <s v="اعمال دهانات"/>
    <s v="تم العمل"/>
    <d v="1899-12-30T10:00:00"/>
    <d v="1899-12-30T18:00:00"/>
    <n v="0.33333333333333331"/>
    <s v="البرج"/>
    <n v="8"/>
    <m/>
    <m/>
    <x v="10"/>
    <n v="5"/>
    <m/>
    <m/>
    <m/>
    <m/>
    <m/>
    <m/>
    <m/>
    <m/>
    <m/>
    <m/>
  </r>
  <r>
    <d v="2024-11-01T00:00:00"/>
    <d v="2024-11-05T00:00:00"/>
    <s v="الثلاثاء "/>
    <s v="الشركة العالمية لاعمال الهندسية  "/>
    <s v="اسلام احمد"/>
    <s v="تركيب تكيف مركزي"/>
    <s v="تم العمل"/>
    <d v="1899-12-30T10:00:00"/>
    <d v="1899-12-30T18:00:00"/>
    <n v="0.33333333333333331"/>
    <s v="البرج"/>
    <n v="8"/>
    <m/>
    <m/>
    <x v="10"/>
    <n v="5"/>
    <m/>
    <m/>
    <m/>
    <m/>
    <m/>
    <m/>
    <m/>
    <m/>
    <m/>
    <m/>
  </r>
  <r>
    <d v="2024-11-01T00:00:00"/>
    <d v="2024-11-05T00:00:00"/>
    <s v="الثلاثاء "/>
    <s v="شركة اوزوريون "/>
    <s v="محمد صلاح "/>
    <s v="شد الخشب  لخزان الاطفاء "/>
    <s v="تم العمل"/>
    <d v="1899-12-30T08:00:00"/>
    <d v="1899-12-30T16:00:00"/>
    <n v="0.33333333333333331"/>
    <s v="المخزن القديم "/>
    <n v="8"/>
    <m/>
    <m/>
    <x v="9"/>
    <n v="5"/>
    <m/>
    <m/>
    <m/>
    <m/>
    <m/>
    <m/>
    <m/>
    <m/>
    <m/>
    <m/>
  </r>
  <r>
    <d v="2024-11-01T00:00:00"/>
    <d v="2024-11-06T00:00:00"/>
    <s v="الاربعاء "/>
    <s v="ستار كول  للتبريد والتكيف "/>
    <s v="احمد حمادة "/>
    <s v="اعمال لحامات"/>
    <s v="تم العمل"/>
    <d v="1899-12-30T14:30:00"/>
    <d v="1899-12-30T20:00:00"/>
    <n v="0.22916666666666674"/>
    <s v="المطابع "/>
    <n v="5.5000000000000018"/>
    <m/>
    <m/>
    <x v="14"/>
    <n v="5"/>
    <m/>
    <m/>
    <m/>
    <m/>
    <m/>
    <m/>
    <m/>
    <m/>
    <m/>
    <m/>
  </r>
  <r>
    <d v="2024-11-01T00:00:00"/>
    <d v="2024-11-06T00:00:00"/>
    <s v="الاربعاء "/>
    <s v="القطاع الهندسى "/>
    <s v="عمرو نبوى "/>
    <s v="صيانة مجر الصرف "/>
    <s v="تم العمل"/>
    <d v="1899-12-30T10:00:00"/>
    <d v="1899-12-30T17:00:00"/>
    <n v="0.29166666666666669"/>
    <s v="المطابع "/>
    <n v="7"/>
    <m/>
    <m/>
    <x v="5"/>
    <n v="5"/>
    <m/>
    <m/>
    <m/>
    <m/>
    <m/>
    <m/>
    <m/>
    <m/>
    <m/>
    <m/>
  </r>
  <r>
    <d v="2024-11-01T00:00:00"/>
    <d v="2024-11-06T00:00:00"/>
    <s v="الاربعاء "/>
    <s v="شركة شلاندر "/>
    <s v="انس احمد  "/>
    <s v="تركيب  المصاعد "/>
    <s v="تم العمل"/>
    <d v="1899-12-30T10:00:00"/>
    <d v="1899-12-30T17:00:00"/>
    <n v="0.29166666666666669"/>
    <s v="المخزن الجديد "/>
    <n v="7"/>
    <m/>
    <m/>
    <x v="1"/>
    <n v="5"/>
    <m/>
    <m/>
    <m/>
    <m/>
    <m/>
    <m/>
    <m/>
    <m/>
    <m/>
    <m/>
  </r>
  <r>
    <d v="2024-11-01T00:00:00"/>
    <d v="2024-11-06T00:00:00"/>
    <s v="الاربعاء "/>
    <s v="القطاع الهندسى "/>
    <s v="شريف  عيد "/>
    <s v="صيانة الهيدرولك"/>
    <s v="تم العمل"/>
    <d v="1899-12-30T12:00:00"/>
    <d v="1899-12-30T16:00:00"/>
    <n v="0.16666666666666663"/>
    <s v="المخزن الجديد "/>
    <n v="3.9999999999999991"/>
    <m/>
    <m/>
    <x v="1"/>
    <n v="4"/>
    <s v="عدم غلق التصريح "/>
    <m/>
    <m/>
    <m/>
    <m/>
    <m/>
    <m/>
    <m/>
    <m/>
    <m/>
  </r>
  <r>
    <d v="2024-11-01T00:00:00"/>
    <d v="2024-11-06T00:00:00"/>
    <s v="الاربعاء "/>
    <s v="شركة اوزوريون "/>
    <s v="محمد زنفل  "/>
    <s v="اعمال دهانات"/>
    <s v="تم العمل"/>
    <d v="1899-12-30T10:00:00"/>
    <d v="1899-12-30T18:00:00"/>
    <n v="0.33333333333333331"/>
    <s v="البرج"/>
    <n v="8"/>
    <m/>
    <m/>
    <x v="10"/>
    <n v="5"/>
    <m/>
    <m/>
    <m/>
    <m/>
    <m/>
    <m/>
    <m/>
    <m/>
    <m/>
    <m/>
  </r>
  <r>
    <d v="2024-11-01T00:00:00"/>
    <d v="2024-11-06T00:00:00"/>
    <s v="الاربعاء "/>
    <s v="مالك المخزن "/>
    <s v="فيكتور لوندي"/>
    <s v="تركيب كشافات كهرباء "/>
    <s v="تم العمل"/>
    <d v="1899-12-30T11:30:00"/>
    <d v="1899-12-30T17:30:00"/>
    <n v="0.24999999999999994"/>
    <s v="مخزن الوزارة"/>
    <n v="5.9999999999999982"/>
    <m/>
    <m/>
    <x v="8"/>
    <n v="5"/>
    <m/>
    <m/>
    <m/>
    <m/>
    <m/>
    <m/>
    <m/>
    <m/>
    <m/>
    <m/>
  </r>
  <r>
    <d v="2024-11-01T00:00:00"/>
    <d v="2024-11-07T00:00:00"/>
    <s v="الخميس "/>
    <s v="لفت ايجبت "/>
    <s v="سامى شعبان  "/>
    <s v="صيانة كلاركات "/>
    <s v="تم العمل"/>
    <d v="1899-12-30T14:30:00"/>
    <d v="1899-12-30T15:00:00"/>
    <n v="2.083333333333337E-2"/>
    <s v="مخزن الوزارة"/>
    <n v="0.50000000000000089"/>
    <m/>
    <m/>
    <x v="14"/>
    <n v="5"/>
    <m/>
    <m/>
    <m/>
    <m/>
    <m/>
    <m/>
    <m/>
    <m/>
    <m/>
    <m/>
  </r>
  <r>
    <d v="2024-11-01T00:00:00"/>
    <d v="2024-11-07T00:00:00"/>
    <s v="الخميس "/>
    <s v="شركة شلاندر "/>
    <s v="انس احمد  "/>
    <s v="تركيب  المصاعد "/>
    <s v="تم العمل"/>
    <d v="1899-12-30T10:00:00"/>
    <d v="1899-12-30T17:00:00"/>
    <n v="0.29166666666666669"/>
    <s v="المخزن الجديد "/>
    <n v="7"/>
    <m/>
    <m/>
    <x v="1"/>
    <n v="5"/>
    <m/>
    <m/>
    <m/>
    <m/>
    <m/>
    <m/>
    <m/>
    <m/>
    <m/>
    <m/>
  </r>
  <r>
    <d v="2024-11-01T00:00:00"/>
    <d v="2024-11-07T00:00:00"/>
    <s v="الخميس "/>
    <s v="شركة اوزوريون "/>
    <s v="محمد صلاح "/>
    <s v="استكمال شد الخشب  لخزان الاطفاء "/>
    <s v="تم العمل"/>
    <d v="1899-12-30T08:00:00"/>
    <d v="1899-12-30T16:00:00"/>
    <n v="0.33333333333333331"/>
    <s v="المخزن القديم "/>
    <n v="8"/>
    <m/>
    <m/>
    <x v="14"/>
    <n v="5"/>
    <m/>
    <m/>
    <m/>
    <m/>
    <m/>
    <m/>
    <m/>
    <m/>
    <m/>
    <m/>
  </r>
  <r>
    <d v="2024-11-01T00:00:00"/>
    <d v="2024-11-07T00:00:00"/>
    <s v="الخميس "/>
    <s v="الشؤون الادارية "/>
    <s v="احمد سعيد"/>
    <s v="تركيب سخان بحمامات العمال"/>
    <s v="رفض الأعمال"/>
    <d v="1899-12-30T14:00:00"/>
    <d v="1899-12-30T16:00:00"/>
    <n v="8.3333333333333259E-2"/>
    <s v="المخزن الجديد "/>
    <n v="1.9999999999999982"/>
    <m/>
    <m/>
    <x v="1"/>
    <n v="5"/>
    <m/>
    <m/>
    <m/>
    <m/>
    <m/>
    <m/>
    <m/>
    <m/>
    <m/>
    <m/>
  </r>
  <r>
    <d v="2024-11-01T00:00:00"/>
    <d v="2024-11-07T00:00:00"/>
    <s v="الخميس "/>
    <s v="شركة اوزوريون "/>
    <s v="محمد زنفل  "/>
    <s v="اعمال دهانات"/>
    <s v="تم العمل"/>
    <d v="1899-12-30T10:00:00"/>
    <d v="1899-12-30T18:00:00"/>
    <n v="0.33333333333333331"/>
    <s v="البرج"/>
    <n v="8"/>
    <m/>
    <m/>
    <x v="10"/>
    <n v="5"/>
    <m/>
    <m/>
    <m/>
    <m/>
    <m/>
    <m/>
    <m/>
    <m/>
    <m/>
    <m/>
  </r>
  <r>
    <d v="2024-11-01T00:00:00"/>
    <d v="2024-11-07T00:00:00"/>
    <s v="الخميس "/>
    <s v="شركة الهدى "/>
    <s v="اسلام مصطفى    "/>
    <s v="صيانة ماكينة CTP"/>
    <s v="تم العمل"/>
    <d v="1899-12-30T12:00:00"/>
    <d v="1899-12-30T16:00:00"/>
    <n v="0.16666666666666663"/>
    <s v="المطابع "/>
    <n v="3.9999999999999991"/>
    <m/>
    <m/>
    <x v="14"/>
    <n v="5"/>
    <m/>
    <m/>
    <m/>
    <m/>
    <m/>
    <m/>
    <m/>
    <m/>
    <m/>
    <m/>
  </r>
  <r>
    <d v="2024-11-01T00:00:00"/>
    <d v="2024-11-08T00:00:00"/>
    <s v="الجمعة "/>
    <s v="شركة هاى سكيور"/>
    <s v="ابراهيم الخزرجي"/>
    <s v="تركيبات"/>
    <s v="تم العمل"/>
    <d v="1899-12-30T10:00:00"/>
    <d v="1899-12-30T19:30:00"/>
    <n v="0.39583333333333331"/>
    <s v="البرج"/>
    <n v="9.5"/>
    <m/>
    <m/>
    <x v="3"/>
    <n v="5"/>
    <m/>
    <m/>
    <m/>
    <m/>
    <m/>
    <m/>
    <m/>
    <m/>
    <m/>
    <m/>
  </r>
  <r>
    <d v="2024-11-01T00:00:00"/>
    <d v="2024-11-09T00:00:00"/>
    <s v="السبت "/>
    <s v="القطاع الهندسى "/>
    <s v="مصطفى حسن "/>
    <s v="صيانة مجر الصرف "/>
    <s v="تم العمل"/>
    <d v="1899-12-30T09:30:00"/>
    <d v="1899-12-30T17:00:00"/>
    <n v="0.31250000000000006"/>
    <s v="المطابع "/>
    <n v="7.5000000000000018"/>
    <m/>
    <m/>
    <x v="7"/>
    <n v="5"/>
    <m/>
    <m/>
    <m/>
    <m/>
    <m/>
    <m/>
    <m/>
    <m/>
    <m/>
    <m/>
  </r>
  <r>
    <d v="2024-11-01T00:00:00"/>
    <d v="2024-11-09T00:00:00"/>
    <s v="السبت "/>
    <s v="شركة شلاندر "/>
    <s v="انس احمد  "/>
    <s v="تركيب  المصاعد "/>
    <s v="تم العمل"/>
    <d v="1899-12-30T10:00:00"/>
    <d v="1899-12-30T17:00:00"/>
    <n v="0.29166666666666669"/>
    <s v="المخزن الجديد "/>
    <n v="7"/>
    <m/>
    <m/>
    <x v="1"/>
    <n v="5"/>
    <m/>
    <m/>
    <m/>
    <m/>
    <m/>
    <m/>
    <m/>
    <m/>
    <m/>
    <m/>
  </r>
  <r>
    <d v="2024-11-01T00:00:00"/>
    <d v="2024-11-09T00:00:00"/>
    <s v="السبت "/>
    <s v="شركة هاى سكيور"/>
    <s v="ابراهيم الخزرجي"/>
    <s v="تركيبات"/>
    <s v="تم العمل"/>
    <d v="1899-12-30T09:30:00"/>
    <d v="1899-12-30T22:30:00"/>
    <n v="0.54166666666666674"/>
    <s v="البرج"/>
    <n v="13.000000000000002"/>
    <m/>
    <m/>
    <x v="3"/>
    <n v="5"/>
    <m/>
    <m/>
    <m/>
    <m/>
    <m/>
    <m/>
    <m/>
    <m/>
    <m/>
    <m/>
  </r>
  <r>
    <d v="2024-11-01T00:00:00"/>
    <d v="2024-11-09T00:00:00"/>
    <s v="السبت "/>
    <s v="شركة اوزوريون "/>
    <s v="مراد صالح"/>
    <s v="استكمال شد الخشب  لخزان الاطفاء "/>
    <s v="تم العمل"/>
    <d v="1899-12-30T11:00:00"/>
    <d v="1899-12-30T13:00:00"/>
    <n v="8.3333333333333315E-2"/>
    <s v="المخزن القديم "/>
    <n v="1.9999999999999996"/>
    <m/>
    <m/>
    <x v="14"/>
    <n v="5"/>
    <m/>
    <m/>
    <m/>
    <m/>
    <m/>
    <m/>
    <m/>
    <m/>
    <m/>
    <m/>
  </r>
  <r>
    <d v="2024-11-01T00:00:00"/>
    <d v="2024-11-10T00:00:00"/>
    <s v="الاحد "/>
    <s v="شركة الكريم "/>
    <s v=" على الشنوبى     "/>
    <s v="الزيارة الشهرية و صيانة للوح الانزار "/>
    <s v="تم العمل"/>
    <d v="1899-12-30T10:00:00"/>
    <d v="1899-12-30T11:00:00"/>
    <n v="4.166666666666663E-2"/>
    <s v="المطابع "/>
    <n v="0.99999999999999911"/>
    <m/>
    <m/>
    <x v="5"/>
    <n v="5"/>
    <m/>
    <m/>
    <m/>
    <m/>
    <m/>
    <m/>
    <m/>
    <m/>
    <m/>
    <m/>
  </r>
  <r>
    <d v="2024-11-01T00:00:00"/>
    <d v="2024-11-10T00:00:00"/>
    <s v="الاحد "/>
    <s v="شركة شلاندر "/>
    <s v="انس احمد  "/>
    <s v="تركيب  المصاعد "/>
    <s v="تم العمل"/>
    <d v="1899-12-30T10:00:00"/>
    <d v="1899-12-30T17:00:00"/>
    <n v="0.29166666666666669"/>
    <s v="المخزن الجديد "/>
    <n v="7"/>
    <m/>
    <m/>
    <x v="1"/>
    <n v="5"/>
    <m/>
    <m/>
    <m/>
    <m/>
    <m/>
    <m/>
    <m/>
    <m/>
    <m/>
    <m/>
  </r>
  <r>
    <d v="2024-11-01T00:00:00"/>
    <d v="2024-11-10T00:00:00"/>
    <s v="الاحد "/>
    <s v="شركة اوزوريون "/>
    <s v="مراد صالح"/>
    <s v="استكمال شد الخشب  لخزان الاطفاء "/>
    <s v="تم العمل"/>
    <d v="1899-12-30T09:30:00"/>
    <d v="1899-12-30T15:30:00"/>
    <n v="0.25000000000000006"/>
    <s v="المخزن القديم "/>
    <n v="6.0000000000000018"/>
    <m/>
    <m/>
    <x v="8"/>
    <n v="5"/>
    <m/>
    <m/>
    <m/>
    <m/>
    <m/>
    <m/>
    <m/>
    <m/>
    <m/>
    <m/>
  </r>
  <r>
    <d v="2024-11-01T00:00:00"/>
    <d v="2024-11-10T00:00:00"/>
    <s v="الاحد "/>
    <s v="شركة هاى سكيور"/>
    <s v="ابراهيم الخزرجي"/>
    <s v="تركيبات"/>
    <s v="تم العمل"/>
    <d v="1899-12-30T10:00:00"/>
    <d v="1899-12-30T18:00:00"/>
    <n v="0.33333333333333331"/>
    <s v="البرج"/>
    <n v="8"/>
    <m/>
    <m/>
    <x v="3"/>
    <n v="5"/>
    <m/>
    <m/>
    <m/>
    <m/>
    <m/>
    <m/>
    <m/>
    <m/>
    <m/>
    <m/>
  </r>
  <r>
    <d v="2024-11-01T00:00:00"/>
    <d v="2024-11-10T00:00:00"/>
    <s v="الاحد "/>
    <s v="KUC  شركة "/>
    <s v="مصطفى محمد "/>
    <s v="تركيبات "/>
    <s v="تم العمل"/>
    <d v="1899-12-30T04:00:00"/>
    <d v="1899-12-30T13:00:00"/>
    <n v="0.375"/>
    <s v="الفجالة"/>
    <n v="9"/>
    <m/>
    <m/>
    <x v="11"/>
    <n v="5"/>
    <m/>
    <m/>
    <m/>
    <m/>
    <m/>
    <m/>
    <m/>
    <m/>
    <m/>
    <m/>
  </r>
  <r>
    <d v="2024-11-01T00:00:00"/>
    <d v="2024-11-10T00:00:00"/>
    <s v="الاحد "/>
    <s v="مالك المخزن "/>
    <s v="فيكتور لوندي"/>
    <s v="تركيب كشافات كهرباء "/>
    <s v="تم العمل"/>
    <d v="1899-12-30T11:30:00"/>
    <d v="1899-12-30T17:30:00"/>
    <n v="0.24999999999999994"/>
    <s v="مخزن الوزارة"/>
    <n v="5.9999999999999982"/>
    <m/>
    <m/>
    <x v="4"/>
    <n v="5"/>
    <m/>
    <m/>
    <m/>
    <m/>
    <m/>
    <m/>
    <m/>
    <m/>
    <m/>
    <m/>
  </r>
  <r>
    <d v="2024-11-01T00:00:00"/>
    <d v="2024-11-10T00:00:00"/>
    <s v="الاحد "/>
    <s v="الشركة الالمانية "/>
    <s v=" اسلام ابراهيم "/>
    <s v="الزيارة الشهرية ومكافحة الحشرات "/>
    <s v="تم العمل"/>
    <d v="1899-12-30T13:00:00"/>
    <d v="1899-12-30T17:00:00"/>
    <n v="0.16666666666666674"/>
    <s v="المطابع "/>
    <n v="4.0000000000000018"/>
    <m/>
    <m/>
    <x v="14"/>
    <n v="5"/>
    <m/>
    <m/>
    <m/>
    <m/>
    <m/>
    <m/>
    <m/>
    <m/>
    <m/>
    <m/>
  </r>
  <r>
    <d v="2024-11-01T00:00:00"/>
    <d v="2024-11-11T00:00:00"/>
    <s v="الاثنين "/>
    <s v="شركة شلاندر "/>
    <s v="انس احمد  "/>
    <s v="تركيب المصاعد "/>
    <s v="تم العمل"/>
    <d v="1899-12-30T10:00:00"/>
    <d v="1899-12-30T17:00:00"/>
    <n v="0.29166666666666669"/>
    <s v="المخزن الجديد "/>
    <n v="7"/>
    <m/>
    <m/>
    <x v="1"/>
    <n v="5"/>
    <m/>
    <m/>
    <m/>
    <m/>
    <m/>
    <m/>
    <m/>
    <m/>
    <m/>
    <m/>
  </r>
  <r>
    <d v="2024-11-01T00:00:00"/>
    <d v="2024-11-11T00:00:00"/>
    <s v="الاثنين "/>
    <s v="شركة الهدى "/>
    <s v="اسلام مصطفى    "/>
    <s v="صيانة ماكينة CTP"/>
    <s v="تم العمل"/>
    <d v="1899-12-30T14:30:00"/>
    <d v="1899-12-30T17:30:00"/>
    <n v="0.125"/>
    <s v="المطابع "/>
    <n v="3"/>
    <m/>
    <m/>
    <x v="14"/>
    <n v="5"/>
    <m/>
    <m/>
    <m/>
    <m/>
    <m/>
    <m/>
    <m/>
    <m/>
    <m/>
    <m/>
  </r>
  <r>
    <d v="2024-11-01T00:00:00"/>
    <d v="2024-11-11T00:00:00"/>
    <s v="الاثنين "/>
    <s v="شركة هاى سكيور"/>
    <s v="احمد محمد "/>
    <s v="تركيبات"/>
    <s v="تم العمل"/>
    <d v="1899-12-30T10:30:00"/>
    <d v="1899-12-30T23:30:00"/>
    <n v="0.54166666666666663"/>
    <s v="البرج"/>
    <n v="13"/>
    <m/>
    <m/>
    <x v="3"/>
    <n v="5"/>
    <m/>
    <m/>
    <m/>
    <m/>
    <m/>
    <m/>
    <m/>
    <m/>
    <m/>
    <m/>
  </r>
  <r>
    <d v="2024-11-01T00:00:00"/>
    <d v="2024-11-11T00:00:00"/>
    <s v="الاثنين "/>
    <s v="شركة اوزوريون "/>
    <s v="مراد صالح"/>
    <s v="اعمال صيب خرسانة "/>
    <s v="تم العمل"/>
    <d v="1899-12-30T07:00:00"/>
    <d v="1899-12-30T17:00:00"/>
    <n v="0.41666666666666669"/>
    <s v="المخزن القديم "/>
    <n v="10"/>
    <m/>
    <m/>
    <x v="8"/>
    <n v="5"/>
    <m/>
    <m/>
    <m/>
    <m/>
    <m/>
    <m/>
    <m/>
    <m/>
    <m/>
    <m/>
  </r>
  <r>
    <d v="2024-11-01T00:00:00"/>
    <d v="2024-11-12T00:00:00"/>
    <s v="الثلاثاء "/>
    <s v="القطاع الهندسى "/>
    <s v="صابر ابراهيم "/>
    <s v="تركيب تندة "/>
    <s v="تم العمل"/>
    <d v="1899-12-30T11:00:00"/>
    <d v="1899-12-30T17:30:00"/>
    <n v="0.27083333333333331"/>
    <s v="المطابع "/>
    <n v="6.5"/>
    <m/>
    <m/>
    <x v="5"/>
    <n v="5"/>
    <m/>
    <m/>
    <m/>
    <m/>
    <m/>
    <m/>
    <m/>
    <m/>
    <m/>
    <m/>
  </r>
  <r>
    <d v="2024-11-01T00:00:00"/>
    <d v="2024-11-12T00:00:00"/>
    <s v="الثلاثاء "/>
    <s v="شركة اوزوريون "/>
    <s v="محمد زنفل  "/>
    <s v="انشائات   "/>
    <s v="تم العمل"/>
    <d v="1899-12-30T09:00:00"/>
    <d v="1899-12-30T16:00:00"/>
    <n v="0.29166666666666663"/>
    <s v="البرج"/>
    <n v="6.9999999999999991"/>
    <m/>
    <m/>
    <x v="3"/>
    <n v="5"/>
    <m/>
    <m/>
    <m/>
    <m/>
    <m/>
    <m/>
    <m/>
    <m/>
    <m/>
    <m/>
  </r>
  <r>
    <d v="2024-11-01T00:00:00"/>
    <d v="2024-11-12T00:00:00"/>
    <s v="الثلاثاء "/>
    <s v="شركة هاى سكيور"/>
    <s v="ابراهيم الخزرجي"/>
    <s v="تركيبات"/>
    <s v="تم العمل"/>
    <d v="1899-12-30T16:30:00"/>
    <d v="1899-12-30T19:00:00"/>
    <n v="0.10416666666666663"/>
    <s v="البرج"/>
    <n v="2.4999999999999991"/>
    <m/>
    <m/>
    <x v="3"/>
    <n v="5"/>
    <m/>
    <m/>
    <m/>
    <m/>
    <m/>
    <m/>
    <m/>
    <m/>
    <m/>
    <m/>
  </r>
  <r>
    <d v="2024-11-01T00:00:00"/>
    <d v="2024-11-12T00:00:00"/>
    <s v="الثلاثاء "/>
    <s v="شركة الامل "/>
    <s v="رامى محمد "/>
    <s v="صيانة لوحة اعلانات "/>
    <s v="تم العمل"/>
    <d v="1899-12-30T14:00:00"/>
    <d v="1899-12-30T16:00:00"/>
    <n v="8.3333333333333259E-2"/>
    <s v="المطابع "/>
    <n v="1.9999999999999982"/>
    <m/>
    <m/>
    <x v="6"/>
    <n v="5"/>
    <m/>
    <m/>
    <m/>
    <m/>
    <m/>
    <m/>
    <m/>
    <m/>
    <m/>
    <m/>
  </r>
  <r>
    <d v="2024-11-01T00:00:00"/>
    <d v="2024-11-12T00:00:00"/>
    <s v="الثلاثاء "/>
    <s v="شركة شلاندر "/>
    <s v="انس احمد  "/>
    <s v="تركيب  المصاعد "/>
    <s v="تم العمل"/>
    <d v="1899-12-30T10:00:00"/>
    <d v="1899-12-30T17:00:00"/>
    <n v="0.29166666666666669"/>
    <s v="المخزن الجديد "/>
    <n v="7"/>
    <m/>
    <m/>
    <x v="4"/>
    <n v="5"/>
    <m/>
    <m/>
    <m/>
    <m/>
    <m/>
    <m/>
    <m/>
    <m/>
    <m/>
    <m/>
  </r>
  <r>
    <d v="2024-11-01T00:00:00"/>
    <d v="2024-11-13T00:00:00"/>
    <s v="الاربعاء "/>
    <s v="شركة اوزوريون "/>
    <s v="محمد صلاح "/>
    <s v="فك الخشب من حوائط خزان الاطفاء"/>
    <s v="تم العمل"/>
    <d v="1899-12-30T08:00:00"/>
    <d v="1899-12-30T16:00:00"/>
    <n v="0.33333333333333331"/>
    <s v="المخزن القديم "/>
    <n v="8"/>
    <m/>
    <m/>
    <x v="9"/>
    <n v="5"/>
    <m/>
    <m/>
    <m/>
    <m/>
    <m/>
    <m/>
    <m/>
    <m/>
    <m/>
    <m/>
  </r>
  <r>
    <d v="2024-11-01T00:00:00"/>
    <d v="2024-11-13T00:00:00"/>
    <s v="الاربعاء "/>
    <s v="القطاع الهندسى "/>
    <s v="احمد ابوزيت"/>
    <s v="صيانة و نظافة مجر صرف الأمطار"/>
    <s v="تم العمل"/>
    <d v="1899-12-30T10:00:00"/>
    <d v="1899-12-30T17:30:00"/>
    <n v="0.31249999999999994"/>
    <s v="المطابع "/>
    <n v="7.4999999999999982"/>
    <m/>
    <m/>
    <x v="5"/>
    <n v="5"/>
    <m/>
    <m/>
    <m/>
    <m/>
    <m/>
    <m/>
    <m/>
    <m/>
    <m/>
    <m/>
  </r>
  <r>
    <d v="2024-11-01T00:00:00"/>
    <d v="2024-11-13T00:00:00"/>
    <s v="الاربعاء "/>
    <s v="شركة اوزوريون "/>
    <s v="محمد زنفل  "/>
    <s v="انشائات   "/>
    <s v="تم العمل"/>
    <d v="1899-12-30T12:00:00"/>
    <d v="1899-12-30T21:30:00"/>
    <n v="0.39583333333333337"/>
    <s v="البرج"/>
    <n v="9.5"/>
    <m/>
    <m/>
    <x v="3"/>
    <n v="5"/>
    <m/>
    <m/>
    <m/>
    <m/>
    <m/>
    <m/>
    <m/>
    <m/>
    <m/>
    <m/>
  </r>
  <r>
    <d v="2024-11-01T00:00:00"/>
    <d v="2024-11-13T00:00:00"/>
    <s v="الاربعاء "/>
    <s v="شركة شلاندر "/>
    <s v="انس احمد  "/>
    <s v="تركيب المصاعد "/>
    <s v="تم العمل"/>
    <d v="1899-12-30T10:00:00"/>
    <d v="1899-12-30T17:00:00"/>
    <n v="0.29166666666666669"/>
    <s v="المخزن الجديد "/>
    <n v="7"/>
    <m/>
    <m/>
    <x v="1"/>
    <n v="5"/>
    <m/>
    <m/>
    <m/>
    <m/>
    <m/>
    <m/>
    <m/>
    <m/>
    <m/>
    <m/>
  </r>
  <r>
    <d v="2024-11-01T00:00:00"/>
    <d v="2024-11-13T00:00:00"/>
    <s v="الاربعاء "/>
    <s v="الشؤون الادارية "/>
    <s v="احمد سعيد"/>
    <s v="اعمال سباكة "/>
    <s v="تم العمل"/>
    <d v="1899-12-30T12:00:00"/>
    <d v="1899-12-30T16:00:00"/>
    <n v="0.16666666666666663"/>
    <s v="المخزن الجديد "/>
    <n v="3.9999999999999991"/>
    <m/>
    <m/>
    <x v="1"/>
    <n v="5"/>
    <m/>
    <m/>
    <m/>
    <m/>
    <m/>
    <m/>
    <m/>
    <m/>
    <m/>
    <m/>
  </r>
  <r>
    <d v="2024-11-01T00:00:00"/>
    <d v="2024-11-14T00:00:00"/>
    <s v="الخميس "/>
    <s v="القطاع الهندسى "/>
    <s v="حسام جناد"/>
    <s v="تركيب كشافات انارة"/>
    <s v="تم العمل"/>
    <d v="1899-12-30T11:00:00"/>
    <d v="1899-12-30T15:00:00"/>
    <n v="0.16666666666666669"/>
    <s v="المطابع "/>
    <n v="4"/>
    <m/>
    <m/>
    <x v="14"/>
    <n v="5"/>
    <m/>
    <m/>
    <m/>
    <m/>
    <m/>
    <m/>
    <m/>
    <m/>
    <m/>
    <m/>
  </r>
  <r>
    <d v="2024-11-01T00:00:00"/>
    <d v="2024-11-14T00:00:00"/>
    <s v="الخميس "/>
    <s v="شركة اوزوريون "/>
    <s v="محمد زنفل  "/>
    <s v="انشائات   "/>
    <s v="تم العمل"/>
    <d v="1899-12-30T09:30:00"/>
    <d v="1899-12-30T15:30:00"/>
    <n v="0.25000000000000006"/>
    <s v="البرج"/>
    <n v="6.0000000000000018"/>
    <m/>
    <m/>
    <x v="3"/>
    <n v="5"/>
    <m/>
    <m/>
    <m/>
    <m/>
    <m/>
    <m/>
    <m/>
    <m/>
    <m/>
    <m/>
  </r>
  <r>
    <d v="2024-11-01T00:00:00"/>
    <d v="2024-11-14T00:00:00"/>
    <s v="الخميس "/>
    <s v="شركة اوزوريون "/>
    <s v="محمد صلاح "/>
    <s v="اعمال صب الخرسانة"/>
    <s v="تم العمل"/>
    <d v="1899-12-30T08:00:00"/>
    <d v="1899-12-30T16:00:00"/>
    <n v="0.33333333333333331"/>
    <s v="المخزن القديم "/>
    <n v="8"/>
    <m/>
    <m/>
    <x v="9"/>
    <n v="5"/>
    <m/>
    <m/>
    <m/>
    <m/>
    <m/>
    <m/>
    <m/>
    <m/>
    <m/>
    <m/>
  </r>
  <r>
    <d v="2024-11-01T00:00:00"/>
    <d v="2024-11-14T00:00:00"/>
    <s v="الخميس "/>
    <s v="الشؤون الادارية "/>
    <s v="احمد سعيد"/>
    <s v="تغيير صرف الامطار"/>
    <s v="تم العمل"/>
    <d v="1899-12-30T10:00:00"/>
    <d v="1899-12-30T17:00:00"/>
    <n v="0.29166666666666635"/>
    <s v="المخزن القديم "/>
    <n v="6.9999999999999929"/>
    <m/>
    <m/>
    <x v="9"/>
    <n v="5"/>
    <m/>
    <m/>
    <m/>
    <m/>
    <m/>
    <m/>
    <m/>
    <m/>
    <m/>
    <m/>
  </r>
  <r>
    <d v="2024-11-01T00:00:00"/>
    <d v="2024-11-14T00:00:00"/>
    <s v="الخميس "/>
    <s v="الشؤون الادارية "/>
    <s v="محمد ابوسريع"/>
    <s v="اعمال محارة وبناء "/>
    <s v="تم العمل"/>
    <d v="1899-12-30T10:00:00"/>
    <d v="1899-12-30T17:00:00"/>
    <n v="0.29166666666666635"/>
    <s v="المخزن القديم "/>
    <n v="6.9999999999999929"/>
    <m/>
    <m/>
    <x v="9"/>
    <n v="5"/>
    <m/>
    <m/>
    <m/>
    <m/>
    <m/>
    <m/>
    <m/>
    <m/>
    <m/>
    <m/>
  </r>
  <r>
    <d v="2024-11-01T00:00:00"/>
    <d v="2024-11-14T00:00:00"/>
    <s v="الخميس "/>
    <s v="شركة شلاندر "/>
    <s v="انس احمد  "/>
    <s v="تركيب المصاعد "/>
    <s v="تم العمل"/>
    <d v="1899-12-30T10:00:00"/>
    <d v="1899-12-30T17:00:00"/>
    <n v="0.29166666666666669"/>
    <s v="المخزن الجديد "/>
    <n v="7"/>
    <m/>
    <m/>
    <x v="1"/>
    <n v="5"/>
    <m/>
    <m/>
    <m/>
    <m/>
    <m/>
    <m/>
    <m/>
    <m/>
    <m/>
    <m/>
  </r>
  <r>
    <d v="2024-11-01T00:00:00"/>
    <d v="2024-11-16T00:00:00"/>
    <s v="السبت "/>
    <s v="شركة هاى سكيور"/>
    <s v="احمد محمد "/>
    <s v="تركيبات و لحام"/>
    <s v="تم العمل"/>
    <d v="1899-12-30T09:30:00"/>
    <d v="1899-12-30T22:30:00"/>
    <n v="0.54166666666666674"/>
    <s v="البرج"/>
    <n v="13.000000000000002"/>
    <m/>
    <m/>
    <x v="3"/>
    <n v="5"/>
    <m/>
    <m/>
    <m/>
    <m/>
    <m/>
    <m/>
    <m/>
    <m/>
    <m/>
    <m/>
  </r>
  <r>
    <d v="2024-11-01T00:00:00"/>
    <d v="2024-11-16T00:00:00"/>
    <s v="السبت "/>
    <s v="شركة الفرج"/>
    <s v="احمد فرج    "/>
    <s v="تركيب فراشة بالشارع  "/>
    <s v="تم العمل"/>
    <d v="1899-12-30T11:00:00"/>
    <d v="1899-12-30T17:00:00"/>
    <n v="0.25000000000000006"/>
    <s v="المخزن القديم "/>
    <n v="6.0000000000000018"/>
    <m/>
    <m/>
    <x v="13"/>
    <n v="5"/>
    <m/>
    <m/>
    <m/>
    <m/>
    <m/>
    <m/>
    <m/>
    <m/>
    <m/>
    <m/>
  </r>
  <r>
    <d v="2024-11-01T00:00:00"/>
    <d v="2024-11-16T00:00:00"/>
    <s v="السبت "/>
    <s v="شركة اوزوريون "/>
    <s v="محمد صلاح "/>
    <s v="اعمال صب الخرسانة"/>
    <s v="تم العمل"/>
    <d v="1899-12-30T08:00:00"/>
    <d v="1899-12-30T16:00:00"/>
    <n v="0.33333333333333331"/>
    <s v="المخزن القديم "/>
    <n v="8"/>
    <m/>
    <m/>
    <x v="9"/>
    <n v="5"/>
    <m/>
    <m/>
    <m/>
    <m/>
    <m/>
    <m/>
    <m/>
    <m/>
    <m/>
    <m/>
  </r>
  <r>
    <d v="2024-11-01T00:00:00"/>
    <d v="2024-11-17T00:00:00"/>
    <s v="الاحد "/>
    <s v="شركة اوزوريون "/>
    <s v="مراد صالح"/>
    <s v="اعمال صب الخرسانة"/>
    <s v="تم العمل"/>
    <d v="1899-12-30T08:00:00"/>
    <d v="1899-12-30T16:00:00"/>
    <n v="0.33333333333333331"/>
    <s v="المخزن القديم "/>
    <n v="8"/>
    <m/>
    <m/>
    <x v="9"/>
    <n v="5"/>
    <m/>
    <m/>
    <m/>
    <m/>
    <m/>
    <m/>
    <m/>
    <m/>
    <m/>
    <m/>
  </r>
  <r>
    <d v="2024-11-01T00:00:00"/>
    <d v="2024-11-17T00:00:00"/>
    <s v="الاحد "/>
    <s v="شركة الفرج"/>
    <s v="احمد فرج    "/>
    <s v="تركيب فراشة بالشارع  "/>
    <s v="تم العمل"/>
    <d v="1899-12-30T11:00:00"/>
    <d v="1899-12-30T17:00:00"/>
    <n v="0.25000000000000006"/>
    <s v="المخزن القديم "/>
    <n v="6.0000000000000018"/>
    <m/>
    <m/>
    <x v="9"/>
    <n v="5"/>
    <m/>
    <m/>
    <m/>
    <m/>
    <m/>
    <m/>
    <m/>
    <m/>
    <m/>
    <m/>
  </r>
  <r>
    <d v="2024-11-01T00:00:00"/>
    <d v="2024-11-17T00:00:00"/>
    <s v="الاحد "/>
    <s v="شركة اوزوريون "/>
    <s v="محمد زنفل  "/>
    <s v="انشائات   "/>
    <s v="تم العمل"/>
    <d v="1899-12-30T10:00:00"/>
    <d v="1899-12-30T18:00:00"/>
    <n v="0.33333333333333331"/>
    <s v="البرج"/>
    <n v="8"/>
    <m/>
    <m/>
    <x v="3"/>
    <n v="5"/>
    <m/>
    <m/>
    <m/>
    <m/>
    <m/>
    <m/>
    <m/>
    <m/>
    <m/>
    <m/>
  </r>
  <r>
    <d v="2024-11-01T00:00:00"/>
    <d v="2024-11-17T00:00:00"/>
    <s v="الاحد "/>
    <s v="شركة شلاندر "/>
    <s v="انس احمد  "/>
    <s v="تركيب  المصاعد "/>
    <s v="تم العمل"/>
    <d v="1899-12-30T09:30:00"/>
    <d v="1899-12-30T17:30:00"/>
    <n v="0.33333333333333331"/>
    <s v="المخزن الجديد "/>
    <n v="8"/>
    <m/>
    <m/>
    <x v="4"/>
    <n v="5"/>
    <m/>
    <m/>
    <m/>
    <m/>
    <m/>
    <m/>
    <m/>
    <m/>
    <m/>
    <m/>
  </r>
  <r>
    <d v="2024-11-01T00:00:00"/>
    <d v="2024-11-18T00:00:00"/>
    <s v="الاثنين "/>
    <s v="شركة اوزوريون "/>
    <s v="محمد صلاح "/>
    <s v="استكمال اعمال خزان الحريق "/>
    <s v="تم العمل"/>
    <d v="1899-12-30T08:00:00"/>
    <d v="1899-12-30T17:00:00"/>
    <n v="0.37500000000000006"/>
    <s v="المخزن القديم "/>
    <n v="9.0000000000000018"/>
    <m/>
    <m/>
    <x v="9"/>
    <n v="5"/>
    <m/>
    <m/>
    <m/>
    <m/>
    <m/>
    <m/>
    <m/>
    <m/>
    <m/>
    <m/>
  </r>
  <r>
    <d v="2024-11-01T00:00:00"/>
    <d v="2024-11-18T00:00:00"/>
    <s v="الاثنين "/>
    <s v="شركة الفرج"/>
    <s v="محمد صالح "/>
    <s v="عمل فراشة للساحات  "/>
    <s v="تم العمل"/>
    <d v="1899-12-30T10:00:00"/>
    <d v="1899-12-30T17:00:00"/>
    <n v="0.29166666666666669"/>
    <s v="المخزن القديم "/>
    <n v="7"/>
    <m/>
    <m/>
    <x v="9"/>
    <n v="5"/>
    <m/>
    <m/>
    <m/>
    <m/>
    <m/>
    <m/>
    <m/>
    <m/>
    <m/>
    <m/>
  </r>
  <r>
    <d v="2024-11-01T00:00:00"/>
    <d v="2024-11-18T00:00:00"/>
    <s v="الاثنين "/>
    <s v="شركة اوزوريون "/>
    <s v="محمد زنفل  "/>
    <s v="انشائات   "/>
    <s v="تم العمل"/>
    <d v="1899-12-30T09:00:00"/>
    <d v="1899-12-30T19:30:00"/>
    <n v="0.4375"/>
    <s v="البرج"/>
    <n v="10.5"/>
    <m/>
    <m/>
    <x v="3"/>
    <n v="5"/>
    <m/>
    <m/>
    <m/>
    <m/>
    <m/>
    <m/>
    <m/>
    <m/>
    <m/>
    <m/>
  </r>
  <r>
    <d v="2024-11-01T00:00:00"/>
    <d v="2024-11-18T00:00:00"/>
    <s v="الاثنين "/>
    <s v="شركة هاى سكيور"/>
    <s v="احمد محمد "/>
    <s v="تركيبات و لحام"/>
    <s v="تم العمل"/>
    <d v="1899-12-30T10:30:00"/>
    <d v="1899-12-30T23:30:00"/>
    <n v="0.54166666666666663"/>
    <s v="البرج"/>
    <n v="13"/>
    <m/>
    <m/>
    <x v="3"/>
    <n v="5"/>
    <m/>
    <m/>
    <m/>
    <m/>
    <m/>
    <m/>
    <m/>
    <m/>
    <m/>
    <m/>
  </r>
  <r>
    <d v="2024-11-01T00:00:00"/>
    <d v="2024-11-18T00:00:00"/>
    <s v="الاثنين "/>
    <s v="شركة شلاندر "/>
    <s v="محمد جمال "/>
    <s v="تركيب المصاعد "/>
    <s v="تم العمل"/>
    <d v="1899-12-30T12:30:00"/>
    <d v="1899-12-30T18:00:00"/>
    <n v="0.22916666666666663"/>
    <s v="المخزن الجديد "/>
    <n v="5.4999999999999991"/>
    <m/>
    <m/>
    <x v="10"/>
    <n v="5"/>
    <m/>
    <m/>
    <m/>
    <m/>
    <m/>
    <m/>
    <m/>
    <m/>
    <m/>
    <m/>
  </r>
  <r>
    <d v="2024-11-01T00:00:00"/>
    <d v="2024-11-19T00:00:00"/>
    <s v="الثلاثاء "/>
    <s v="الشؤون الادارية "/>
    <s v="محمود عويس "/>
    <s v="صيانة الكولدير "/>
    <s v="تم العمل"/>
    <d v="1899-12-30T10:00:00"/>
    <d v="1899-12-30T11:00:00"/>
    <n v="4.166666666666663E-2"/>
    <s v="المخزن الجديد "/>
    <n v="0.99999999999999911"/>
    <m/>
    <m/>
    <x v="9"/>
    <n v="5"/>
    <m/>
    <m/>
    <m/>
    <m/>
    <m/>
    <m/>
    <m/>
    <m/>
    <m/>
    <m/>
  </r>
  <r>
    <d v="2024-11-01T00:00:00"/>
    <d v="2024-11-19T00:00:00"/>
    <s v="الثلاثاء "/>
    <s v="شركة اوزوريون "/>
    <s v="محمد زنفل  "/>
    <s v="انشائات   "/>
    <s v="تم العمل"/>
    <d v="1899-12-30T10:00:00"/>
    <d v="1899-12-30T21:00:00"/>
    <n v="0.45833333333333331"/>
    <s v="البرج"/>
    <n v="11"/>
    <m/>
    <m/>
    <x v="3"/>
    <n v="5"/>
    <m/>
    <m/>
    <m/>
    <m/>
    <m/>
    <m/>
    <m/>
    <m/>
    <m/>
    <m/>
  </r>
  <r>
    <d v="2024-11-01T00:00:00"/>
    <d v="2024-11-19T00:00:00"/>
    <s v="الثلاثاء "/>
    <s v="شركة هاى سكيور"/>
    <s v="احمد محمد "/>
    <s v="تركيبات و لحام"/>
    <s v="تم العمل"/>
    <d v="1899-12-30T15:00:00"/>
    <d v="1899-12-30T21:00:00"/>
    <n v="0.25"/>
    <s v="البرج"/>
    <n v="6"/>
    <m/>
    <m/>
    <x v="3"/>
    <n v="5"/>
    <m/>
    <m/>
    <m/>
    <m/>
    <m/>
    <m/>
    <m/>
    <m/>
    <m/>
    <m/>
  </r>
  <r>
    <d v="2024-11-01T00:00:00"/>
    <d v="2024-11-19T00:00:00"/>
    <s v="الثلاثاء "/>
    <s v="شركة الفرج"/>
    <s v="احمد فرج    "/>
    <s v="تركيب فراشة بالشارع  "/>
    <s v="تم العمل"/>
    <d v="1899-12-30T08:00:00"/>
    <d v="1899-12-30T17:00:00"/>
    <n v="0.37500000000000006"/>
    <s v="المخزن القديم "/>
    <n v="9.0000000000000018"/>
    <m/>
    <m/>
    <x v="9"/>
    <n v="5"/>
    <m/>
    <m/>
    <m/>
    <m/>
    <m/>
    <m/>
    <m/>
    <m/>
    <m/>
    <m/>
  </r>
  <r>
    <d v="2024-11-01T00:00:00"/>
    <d v="2024-11-19T00:00:00"/>
    <s v="الثلاثاء "/>
    <s v="القطاع الهندسى "/>
    <s v="اسلام صالح "/>
    <s v="عمل مفتاح كهربائي لطرمة الجوكي"/>
    <s v="تم العمل"/>
    <d v="1899-12-30T10:00:00"/>
    <d v="1899-12-30T17:00:00"/>
    <n v="0.29166666666666669"/>
    <s v="المخزن القديم "/>
    <n v="7"/>
    <m/>
    <m/>
    <x v="9"/>
    <n v="5"/>
    <m/>
    <m/>
    <m/>
    <m/>
    <m/>
    <m/>
    <m/>
    <m/>
    <m/>
    <m/>
  </r>
  <r>
    <d v="2024-11-01T00:00:00"/>
    <d v="2024-11-19T00:00:00"/>
    <s v="الثلاثاء "/>
    <s v="شركة اوزوريون "/>
    <s v="مراد صالح"/>
    <s v="اعمال صب الخرسانة"/>
    <s v="تم العمل"/>
    <d v="1899-12-30T08:00:00"/>
    <d v="1899-12-30T17:00:00"/>
    <n v="0.37500000000000006"/>
    <s v="المخزن القديم "/>
    <n v="9.0000000000000018"/>
    <m/>
    <m/>
    <x v="9"/>
    <n v="5"/>
    <m/>
    <m/>
    <m/>
    <m/>
    <m/>
    <m/>
    <m/>
    <m/>
    <m/>
    <m/>
  </r>
  <r>
    <d v="2024-11-01T00:00:00"/>
    <d v="2024-11-20T00:00:00"/>
    <s v="الاربعاء "/>
    <s v="القطاع الهندسى "/>
    <s v="محمود عويس"/>
    <s v="تركيب شبكات حماية للوحدة الخارجية للتكيف"/>
    <s v="تم العمل"/>
    <d v="1899-12-30T11:00:00"/>
    <d v="1899-12-30T13:00:00"/>
    <n v="8.3333333333333315E-2"/>
    <s v="المطابع "/>
    <n v="1.9999999999999996"/>
    <m/>
    <m/>
    <x v="4"/>
    <n v="5"/>
    <m/>
    <m/>
    <m/>
    <m/>
    <m/>
    <m/>
    <m/>
    <m/>
    <m/>
    <m/>
  </r>
  <r>
    <d v="2024-11-01T00:00:00"/>
    <d v="2024-11-20T00:00:00"/>
    <s v="الاربعاء "/>
    <s v="الشؤون الادارية "/>
    <s v="محمود عويس"/>
    <s v="صاينة كولدير المياه"/>
    <s v="تم العمل"/>
    <d v="1899-12-30T14:30:00"/>
    <d v="1899-12-30T15:30:00"/>
    <n v="4.1666666666666741E-2"/>
    <s v="المخزن القديم "/>
    <n v="1.0000000000000018"/>
    <m/>
    <m/>
    <x v="10"/>
    <n v="5"/>
    <m/>
    <m/>
    <m/>
    <m/>
    <m/>
    <m/>
    <m/>
    <m/>
    <m/>
    <m/>
  </r>
  <r>
    <d v="2024-11-01T00:00:00"/>
    <d v="2024-11-21T00:00:00"/>
    <s v="الخميس "/>
    <s v="الشركة الوطنية "/>
    <s v="احمد شعبان "/>
    <s v="صيانة كالاركات"/>
    <s v="تم العمل"/>
    <d v="1899-12-30T10:00:00"/>
    <d v="1899-12-30T14:00:00"/>
    <n v="0.16666666666666669"/>
    <s v="مخزن الوزارة"/>
    <n v="4"/>
    <m/>
    <m/>
    <x v="14"/>
    <n v="5"/>
    <m/>
    <m/>
    <m/>
    <m/>
    <m/>
    <m/>
    <m/>
    <m/>
    <m/>
    <m/>
  </r>
  <r>
    <d v="2024-11-01T00:00:00"/>
    <d v="2024-11-21T00:00:00"/>
    <s v="الخميس "/>
    <s v="شركة اوزوريون "/>
    <s v="محمد زنفل  "/>
    <s v="انشائات   "/>
    <s v="تم العمل"/>
    <d v="1899-12-30T11:30:00"/>
    <d v="1899-12-30T21:00:00"/>
    <n v="0.39583333333333331"/>
    <s v="البرج"/>
    <n v="9.5"/>
    <m/>
    <m/>
    <x v="3"/>
    <n v="5"/>
    <m/>
    <m/>
    <m/>
    <m/>
    <m/>
    <m/>
    <m/>
    <m/>
    <m/>
    <m/>
  </r>
  <r>
    <d v="2024-11-01T00:00:00"/>
    <d v="2024-11-21T00:00:00"/>
    <s v="الخميس "/>
    <s v="شركة هاى سكيور"/>
    <s v="احمد محمد "/>
    <s v="تركيبات و لحام"/>
    <s v="تم العمل"/>
    <d v="1899-12-30T10:00:00"/>
    <d v="1899-12-30T23:30:00"/>
    <n v="0.5625"/>
    <s v="البرج"/>
    <n v="13.5"/>
    <m/>
    <m/>
    <x v="3"/>
    <n v="5"/>
    <m/>
    <m/>
    <m/>
    <m/>
    <m/>
    <m/>
    <m/>
    <m/>
    <m/>
    <m/>
  </r>
  <r>
    <d v="2024-11-01T00:00:00"/>
    <d v="2024-11-21T00:00:00"/>
    <s v="الخميس "/>
    <s v="شركة شلاندر "/>
    <s v="انس احمد  "/>
    <s v="تركيب  المصاعد "/>
    <s v="تم العمل"/>
    <d v="1899-12-30T09:00:00"/>
    <d v="1899-12-30T16:00:00"/>
    <n v="0.29166666666666663"/>
    <s v="المخزن الجديد "/>
    <n v="6.9999999999999991"/>
    <m/>
    <m/>
    <x v="4"/>
    <n v="5"/>
    <m/>
    <m/>
    <m/>
    <m/>
    <m/>
    <m/>
    <m/>
    <m/>
    <m/>
    <m/>
  </r>
  <r>
    <d v="2024-11-01T00:00:00"/>
    <d v="2024-11-21T00:00:00"/>
    <s v="الخميس "/>
    <s v="شركة الفرج"/>
    <s v="احمد فرج    "/>
    <s v="تركيب فراشة بالشارع  "/>
    <s v="تم العمل"/>
    <d v="1899-12-30T12:30:00"/>
    <d v="1899-12-30T13:30:00"/>
    <n v="4.166666666666663E-2"/>
    <s v="المخزن القديم "/>
    <n v="0.99999999999999911"/>
    <m/>
    <m/>
    <x v="10"/>
    <n v="5"/>
    <m/>
    <m/>
    <m/>
    <m/>
    <m/>
    <m/>
    <m/>
    <m/>
    <m/>
    <m/>
  </r>
  <r>
    <d v="2024-11-01T00:00:00"/>
    <d v="2024-11-21T00:00:00"/>
    <s v="الخميس "/>
    <s v="شركة اوزوريون "/>
    <s v="مراد صالح"/>
    <s v="اعمال صب الخرسانة"/>
    <s v="تم العمل"/>
    <d v="1899-12-30T08:00:00"/>
    <d v="1899-12-30T16:00:00"/>
    <n v="0.33333333333333331"/>
    <s v="المخزن القديم "/>
    <n v="8"/>
    <m/>
    <m/>
    <x v="10"/>
    <n v="5"/>
    <m/>
    <m/>
    <m/>
    <m/>
    <m/>
    <m/>
    <m/>
    <m/>
    <m/>
    <m/>
  </r>
  <r>
    <d v="2024-11-01T00:00:00"/>
    <d v="2024-11-21T00:00:00"/>
    <s v="الخميس "/>
    <s v="الشركة الوطنية "/>
    <s v="احمد شعبان "/>
    <s v="صيانة كلارك "/>
    <s v="تم العمل"/>
    <d v="1899-12-30T10:00:00"/>
    <d v="1899-12-30T14:00:00"/>
    <n v="0.16666666666666669"/>
    <s v="مخزن الوزارة"/>
    <n v="4"/>
    <m/>
    <m/>
    <x v="14"/>
    <n v="5"/>
    <m/>
    <m/>
    <m/>
    <m/>
    <m/>
    <m/>
    <m/>
    <m/>
    <m/>
    <m/>
  </r>
  <r>
    <d v="2024-11-01T00:00:00"/>
    <d v="2024-11-23T00:00:00"/>
    <s v="السبت "/>
    <s v="مالك المخزن "/>
    <s v="خليفة سليمان"/>
    <s v="صيانة غرف الطلمبات"/>
    <s v="تم العمل"/>
    <d v="1899-12-30T13:00:00"/>
    <d v="1899-12-30T17:00:00"/>
    <n v="0.16666666666666674"/>
    <s v="مخزن الوزارة"/>
    <n v="4.0000000000000018"/>
    <m/>
    <m/>
    <x v="14"/>
    <n v="5"/>
    <m/>
    <m/>
    <m/>
    <m/>
    <m/>
    <m/>
    <m/>
    <m/>
    <m/>
    <m/>
  </r>
  <r>
    <d v="2024-11-01T00:00:00"/>
    <d v="2024-11-23T00:00:00"/>
    <s v="السبت "/>
    <s v="شركة اوزوريون "/>
    <s v="محمد زنفل  "/>
    <s v="انشائات   "/>
    <s v="تم العمل"/>
    <d v="1899-12-30T09:30:00"/>
    <d v="1899-12-30T18:00:00"/>
    <n v="0.35416666666666669"/>
    <s v="البرج"/>
    <n v="8.5"/>
    <m/>
    <m/>
    <x v="3"/>
    <n v="5"/>
    <m/>
    <m/>
    <m/>
    <m/>
    <m/>
    <m/>
    <m/>
    <m/>
    <m/>
    <m/>
  </r>
  <r>
    <d v="2024-11-01T00:00:00"/>
    <d v="2024-11-23T00:00:00"/>
    <s v="السبت "/>
    <s v="شركة اوزوريون "/>
    <s v="مراد صالح"/>
    <s v="استكمال اعمال خزان الحريق "/>
    <s v="تم العمل"/>
    <d v="1899-12-30T08:00:00"/>
    <d v="1899-12-30T17:00:00"/>
    <n v="0.37500000000000006"/>
    <s v="المخزن القديم "/>
    <n v="9.0000000000000018"/>
    <m/>
    <m/>
    <x v="13"/>
    <n v="5"/>
    <m/>
    <m/>
    <m/>
    <m/>
    <m/>
    <m/>
    <m/>
    <m/>
    <m/>
    <m/>
  </r>
  <r>
    <d v="2024-11-01T00:00:00"/>
    <d v="2024-11-23T00:00:00"/>
    <s v="السبت "/>
    <s v="شركة اوزوريون "/>
    <s v="محمد صلاح "/>
    <s v="استكمال اعمال شبابيك الالموتال"/>
    <s v="تم العمل"/>
    <d v="1899-12-30T10:00:00"/>
    <d v="1899-12-30T17:00:00"/>
    <n v="0.29166666666666669"/>
    <s v="المخزن الجديد "/>
    <n v="7"/>
    <m/>
    <m/>
    <x v="1"/>
    <n v="5"/>
    <m/>
    <m/>
    <m/>
    <m/>
    <m/>
    <m/>
    <m/>
    <m/>
    <m/>
    <m/>
  </r>
  <r>
    <d v="2024-11-01T00:00:00"/>
    <d v="2024-11-23T00:00:00"/>
    <s v="السبت "/>
    <s v="شركة شلاندر "/>
    <s v="انس احمد  "/>
    <s v="تركيب  المصاعد "/>
    <s v="تم العمل"/>
    <d v="1899-12-30T10:00:00"/>
    <d v="1899-12-30T17:00:00"/>
    <n v="0.29166666666666669"/>
    <s v="المخزن الجديد "/>
    <n v="7"/>
    <m/>
    <m/>
    <x v="1"/>
    <n v="5"/>
    <m/>
    <m/>
    <m/>
    <m/>
    <m/>
    <m/>
    <m/>
    <m/>
    <m/>
    <m/>
  </r>
  <r>
    <d v="2024-11-01T00:00:00"/>
    <d v="2024-11-24T00:00:00"/>
    <s v="الاحد "/>
    <s v="شركة اوزوريون "/>
    <s v="مراد صالح"/>
    <s v="استكمال اعمال خزان الحريق "/>
    <s v="تم العمل"/>
    <d v="1899-12-30T08:00:00"/>
    <d v="1899-12-30T17:00:00"/>
    <n v="0.37500000000000006"/>
    <s v="المخزن القديم "/>
    <n v="9.0000000000000018"/>
    <m/>
    <m/>
    <x v="9"/>
    <n v="5"/>
    <m/>
    <m/>
    <m/>
    <m/>
    <m/>
    <m/>
    <m/>
    <m/>
    <m/>
    <m/>
  </r>
  <r>
    <d v="2024-11-01T00:00:00"/>
    <d v="2024-11-24T00:00:00"/>
    <s v="الاحد "/>
    <s v="مالك المخزن "/>
    <s v="فيكتور لوندي"/>
    <s v="صيانة غرفة الطلمبات  "/>
    <s v="تم العمل"/>
    <d v="1899-12-30T10:30:00"/>
    <d v="1899-12-30T17:30:00"/>
    <n v="0.29166666666666663"/>
    <s v="مخزن الوزارة"/>
    <n v="6.9999999999999991"/>
    <m/>
    <m/>
    <x v="8"/>
    <n v="5"/>
    <m/>
    <m/>
    <m/>
    <m/>
    <m/>
    <m/>
    <m/>
    <m/>
    <m/>
    <m/>
  </r>
  <r>
    <d v="2024-11-01T00:00:00"/>
    <d v="2024-11-24T00:00:00"/>
    <s v="الاحد "/>
    <s v="الشؤون الادارية "/>
    <s v="احمد سعيد"/>
    <s v="عمل سباكة للسخانات بالحمامات"/>
    <s v="تم العمل"/>
    <d v="1899-12-30T16:00:00"/>
    <d v="1899-12-30T17:00:00"/>
    <n v="4.1666666666666741E-2"/>
    <s v="المخزن القديم "/>
    <n v="1.0000000000000018"/>
    <m/>
    <m/>
    <x v="9"/>
    <n v="5"/>
    <m/>
    <m/>
    <m/>
    <m/>
    <m/>
    <m/>
    <m/>
    <m/>
    <m/>
    <m/>
  </r>
  <r>
    <d v="2024-11-01T00:00:00"/>
    <d v="2024-11-25T00:00:00"/>
    <s v="الاثنين "/>
    <s v="شركة شلاندر "/>
    <s v="انس احمد  "/>
    <s v="تركيب المصاعد "/>
    <s v="تم العمل"/>
    <d v="1899-12-30T10:00:00"/>
    <d v="1899-12-30T17:00:00"/>
    <n v="0.29166666666666669"/>
    <s v="المخزن الجديد "/>
    <n v="7"/>
    <m/>
    <m/>
    <x v="1"/>
    <n v="5"/>
    <m/>
    <m/>
    <m/>
    <m/>
    <m/>
    <m/>
    <m/>
    <m/>
    <m/>
    <m/>
  </r>
  <r>
    <d v="2024-11-01T00:00:00"/>
    <d v="2024-11-25T00:00:00"/>
    <s v="الاثنين "/>
    <s v="شركة اوزوريون "/>
    <s v="محمد صلاح "/>
    <s v="استكمال اعمال خزان الحريق "/>
    <s v="تم العمل"/>
    <d v="1899-12-30T08:00:00"/>
    <d v="1899-12-30T17:00:00"/>
    <n v="0.37500000000000006"/>
    <s v="المخزن القديم "/>
    <n v="9.0000000000000018"/>
    <m/>
    <m/>
    <x v="9"/>
    <n v="5"/>
    <m/>
    <m/>
    <m/>
    <m/>
    <m/>
    <m/>
    <m/>
    <m/>
    <m/>
    <m/>
  </r>
  <r>
    <d v="2024-11-01T00:00:00"/>
    <d v="2024-11-25T00:00:00"/>
    <s v="الاثنين "/>
    <s v="شركة اوزوريون "/>
    <s v="محمد صلاح "/>
    <s v="تركيب الوميتال"/>
    <s v="تم العمل"/>
    <d v="1899-12-30T10:00:00"/>
    <d v="1899-12-30T17:00:00"/>
    <n v="0.29166666666666669"/>
    <s v="المخزن الجديد "/>
    <n v="7"/>
    <m/>
    <m/>
    <x v="1"/>
    <n v="5"/>
    <m/>
    <m/>
    <m/>
    <m/>
    <m/>
    <m/>
    <m/>
    <m/>
    <m/>
    <m/>
  </r>
  <r>
    <d v="2024-11-01T00:00:00"/>
    <d v="2024-11-26T00:00:00"/>
    <s v="الثلاثاء "/>
    <s v="الشركة الدولية الاعمال الهندسية "/>
    <s v="حسام الدين محمد"/>
    <s v="عمل عزل بالمداخن الخاصة بماكينات الويب"/>
    <s v="تم العمل"/>
    <d v="1899-12-30T13:00:00"/>
    <d v="1899-12-30T16:00:00"/>
    <n v="0.125"/>
    <s v="المطابع "/>
    <n v="3"/>
    <m/>
    <m/>
    <x v="8"/>
    <n v="5"/>
    <m/>
    <m/>
    <m/>
    <m/>
    <m/>
    <m/>
    <m/>
    <m/>
    <m/>
    <m/>
  </r>
  <r>
    <d v="2024-11-01T00:00:00"/>
    <d v="2024-11-26T00:00:00"/>
    <s v="الثلاثاء "/>
    <s v="الشركة الالمانية "/>
    <s v="اسلام ابراهيم "/>
    <s v="مكافحة الحشرات "/>
    <s v="تم العمل"/>
    <d v="1899-12-30T12:00:00"/>
    <d v="1899-12-30T17:00:00"/>
    <n v="0.20833333333333337"/>
    <s v="المطابع "/>
    <n v="5.0000000000000009"/>
    <m/>
    <m/>
    <x v="0"/>
    <n v="5"/>
    <m/>
    <m/>
    <m/>
    <m/>
    <m/>
    <m/>
    <m/>
    <m/>
    <m/>
    <m/>
  </r>
  <r>
    <d v="2024-11-01T00:00:00"/>
    <d v="2024-11-26T00:00:00"/>
    <s v="الثلاثاء "/>
    <s v="الشركة الالمانية "/>
    <s v="اسلام ابراهيم "/>
    <s v="مكافحة الحشرات "/>
    <s v="تم العمل"/>
    <d v="1899-12-30T16:00:00"/>
    <d v="1899-12-30T17:00:00"/>
    <n v="4.1666666666666741E-2"/>
    <s v="المخزن القديم "/>
    <n v="1.0000000000000018"/>
    <m/>
    <m/>
    <x v="1"/>
    <n v="5"/>
    <m/>
    <m/>
    <m/>
    <m/>
    <m/>
    <m/>
    <m/>
    <m/>
    <m/>
    <m/>
  </r>
  <r>
    <d v="2024-11-01T00:00:00"/>
    <d v="2024-11-26T00:00:00"/>
    <s v="الثلاثاء "/>
    <s v="شركة شلاندر "/>
    <s v="انس احمد  "/>
    <s v="تركيب مصاعد"/>
    <s v="تم العمل"/>
    <d v="1899-12-30T10:00:00"/>
    <d v="1899-12-30T17:00:00"/>
    <n v="0.29166666666666669"/>
    <s v="المخزن الجديد "/>
    <n v="7"/>
    <m/>
    <m/>
    <x v="1"/>
    <n v="5"/>
    <m/>
    <m/>
    <m/>
    <m/>
    <m/>
    <m/>
    <m/>
    <m/>
    <m/>
    <m/>
  </r>
  <r>
    <d v="2024-11-01T00:00:00"/>
    <d v="2024-11-26T00:00:00"/>
    <s v="الثلاثاء "/>
    <s v="الشركة الالمانية "/>
    <s v="اسلام ابراهيم "/>
    <s v="مكافحة الحشرات "/>
    <s v="تم العمل"/>
    <d v="1899-12-30T15:00:00"/>
    <d v="1899-12-30T16:00:00"/>
    <n v="4.166666666666663E-2"/>
    <s v="مخزن الوزارة"/>
    <n v="0.99999999999999911"/>
    <m/>
    <m/>
    <x v="1"/>
    <n v="5"/>
    <m/>
    <m/>
    <m/>
    <m/>
    <m/>
    <m/>
    <m/>
    <m/>
    <m/>
    <m/>
  </r>
  <r>
    <d v="2024-11-01T00:00:00"/>
    <d v="2024-11-26T00:00:00"/>
    <s v="الثلاثاء "/>
    <s v="شركة اوزوريون "/>
    <s v="ابراهيم سعد"/>
    <s v="انشائات   "/>
    <s v="تم العمل"/>
    <d v="1899-12-30T10:00:00"/>
    <d v="1899-12-30T22:00:00"/>
    <n v="0.49999999999999994"/>
    <s v="البرج"/>
    <n v="11.999999999999998"/>
    <m/>
    <m/>
    <x v="3"/>
    <n v="5"/>
    <m/>
    <m/>
    <m/>
    <m/>
    <m/>
    <m/>
    <m/>
    <m/>
    <m/>
    <m/>
  </r>
  <r>
    <d v="2024-11-01T00:00:00"/>
    <d v="2024-11-26T00:00:00"/>
    <s v="الثلاثاء "/>
    <s v="شركة سكوير "/>
    <s v="احمد محمد "/>
    <s v="تركيبات"/>
    <s v="تم العمل"/>
    <d v="1899-12-30T14:00:00"/>
    <d v="1899-12-30T20:00:00"/>
    <n v="0.25"/>
    <s v="البرج"/>
    <n v="6"/>
    <m/>
    <m/>
    <x v="3"/>
    <n v="5"/>
    <m/>
    <m/>
    <m/>
    <m/>
    <m/>
    <m/>
    <m/>
    <m/>
    <m/>
    <m/>
  </r>
  <r>
    <d v="2024-11-01T00:00:00"/>
    <d v="2024-11-27T00:00:00"/>
    <s v="الاربعاء "/>
    <s v="شركة شلاندر "/>
    <s v="احمد السيد"/>
    <s v="تركيب مصاعد"/>
    <s v="تم العمل"/>
    <d v="1899-12-30T10:00:00"/>
    <d v="1899-12-30T17:00:00"/>
    <n v="0.29166666666666669"/>
    <s v="المخزن الجديد "/>
    <n v="7"/>
    <m/>
    <m/>
    <x v="1"/>
    <n v="5"/>
    <m/>
    <m/>
    <m/>
    <m/>
    <m/>
    <m/>
    <m/>
    <m/>
    <m/>
    <m/>
  </r>
  <r>
    <d v="2024-11-01T00:00:00"/>
    <d v="2024-11-27T00:00:00"/>
    <s v="الاربعاء "/>
    <s v="شركة اوزوريون "/>
    <s v="محمد صلاح "/>
    <s v="استكمال اعمال خزان الحريق "/>
    <s v="تم العمل"/>
    <d v="1899-12-30T08:00:00"/>
    <d v="1899-12-30T17:00:00"/>
    <n v="0.37500000000000006"/>
    <s v="المخزن القديم "/>
    <n v="9.0000000000000018"/>
    <m/>
    <m/>
    <x v="9"/>
    <n v="5"/>
    <m/>
    <m/>
    <m/>
    <m/>
    <m/>
    <m/>
    <m/>
    <m/>
    <m/>
    <m/>
  </r>
  <r>
    <d v="2024-11-01T00:00:00"/>
    <d v="2024-11-27T00:00:00"/>
    <s v="الاربعاء "/>
    <s v="شركة اوزوريون "/>
    <s v="ابراهيم سعد"/>
    <s v="تركيبات"/>
    <s v="تم العمل"/>
    <d v="1899-12-30T10:00:00"/>
    <d v="1899-12-30T18:00:00"/>
    <n v="0.33333333333333331"/>
    <s v="البرج"/>
    <n v="8"/>
    <m/>
    <m/>
    <x v="3"/>
    <n v="5"/>
    <m/>
    <m/>
    <m/>
    <m/>
    <m/>
    <m/>
    <m/>
    <m/>
    <m/>
    <m/>
  </r>
  <r>
    <d v="2024-11-01T00:00:00"/>
    <d v="2024-11-28T00:00:00"/>
    <s v="الخميس "/>
    <s v="شركة اوزوريون "/>
    <s v="محمد زنفل  "/>
    <s v="تركيبات"/>
    <s v="تم العمل"/>
    <d v="1899-12-30T09:30:00"/>
    <d v="1899-12-30T18:00:00"/>
    <n v="0.35416666666666669"/>
    <s v="البرج"/>
    <n v="8.5"/>
    <m/>
    <m/>
    <x v="3"/>
    <n v="5"/>
    <m/>
    <m/>
    <m/>
    <m/>
    <m/>
    <m/>
    <m/>
    <m/>
    <m/>
    <m/>
  </r>
  <r>
    <d v="2024-11-01T00:00:00"/>
    <d v="2024-11-30T00:00:00"/>
    <s v="السبت "/>
    <s v="شركة شلاندر "/>
    <s v="محمد احمد محمد"/>
    <s v="تركيب مصاعد"/>
    <s v="تم العمل"/>
    <d v="1899-12-30T10:00:00"/>
    <d v="1899-12-30T17:00:00"/>
    <n v="0.29166666666666669"/>
    <s v="المخزن الجديد "/>
    <n v="7"/>
    <m/>
    <m/>
    <x v="1"/>
    <n v="5"/>
    <m/>
    <m/>
    <m/>
    <m/>
    <m/>
    <m/>
    <m/>
    <m/>
    <m/>
    <m/>
  </r>
  <r>
    <d v="2024-11-01T00:00:00"/>
    <d v="2024-11-30T00:00:00"/>
    <s v="السبت "/>
    <s v="شركة اوزوريون "/>
    <s v="مراد صالح"/>
    <s v="استكمال اعمال خزان الحريق "/>
    <s v="تم العمل"/>
    <d v="1899-12-30T08:00:00"/>
    <d v="1899-12-30T17:00:00"/>
    <n v="0.37500000000000006"/>
    <s v="المخزن القديم "/>
    <n v="9.0000000000000018"/>
    <m/>
    <m/>
    <x v="13"/>
    <n v="5"/>
    <m/>
    <m/>
    <m/>
    <m/>
    <m/>
    <m/>
    <m/>
    <m/>
    <m/>
    <m/>
  </r>
  <r>
    <d v="2024-11-01T00:00:00"/>
    <d v="2024-11-30T00:00:00"/>
    <s v="السبت "/>
    <s v="شركة اوزوريون "/>
    <s v="محمد زنفل  "/>
    <s v="انشائات   "/>
    <s v="تم العمل"/>
    <d v="1899-12-30T09:30:00"/>
    <d v="1899-12-30T21:00:00"/>
    <n v="0.47916666666666669"/>
    <s v="البرج"/>
    <n v="11.5"/>
    <m/>
    <m/>
    <x v="3"/>
    <n v="5"/>
    <m/>
    <m/>
    <m/>
    <m/>
    <m/>
    <m/>
    <m/>
    <m/>
    <m/>
    <m/>
  </r>
  <r>
    <d v="2024-11-01T00:00:00"/>
    <d v="2024-11-30T00:00:00"/>
    <s v="السبت "/>
    <s v="شركة وان كونكت"/>
    <s v="سيد عادل"/>
    <s v="تركيبات"/>
    <s v="تم العمل"/>
    <d v="1899-12-30T10:15:00"/>
    <d v="1899-12-30T14:00:00"/>
    <n v="0.15625000000000006"/>
    <s v="البرج"/>
    <n v="3.7500000000000013"/>
    <m/>
    <m/>
    <x v="3"/>
    <n v="5"/>
    <m/>
    <m/>
    <m/>
    <m/>
    <m/>
    <m/>
    <m/>
    <m/>
    <m/>
    <m/>
  </r>
  <r>
    <d v="2024-12-01T00:00:00"/>
    <d v="2024-12-01T00:00:00"/>
    <s v="الاحد "/>
    <s v="الشركة الالمانية "/>
    <s v="اسلام ابراهيم "/>
    <s v="مكافحة الحشرات "/>
    <s v="تم العمل"/>
    <d v="1899-12-30T10:30:00"/>
    <d v="1899-12-30T16:00:00"/>
    <n v="0.22916666666666663"/>
    <s v="المطابع "/>
    <n v="5.4999999999999991"/>
    <m/>
    <m/>
    <x v="8"/>
    <n v="5"/>
    <m/>
    <m/>
    <m/>
    <m/>
    <m/>
    <m/>
    <m/>
    <m/>
    <m/>
    <m/>
  </r>
  <r>
    <d v="2024-12-01T00:00:00"/>
    <d v="2024-12-01T00:00:00"/>
    <s v="الاحد "/>
    <s v="شركة شلاندر "/>
    <s v="محمد احمد محمد"/>
    <s v="تركيب مصاعد"/>
    <s v="تم العمل"/>
    <d v="1899-12-30T10:00:00"/>
    <d v="1899-12-30T17:00:00"/>
    <n v="0.29166666666666635"/>
    <s v="المخزن الجديد "/>
    <n v="6.9999999999999929"/>
    <m/>
    <m/>
    <x v="1"/>
    <n v="5"/>
    <m/>
    <m/>
    <m/>
    <m/>
    <m/>
    <m/>
    <m/>
    <m/>
    <m/>
    <m/>
  </r>
  <r>
    <d v="2024-12-01T00:00:00"/>
    <d v="2024-12-01T00:00:00"/>
    <s v="الاحد "/>
    <s v="شركة الكريم "/>
    <s v="حامد عطوان      "/>
    <s v="صيانة غرفة الطلمبات  "/>
    <s v="تم العمل"/>
    <d v="1899-12-30T10:00:00"/>
    <d v="1899-12-30T16:00:00"/>
    <n v="0.24999999999999994"/>
    <s v="المطابع "/>
    <n v="5.9999999999999982"/>
    <m/>
    <m/>
    <x v="2"/>
    <n v="5"/>
    <m/>
    <m/>
    <m/>
    <m/>
    <m/>
    <m/>
    <m/>
    <m/>
    <m/>
    <m/>
  </r>
  <r>
    <d v="2024-12-01T00:00:00"/>
    <d v="2024-12-01T00:00:00"/>
    <s v="الاحد "/>
    <s v="شركة اوزوريون "/>
    <s v="محمد صلاح "/>
    <s v="استكمال اعمال خزان الحريق "/>
    <s v="تم العمل"/>
    <d v="1899-12-30T08:00:00"/>
    <d v="1899-12-30T17:00:00"/>
    <n v="0.37500000000000006"/>
    <s v="المخزن القديم "/>
    <n v="9.0000000000000018"/>
    <m/>
    <m/>
    <x v="9"/>
    <n v="5"/>
    <m/>
    <m/>
    <m/>
    <m/>
    <m/>
    <m/>
    <m/>
    <m/>
    <m/>
    <m/>
  </r>
  <r>
    <d v="2024-12-01T00:00:00"/>
    <d v="2024-12-01T00:00:00"/>
    <s v="الاحد "/>
    <s v="الشؤون الادارية "/>
    <s v="احمد سعيد"/>
    <s v="تغيير صرف الامطار"/>
    <s v="تم العمل"/>
    <d v="1899-12-30T11:00:00"/>
    <d v="1899-12-30T17:00:00"/>
    <n v="0.25000000000000006"/>
    <s v="المخزن القديم "/>
    <n v="6.0000000000000018"/>
    <m/>
    <m/>
    <x v="9"/>
    <n v="5"/>
    <m/>
    <m/>
    <m/>
    <m/>
    <m/>
    <m/>
    <m/>
    <m/>
    <m/>
    <m/>
  </r>
  <r>
    <d v="2024-12-01T00:00:00"/>
    <d v="2024-12-01T00:00:00"/>
    <s v="الاحد "/>
    <s v="شركة اوزوريون "/>
    <s v="ابراهيم سعد"/>
    <s v="انشائات"/>
    <s v="تم العمل"/>
    <d v="1899-12-30T10:00:00"/>
    <d v="1899-12-30T18:00:00"/>
    <n v="0.33333333333333331"/>
    <s v="البرج"/>
    <n v="8"/>
    <m/>
    <m/>
    <x v="3"/>
    <n v="5"/>
    <m/>
    <m/>
    <m/>
    <m/>
    <m/>
    <m/>
    <m/>
    <m/>
    <m/>
    <m/>
  </r>
  <r>
    <d v="2024-12-01T00:00:00"/>
    <d v="2024-12-02T00:00:00"/>
    <s v="الاثنين "/>
    <s v="شركة شلاندر "/>
    <s v="انس احمد  "/>
    <s v="تركيب مصاعد"/>
    <s v="تم العمل"/>
    <d v="1899-12-30T10:00:00"/>
    <d v="1899-12-30T17:00:00"/>
    <n v="0.29166666666666635"/>
    <s v="المخزن الجديد "/>
    <n v="6.9999999999999929"/>
    <m/>
    <m/>
    <x v="1"/>
    <n v="5"/>
    <m/>
    <m/>
    <m/>
    <m/>
    <m/>
    <m/>
    <m/>
    <m/>
    <m/>
    <m/>
  </r>
  <r>
    <d v="2024-12-01T00:00:00"/>
    <d v="2024-12-02T00:00:00"/>
    <s v="الاثنين "/>
    <s v="القطاع الهندسى "/>
    <s v="عبدالله عبدالعليم طه"/>
    <s v="اعمال بناء"/>
    <s v="تم العمل"/>
    <d v="1899-12-30T12:00:00"/>
    <d v="1899-12-30T17:00:00"/>
    <n v="0.20833333333333304"/>
    <s v="المخزن الجديد "/>
    <n v="4.9999999999999929"/>
    <m/>
    <m/>
    <x v="1"/>
    <n v="5"/>
    <m/>
    <m/>
    <m/>
    <m/>
    <m/>
    <m/>
    <m/>
    <m/>
    <m/>
    <m/>
  </r>
  <r>
    <d v="2024-12-01T00:00:00"/>
    <d v="2024-12-02T00:00:00"/>
    <s v="الاثنين "/>
    <s v="شركة الهدى "/>
    <s v="رامي السعيد"/>
    <s v="صيانة كراسي مكتب "/>
    <s v="تم العمل"/>
    <d v="1899-12-30T14:00:00"/>
    <d v="1899-12-30T15:00:00"/>
    <n v="4.166666666666663E-2"/>
    <s v="المطابع "/>
    <n v="0.99999999999999911"/>
    <m/>
    <m/>
    <x v="10"/>
    <n v="5"/>
    <m/>
    <m/>
    <m/>
    <m/>
    <m/>
    <m/>
    <m/>
    <m/>
    <m/>
    <m/>
  </r>
  <r>
    <d v="2024-12-01T00:00:00"/>
    <d v="2024-12-02T00:00:00"/>
    <s v="الاثنين "/>
    <s v="شركة الكريم "/>
    <s v="حامد عطوان      "/>
    <s v="صيانة غرفة الطلمبات  "/>
    <s v="تم العمل"/>
    <d v="1899-12-30T10:00:00"/>
    <d v="1899-12-30T17:00:00"/>
    <n v="0.29166666666666669"/>
    <s v="المطابع "/>
    <n v="7"/>
    <m/>
    <m/>
    <x v="2"/>
    <n v="5"/>
    <m/>
    <m/>
    <m/>
    <m/>
    <m/>
    <m/>
    <m/>
    <m/>
    <m/>
    <m/>
  </r>
  <r>
    <d v="2024-12-01T00:00:00"/>
    <d v="2024-12-02T00:00:00"/>
    <s v="الاثنين "/>
    <s v="شركة اوزوريون "/>
    <s v="مراد صالح"/>
    <s v="استكمال اعمال خزان الحريق "/>
    <s v="تم العمل"/>
    <d v="1899-12-30T08:00:00"/>
    <d v="1899-12-30T17:00:00"/>
    <n v="0.37500000000000006"/>
    <s v="المخزن القديم "/>
    <n v="9.0000000000000018"/>
    <m/>
    <m/>
    <x v="9"/>
    <n v="5"/>
    <m/>
    <m/>
    <m/>
    <m/>
    <m/>
    <m/>
    <m/>
    <m/>
    <m/>
    <m/>
  </r>
  <r>
    <d v="2024-12-01T00:00:00"/>
    <d v="2024-12-02T00:00:00"/>
    <s v="الاثنين "/>
    <s v="شركة اوزوريون "/>
    <s v="ابراهيم سعد"/>
    <s v="انشائات"/>
    <s v="تم العمل"/>
    <d v="1899-12-30T09:30:00"/>
    <d v="1899-12-30T18:00:00"/>
    <n v="0.35416666666666669"/>
    <s v="البرج"/>
    <n v="8.5"/>
    <m/>
    <m/>
    <x v="3"/>
    <n v="5"/>
    <m/>
    <m/>
    <m/>
    <m/>
    <m/>
    <m/>
    <m/>
    <m/>
    <m/>
    <m/>
  </r>
  <r>
    <d v="2024-12-01T00:00:00"/>
    <d v="2024-12-03T00:00:00"/>
    <s v="الثلاثاء "/>
    <s v="شركة شلاندر "/>
    <s v="انس احمد  "/>
    <s v="تركيب مصاعد"/>
    <s v="تم العمل"/>
    <d v="1899-12-30T10:00:00"/>
    <d v="1899-12-30T17:30:00"/>
    <n v="0.31249999999999994"/>
    <s v="المخزن الجديد "/>
    <n v="7.4999999999999982"/>
    <m/>
    <m/>
    <x v="8"/>
    <n v="5"/>
    <m/>
    <m/>
    <m/>
    <m/>
    <m/>
    <m/>
    <m/>
    <m/>
    <m/>
    <m/>
  </r>
  <r>
    <d v="2024-12-01T00:00:00"/>
    <d v="2024-12-03T00:00:00"/>
    <s v="الثلاثاء "/>
    <s v="شركة الكريم "/>
    <s v="حامد عطوان"/>
    <s v="صيانة غرفة الطلمبات  "/>
    <s v="تم العمل"/>
    <d v="1899-12-30T10:00:00"/>
    <d v="1899-12-30T11:00:00"/>
    <n v="4.166666666666663E-2"/>
    <s v="المطابع "/>
    <n v="0.99999999999999911"/>
    <m/>
    <m/>
    <x v="2"/>
    <n v="5"/>
    <m/>
    <m/>
    <m/>
    <m/>
    <m/>
    <m/>
    <m/>
    <m/>
    <m/>
    <m/>
  </r>
  <r>
    <d v="2024-12-01T00:00:00"/>
    <d v="2024-12-03T00:00:00"/>
    <s v="الثلاثاء "/>
    <s v="شركة اوزوريون "/>
    <s v="محمد صلاح "/>
    <s v="استكمال اعمال خزان الحريق "/>
    <s v="تم العمل"/>
    <d v="1899-12-30T08:00:00"/>
    <d v="1899-12-30T17:00:00"/>
    <n v="0.37500000000000006"/>
    <s v="المخزن القديم "/>
    <n v="9.0000000000000018"/>
    <m/>
    <m/>
    <x v="9"/>
    <n v="5"/>
    <m/>
    <m/>
    <m/>
    <m/>
    <m/>
    <m/>
    <m/>
    <m/>
    <m/>
    <m/>
  </r>
  <r>
    <d v="2024-12-01T00:00:00"/>
    <d v="2024-12-03T00:00:00"/>
    <s v="الثلاثاء "/>
    <s v="شركة اوزوريون "/>
    <s v="ابراهيم سعد"/>
    <s v="انشائات"/>
    <s v="تم العمل"/>
    <d v="1899-12-30T09:30:00"/>
    <d v="1899-12-30T18:00:00"/>
    <n v="0.35416666666666669"/>
    <s v="البرج"/>
    <n v="8.5"/>
    <m/>
    <m/>
    <x v="3"/>
    <n v="5"/>
    <m/>
    <m/>
    <m/>
    <m/>
    <m/>
    <m/>
    <m/>
    <m/>
    <m/>
    <m/>
  </r>
  <r>
    <d v="2024-12-01T00:00:00"/>
    <d v="2024-12-04T00:00:00"/>
    <s v="الاربعاء "/>
    <s v="شركة شلاندر "/>
    <s v="انس احمد  "/>
    <s v="تركيب مصاعد"/>
    <s v="تم العمل"/>
    <d v="1899-12-30T10:00:00"/>
    <d v="1899-12-30T17:00:00"/>
    <n v="0.29166666666666635"/>
    <s v="المخزن الجديد "/>
    <n v="6.9999999999999929"/>
    <m/>
    <m/>
    <x v="8"/>
    <n v="5"/>
    <m/>
    <m/>
    <m/>
    <m/>
    <m/>
    <m/>
    <m/>
    <m/>
    <m/>
    <m/>
  </r>
  <r>
    <d v="2024-12-01T00:00:00"/>
    <d v="2024-12-04T00:00:00"/>
    <s v="الاربعاء "/>
    <s v="شركة اوزوريون "/>
    <s v="محمد صلاح "/>
    <s v="استكمال اعمال خزان الحريق "/>
    <s v="تم العمل"/>
    <d v="1899-12-30T08:00:00"/>
    <d v="1899-12-30T17:00:00"/>
    <n v="0.37500000000000006"/>
    <s v="المخزن القديم "/>
    <n v="9.0000000000000018"/>
    <m/>
    <m/>
    <x v="9"/>
    <n v="5"/>
    <m/>
    <m/>
    <m/>
    <m/>
    <m/>
    <m/>
    <m/>
    <m/>
    <m/>
    <m/>
  </r>
  <r>
    <d v="2024-12-01T00:00:00"/>
    <d v="2024-12-04T00:00:00"/>
    <s v="الاربعاء "/>
    <s v="شركة اوزوريون "/>
    <s v="ابراهيم سعد"/>
    <s v="انشائات   "/>
    <s v="تم العمل"/>
    <d v="1899-12-30T13:00:00"/>
    <d v="1899-12-30T18:00:00"/>
    <n v="0.20833333333333337"/>
    <s v="البرج"/>
    <n v="5.0000000000000009"/>
    <m/>
    <m/>
    <x v="3"/>
    <n v="5"/>
    <m/>
    <m/>
    <m/>
    <m/>
    <m/>
    <m/>
    <m/>
    <m/>
    <m/>
    <m/>
  </r>
  <r>
    <d v="2024-12-01T00:00:00"/>
    <d v="2024-12-05T00:00:00"/>
    <s v="الخميس "/>
    <s v="شركة اوزوريون "/>
    <s v="مراد صالح"/>
    <s v="استكمال اعمال خزان الحريق "/>
    <s v="تم العمل"/>
    <d v="1899-12-30T08:00:00"/>
    <d v="1899-12-30T17:00:00"/>
    <n v="0.37500000000000006"/>
    <s v="المخزن القديم "/>
    <n v="9.0000000000000018"/>
    <m/>
    <m/>
    <x v="9"/>
    <n v="5"/>
    <m/>
    <m/>
    <m/>
    <m/>
    <m/>
    <m/>
    <m/>
    <m/>
    <m/>
    <m/>
  </r>
  <r>
    <d v="2024-12-01T00:00:00"/>
    <d v="2024-12-05T00:00:00"/>
    <s v="الخميس "/>
    <s v="مقاول خارجي"/>
    <s v="خليل محمود"/>
    <s v="اعمل سباكة"/>
    <s v="تم العمل"/>
    <d v="1899-12-30T10:00:00"/>
    <d v="1899-12-30T13:30:00"/>
    <n v="0.14583333333333331"/>
    <s v="المطابع "/>
    <n v="3.4999999999999996"/>
    <m/>
    <m/>
    <x v="10"/>
    <n v="5"/>
    <m/>
    <m/>
    <m/>
    <m/>
    <m/>
    <m/>
    <m/>
    <m/>
    <m/>
    <m/>
  </r>
  <r>
    <d v="2024-12-01T00:00:00"/>
    <d v="2024-12-05T00:00:00"/>
    <s v="الخميس "/>
    <s v="شركة الهدى "/>
    <s v="اسلام مصطفى    "/>
    <s v="صيانة ماكينة CTP"/>
    <s v="تم العمل"/>
    <d v="1899-12-30T12:30:00"/>
    <d v="1899-12-30T17:00:00"/>
    <n v="0.1875"/>
    <s v="المطابع "/>
    <n v="4.5"/>
    <m/>
    <m/>
    <x v="14"/>
    <n v="5"/>
    <m/>
    <m/>
    <m/>
    <m/>
    <m/>
    <m/>
    <m/>
    <m/>
    <m/>
    <m/>
  </r>
  <r>
    <d v="2024-12-01T00:00:00"/>
    <d v="2024-12-07T00:00:00"/>
    <s v="السبت "/>
    <s v="شركة شلاندر "/>
    <s v="انس احمد  "/>
    <s v="تركيب مصاعد"/>
    <s v="تم العمل"/>
    <d v="1899-12-30T10:00:00"/>
    <d v="1899-12-30T17:00:00"/>
    <n v="0.29166666666666635"/>
    <s v="المخزن الجديد "/>
    <n v="6.9999999999999929"/>
    <m/>
    <m/>
    <x v="10"/>
    <n v="5"/>
    <m/>
    <m/>
    <m/>
    <m/>
    <m/>
    <m/>
    <m/>
    <m/>
    <m/>
    <m/>
  </r>
  <r>
    <d v="2024-12-01T00:00:00"/>
    <d v="2024-12-07T00:00:00"/>
    <s v="السبت "/>
    <s v="الشركة الالمانية "/>
    <s v="محمد مهنى  "/>
    <s v="مكافحة قوارض وحشرات"/>
    <s v="تم العمل"/>
    <d v="1899-12-30T11:00:00"/>
    <d v="1899-12-30T13:30:00"/>
    <n v="0.10416666666666702"/>
    <s v="المطابع "/>
    <n v="2.5000000000000084"/>
    <m/>
    <m/>
    <x v="14"/>
    <n v="5"/>
    <m/>
    <m/>
    <m/>
    <m/>
    <m/>
    <m/>
    <m/>
    <m/>
    <m/>
    <m/>
  </r>
  <r>
    <d v="2024-12-01T00:00:00"/>
    <d v="2024-12-07T00:00:00"/>
    <s v="السبت "/>
    <s v="الشركة الوطنية "/>
    <s v="احمد شعبان "/>
    <s v="صيانة كلارك"/>
    <s v="تم العمل"/>
    <d v="1899-12-30T16:30:00"/>
    <d v="1899-12-30T17:30:00"/>
    <n v="4.166666666666663E-2"/>
    <s v="المطابع "/>
    <n v="0.99999999999999911"/>
    <m/>
    <m/>
    <x v="14"/>
    <n v="5"/>
    <m/>
    <m/>
    <m/>
    <m/>
    <m/>
    <m/>
    <m/>
    <m/>
    <m/>
    <m/>
  </r>
  <r>
    <d v="2024-12-01T00:00:00"/>
    <d v="2024-12-07T00:00:00"/>
    <s v="السبت "/>
    <s v="شركة اوزوريون "/>
    <s v="مراد صالح"/>
    <s v="استكمال اعمال خزان الحريق "/>
    <s v="تم العمل"/>
    <d v="1899-12-30T08:00:00"/>
    <d v="1899-12-30T17:00:00"/>
    <n v="0.37500000000000006"/>
    <s v="المخزن القديم "/>
    <n v="9.0000000000000018"/>
    <m/>
    <m/>
    <x v="13"/>
    <n v="5"/>
    <m/>
    <m/>
    <m/>
    <m/>
    <m/>
    <m/>
    <m/>
    <m/>
    <m/>
    <m/>
  </r>
  <r>
    <d v="2024-12-01T00:00:00"/>
    <d v="2024-12-07T00:00:00"/>
    <s v="السبت "/>
    <s v="شركة العشري"/>
    <s v="محمد علي "/>
    <s v="تركيب تكييف"/>
    <s v="تم العمل"/>
    <d v="1899-12-30T11:00:00"/>
    <d v="1899-12-30T18:00:00"/>
    <n v="0.29166666666666669"/>
    <s v="البرج"/>
    <n v="7"/>
    <m/>
    <m/>
    <x v="3"/>
    <n v="5"/>
    <m/>
    <m/>
    <m/>
    <m/>
    <m/>
    <m/>
    <m/>
    <m/>
    <m/>
    <m/>
  </r>
  <r>
    <d v="2024-12-01T00:00:00"/>
    <d v="2024-12-07T00:00:00"/>
    <s v="السبت "/>
    <s v="شركة اوزوريون "/>
    <s v="محمد زنفل  "/>
    <s v="انشائات"/>
    <s v="تم العمل"/>
    <d v="1899-12-30T10:00:00"/>
    <d v="1899-12-30T18:00:00"/>
    <n v="0.33333333333333331"/>
    <s v="البرج"/>
    <n v="8"/>
    <m/>
    <m/>
    <x v="3"/>
    <n v="5"/>
    <m/>
    <m/>
    <m/>
    <m/>
    <m/>
    <m/>
    <m/>
    <m/>
    <m/>
    <m/>
  </r>
  <r>
    <d v="2024-12-01T00:00:00"/>
    <d v="2024-12-08T00:00:00"/>
    <s v="الاحد "/>
    <s v="شركة الكريم "/>
    <s v="علي الشحات "/>
    <s v="المرور الشهري على نظام الانذار"/>
    <s v="تم العمل"/>
    <d v="1899-12-30T11:00:00"/>
    <d v="1899-12-30T13:30:00"/>
    <n v="0.10416666666666702"/>
    <s v="المطابع "/>
    <n v="2.5000000000000084"/>
    <m/>
    <m/>
    <x v="5"/>
    <n v="5"/>
    <m/>
    <m/>
    <m/>
    <m/>
    <m/>
    <m/>
    <m/>
    <m/>
    <m/>
    <m/>
  </r>
  <r>
    <d v="2024-12-01T00:00:00"/>
    <d v="2024-12-08T00:00:00"/>
    <s v="الاحد "/>
    <s v="شركة شلاندر "/>
    <s v="انس احمد  "/>
    <s v="تركيب مصاعد"/>
    <s v="تم العمل"/>
    <d v="1899-12-30T10:00:00"/>
    <d v="1899-12-30T17:00:00"/>
    <n v="0.29166666666666669"/>
    <s v="المخزن الجديد "/>
    <n v="7"/>
    <m/>
    <m/>
    <x v="1"/>
    <n v="3"/>
    <m/>
    <m/>
    <m/>
    <m/>
    <m/>
    <m/>
    <m/>
    <m/>
    <m/>
    <m/>
  </r>
  <r>
    <d v="2024-12-01T00:00:00"/>
    <d v="2024-12-08T00:00:00"/>
    <s v="الاحد "/>
    <s v="شركة الكريم "/>
    <s v="علي الشحات "/>
    <s v="المرور الشهري على نظام الانذار"/>
    <s v="تم العمل"/>
    <d v="1899-12-30T10:00:00"/>
    <d v="1899-12-30T11:00:00"/>
    <n v="4.166666666666663E-2"/>
    <s v="المخزن الجديد "/>
    <n v="0.99999999999999911"/>
    <m/>
    <m/>
    <x v="1"/>
    <n v="5"/>
    <m/>
    <m/>
    <m/>
    <m/>
    <m/>
    <m/>
    <m/>
    <m/>
    <m/>
    <m/>
  </r>
  <r>
    <d v="2024-12-01T00:00:00"/>
    <d v="2024-12-08T00:00:00"/>
    <s v="الاحد "/>
    <s v="الشركة الالمانية "/>
    <s v="محمد احمد"/>
    <s v="مكافحة قوارض وحشرات"/>
    <s v="تم العمل"/>
    <d v="1899-12-30T14:00:00"/>
    <d v="1899-12-30T15:00:00"/>
    <n v="4.166666666666663E-2"/>
    <s v="المخزن الجديد "/>
    <n v="0.99999999999999911"/>
    <m/>
    <m/>
    <x v="1"/>
    <n v="5"/>
    <m/>
    <m/>
    <m/>
    <m/>
    <m/>
    <m/>
    <m/>
    <m/>
    <m/>
    <m/>
  </r>
  <r>
    <d v="2024-12-01T00:00:00"/>
    <d v="2024-12-08T00:00:00"/>
    <s v="الاحد "/>
    <s v="شركة اوزوريون "/>
    <s v="مراد صالح"/>
    <s v="استكمال اعمال خزان الحريق "/>
    <s v="تم العمل"/>
    <d v="1899-12-30T08:00:00"/>
    <d v="1899-12-30T17:00:00"/>
    <n v="0.37500000000000006"/>
    <s v="المخزن القديم "/>
    <n v="9.0000000000000018"/>
    <m/>
    <m/>
    <x v="13"/>
    <n v="5"/>
    <m/>
    <m/>
    <m/>
    <m/>
    <m/>
    <m/>
    <m/>
    <m/>
    <m/>
    <m/>
  </r>
  <r>
    <d v="2024-12-01T00:00:00"/>
    <d v="2024-12-08T00:00:00"/>
    <s v="الاحد "/>
    <s v="شركة الكريم "/>
    <s v="علي الشحات "/>
    <s v="المرور الشهري على نظام الانذار"/>
    <s v="تم العمل"/>
    <d v="1899-12-30T13:00:00"/>
    <d v="1899-12-30T14:00:00"/>
    <n v="4.1666666666666741E-2"/>
    <s v="المخزن القديم "/>
    <n v="1.0000000000000018"/>
    <m/>
    <m/>
    <x v="10"/>
    <n v="5"/>
    <m/>
    <m/>
    <m/>
    <m/>
    <m/>
    <m/>
    <m/>
    <m/>
    <m/>
    <m/>
  </r>
  <r>
    <d v="2024-12-01T00:00:00"/>
    <d v="2024-12-08T00:00:00"/>
    <s v="الاحد "/>
    <s v="مقاول خارجي"/>
    <s v="عمرو عصام"/>
    <s v="صيانة كلاركات "/>
    <s v="تم العمل"/>
    <d v="1899-12-30T14:00:00"/>
    <d v="1899-12-30T15:00:00"/>
    <n v="4.1666666666666963E-2"/>
    <s v="المخزن القديم "/>
    <n v="1.0000000000000071"/>
    <m/>
    <m/>
    <x v="10"/>
    <n v="5"/>
    <m/>
    <m/>
    <m/>
    <m/>
    <m/>
    <m/>
    <m/>
    <m/>
    <m/>
    <m/>
  </r>
  <r>
    <d v="2024-12-01T00:00:00"/>
    <d v="2024-12-08T00:00:00"/>
    <s v="الاحد "/>
    <s v="شركة الكريم "/>
    <s v="حامد ابو المجد "/>
    <s v="المرور الشهري على نظام الانذار"/>
    <s v="تم العمل"/>
    <d v="1899-12-30T14:30:00"/>
    <d v="1899-12-30T16:00:00"/>
    <n v="6.25E-2"/>
    <s v="المخزن القديم "/>
    <n v="1.5"/>
    <m/>
    <m/>
    <x v="10"/>
    <n v="5"/>
    <m/>
    <m/>
    <m/>
    <m/>
    <m/>
    <m/>
    <m/>
    <m/>
    <m/>
    <m/>
  </r>
  <r>
    <d v="2024-12-01T00:00:00"/>
    <d v="2024-12-08T00:00:00"/>
    <s v="الاحد "/>
    <s v="الشركة الالمانية "/>
    <s v="احمد محمد "/>
    <s v="مكافحة قوارض وحشرات"/>
    <s v="تم العمل"/>
    <d v="1899-12-30T15:30:00"/>
    <d v="1899-12-30T16:30:00"/>
    <n v="4.1666666666666963E-2"/>
    <s v="المخزن القديم "/>
    <n v="1.0000000000000071"/>
    <m/>
    <m/>
    <x v="10"/>
    <n v="5"/>
    <m/>
    <m/>
    <m/>
    <m/>
    <m/>
    <m/>
    <m/>
    <m/>
    <m/>
    <m/>
  </r>
  <r>
    <d v="2024-12-01T00:00:00"/>
    <d v="2024-12-08T00:00:00"/>
    <s v="الاحد "/>
    <s v="شركة اوزوريون "/>
    <s v="ابراهيم سعد"/>
    <s v="انشائات   "/>
    <s v="تم العمل"/>
    <d v="1899-12-30T10:00:00"/>
    <d v="1899-12-30T20:00:00"/>
    <n v="0.41666666666666669"/>
    <s v="البرج"/>
    <n v="10"/>
    <m/>
    <m/>
    <x v="3"/>
    <n v="5"/>
    <m/>
    <m/>
    <m/>
    <m/>
    <m/>
    <m/>
    <m/>
    <m/>
    <m/>
    <m/>
  </r>
  <r>
    <d v="2024-12-01T00:00:00"/>
    <d v="2024-12-09T00:00:00"/>
    <s v="الاثنين "/>
    <s v="شركة اوزوريون "/>
    <s v="ابراهيم سعد"/>
    <s v="انشائات   "/>
    <s v="تم العمل"/>
    <d v="1899-12-30T10:00:00"/>
    <d v="1899-12-30T18:00:00"/>
    <n v="0.33333333333333331"/>
    <s v="البرج"/>
    <n v="8"/>
    <m/>
    <m/>
    <x v="3"/>
    <n v="5"/>
    <m/>
    <m/>
    <m/>
    <m/>
    <m/>
    <m/>
    <m/>
    <m/>
    <m/>
    <m/>
  </r>
  <r>
    <d v="2024-12-01T00:00:00"/>
    <d v="2024-12-09T00:00:00"/>
    <s v="الاثنين "/>
    <s v="شركة اوزوريون "/>
    <s v="مراد صالح"/>
    <s v="استكمال اعمال خزان الحريق "/>
    <s v="تم العمل"/>
    <d v="1899-12-30T08:00:00"/>
    <d v="1899-12-30T17:00:00"/>
    <n v="0.37500000000000006"/>
    <s v="المخزن القديم "/>
    <n v="9.0000000000000018"/>
    <m/>
    <m/>
    <x v="8"/>
    <n v="4"/>
    <m/>
    <m/>
    <m/>
    <m/>
    <m/>
    <m/>
    <m/>
    <m/>
    <m/>
    <m/>
  </r>
  <r>
    <d v="2024-12-01T00:00:00"/>
    <d v="2024-12-09T00:00:00"/>
    <s v="الاثنين "/>
    <s v="شركة شلاندر "/>
    <s v="انس احمد  "/>
    <s v="تركيب مصاعد"/>
    <s v="تم العمل"/>
    <d v="1899-12-30T10:00:00"/>
    <d v="1899-12-30T20:00:00"/>
    <n v="0.41666666666666669"/>
    <s v="المخزن الجديد "/>
    <n v="10"/>
    <m/>
    <m/>
    <x v="1"/>
    <n v="5"/>
    <m/>
    <m/>
    <m/>
    <m/>
    <m/>
    <m/>
    <m/>
    <m/>
    <m/>
    <m/>
  </r>
  <r>
    <d v="2024-12-01T00:00:00"/>
    <d v="2024-12-10T00:00:00"/>
    <s v="الثلاثاء "/>
    <s v="شركة اوزوريون "/>
    <s v="ابراهيم سعد"/>
    <s v="انشائات   "/>
    <s v="تم العمل"/>
    <d v="1899-12-30T10:00:00"/>
    <d v="1899-12-30T18:00:00"/>
    <n v="0.33333333333333331"/>
    <s v="البرج"/>
    <n v="8"/>
    <m/>
    <m/>
    <x v="3"/>
    <n v="5"/>
    <m/>
    <m/>
    <m/>
    <m/>
    <m/>
    <m/>
    <m/>
    <m/>
    <m/>
    <m/>
  </r>
  <r>
    <d v="2024-12-01T00:00:00"/>
    <d v="2024-12-10T00:00:00"/>
    <s v="الثلاثاء "/>
    <s v="الشركة الالمانية "/>
    <s v="اسلام ابراهيم "/>
    <s v="مكافحة الحشرات "/>
    <s v="تم العمل"/>
    <d v="1899-12-30T16:30:00"/>
    <d v="1899-12-30T17:30:00"/>
    <n v="4.166666666666663E-2"/>
    <s v="المطابع "/>
    <n v="0.99999999999999911"/>
    <m/>
    <m/>
    <x v="0"/>
    <n v="5"/>
    <m/>
    <m/>
    <m/>
    <m/>
    <m/>
    <m/>
    <m/>
    <m/>
    <m/>
    <m/>
  </r>
  <r>
    <d v="2024-12-01T00:00:00"/>
    <d v="2024-12-11T00:00:00"/>
    <s v="الاربعاء "/>
    <s v="شركة الامل "/>
    <s v="رامي محمد"/>
    <s v="صيانة شبابيك الالمونتال "/>
    <s v="تم العمل"/>
    <d v="1899-12-30T14:30:00"/>
    <d v="1899-12-30T16:00:00"/>
    <n v="6.25E-2"/>
    <s v="المطابع "/>
    <n v="1.5"/>
    <m/>
    <m/>
    <x v="10"/>
    <n v="5"/>
    <m/>
    <m/>
    <m/>
    <m/>
    <m/>
    <m/>
    <m/>
    <m/>
    <m/>
    <m/>
  </r>
  <r>
    <d v="2024-12-01T00:00:00"/>
    <d v="2024-12-11T00:00:00"/>
    <s v="الاربعاء "/>
    <s v="الشؤون الادارية "/>
    <s v="محمود عويس"/>
    <s v="صيانة ثلاجة تبريد "/>
    <s v="تم العمل"/>
    <d v="1899-12-30T10:30:00"/>
    <d v="1899-12-30T12:30:00"/>
    <n v="8.333333333333337E-2"/>
    <s v="المطابع "/>
    <n v="2.0000000000000009"/>
    <m/>
    <m/>
    <x v="10"/>
    <n v="5"/>
    <m/>
    <m/>
    <m/>
    <m/>
    <m/>
    <m/>
    <m/>
    <m/>
    <m/>
    <m/>
  </r>
  <r>
    <d v="2024-12-01T00:00:00"/>
    <d v="2024-12-11T00:00:00"/>
    <s v="الاربعاء "/>
    <s v="شركة اوزوريون "/>
    <s v="محمد صلاح "/>
    <s v="استكمال اعمال خزان الحريق "/>
    <s v="تم العمل"/>
    <d v="1899-12-30T08:00:00"/>
    <d v="1899-12-30T17:00:00"/>
    <n v="0.37500000000000006"/>
    <s v="المخزن القديم "/>
    <n v="9.0000000000000018"/>
    <m/>
    <m/>
    <x v="9"/>
    <n v="5"/>
    <m/>
    <m/>
    <m/>
    <m/>
    <m/>
    <m/>
    <m/>
    <m/>
    <m/>
    <m/>
  </r>
  <r>
    <d v="2024-12-01T00:00:00"/>
    <d v="2024-12-12T00:00:00"/>
    <s v="الخميس "/>
    <s v="شركة اوزوريون "/>
    <s v="محمد صلاح "/>
    <s v="استكمال اعمال خزان الحريق "/>
    <s v="تم العمل"/>
    <d v="1899-12-30T08:00:00"/>
    <d v="1899-12-30T17:00:00"/>
    <n v="0.37500000000000006"/>
    <s v="المخزن القديم "/>
    <n v="9.0000000000000018"/>
    <m/>
    <m/>
    <x v="9"/>
    <n v="5"/>
    <m/>
    <m/>
    <m/>
    <m/>
    <m/>
    <m/>
    <m/>
    <m/>
    <m/>
    <m/>
  </r>
  <r>
    <d v="2024-12-01T00:00:00"/>
    <d v="2024-12-14T00:00:00"/>
    <s v="السبت "/>
    <s v="شركة الفرج"/>
    <s v="فرج محمد "/>
    <s v="تركيب فراشة بالشارع  "/>
    <s v="تم العمل"/>
    <d v="1899-12-30T10:00:00"/>
    <d v="1899-12-30T18:00:00"/>
    <n v="0.33333333333333331"/>
    <s v="المخزن القديم "/>
    <n v="8"/>
    <m/>
    <m/>
    <x v="13"/>
    <n v="5"/>
    <m/>
    <m/>
    <m/>
    <m/>
    <m/>
    <m/>
    <m/>
    <m/>
    <m/>
    <m/>
  </r>
  <r>
    <d v="2024-12-01T00:00:00"/>
    <d v="2024-12-14T00:00:00"/>
    <s v="السبت "/>
    <s v="شركة شلاندر "/>
    <s v="انس احمد  "/>
    <s v="تركيب مصاعد"/>
    <s v="تم العمل"/>
    <d v="1899-12-30T10:00:00"/>
    <d v="1899-12-30T17:00:00"/>
    <n v="0.29166666666666669"/>
    <s v="المخزن الجديد "/>
    <n v="7"/>
    <m/>
    <m/>
    <x v="0"/>
    <n v="5"/>
    <m/>
    <m/>
    <m/>
    <m/>
    <m/>
    <m/>
    <m/>
    <m/>
    <m/>
    <m/>
  </r>
  <r>
    <d v="2024-12-01T00:00:00"/>
    <d v="2024-12-14T00:00:00"/>
    <s v="السبت "/>
    <s v="الشركة الوطنية "/>
    <s v="احمد شعبان "/>
    <s v="صيانة كلارك"/>
    <s v="تم العمل"/>
    <d v="1899-12-30T13:00:00"/>
    <d v="1899-12-30T17:30:00"/>
    <n v="0.1875"/>
    <s v="مخزن الوزارة"/>
    <n v="4.5"/>
    <m/>
    <m/>
    <x v="6"/>
    <n v="5"/>
    <m/>
    <m/>
    <m/>
    <m/>
    <m/>
    <m/>
    <m/>
    <m/>
    <m/>
    <m/>
  </r>
  <r>
    <d v="2024-12-01T00:00:00"/>
    <d v="2024-12-14T00:00:00"/>
    <s v="السبت "/>
    <s v="شركة اوزوريون "/>
    <s v="يحيى طه"/>
    <s v="تركيب سيراميك"/>
    <s v="تم العمل"/>
    <d v="1899-12-30T09:00:00"/>
    <d v="1899-12-30T19:00:00"/>
    <n v="0.41666666666666663"/>
    <s v="البرج"/>
    <n v="10"/>
    <m/>
    <m/>
    <x v="14"/>
    <n v="5"/>
    <m/>
    <m/>
    <m/>
    <m/>
    <m/>
    <m/>
    <m/>
    <m/>
    <m/>
    <m/>
  </r>
  <r>
    <d v="2024-12-01T00:00:00"/>
    <d v="2024-12-14T00:00:00"/>
    <s v="السبت "/>
    <s v="شركة اوزوريون "/>
    <s v="يحيى طه"/>
    <s v="توصيل كابلات"/>
    <s v="تم العمل"/>
    <d v="1899-12-30T09:30:00"/>
    <d v="1899-12-30T22:00:00"/>
    <n v="0.52083333333333326"/>
    <s v="البرج"/>
    <n v="12.499999999999998"/>
    <m/>
    <m/>
    <x v="14"/>
    <n v="5"/>
    <m/>
    <m/>
    <m/>
    <m/>
    <m/>
    <m/>
    <m/>
    <m/>
    <m/>
    <m/>
  </r>
  <r>
    <d v="2024-12-01T00:00:00"/>
    <d v="2024-12-14T00:00:00"/>
    <s v="السبت "/>
    <s v="شركة العشري"/>
    <s v="وليد فتحي"/>
    <s v="تركيب تكييفات"/>
    <s v="تم العمل"/>
    <d v="1899-12-30T11:30:00"/>
    <d v="1899-12-30T12:00:00"/>
    <n v="2.0833333333333315E-2"/>
    <s v="البرج"/>
    <n v="0.49999999999999956"/>
    <m/>
    <m/>
    <x v="14"/>
    <n v="5"/>
    <m/>
    <m/>
    <m/>
    <m/>
    <m/>
    <m/>
    <m/>
    <m/>
    <m/>
    <m/>
  </r>
  <r>
    <d v="2024-12-01T00:00:00"/>
    <d v="2024-12-15T00:00:00"/>
    <s v="الاحد "/>
    <s v="شركة الامل "/>
    <s v="رامي محمد"/>
    <s v="تركيب الوميتال"/>
    <s v="تم العمل"/>
    <d v="1899-12-30T14:00:00"/>
    <d v="1899-12-30T17:00:00"/>
    <n v="0.125"/>
    <s v="المطابع "/>
    <n v="3"/>
    <m/>
    <m/>
    <x v="5"/>
    <n v="5"/>
    <m/>
    <m/>
    <m/>
    <m/>
    <m/>
    <m/>
    <m/>
    <m/>
    <m/>
    <m/>
  </r>
  <r>
    <d v="2024-12-01T00:00:00"/>
    <d v="2024-12-15T00:00:00"/>
    <s v="الاحد "/>
    <s v="الشركة الالمانية "/>
    <s v="محمد مهنى  "/>
    <s v="مكافحة القوارض والحشرات"/>
    <s v="تم العمل"/>
    <d v="1899-12-30T13:00:00"/>
    <d v="1899-12-30T16:00:00"/>
    <n v="0.125"/>
    <s v="المطابع "/>
    <n v="3"/>
    <m/>
    <m/>
    <x v="0"/>
    <n v="5"/>
    <m/>
    <m/>
    <m/>
    <m/>
    <m/>
    <m/>
    <m/>
    <m/>
    <m/>
    <m/>
  </r>
  <r>
    <d v="2024-12-01T00:00:00"/>
    <d v="2024-12-15T00:00:00"/>
    <s v="الاحد "/>
    <s v="شركة شلاندر "/>
    <s v="انس احمد  "/>
    <s v="تركيب مصاعد"/>
    <s v="تم العمل"/>
    <d v="1899-12-30T10:00:00"/>
    <d v="1899-12-30T16:00:00"/>
    <n v="0.24999999999999994"/>
    <s v="المخزن الجديد "/>
    <n v="5.9999999999999982"/>
    <m/>
    <m/>
    <x v="1"/>
    <n v="5"/>
    <m/>
    <m/>
    <m/>
    <m/>
    <m/>
    <m/>
    <m/>
    <m/>
    <m/>
    <m/>
  </r>
  <r>
    <d v="2024-12-01T00:00:00"/>
    <d v="2024-12-15T00:00:00"/>
    <s v="الاحد "/>
    <s v="الشؤون الادارية "/>
    <s v="احمد سعيد"/>
    <s v="اعمال سباكة "/>
    <s v="تم العمل"/>
    <d v="1899-12-30T13:00:00"/>
    <d v="1899-12-30T17:00:00"/>
    <n v="0.16666666666666641"/>
    <s v="المخزن القديم "/>
    <n v="3.9999999999999938"/>
    <m/>
    <m/>
    <x v="9"/>
    <n v="5"/>
    <m/>
    <m/>
    <m/>
    <m/>
    <m/>
    <m/>
    <m/>
    <m/>
    <m/>
    <m/>
  </r>
  <r>
    <d v="2024-12-01T00:00:00"/>
    <d v="2024-12-15T00:00:00"/>
    <s v="الاحد "/>
    <s v="شركة الفرج"/>
    <s v="احمد فرج"/>
    <s v="اعمال فراشة"/>
    <s v="تم العمل"/>
    <d v="1899-12-30T10:00:00"/>
    <d v="1899-12-30T17:00:00"/>
    <n v="0.29166666666666669"/>
    <s v="المخزن القديم "/>
    <n v="7"/>
    <m/>
    <m/>
    <x v="9"/>
    <n v="5"/>
    <m/>
    <m/>
    <m/>
    <m/>
    <m/>
    <m/>
    <m/>
    <m/>
    <m/>
    <m/>
  </r>
  <r>
    <d v="2024-12-01T00:00:00"/>
    <d v="2024-12-15T00:00:00"/>
    <s v="الاحد "/>
    <s v="شركة اوزوريون "/>
    <s v="مراد صالح"/>
    <s v="استكمال اعمال خزان الحريق "/>
    <s v="تم العمل"/>
    <d v="1899-12-30T08:00:00"/>
    <d v="1899-12-30T17:00:00"/>
    <n v="0.37500000000000006"/>
    <s v="المخزن القديم "/>
    <n v="9.0000000000000018"/>
    <m/>
    <m/>
    <x v="9"/>
    <n v="5"/>
    <m/>
    <m/>
    <m/>
    <m/>
    <m/>
    <m/>
    <m/>
    <m/>
    <m/>
    <m/>
  </r>
  <r>
    <d v="2024-12-01T00:00:00"/>
    <d v="2024-12-15T00:00:00"/>
    <s v="الاحد "/>
    <s v="شركة اوزوريون "/>
    <s v="وائل انور مصطفى  "/>
    <s v="اعمال دهانات"/>
    <s v="تم العمل"/>
    <d v="1899-12-30T11:00:00"/>
    <d v="1899-12-30T17:30:00"/>
    <n v="0.27083333333333331"/>
    <s v="البرج"/>
    <n v="6.5"/>
    <m/>
    <m/>
    <x v="14"/>
    <n v="5"/>
    <m/>
    <m/>
    <m/>
    <m/>
    <m/>
    <m/>
    <m/>
    <m/>
    <m/>
    <m/>
  </r>
  <r>
    <d v="2024-12-01T00:00:00"/>
    <d v="2024-12-15T00:00:00"/>
    <s v="الاحد "/>
    <s v="شركة اوزوريون "/>
    <s v="وائل انور مصطفى  "/>
    <s v="اعمال سباكة "/>
    <s v="تم العمل"/>
    <d v="1899-12-30T11:00:00"/>
    <d v="1899-12-30T17:30:00"/>
    <n v="0.27083333333333331"/>
    <s v="البرج"/>
    <n v="6.5"/>
    <m/>
    <m/>
    <x v="14"/>
    <n v="5"/>
    <m/>
    <m/>
    <m/>
    <m/>
    <m/>
    <m/>
    <m/>
    <m/>
    <m/>
    <m/>
  </r>
  <r>
    <d v="2024-12-01T00:00:00"/>
    <d v="2024-12-16T00:00:00"/>
    <s v="الاثنين "/>
    <s v="شركة شلاندر "/>
    <s v="انس احمد  "/>
    <s v="تركيب مصاعد"/>
    <s v="تم العمل"/>
    <d v="1899-12-30T10:00:00"/>
    <d v="1899-12-30T17:00:00"/>
    <n v="0.29166666666666669"/>
    <s v="المخزن الجديد "/>
    <n v="7"/>
    <m/>
    <m/>
    <x v="1"/>
    <n v="5"/>
    <m/>
    <m/>
    <m/>
    <m/>
    <m/>
    <m/>
    <m/>
    <m/>
    <m/>
    <m/>
  </r>
  <r>
    <d v="2024-12-01T00:00:00"/>
    <d v="2024-12-16T00:00:00"/>
    <s v="الاثنين "/>
    <s v="شركة اوزوريون "/>
    <s v="محمد زنفل  "/>
    <s v="انشائات"/>
    <s v="تم العمل"/>
    <d v="1899-12-30T10:00:00"/>
    <d v="1899-12-30T13:00:00"/>
    <n v="0.12499999999999994"/>
    <s v="البرج"/>
    <n v="2.9999999999999987"/>
    <m/>
    <m/>
    <x v="3"/>
    <n v="5"/>
    <m/>
    <m/>
    <m/>
    <m/>
    <m/>
    <m/>
    <m/>
    <m/>
    <m/>
    <m/>
  </r>
  <r>
    <d v="2024-12-01T00:00:00"/>
    <d v="2024-12-16T00:00:00"/>
    <s v="الاثنين "/>
    <s v="شركة الفرج"/>
    <s v="احمد فرج"/>
    <s v="اعمال فراشة"/>
    <s v="تم العمل"/>
    <d v="1899-12-30T10:00:00"/>
    <d v="1899-12-30T17:00:00"/>
    <n v="0.29166666666666669"/>
    <s v="المخزن القديم "/>
    <n v="7"/>
    <m/>
    <m/>
    <x v="9"/>
    <n v="5"/>
    <m/>
    <m/>
    <m/>
    <m/>
    <m/>
    <m/>
    <m/>
    <m/>
    <m/>
    <m/>
  </r>
  <r>
    <d v="2024-12-01T00:00:00"/>
    <d v="2024-12-16T00:00:00"/>
    <s v="الاثنين "/>
    <s v="شركة اوزوريون "/>
    <s v="مراد صالح"/>
    <s v="استكمال اعمال خزان الحريق "/>
    <s v="تم العمل"/>
    <d v="1899-12-30T08:00:00"/>
    <d v="1899-12-30T17:00:00"/>
    <n v="0.37500000000000006"/>
    <s v="المخزن القديم "/>
    <n v="9.0000000000000018"/>
    <m/>
    <m/>
    <x v="9"/>
    <n v="5"/>
    <m/>
    <m/>
    <m/>
    <m/>
    <m/>
    <m/>
    <m/>
    <m/>
    <m/>
    <m/>
  </r>
  <r>
    <d v="2024-12-01T00:00:00"/>
    <d v="2024-12-16T00:00:00"/>
    <s v="الاثنين "/>
    <s v="الشركة الوطنية "/>
    <s v="محمد رمضان   "/>
    <s v="عمل صيانة كلاركات "/>
    <s v="تم العمل"/>
    <d v="1899-12-30T16:00:00"/>
    <d v="1899-12-30T17:30:00"/>
    <n v="6.25E-2"/>
    <s v="مخزن الوزارة"/>
    <n v="1.5"/>
    <m/>
    <m/>
    <x v="8"/>
    <n v="5"/>
    <m/>
    <m/>
    <m/>
    <m/>
    <m/>
    <m/>
    <m/>
    <m/>
    <m/>
    <m/>
  </r>
  <r>
    <d v="2024-12-01T00:00:00"/>
    <d v="2024-12-16T00:00:00"/>
    <s v="الاثنين "/>
    <s v="الشؤون الادارية "/>
    <s v="محمد خليل     "/>
    <s v="تركيب كشاف كهرباء  "/>
    <s v="تم العمل"/>
    <d v="1899-12-30T11:30:00"/>
    <d v="1899-12-30T12:00:00"/>
    <n v="2.0833333333333315E-2"/>
    <s v="المطابع "/>
    <n v="0.49999999999999956"/>
    <m/>
    <m/>
    <x v="0"/>
    <n v="5"/>
    <m/>
    <m/>
    <m/>
    <m/>
    <m/>
    <m/>
    <m/>
    <m/>
    <m/>
    <m/>
  </r>
  <r>
    <d v="2024-12-01T00:00:00"/>
    <d v="2024-12-17T00:00:00"/>
    <s v="الثلاثاء "/>
    <s v="القطاع الهندسى "/>
    <s v="حسام جنات"/>
    <s v="صيانةكشاف كهربئي"/>
    <s v="تم العمل"/>
    <d v="1899-12-30T15:00:00"/>
    <d v="1899-12-30T17:00:00"/>
    <n v="8.333333333333337E-2"/>
    <s v="المطابع "/>
    <n v="2.0000000000000009"/>
    <m/>
    <m/>
    <x v="0"/>
    <n v="5"/>
    <m/>
    <m/>
    <m/>
    <m/>
    <m/>
    <m/>
    <m/>
    <m/>
    <m/>
    <m/>
  </r>
  <r>
    <d v="2024-12-01T00:00:00"/>
    <d v="2024-12-17T00:00:00"/>
    <s v="الثلاثاء "/>
    <s v="القطاع الهندسى "/>
    <s v="محمد على"/>
    <s v="صيانة كالاركات"/>
    <s v="تم العمل"/>
    <d v="1899-12-30T15:00:00"/>
    <d v="1899-12-30T17:00:00"/>
    <n v="8.333333333333337E-2"/>
    <s v="المخزن الجديد "/>
    <n v="2.0000000000000009"/>
    <m/>
    <m/>
    <x v="1"/>
    <n v="5"/>
    <m/>
    <m/>
    <m/>
    <m/>
    <m/>
    <m/>
    <m/>
    <m/>
    <m/>
    <m/>
  </r>
  <r>
    <d v="2024-12-01T00:00:00"/>
    <d v="2024-12-17T00:00:00"/>
    <s v="الثلاثاء "/>
    <s v="الشؤون الادارية "/>
    <s v="احمد سعيد"/>
    <s v="صيانة كاتور المياة"/>
    <s v="تم العمل"/>
    <d v="1899-12-30T11:00:00"/>
    <d v="1899-12-30T14:00:00"/>
    <n v="0.12500000000000006"/>
    <s v="المخزن القديم "/>
    <n v="3.0000000000000013"/>
    <m/>
    <m/>
    <x v="9"/>
    <n v="5"/>
    <m/>
    <m/>
    <m/>
    <m/>
    <m/>
    <m/>
    <m/>
    <m/>
    <m/>
    <m/>
  </r>
  <r>
    <d v="2024-12-01T00:00:00"/>
    <d v="2024-12-17T00:00:00"/>
    <s v="الثلاثاء "/>
    <s v="شركة انت فاير "/>
    <s v="خالد ممدوح"/>
    <s v="معاينة نظام الانذار"/>
    <s v="تم العمل"/>
    <d v="1899-12-30T13:00:00"/>
    <d v="1899-12-30T14:00:00"/>
    <n v="4.1666666666666741E-2"/>
    <s v="البرج"/>
    <n v="1.0000000000000018"/>
    <m/>
    <m/>
    <x v="14"/>
    <n v="5"/>
    <m/>
    <m/>
    <m/>
    <m/>
    <m/>
    <m/>
    <m/>
    <m/>
    <m/>
    <m/>
  </r>
  <r>
    <d v="2024-12-01T00:00:00"/>
    <d v="2024-12-17T00:00:00"/>
    <s v="الثلاثاء "/>
    <s v="شركة الفرج"/>
    <s v="احمد فرج"/>
    <s v="اعمال فراشة"/>
    <s v="تم العمل"/>
    <d v="1899-12-30T09:00:00"/>
    <d v="1899-12-30T17:00:00"/>
    <n v="0.33333333333333337"/>
    <s v="المخزن القديم "/>
    <n v="8"/>
    <m/>
    <m/>
    <x v="9"/>
    <n v="5"/>
    <m/>
    <m/>
    <m/>
    <m/>
    <m/>
    <m/>
    <m/>
    <m/>
    <m/>
    <m/>
  </r>
  <r>
    <d v="2024-12-01T00:00:00"/>
    <d v="2024-12-17T00:00:00"/>
    <s v="الثلاثاء "/>
    <s v="شركة اوزوريون "/>
    <s v="يحيى طه"/>
    <s v="توصيل كابلات"/>
    <s v="تم العمل"/>
    <d v="1899-12-30T11:00:00"/>
    <d v="1899-12-30T17:30:00"/>
    <n v="0.27083333333333331"/>
    <s v="البرج"/>
    <n v="6.5"/>
    <m/>
    <m/>
    <x v="14"/>
    <n v="5"/>
    <m/>
    <m/>
    <m/>
    <m/>
    <m/>
    <m/>
    <m/>
    <m/>
    <m/>
    <m/>
  </r>
  <r>
    <d v="2024-12-01T00:00:00"/>
    <d v="2024-12-18T00:00:00"/>
    <s v="الاربعاء "/>
    <s v="شركة وان كونكت"/>
    <s v="سيد عادل"/>
    <s v="تركيبات"/>
    <s v="تم العمل"/>
    <d v="1899-12-30T16:30:00"/>
    <d v="1899-12-30T22:00:00"/>
    <n v="0.22916666666666663"/>
    <s v="البرج"/>
    <n v="5.4999999999999991"/>
    <m/>
    <m/>
    <x v="14"/>
    <n v="5"/>
    <m/>
    <m/>
    <m/>
    <m/>
    <m/>
    <m/>
    <m/>
    <m/>
    <m/>
    <m/>
  </r>
  <r>
    <d v="2024-12-01T00:00:00"/>
    <d v="2024-12-18T00:00:00"/>
    <s v="الاربعاء "/>
    <s v="الشركة العالمية لاعمال الهندسية  "/>
    <s v="اسلام حسين"/>
    <s v="تركيب تكيفات"/>
    <s v="تم العمل"/>
    <d v="1899-12-30T10:30:00"/>
    <d v="1899-12-30T15:30:00"/>
    <n v="0.20833333333333337"/>
    <s v="البرج"/>
    <n v="5.0000000000000009"/>
    <m/>
    <m/>
    <x v="14"/>
    <n v="5"/>
    <m/>
    <m/>
    <m/>
    <m/>
    <m/>
    <m/>
    <m/>
    <m/>
    <m/>
    <m/>
  </r>
  <r>
    <d v="2024-12-01T00:00:00"/>
    <d v="2024-12-18T00:00:00"/>
    <s v="الاربعاء "/>
    <s v="شركة اوزوريون "/>
    <s v="يحيى طه"/>
    <s v="توصيل كابلات"/>
    <s v="تم العمل"/>
    <d v="1899-12-30T10:00:00"/>
    <d v="1899-12-30T18:00:00"/>
    <n v="0.33333333333333331"/>
    <s v="البرج"/>
    <n v="8"/>
    <m/>
    <m/>
    <x v="14"/>
    <n v="5"/>
    <m/>
    <m/>
    <m/>
    <m/>
    <m/>
    <m/>
    <m/>
    <m/>
    <m/>
    <m/>
  </r>
  <r>
    <d v="2024-12-01T00:00:00"/>
    <d v="2024-12-18T00:00:00"/>
    <s v="الاربعاء "/>
    <s v="الشؤون الادارية "/>
    <s v="محمد النقيب "/>
    <s v="صيانة فيشة كهربائية"/>
    <s v="تم العمل"/>
    <d v="1899-12-30T13:00:00"/>
    <d v="1899-12-30T14:00:00"/>
    <n v="4.1666666666666741E-2"/>
    <s v="المخزن الجديد "/>
    <n v="1.0000000000000018"/>
    <m/>
    <m/>
    <x v="1"/>
    <n v="5"/>
    <m/>
    <m/>
    <m/>
    <m/>
    <m/>
    <m/>
    <m/>
    <m/>
    <m/>
    <m/>
  </r>
  <r>
    <d v="2024-12-01T00:00:00"/>
    <d v="2024-12-18T00:00:00"/>
    <s v="الاربعاء "/>
    <s v="شركة الفرج"/>
    <s v="احمد فرج"/>
    <s v="اعمال فراشة"/>
    <s v="تم العمل"/>
    <d v="1899-12-30T10:00:00"/>
    <d v="1899-12-30T17:00:00"/>
    <n v="0.29166666666666669"/>
    <s v="المخزن القديم "/>
    <n v="7"/>
    <m/>
    <m/>
    <x v="9"/>
    <n v="5"/>
    <m/>
    <m/>
    <m/>
    <m/>
    <m/>
    <m/>
    <m/>
    <m/>
    <m/>
    <m/>
  </r>
  <r>
    <d v="2024-12-01T00:00:00"/>
    <d v="2024-12-19T00:00:00"/>
    <s v="الخميس "/>
    <s v="شركة اوزوريون "/>
    <s v="محمد زنفل  "/>
    <s v="دهانات "/>
    <s v="تم العمل"/>
    <d v="1899-12-30T10:00:00"/>
    <d v="1899-12-30T18:00:00"/>
    <n v="0.33333333333333331"/>
    <s v="البرج"/>
    <n v="8"/>
    <m/>
    <m/>
    <x v="3"/>
    <n v="5"/>
    <m/>
    <m/>
    <m/>
    <m/>
    <m/>
    <m/>
    <m/>
    <m/>
    <m/>
    <m/>
  </r>
  <r>
    <d v="2024-12-01T00:00:00"/>
    <d v="2024-12-19T00:00:00"/>
    <s v="الخميس "/>
    <s v="شركة الفرج"/>
    <s v="احمد فرج"/>
    <s v="اعمال فراشة"/>
    <s v="تم العمل"/>
    <d v="1899-12-30T10:00:00"/>
    <d v="1899-12-30T17:30:00"/>
    <n v="0.31249999999999994"/>
    <s v="المخزن القديم "/>
    <n v="7.4999999999999982"/>
    <m/>
    <m/>
    <x v="14"/>
    <n v="5"/>
    <m/>
    <m/>
    <m/>
    <m/>
    <m/>
    <m/>
    <m/>
    <m/>
    <m/>
    <m/>
  </r>
  <r>
    <d v="2024-12-01T00:00:00"/>
    <d v="2024-12-19T00:00:00"/>
    <s v="الخميس "/>
    <s v="شركة اوزوريون "/>
    <s v="مراد صالح"/>
    <s v="استكمال اعمال خزان الحريق "/>
    <s v="تم العمل"/>
    <d v="1899-12-30T10:00:00"/>
    <d v="1899-12-30T12:00:00"/>
    <n v="8.3333333333333315E-2"/>
    <s v="المخزن القديم "/>
    <n v="1.9999999999999996"/>
    <m/>
    <m/>
    <x v="14"/>
    <n v="5"/>
    <m/>
    <m/>
    <m/>
    <m/>
    <m/>
    <m/>
    <m/>
    <m/>
    <m/>
    <m/>
  </r>
  <r>
    <d v="2024-12-01T00:00:00"/>
    <d v="2024-12-20T00:00:00"/>
    <s v="الجمعة "/>
    <s v="شركة الفرج"/>
    <s v="احمد فرج"/>
    <s v="اعمال فراشة"/>
    <s v="تم العمل"/>
    <d v="1899-12-30T11:00:00"/>
    <d v="1899-12-30T17:30:00"/>
    <n v="0.27083333333333331"/>
    <s v="المخزن القديم "/>
    <n v="6.5"/>
    <m/>
    <m/>
    <x v="9"/>
    <n v="5"/>
    <m/>
    <m/>
    <m/>
    <m/>
    <m/>
    <m/>
    <m/>
    <m/>
    <m/>
    <m/>
  </r>
  <r>
    <d v="2024-12-01T00:00:00"/>
    <d v="2024-12-21T00:00:00"/>
    <s v="السبت "/>
    <s v="شركة اوزوريون "/>
    <s v="محمد على"/>
    <s v="صيانة شبابيك الالمونتال "/>
    <s v="تم العمل"/>
    <d v="1899-12-30T11:00:00"/>
    <d v="1899-12-30T17:00:00"/>
    <n v="0.25000000000000006"/>
    <s v="المخزن الجديد "/>
    <n v="6.0000000000000018"/>
    <m/>
    <m/>
    <x v="9"/>
    <n v="5"/>
    <m/>
    <m/>
    <m/>
    <m/>
    <m/>
    <m/>
    <m/>
    <m/>
    <m/>
    <m/>
  </r>
  <r>
    <d v="2024-12-01T00:00:00"/>
    <d v="2024-12-21T00:00:00"/>
    <s v="السبت "/>
    <s v="شركة اوزوريون "/>
    <s v="محمد زنفل  "/>
    <s v="دهانات "/>
    <s v="تم العمل"/>
    <d v="1899-12-30T09:30:00"/>
    <d v="1899-12-30T18:00:00"/>
    <n v="0.35416666666666669"/>
    <s v="البرج"/>
    <n v="8.5"/>
    <m/>
    <m/>
    <x v="3"/>
    <n v="5"/>
    <m/>
    <m/>
    <m/>
    <m/>
    <m/>
    <m/>
    <m/>
    <m/>
    <m/>
    <m/>
  </r>
  <r>
    <d v="2024-12-01T00:00:00"/>
    <d v="2024-12-21T00:00:00"/>
    <s v="السبت "/>
    <s v="شركة شلاندر "/>
    <s v="انس احمد  "/>
    <s v="تركيب مصاعد"/>
    <s v="تم العمل"/>
    <d v="1899-12-30T09:00:00"/>
    <d v="1899-12-30T17:00:00"/>
    <n v="0.33333333333333337"/>
    <s v="المخزن الجديد "/>
    <n v="8"/>
    <m/>
    <m/>
    <x v="9"/>
    <n v="5"/>
    <m/>
    <m/>
    <m/>
    <m/>
    <m/>
    <m/>
    <m/>
    <m/>
    <m/>
    <m/>
  </r>
  <r>
    <d v="2024-12-01T00:00:00"/>
    <d v="2024-12-21T00:00:00"/>
    <s v="السبت "/>
    <s v="شركة الفرج"/>
    <s v="احمد فرج"/>
    <s v="اعمال فراشة"/>
    <s v="تم العمل"/>
    <d v="1899-12-30T10:00:00"/>
    <d v="1899-12-30T17:00:00"/>
    <n v="0.29166666666666669"/>
    <s v="المخزن القديم "/>
    <n v="7"/>
    <m/>
    <m/>
    <x v="13"/>
    <n v="5"/>
    <m/>
    <m/>
    <m/>
    <m/>
    <m/>
    <m/>
    <m/>
    <m/>
    <m/>
    <m/>
  </r>
  <r>
    <d v="2024-12-01T00:00:00"/>
    <d v="2024-12-21T00:00:00"/>
    <s v="السبت "/>
    <s v="شركة اوزوريون "/>
    <s v="مراد صالح"/>
    <s v="استكمال اعمال خزان الحريق "/>
    <s v="تم العمل"/>
    <d v="1899-12-30T08:00:00"/>
    <d v="1899-12-30T17:00:00"/>
    <n v="0.37500000000000006"/>
    <s v="المخزن القديم "/>
    <n v="9.0000000000000018"/>
    <m/>
    <m/>
    <x v="13"/>
    <n v="5"/>
    <m/>
    <m/>
    <m/>
    <m/>
    <m/>
    <m/>
    <m/>
    <m/>
    <m/>
    <m/>
  </r>
  <r>
    <d v="2024-12-01T00:00:00"/>
    <d v="2024-12-22T00:00:00"/>
    <s v="الاحد "/>
    <s v="شركة الكريم "/>
    <s v="حامد ابو المحاميد "/>
    <s v="الزيارة  الشهرية المرور على خط الحريق  "/>
    <s v="تم العمل"/>
    <d v="1899-12-30T11:30:00"/>
    <d v="1899-12-30T13:00:00"/>
    <e v="#REF!"/>
    <s v="المطابع "/>
    <e v="#REF!"/>
    <m/>
    <m/>
    <x v="5"/>
    <n v="5"/>
    <m/>
    <m/>
    <m/>
    <m/>
    <m/>
    <m/>
    <m/>
    <m/>
    <m/>
    <m/>
  </r>
  <r>
    <d v="2024-12-01T00:00:00"/>
    <d v="2024-12-21T00:00:00"/>
    <s v="الاحد "/>
    <s v="شركة اوزوريون "/>
    <s v="محمد زنفل  "/>
    <s v="دهانات "/>
    <s v="تم العمل"/>
    <d v="1899-12-30T10:00:00"/>
    <d v="1899-12-30T18:00:00"/>
    <n v="0.33333333333333331"/>
    <s v="البرج"/>
    <n v="8"/>
    <m/>
    <m/>
    <x v="3"/>
    <n v="4"/>
    <m/>
    <m/>
    <m/>
    <m/>
    <m/>
    <m/>
    <m/>
    <m/>
    <m/>
    <m/>
  </r>
  <r>
    <d v="2024-12-01T00:00:00"/>
    <d v="2024-12-22T00:00:00"/>
    <s v="الاحد "/>
    <s v="شركة الفرج"/>
    <s v="احمد فرج"/>
    <s v="اعمال فراشة"/>
    <s v="تم العمل"/>
    <d v="1899-12-30T09:00:00"/>
    <d v="1899-12-30T17:00:00"/>
    <n v="0.33333333333333337"/>
    <s v="المخزن القديم "/>
    <n v="8"/>
    <m/>
    <m/>
    <x v="9"/>
    <n v="5"/>
    <m/>
    <m/>
    <m/>
    <m/>
    <m/>
    <m/>
    <m/>
    <m/>
    <m/>
    <m/>
  </r>
  <r>
    <d v="2024-12-01T00:00:00"/>
    <d v="2024-12-23T00:00:00"/>
    <s v="الاثنين "/>
    <s v="شركة اوزوريون "/>
    <s v="مراد صالح"/>
    <s v="استكمال اعمال خزان الحريق "/>
    <s v="تم العمل"/>
    <d v="1899-12-30T08:00:00"/>
    <d v="1899-12-30T17:00:00"/>
    <n v="0.37500000000000006"/>
    <s v="المخزن القديم "/>
    <n v="9.0000000000000018"/>
    <m/>
    <m/>
    <x v="9"/>
    <n v="5"/>
    <m/>
    <m/>
    <m/>
    <m/>
    <m/>
    <m/>
    <m/>
    <m/>
    <m/>
    <m/>
  </r>
  <r>
    <d v="2024-12-01T00:00:00"/>
    <d v="2024-12-23T00:00:00"/>
    <s v="الاثنين "/>
    <s v="القطاع الهندسى "/>
    <s v="محمد على"/>
    <s v="صيانة كالاركات"/>
    <s v="تم العمل"/>
    <d v="1899-12-30T13:00:00"/>
    <d v="1899-12-30T14:00:00"/>
    <n v="4.1666666666666741E-2"/>
    <s v="المخزن الجديد "/>
    <n v="1.0000000000000018"/>
    <m/>
    <m/>
    <x v="1"/>
    <n v="5"/>
    <m/>
    <m/>
    <m/>
    <m/>
    <m/>
    <m/>
    <m/>
    <m/>
    <m/>
    <m/>
  </r>
  <r>
    <d v="2024-12-01T00:00:00"/>
    <d v="2024-12-23T00:00:00"/>
    <s v="الاثنين "/>
    <s v="شركة اوزوريون "/>
    <s v="ابراهيم سعد "/>
    <s v="انشاءات"/>
    <s v="تم العمل"/>
    <d v="1899-12-30T10:00:00"/>
    <d v="1899-12-30T19:00:00"/>
    <n v="0.37499999999999994"/>
    <s v="البرج"/>
    <n v="8.9999999999999982"/>
    <m/>
    <m/>
    <x v="3"/>
    <n v="5"/>
    <m/>
    <m/>
    <m/>
    <m/>
    <m/>
    <m/>
    <m/>
    <m/>
    <m/>
    <m/>
  </r>
  <r>
    <d v="2024-12-01T00:00:00"/>
    <d v="2024-12-23T00:00:00"/>
    <s v="الاثنين "/>
    <s v="شركة شلاندر "/>
    <s v="انس احمد  "/>
    <s v="تركيب مصاعد"/>
    <s v="تم العمل"/>
    <d v="1899-12-30T10:00:00"/>
    <d v="1899-12-30T17:00:00"/>
    <n v="0.29166666666666669"/>
    <s v="المخزن الجديد "/>
    <n v="7"/>
    <m/>
    <m/>
    <x v="1"/>
    <n v="5"/>
    <m/>
    <m/>
    <m/>
    <m/>
    <m/>
    <m/>
    <m/>
    <m/>
    <m/>
    <m/>
  </r>
  <r>
    <d v="2024-12-01T00:00:00"/>
    <d v="2024-12-23T00:00:00"/>
    <s v="الاثنين "/>
    <s v="شركة هاى سكيور"/>
    <s v="احمد محمد فخرى "/>
    <s v="تركيبات "/>
    <s v="تم العمل"/>
    <d v="1899-12-30T10:00:00"/>
    <d v="1899-12-30T19:00:00"/>
    <n v="0.37499999999999994"/>
    <s v="البرج"/>
    <n v="8.9999999999999982"/>
    <m/>
    <m/>
    <x v="3"/>
    <n v="5"/>
    <m/>
    <m/>
    <m/>
    <m/>
    <m/>
    <m/>
    <m/>
    <m/>
    <m/>
    <m/>
  </r>
  <r>
    <d v="2024-12-01T00:00:00"/>
    <d v="2024-12-23T00:00:00"/>
    <s v="الاثنين "/>
    <s v="القطاع الهندسى "/>
    <s v="صابر ابراهيم "/>
    <s v="تركيب خوص حديد لباب الاسانسير"/>
    <s v="تم العمل"/>
    <d v="1899-12-30T13:00:00"/>
    <d v="1899-12-30T17:00:00"/>
    <n v="0.16666666666666674"/>
    <s v="المخزن الجديد "/>
    <n v="4.0000000000000018"/>
    <m/>
    <m/>
    <x v="1"/>
    <n v="5"/>
    <m/>
    <m/>
    <m/>
    <m/>
    <m/>
    <m/>
    <m/>
    <m/>
    <m/>
    <m/>
  </r>
  <r>
    <d v="2024-12-01T00:00:00"/>
    <d v="2024-12-24T00:00:00"/>
    <s v="الثلاثاء "/>
    <s v="شركة شلاندر "/>
    <s v="انس احمد  "/>
    <s v="تركيب مصاعد"/>
    <s v="تم العمل"/>
    <d v="1899-12-30T10:00:00"/>
    <d v="1899-12-30T17:00:00"/>
    <n v="0.29166666666666669"/>
    <s v="المخزن الجديد "/>
    <n v="7"/>
    <m/>
    <m/>
    <x v="1"/>
    <n v="5"/>
    <m/>
    <m/>
    <m/>
    <m/>
    <m/>
    <m/>
    <m/>
    <m/>
    <m/>
    <m/>
  </r>
  <r>
    <d v="2024-12-01T00:00:00"/>
    <d v="2024-12-24T00:00:00"/>
    <s v="الثلاثاء "/>
    <s v="شركة اوزوريون "/>
    <s v="ابراهيم سعد "/>
    <s v="انشاءات"/>
    <s v="تم العمل"/>
    <d v="1899-12-30T10:00:00"/>
    <d v="1899-12-30T18:00:00"/>
    <n v="0.33333333333333331"/>
    <s v="البرج"/>
    <n v="8"/>
    <m/>
    <m/>
    <x v="3"/>
    <n v="5"/>
    <m/>
    <m/>
    <m/>
    <m/>
    <m/>
    <m/>
    <m/>
    <m/>
    <m/>
    <m/>
  </r>
  <r>
    <d v="2024-12-01T00:00:00"/>
    <d v="2024-12-24T00:00:00"/>
    <s v="الثلاثاء "/>
    <s v="شركة اوزوريون "/>
    <s v="محمد على"/>
    <s v="صيانة شبابيك الالمونتال "/>
    <s v="تم العمل"/>
    <d v="1899-12-30T10:00:00"/>
    <d v="1899-12-30T17:00:00"/>
    <n v="0.29166666666666669"/>
    <s v="المخزن الجديد "/>
    <n v="7"/>
    <m/>
    <m/>
    <x v="1"/>
    <n v="5"/>
    <m/>
    <m/>
    <m/>
    <m/>
    <m/>
    <m/>
    <m/>
    <m/>
    <m/>
    <m/>
  </r>
  <r>
    <d v="2024-12-01T00:00:00"/>
    <d v="2024-12-24T00:00:00"/>
    <s v="الثلاثاء "/>
    <s v="القطاع الهندسى "/>
    <s v="صابر ابراهيم "/>
    <s v="تركيب خوص حديد لباب الاسانسير"/>
    <s v="تم العمل"/>
    <d v="1899-12-30T11:00:00"/>
    <d v="1899-12-30T14:00:00"/>
    <n v="0.12500000000000006"/>
    <s v="المخزن الجديد "/>
    <n v="3.0000000000000013"/>
    <m/>
    <m/>
    <x v="1"/>
    <n v="5"/>
    <m/>
    <m/>
    <m/>
    <m/>
    <m/>
    <m/>
    <m/>
    <m/>
    <m/>
    <m/>
  </r>
  <r>
    <d v="2024-12-01T00:00:00"/>
    <d v="2024-12-24T00:00:00"/>
    <s v="الثلاثاء "/>
    <s v="القطاع الهندسى "/>
    <s v="محمد على"/>
    <s v="صيانة كالاركات"/>
    <s v="تم العمل"/>
    <d v="1899-12-30T13:00:00"/>
    <d v="1899-12-30T14:00:00"/>
    <n v="4.1666666666666741E-2"/>
    <s v="المخزن الجديد "/>
    <n v="1.0000000000000018"/>
    <m/>
    <m/>
    <x v="1"/>
    <n v="5"/>
    <m/>
    <m/>
    <m/>
    <m/>
    <m/>
    <m/>
    <m/>
    <m/>
    <m/>
    <m/>
  </r>
  <r>
    <d v="2024-12-01T00:00:00"/>
    <d v="2024-12-24T00:00:00"/>
    <s v="الثلاثاء "/>
    <s v="شركة اوزوريون "/>
    <s v="مراد صالح"/>
    <s v="استكمال اعمال خزان الحريق "/>
    <s v="تم العمل"/>
    <d v="1899-12-30T08:00:00"/>
    <d v="1899-12-30T17:00:00"/>
    <n v="0.37500000000000006"/>
    <s v="المخزن القديم "/>
    <n v="9.0000000000000018"/>
    <m/>
    <m/>
    <x v="9"/>
    <n v="5"/>
    <m/>
    <m/>
    <m/>
    <m/>
    <m/>
    <m/>
    <m/>
    <m/>
    <m/>
    <m/>
  </r>
  <r>
    <d v="2024-12-01T00:00:00"/>
    <d v="2024-12-24T00:00:00"/>
    <s v="الثلاثاء "/>
    <s v="القطاع الهندسى "/>
    <s v="شريف عيد"/>
    <s v="عزل كبلات كهرباء غرفة الطرمبات"/>
    <s v="تم العمل"/>
    <d v="1899-12-30T10:00:00"/>
    <d v="1899-12-30T17:00:00"/>
    <n v="0.29166666666666669"/>
    <s v="المخزن القديم "/>
    <n v="7"/>
    <m/>
    <m/>
    <x v="9"/>
    <n v="5"/>
    <m/>
    <m/>
    <m/>
    <m/>
    <m/>
    <m/>
    <m/>
    <m/>
    <m/>
    <m/>
  </r>
  <r>
    <d v="2024-12-01T00:00:00"/>
    <d v="2024-12-25T00:00:00"/>
    <s v="الاربعاء "/>
    <s v="شركة اوزوريون "/>
    <s v="محمد زنفل  "/>
    <s v="دهانات "/>
    <s v="تم العمل"/>
    <d v="1899-12-30T10:00:00"/>
    <d v="1899-12-30T18:00:00"/>
    <n v="0.33333333333333331"/>
    <s v="البرج"/>
    <n v="8"/>
    <m/>
    <m/>
    <x v="3"/>
    <n v="5"/>
    <m/>
    <m/>
    <m/>
    <m/>
    <m/>
    <m/>
    <m/>
    <m/>
    <m/>
    <m/>
  </r>
  <r>
    <d v="2024-12-01T00:00:00"/>
    <d v="2024-12-25T00:00:00"/>
    <s v="الاربعاء "/>
    <s v="شركة شلاندر "/>
    <s v="انس احمد  "/>
    <s v="تركيب مصاعد"/>
    <s v="تم العمل"/>
    <d v="1899-12-30T10:00:00"/>
    <d v="1899-12-30T17:00:00"/>
    <n v="0.29166666666666669"/>
    <s v="المخزن الجديد "/>
    <n v="7"/>
    <m/>
    <m/>
    <x v="1"/>
    <n v="5"/>
    <m/>
    <m/>
    <m/>
    <m/>
    <m/>
    <m/>
    <m/>
    <m/>
    <m/>
    <m/>
  </r>
  <r>
    <d v="2024-12-01T00:00:00"/>
    <d v="2024-12-25T00:00:00"/>
    <s v="الاربعاء "/>
    <s v="شركة اوزوريون "/>
    <s v="مراد صالح"/>
    <s v="استكمال اعمال خزان الحريق "/>
    <s v="تم العمل"/>
    <d v="1899-12-30T08:00:00"/>
    <d v="1899-12-30T17:00:00"/>
    <n v="0.37500000000000006"/>
    <s v="المخزن القديم "/>
    <n v="9.0000000000000018"/>
    <m/>
    <m/>
    <x v="9"/>
    <n v="5"/>
    <m/>
    <m/>
    <m/>
    <m/>
    <m/>
    <m/>
    <m/>
    <m/>
    <m/>
    <m/>
  </r>
  <r>
    <d v="2024-12-01T00:00:00"/>
    <d v="2024-12-26T00:00:00"/>
    <s v="الخميس "/>
    <s v="شركة اوزوريون "/>
    <s v="مراد صالح"/>
    <s v="استكمال اعمال خزان الحريق "/>
    <s v="تم العمل"/>
    <d v="1899-12-30T08:00:00"/>
    <d v="1899-12-30T17:00:00"/>
    <n v="0.37500000000000006"/>
    <s v="المخزن القديم "/>
    <n v="9.0000000000000018"/>
    <m/>
    <m/>
    <x v="9"/>
    <n v="5"/>
    <m/>
    <m/>
    <m/>
    <m/>
    <m/>
    <m/>
    <m/>
    <m/>
    <m/>
    <m/>
  </r>
  <r>
    <d v="2024-12-01T00:00:00"/>
    <d v="2024-12-26T00:00:00"/>
    <s v="الخميس "/>
    <s v="شركة شلاندر "/>
    <s v="انس احمد  "/>
    <s v="تركيب مصاعد"/>
    <s v="تم العمل"/>
    <d v="1899-12-30T10:00:00"/>
    <d v="1899-12-30T17:00:00"/>
    <n v="0.29166666666666669"/>
    <s v="المخزن الجديد "/>
    <n v="7"/>
    <m/>
    <m/>
    <x v="1"/>
    <n v="5"/>
    <m/>
    <m/>
    <m/>
    <m/>
    <m/>
    <m/>
    <m/>
    <m/>
    <m/>
    <m/>
  </r>
  <r>
    <d v="2024-12-01T00:00:00"/>
    <d v="2024-12-26T00:00:00"/>
    <s v="الخميس "/>
    <s v="شركة اوزوريون "/>
    <s v="محمد زنفل  "/>
    <s v="انشائات"/>
    <s v="تم العمل"/>
    <d v="1899-12-30T11:00:00"/>
    <d v="1899-12-30T18:00:00"/>
    <n v="0.29166666666666669"/>
    <s v="البرج"/>
    <n v="7"/>
    <m/>
    <m/>
    <x v="3"/>
    <n v="5"/>
    <m/>
    <m/>
    <m/>
    <m/>
    <m/>
    <m/>
    <m/>
    <m/>
    <m/>
    <m/>
  </r>
  <r>
    <d v="2024-12-01T00:00:00"/>
    <d v="2024-12-26T00:00:00"/>
    <s v="الخميس "/>
    <s v="شركة الفرج"/>
    <s v="احمد فرج"/>
    <s v="اعمال فراشة"/>
    <s v="تم العمل"/>
    <d v="1899-12-30T12:00:00"/>
    <d v="1899-12-30T17:00:00"/>
    <n v="0.20833333333333337"/>
    <s v="المخزن القديم "/>
    <n v="5.0000000000000009"/>
    <m/>
    <m/>
    <x v="9"/>
    <n v="5"/>
    <m/>
    <m/>
    <m/>
    <m/>
    <m/>
    <m/>
    <m/>
    <m/>
    <m/>
    <m/>
  </r>
  <r>
    <d v="2024-12-01T00:00:00"/>
    <d v="2024-12-28T00:00:00"/>
    <s v="السبت "/>
    <s v="أوفيس مكس"/>
    <s v="شعبان عطا"/>
    <s v="تركيبات "/>
    <s v="تم العمل"/>
    <d v="1899-12-30T11:00:00"/>
    <d v="1899-12-30T18:00:00"/>
    <n v="0.29166666666666669"/>
    <s v="البرج"/>
    <n v="7"/>
    <m/>
    <m/>
    <x v="3"/>
    <n v="5"/>
    <m/>
    <m/>
    <m/>
    <m/>
    <m/>
    <m/>
    <m/>
    <m/>
    <m/>
    <m/>
  </r>
  <r>
    <d v="2024-12-01T00:00:00"/>
    <d v="2024-12-28T00:00:00"/>
    <s v="السبت "/>
    <s v="شركة اوزوريون "/>
    <s v="مراد صالح"/>
    <s v="استكمال اعمال خزان الحريق "/>
    <s v="تم العمل"/>
    <d v="1899-12-30T08:00:00"/>
    <d v="1899-12-30T17:00:00"/>
    <n v="0.37500000000000006"/>
    <s v="المخزن القديم "/>
    <n v="9.0000000000000018"/>
    <m/>
    <m/>
    <x v="13"/>
    <n v="5"/>
    <m/>
    <m/>
    <m/>
    <m/>
    <m/>
    <m/>
    <m/>
    <m/>
    <m/>
    <m/>
  </r>
  <r>
    <d v="2024-12-01T00:00:00"/>
    <d v="2024-12-28T00:00:00"/>
    <s v="السبت "/>
    <s v="شركة شلاندر "/>
    <s v="انس احمد  "/>
    <s v="تركيب مصاعد"/>
    <s v="تم العمل"/>
    <d v="1899-12-30T10:00:00"/>
    <d v="1899-12-30T17:00:00"/>
    <n v="0.29166666666666669"/>
    <s v="المخزن الجديد "/>
    <n v="7"/>
    <m/>
    <m/>
    <x v="1"/>
    <n v="5"/>
    <m/>
    <m/>
    <m/>
    <m/>
    <m/>
    <m/>
    <m/>
    <m/>
    <m/>
    <m/>
  </r>
  <r>
    <d v="2024-12-01T00:00:00"/>
    <d v="2024-12-28T00:00:00"/>
    <s v="السبت "/>
    <s v="شركة اوزوريون "/>
    <s v="محمد صلاح "/>
    <s v="تركيب الوميتال"/>
    <s v="تم العمل"/>
    <d v="1899-12-30T14:00:00"/>
    <d v="1899-12-30T16:00:00"/>
    <n v="8.3333333333333259E-2"/>
    <s v="المخزن الجديد "/>
    <n v="1.9999999999999982"/>
    <m/>
    <m/>
    <x v="1"/>
    <n v="5"/>
    <m/>
    <m/>
    <m/>
    <m/>
    <m/>
    <m/>
    <m/>
    <m/>
    <m/>
    <m/>
  </r>
  <r>
    <d v="2024-12-01T00:00:00"/>
    <d v="2024-12-29T00:00:00"/>
    <s v="الاحد "/>
    <s v="شركة اوزوريون "/>
    <s v="مراد صالح"/>
    <s v="استكمال اعمال خزان الحريق "/>
    <s v="تم العمل"/>
    <d v="1899-12-30T08:00:00"/>
    <d v="1899-12-30T17:00:00"/>
    <n v="0.37500000000000006"/>
    <s v="المخزن القديم "/>
    <n v="9.0000000000000018"/>
    <m/>
    <m/>
    <x v="9"/>
    <n v="5"/>
    <m/>
    <m/>
    <m/>
    <m/>
    <m/>
    <m/>
    <m/>
    <m/>
    <m/>
    <m/>
  </r>
  <r>
    <d v="2024-12-01T00:00:00"/>
    <d v="2024-12-29T00:00:00"/>
    <s v="الاحد "/>
    <s v="أوفيس مكس"/>
    <s v="شعبان عطا"/>
    <s v="تركيبات "/>
    <s v="تم العمل"/>
    <d v="1899-12-30T10:30:00"/>
    <d v="1899-12-30T18:00:00"/>
    <n v="0.3125"/>
    <s v="البرج"/>
    <n v="7.5"/>
    <m/>
    <m/>
    <x v="3"/>
    <n v="5"/>
    <m/>
    <m/>
    <m/>
    <m/>
    <m/>
    <m/>
    <m/>
    <m/>
    <m/>
    <m/>
  </r>
  <r>
    <d v="2024-12-01T00:00:00"/>
    <d v="2024-12-29T00:00:00"/>
    <s v="الاحد "/>
    <s v="شركة اوزوريون "/>
    <s v="ابراهيم سعد "/>
    <s v="انشاءات"/>
    <s v="تم العمل"/>
    <d v="1899-12-30T10:00:00"/>
    <d v="1899-12-30T18:00:00"/>
    <n v="0.33333333333333331"/>
    <s v="البرج"/>
    <n v="8"/>
    <m/>
    <m/>
    <x v="3"/>
    <n v="5"/>
    <m/>
    <m/>
    <m/>
    <m/>
    <m/>
    <m/>
    <m/>
    <m/>
    <m/>
    <m/>
  </r>
  <r>
    <d v="2024-12-01T00:00:00"/>
    <d v="2024-12-29T00:00:00"/>
    <s v="الاحد "/>
    <s v="شركة شلاندر "/>
    <s v="انس احمد  "/>
    <s v="تركيب مصاعد"/>
    <s v="تم العمل"/>
    <d v="1899-12-30T10:00:00"/>
    <d v="1899-12-30T17:00:00"/>
    <n v="0.29166666666666669"/>
    <s v="المخزن الجديد "/>
    <n v="7"/>
    <m/>
    <m/>
    <x v="1"/>
    <n v="5"/>
    <m/>
    <m/>
    <m/>
    <m/>
    <m/>
    <m/>
    <m/>
    <m/>
    <m/>
    <m/>
  </r>
  <r>
    <d v="2024-12-01T00:00:00"/>
    <d v="2024-12-29T00:00:00"/>
    <s v="الاحد "/>
    <s v="شركة هاى سكيور"/>
    <s v="احمد محمد فخرى "/>
    <s v="تركيبات "/>
    <s v="تم العمل"/>
    <d v="1899-12-30T10:30:00"/>
    <d v="1899-12-30T14:00:00"/>
    <n v="0.14583333333333337"/>
    <s v="البرج"/>
    <n v="3.5000000000000009"/>
    <m/>
    <m/>
    <x v="3"/>
    <n v="5"/>
    <m/>
    <m/>
    <m/>
    <m/>
    <m/>
    <m/>
    <m/>
    <m/>
    <m/>
    <m/>
  </r>
  <r>
    <d v="2024-12-01T00:00:00"/>
    <d v="2024-12-30T00:00:00"/>
    <s v="الاثنين "/>
    <s v="شركة اوزوريون "/>
    <s v="مراد صالح"/>
    <s v="استكمال اعمال خزان الحريق "/>
    <s v="تم العمل"/>
    <d v="1899-12-30T08:00:00"/>
    <d v="1899-12-30T17:00:00"/>
    <n v="0.37500000000000006"/>
    <s v="المخزن القديم "/>
    <n v="9.0000000000000018"/>
    <m/>
    <m/>
    <x v="9"/>
    <n v="5"/>
    <m/>
    <m/>
    <m/>
    <m/>
    <m/>
    <m/>
    <m/>
    <m/>
    <m/>
    <m/>
  </r>
  <r>
    <d v="2024-12-01T00:00:00"/>
    <d v="2024-12-30T00:00:00"/>
    <s v="الاثنين "/>
    <s v="الشركة الوطنية "/>
    <s v="أحمد شعبان   "/>
    <s v="عمل صيانة كلاركات "/>
    <s v="تم العمل"/>
    <d v="1899-12-30T12:00:00"/>
    <d v="1899-12-30T12:30:00"/>
    <n v="2.083333333333337E-2"/>
    <s v="مخزن الوزارة"/>
    <n v="0.50000000000000089"/>
    <m/>
    <m/>
    <x v="0"/>
    <n v="5"/>
    <m/>
    <m/>
    <m/>
    <m/>
    <m/>
    <m/>
    <m/>
    <m/>
    <m/>
    <m/>
  </r>
  <r>
    <d v="2024-12-01T00:00:00"/>
    <d v="2024-12-30T00:00:00"/>
    <s v="الاثنين "/>
    <s v="الشركة الالمانية "/>
    <s v="محمد ماهر  "/>
    <s v="مكافحة الحشرات "/>
    <s v="تم العمل"/>
    <d v="1899-12-30T14:00:00"/>
    <d v="1899-12-30T15:00:00"/>
    <n v="4.166666666666663E-2"/>
    <s v="مخزن الوزارة"/>
    <n v="0.99999999999999911"/>
    <m/>
    <m/>
    <x v="0"/>
    <n v="5"/>
    <m/>
    <m/>
    <m/>
    <m/>
    <m/>
    <m/>
    <m/>
    <m/>
    <m/>
    <m/>
  </r>
  <r>
    <d v="2024-12-01T00:00:00"/>
    <d v="2024-12-30T00:00:00"/>
    <s v="الاثنين "/>
    <s v="الشركة الالمانية "/>
    <s v="محمد ماهر  "/>
    <s v="مكافحة الحشرات "/>
    <s v="تم العمل"/>
    <d v="1899-12-30T13:00:00"/>
    <d v="1899-12-30T14:00:00"/>
    <n v="4.1666666666666741E-2"/>
    <s v="المخزن الجديد "/>
    <n v="1.0000000000000018"/>
    <m/>
    <m/>
    <x v="0"/>
    <n v="5"/>
    <m/>
    <m/>
    <m/>
    <m/>
    <m/>
    <m/>
    <m/>
    <m/>
    <m/>
    <m/>
  </r>
  <r>
    <d v="2024-12-01T00:00:00"/>
    <d v="2024-12-30T00:00:00"/>
    <s v="الاثنين "/>
    <s v="الشركة الوطنية "/>
    <s v="أحمد شعبان   "/>
    <s v="عمل صيانة كلاركات "/>
    <s v="تم العمل"/>
    <d v="1899-12-30T12:00:00"/>
    <d v="1899-12-30T12:30:00"/>
    <n v="2.083333333333337E-2"/>
    <s v="المخزن الجديد "/>
    <n v="0.50000000000000089"/>
    <m/>
    <m/>
    <x v="0"/>
    <n v="5"/>
    <m/>
    <m/>
    <m/>
    <m/>
    <m/>
    <m/>
    <m/>
    <m/>
    <m/>
    <m/>
  </r>
  <r>
    <d v="2024-12-01T00:00:00"/>
    <d v="2024-12-31T00:00:00"/>
    <s v="الثلاثاء "/>
    <s v="شركة شلاندر "/>
    <s v="انس احمد  "/>
    <s v="تركيب مصاعد"/>
    <s v="تم العمل"/>
    <d v="1899-12-30T10:00:00"/>
    <d v="1899-12-30T17:00:00"/>
    <n v="0.29166666666666669"/>
    <s v="المخزن الجديد "/>
    <n v="7"/>
    <m/>
    <m/>
    <x v="1"/>
    <n v="5"/>
    <m/>
    <m/>
    <m/>
    <m/>
    <m/>
    <m/>
    <m/>
    <m/>
    <m/>
    <m/>
  </r>
  <r>
    <d v="2024-12-01T00:00:00"/>
    <d v="2024-12-31T00:00:00"/>
    <s v="الثلاثاء "/>
    <s v="الشؤون الادارية "/>
    <s v="مجدى كرم  "/>
    <s v="صيانة خطوط التليفون والانترنت "/>
    <s v="تم العمل"/>
    <d v="1899-12-30T11:00:00"/>
    <d v="1899-12-30T12:00:00"/>
    <n v="4.1666666666666685E-2"/>
    <s v="الفجالة"/>
    <n v="1.0000000000000004"/>
    <m/>
    <m/>
    <x v="11"/>
    <n v="5"/>
    <m/>
    <m/>
    <m/>
    <m/>
    <m/>
    <m/>
    <m/>
    <m/>
    <m/>
    <m/>
  </r>
  <r>
    <d v="2025-01-01T00:00:00"/>
    <d v="2025-01-01T00:00:00"/>
    <s v="الاربعاء "/>
    <s v="شركة اوزوريون "/>
    <s v="مراد صالح"/>
    <s v="استكمال اعمال خزان الاطفاء"/>
    <s v="تم العمل"/>
    <d v="1899-12-30T08:00:00"/>
    <d v="1899-12-30T17:00:00"/>
    <n v="0.37500000000000006"/>
    <s v="المخزن القديم "/>
    <n v="9.0000000000000018"/>
    <m/>
    <m/>
    <x v="9"/>
    <n v="5"/>
    <m/>
    <m/>
    <m/>
    <m/>
    <m/>
    <m/>
    <m/>
    <m/>
    <m/>
    <m/>
  </r>
  <r>
    <d v="2025-01-01T00:00:00"/>
    <d v="2025-01-01T00:00:00"/>
    <s v="الاربعاء "/>
    <s v="شركة شلاندر "/>
    <s v="انس احمد "/>
    <s v="تركيب مصاعد"/>
    <s v="تم العمل"/>
    <d v="1899-12-30T10:00:00"/>
    <d v="1899-12-30T17:00:00"/>
    <n v="0.29166666666666669"/>
    <s v="المخزن الجديد "/>
    <n v="7"/>
    <m/>
    <m/>
    <x v="1"/>
    <n v="5"/>
    <m/>
    <m/>
    <m/>
    <m/>
    <m/>
    <m/>
    <m/>
    <m/>
    <m/>
    <m/>
  </r>
  <r>
    <d v="2025-01-01T00:00:00"/>
    <d v="2025-01-01T00:00:00"/>
    <s v="الاربعاء "/>
    <s v="شركة اوزوريون "/>
    <s v="محمد صلاح"/>
    <s v="تركيب الوميتال"/>
    <s v="تم العمل"/>
    <d v="1899-12-30T11:00:00"/>
    <d v="1899-12-30T17:00:00"/>
    <n v="0.25000000000000006"/>
    <s v="المخزن الجديد "/>
    <n v="6.0000000000000018"/>
    <m/>
    <m/>
    <x v="1"/>
    <n v="5"/>
    <m/>
    <m/>
    <m/>
    <m/>
    <m/>
    <m/>
    <m/>
    <m/>
    <m/>
    <m/>
  </r>
  <r>
    <d v="2025-01-01T00:00:00"/>
    <d v="2025-01-02T00:00:00"/>
    <s v="الخميس "/>
    <s v="شركة اوزوريون "/>
    <s v="محمد صلاح"/>
    <s v="تركيب الوميتال"/>
    <s v="تم العمل"/>
    <d v="1899-12-30T10:00:00"/>
    <d v="1899-12-30T17:00:00"/>
    <n v="0.29166666666666669"/>
    <s v="المخزن الجديد "/>
    <n v="7"/>
    <m/>
    <m/>
    <x v="1"/>
    <n v="5"/>
    <m/>
    <m/>
    <m/>
    <m/>
    <m/>
    <m/>
    <m/>
    <m/>
    <m/>
    <m/>
  </r>
  <r>
    <d v="2025-01-01T00:00:00"/>
    <d v="2025-01-02T00:00:00"/>
    <s v="الخميس "/>
    <s v="شركة شلاندر "/>
    <s v="انس احمد"/>
    <s v="تركيب مصاعد"/>
    <s v="تم العمل"/>
    <d v="1899-12-30T10:00:00"/>
    <d v="1899-12-30T17:00:00"/>
    <n v="0.29166666666666669"/>
    <s v="المخزن الجديد "/>
    <n v="7"/>
    <m/>
    <m/>
    <x v="1"/>
    <n v="5"/>
    <m/>
    <m/>
    <m/>
    <m/>
    <m/>
    <m/>
    <m/>
    <m/>
    <m/>
    <m/>
  </r>
  <r>
    <d v="2025-01-01T00:00:00"/>
    <d v="2025-01-04T00:00:00"/>
    <s v="السبت "/>
    <s v="شركة اوزوريون "/>
    <s v="مراد صالح"/>
    <s v="استكمال اعمال خزان الاطفاء"/>
    <s v="تم العمل"/>
    <d v="1899-12-30T08:00:00"/>
    <d v="1899-12-30T17:00:00"/>
    <n v="0.37500000000000006"/>
    <s v="المخزن القديم "/>
    <n v="9.0000000000000018"/>
    <m/>
    <m/>
    <x v="13"/>
    <n v="5"/>
    <m/>
    <m/>
    <m/>
    <m/>
    <m/>
    <m/>
    <m/>
    <m/>
    <m/>
    <m/>
  </r>
  <r>
    <d v="2025-01-01T00:00:00"/>
    <d v="2025-01-04T00:00:00"/>
    <s v="السبت "/>
    <s v="مقاول خارجي"/>
    <s v="مراد صالح"/>
    <s v="تركيب سيراميك"/>
    <s v="تم العمل"/>
    <d v="1899-12-30T10:00:00"/>
    <d v="1899-12-30T17:00:00"/>
    <n v="0.29166666666666669"/>
    <s v="المخزن القديم "/>
    <n v="7"/>
    <m/>
    <m/>
    <x v="13"/>
    <n v="5"/>
    <m/>
    <m/>
    <m/>
    <m/>
    <m/>
    <m/>
    <m/>
    <m/>
    <m/>
    <m/>
  </r>
  <r>
    <d v="2025-01-01T00:00:00"/>
    <d v="2025-01-04T00:00:00"/>
    <s v="السبت "/>
    <s v="شركة اوزوريون "/>
    <s v="محمد صلاح"/>
    <s v="تركيب الوميتال"/>
    <s v="تم العمل"/>
    <d v="1899-12-30T11:00:00"/>
    <d v="1899-12-30T17:00:00"/>
    <n v="0.25000000000000006"/>
    <s v="المخزن الجديد "/>
    <n v="6.0000000000000018"/>
    <m/>
    <m/>
    <x v="9"/>
    <n v="5"/>
    <m/>
    <m/>
    <m/>
    <m/>
    <m/>
    <m/>
    <m/>
    <m/>
    <m/>
    <m/>
  </r>
  <r>
    <d v="2025-01-01T00:00:00"/>
    <d v="2025-01-04T00:00:00"/>
    <s v="السبت "/>
    <s v="شركة شلاندر "/>
    <s v="انس احمد "/>
    <s v="تركيب مصاعد"/>
    <s v="تم العمل"/>
    <d v="1899-12-30T09:00:00"/>
    <d v="1899-12-30T17:00:00"/>
    <n v="0.33333333333333337"/>
    <s v="المخزن الجديد "/>
    <n v="8"/>
    <m/>
    <m/>
    <x v="9"/>
    <n v="5"/>
    <m/>
    <m/>
    <m/>
    <m/>
    <m/>
    <m/>
    <m/>
    <m/>
    <m/>
    <m/>
  </r>
  <r>
    <d v="2025-01-01T00:00:00"/>
    <d v="2025-01-04T00:00:00"/>
    <s v="السبت "/>
    <s v="بازان "/>
    <s v="مينا سامي"/>
    <s v="استكمال العمل بشبكة الاطفاء"/>
    <s v="تم العمل"/>
    <d v="1899-12-30T12:00:00"/>
    <d v="1899-12-30T17:00:00"/>
    <n v="0.20833333333333337"/>
    <s v="المخزن الجديد "/>
    <n v="5.0000000000000009"/>
    <m/>
    <m/>
    <x v="9"/>
    <n v="4"/>
    <m/>
    <m/>
    <m/>
    <m/>
    <m/>
    <m/>
    <m/>
    <m/>
    <m/>
    <m/>
  </r>
  <r>
    <d v="2025-01-01T00:00:00"/>
    <d v="2025-01-04T00:00:00"/>
    <s v="السبت "/>
    <s v="شركة اوزوريون "/>
    <s v="ابراهيم العيسوي"/>
    <s v="اعمال نقاشة   "/>
    <s v="تم العمل"/>
    <d v="1899-12-30T11:30:00"/>
    <d v="1899-12-30T18:00:00"/>
    <n v="0.27083333333333331"/>
    <s v="البرج"/>
    <n v="6.5"/>
    <m/>
    <m/>
    <x v="14"/>
    <n v="5"/>
    <m/>
    <m/>
    <m/>
    <m/>
    <m/>
    <m/>
    <m/>
    <m/>
    <m/>
    <m/>
  </r>
  <r>
    <d v="2025-01-01T00:00:00"/>
    <d v="2025-01-04T00:00:00"/>
    <s v="السبت "/>
    <s v="شركة هاى سكيور"/>
    <s v="ابراهيم الخزرجي"/>
    <s v="تركيبات"/>
    <s v="تم العمل"/>
    <d v="1899-12-30T11:30:00"/>
    <d v="1899-12-30T18:30:00"/>
    <n v="0.29166666666666669"/>
    <s v="البرج"/>
    <n v="7"/>
    <m/>
    <m/>
    <x v="14"/>
    <n v="5"/>
    <m/>
    <m/>
    <m/>
    <m/>
    <m/>
    <m/>
    <m/>
    <m/>
    <m/>
    <m/>
  </r>
  <r>
    <d v="2025-01-01T00:00:00"/>
    <d v="2025-01-05T00:00:00"/>
    <s v="الاحد "/>
    <s v="مقاول خارجي"/>
    <s v="هيثم جمال"/>
    <s v="تنظيف لوجو الشركة بالمبنى الاداري"/>
    <s v="تم العمل"/>
    <d v="1899-12-30T13:00:00"/>
    <d v="1899-12-30T17:00:00"/>
    <n v="0.16666666666666674"/>
    <s v="المطابع "/>
    <n v="4.0000000000000018"/>
    <m/>
    <m/>
    <x v="8"/>
    <n v="3"/>
    <m/>
    <m/>
    <m/>
    <m/>
    <m/>
    <m/>
    <m/>
    <m/>
    <m/>
    <m/>
  </r>
  <r>
    <d v="2025-01-01T00:00:00"/>
    <d v="2025-01-05T00:00:00"/>
    <s v="الاحد "/>
    <s v="مقاول خارجي"/>
    <s v="يوسف عثمان"/>
    <s v="تغيير سخانات المياه "/>
    <s v="تم العمل"/>
    <d v="1899-12-30T14:30:00"/>
    <d v="1899-12-30T17:00:00"/>
    <n v="0.10416666666666674"/>
    <s v="المطابع "/>
    <n v="2.5000000000000018"/>
    <m/>
    <m/>
    <x v="5"/>
    <n v="5"/>
    <m/>
    <m/>
    <m/>
    <m/>
    <m/>
    <m/>
    <m/>
    <m/>
    <m/>
    <m/>
  </r>
  <r>
    <d v="2025-01-01T00:00:00"/>
    <d v="2025-01-06T00:00:00"/>
    <s v="الاثنين "/>
    <s v="بازان "/>
    <s v="سامر سامي"/>
    <s v="اعمال في شبكة الاطفاء "/>
    <s v="تم العمل"/>
    <d v="1899-12-30T10:00:00"/>
    <d v="1899-12-30T17:00:00"/>
    <n v="0.29166666666666635"/>
    <s v="المخزن الجديد "/>
    <n v="6.9999999999999929"/>
    <m/>
    <m/>
    <x v="1"/>
    <n v="5"/>
    <m/>
    <m/>
    <m/>
    <m/>
    <m/>
    <m/>
    <m/>
    <m/>
    <m/>
    <m/>
  </r>
  <r>
    <d v="2025-01-01T00:00:00"/>
    <d v="2025-01-06T00:00:00"/>
    <s v="الاثنين "/>
    <s v="شركة اوزوريون "/>
    <s v="محمد صلاح"/>
    <s v="تركيب الوميتال"/>
    <s v="تم العمل"/>
    <d v="1899-12-30T11:00:00"/>
    <d v="1899-12-30T17:00:00"/>
    <n v="0.25000000000000006"/>
    <s v="المخزن الجديد "/>
    <n v="6.0000000000000018"/>
    <m/>
    <m/>
    <x v="1"/>
    <n v="5"/>
    <m/>
    <m/>
    <m/>
    <m/>
    <m/>
    <m/>
    <m/>
    <m/>
    <m/>
    <m/>
  </r>
  <r>
    <d v="2025-01-01T00:00:00"/>
    <d v="2025-01-06T00:00:00"/>
    <s v="الاثنين "/>
    <s v="مقاول خارجي"/>
    <s v="محمد طنطاوي"/>
    <s v="اصلاح بوابة مخزن الوزارة"/>
    <s v="تم العمل"/>
    <d v="1899-12-30T13:00:00"/>
    <d v="1899-12-30T18:00:00"/>
    <n v="0.20833333333333337"/>
    <s v="مخزن الوزارة"/>
    <n v="5.0000000000000009"/>
    <m/>
    <m/>
    <x v="8"/>
    <n v="5"/>
    <m/>
    <m/>
    <m/>
    <m/>
    <m/>
    <m/>
    <m/>
    <m/>
    <m/>
    <m/>
  </r>
  <r>
    <d v="2025-01-01T00:00:00"/>
    <d v="2025-01-07T00:00:00"/>
    <s v="الثلاثاء "/>
    <s v="شركة اوزوريون "/>
    <s v="محمد صلاح"/>
    <s v="تركيب الوميتال"/>
    <s v="تم العمل"/>
    <d v="1899-12-30T10:00:00"/>
    <d v="1899-12-30T17:00:00"/>
    <n v="0.29166666666666669"/>
    <s v="المخزن الجديد "/>
    <n v="7"/>
    <m/>
    <m/>
    <x v="1"/>
    <n v="5"/>
    <m/>
    <m/>
    <m/>
    <m/>
    <m/>
    <m/>
    <m/>
    <m/>
    <m/>
    <m/>
  </r>
  <r>
    <d v="2025-01-01T00:00:00"/>
    <d v="2025-01-07T00:00:00"/>
    <s v="الثلاثاء "/>
    <s v="شركة اوزوريون "/>
    <s v="مراد صالح"/>
    <s v="استكمال اعمال خزان الاطفاء"/>
    <s v="تم العمل"/>
    <d v="1899-12-30T09:30:00"/>
    <d v="1899-12-30T17:00:00"/>
    <n v="0.31250000000000006"/>
    <s v="المخزن القديم "/>
    <n v="7.5000000000000018"/>
    <m/>
    <m/>
    <x v="13"/>
    <n v="5"/>
    <m/>
    <m/>
    <m/>
    <m/>
    <m/>
    <m/>
    <m/>
    <m/>
    <m/>
    <m/>
  </r>
  <r>
    <d v="2025-01-01T00:00:00"/>
    <d v="2025-01-07T00:00:00"/>
    <s v="الثلاثاء "/>
    <s v="شركة اوزوريون "/>
    <s v="محمد زنفل  "/>
    <s v="أنشاءات"/>
    <s v="تم العمل"/>
    <d v="1899-12-30T10:00:00"/>
    <d v="1899-12-30T18:00:00"/>
    <n v="0.33333333333333331"/>
    <s v="البرج"/>
    <n v="8"/>
    <m/>
    <m/>
    <x v="3"/>
    <n v="5"/>
    <m/>
    <m/>
    <m/>
    <m/>
    <m/>
    <m/>
    <m/>
    <m/>
    <m/>
    <m/>
  </r>
  <r>
    <d v="2025-01-01T00:00:00"/>
    <d v="2025-01-07T00:00:00"/>
    <s v="الثلاثاء "/>
    <s v="شركة اوزوريون "/>
    <s v="مراد صالح"/>
    <s v="تركيب سيراميك"/>
    <s v="تم العمل"/>
    <d v="1899-12-30T10:00:00"/>
    <d v="1899-12-30T17:00:00"/>
    <n v="0.29166666666666669"/>
    <s v="المخزن القديم "/>
    <n v="7"/>
    <m/>
    <m/>
    <x v="13"/>
    <n v="5"/>
    <m/>
    <m/>
    <m/>
    <m/>
    <m/>
    <m/>
    <m/>
    <m/>
    <m/>
    <m/>
  </r>
  <r>
    <d v="2025-01-01T00:00:00"/>
    <d v="2025-01-07T00:00:00"/>
    <s v="الثلاثاء "/>
    <s v="الشؤون الادارية "/>
    <s v="ياسر روبي"/>
    <s v="تركيب درج رخام"/>
    <s v="تم العمل"/>
    <d v="1899-12-30T15:00:00"/>
    <d v="1899-12-30T17:30:00"/>
    <n v="0.10416666666666663"/>
    <s v="المخزن القديم "/>
    <n v="2.4999999999999991"/>
    <m/>
    <m/>
    <x v="13"/>
    <n v="5"/>
    <m/>
    <m/>
    <m/>
    <m/>
    <m/>
    <m/>
    <m/>
    <m/>
    <m/>
    <m/>
  </r>
  <r>
    <d v="2025-01-01T00:00:00"/>
    <d v="2025-01-08T00:00:00"/>
    <s v="الاربعاء "/>
    <s v="الشركة الوطنية "/>
    <s v="مراد صالح"/>
    <s v="تركيب سيراميك"/>
    <s v="تم العمل"/>
    <d v="1899-12-30T12:00:00"/>
    <d v="1899-12-30T17:00:00"/>
    <n v="0.20833333333333337"/>
    <s v="المخزن القديم "/>
    <n v="5.0000000000000009"/>
    <m/>
    <m/>
    <x v="8"/>
    <n v="5"/>
    <m/>
    <m/>
    <m/>
    <m/>
    <m/>
    <m/>
    <m/>
    <m/>
    <m/>
    <m/>
  </r>
  <r>
    <d v="2025-01-01T00:00:00"/>
    <d v="2025-01-08T00:00:00"/>
    <s v="الاربعاء "/>
    <s v="شركة اوزوريون "/>
    <s v="محمد زنفل  "/>
    <s v="أنشاءات"/>
    <s v="تم العمل"/>
    <d v="1899-12-30T10:00:00"/>
    <d v="1899-12-30T18:00:00"/>
    <n v="0.33333333333333331"/>
    <s v="البرج"/>
    <n v="8"/>
    <m/>
    <m/>
    <x v="3"/>
    <n v="5"/>
    <m/>
    <m/>
    <m/>
    <m/>
    <m/>
    <m/>
    <m/>
    <m/>
    <m/>
    <m/>
  </r>
  <r>
    <d v="2025-01-01T00:00:00"/>
    <d v="2025-01-08T00:00:00"/>
    <s v="الاربعاء "/>
    <s v="شركة الفرج"/>
    <s v="رافت سعد"/>
    <s v="اعمال فراشة"/>
    <s v="تم العمل"/>
    <d v="1899-12-30T10:00:00"/>
    <d v="1899-12-30T17:00:00"/>
    <n v="0.29166666666666669"/>
    <s v="المخزن القديم "/>
    <n v="7"/>
    <m/>
    <m/>
    <x v="8"/>
    <n v="5"/>
    <m/>
    <m/>
    <m/>
    <m/>
    <m/>
    <m/>
    <m/>
    <m/>
    <m/>
    <m/>
  </r>
  <r>
    <d v="2025-01-01T00:00:00"/>
    <d v="2025-01-08T00:00:00"/>
    <s v="الاربعاء "/>
    <s v="مقاول خارجي"/>
    <s v="اشرف لطفي"/>
    <s v="عمل صيانة كلاركات "/>
    <s v="تم العمل"/>
    <d v="1899-12-30T12:00:00"/>
    <d v="1899-12-30T17:00:00"/>
    <n v="0.20833333333333337"/>
    <s v="مخزن الوزارة"/>
    <n v="5.0000000000000009"/>
    <m/>
    <m/>
    <x v="2"/>
    <n v="5"/>
    <m/>
    <m/>
    <m/>
    <m/>
    <m/>
    <m/>
    <m/>
    <m/>
    <m/>
    <m/>
  </r>
  <r>
    <d v="2025-01-01T00:00:00"/>
    <d v="2025-01-09T00:00:00"/>
    <s v="الخميس "/>
    <s v="شركة اوزوريون "/>
    <s v="مراد صالح"/>
    <s v="تركيب سيراميك"/>
    <s v="تم العمل"/>
    <d v="1899-12-30T10:00:00"/>
    <d v="1899-12-30T17:00:00"/>
    <n v="0.29166666666666669"/>
    <s v="المخزن القديم "/>
    <n v="7"/>
    <m/>
    <m/>
    <x v="8"/>
    <n v="5"/>
    <m/>
    <m/>
    <m/>
    <m/>
    <m/>
    <m/>
    <m/>
    <m/>
    <m/>
    <m/>
  </r>
  <r>
    <d v="2025-01-01T00:00:00"/>
    <d v="2025-01-09T00:00:00"/>
    <s v="الخميس "/>
    <s v="شركة الفرج"/>
    <s v="رافت سعد"/>
    <s v="اعمال فراشة"/>
    <s v="تم العمل"/>
    <d v="1899-12-30T10:00:00"/>
    <d v="1899-12-30T17:00:00"/>
    <n v="0.29166666666666669"/>
    <s v="المخزن القديم "/>
    <n v="7"/>
    <m/>
    <m/>
    <x v="8"/>
    <n v="5"/>
    <m/>
    <m/>
    <m/>
    <m/>
    <m/>
    <m/>
    <m/>
    <m/>
    <m/>
    <m/>
  </r>
  <r>
    <d v="2025-01-01T00:00:00"/>
    <d v="2025-01-09T00:00:00"/>
    <s v="الخميس "/>
    <s v="ستار كول  للتبريد والتكيف "/>
    <s v="احمد حماده"/>
    <s v="اعمال لحامات"/>
    <s v="تم العمل"/>
    <d v="1899-12-30T14:30:00"/>
    <d v="1899-12-30T17:00:00"/>
    <n v="0.10416666666666674"/>
    <s v="المطابع "/>
    <n v="2.5000000000000018"/>
    <m/>
    <m/>
    <x v="5"/>
    <n v="5"/>
    <m/>
    <m/>
    <m/>
    <m/>
    <m/>
    <m/>
    <m/>
    <m/>
    <m/>
    <m/>
  </r>
  <r>
    <d v="2025-01-01T00:00:00"/>
    <d v="2025-01-09T00:00:00"/>
    <s v="الخميس "/>
    <s v="الورشة الهندسية "/>
    <s v="احمد ابوزيد"/>
    <s v="صيانة صرف الامطار"/>
    <s v="تم العمل"/>
    <d v="1899-12-30T10:00:00"/>
    <d v="1899-12-30T15:00:00"/>
    <n v="0.20833333333333331"/>
    <s v="المطابع "/>
    <n v="5"/>
    <m/>
    <m/>
    <x v="5"/>
    <n v="5"/>
    <m/>
    <m/>
    <m/>
    <m/>
    <m/>
    <m/>
    <m/>
    <m/>
    <m/>
    <m/>
  </r>
  <r>
    <d v="2025-01-01T00:00:00"/>
    <d v="2025-01-09T00:00:00"/>
    <s v="الخميس "/>
    <s v="شركة اوزوريون "/>
    <s v="محمد زنفل  "/>
    <s v="أنشاءات"/>
    <s v="تم العمل"/>
    <d v="1899-12-30T10:00:00"/>
    <d v="1899-12-30T18:00:00"/>
    <n v="0.33333333333333331"/>
    <s v="البرج"/>
    <n v="8"/>
    <m/>
    <m/>
    <x v="3"/>
    <n v="4"/>
    <m/>
    <m/>
    <m/>
    <m/>
    <m/>
    <m/>
    <m/>
    <m/>
    <m/>
    <m/>
  </r>
  <r>
    <d v="2025-01-01T00:00:00"/>
    <d v="2025-01-11T00:00:00"/>
    <s v="السبت "/>
    <s v="شركة الفرج"/>
    <s v="فرج محمد  "/>
    <s v="فك فراشة الشوارع الخارجية "/>
    <s v="تم العمل"/>
    <d v="1899-12-30T09:30:00"/>
    <d v="1899-12-30T17:00:00"/>
    <n v="0.31250000000000006"/>
    <s v="المخزن القديم "/>
    <n v="7.5000000000000018"/>
    <m/>
    <m/>
    <x v="13"/>
    <n v="5"/>
    <m/>
    <m/>
    <m/>
    <m/>
    <m/>
    <m/>
    <m/>
    <m/>
    <m/>
    <m/>
  </r>
  <r>
    <d v="2025-01-01T00:00:00"/>
    <d v="2025-01-11T00:00:00"/>
    <s v="السبت "/>
    <s v="الشؤون الادارية "/>
    <s v="فؤاد سالم "/>
    <s v="دهان الكفتريا"/>
    <s v="تم العمل"/>
    <d v="1899-12-30T09:30:00"/>
    <d v="1899-12-30T17:00:00"/>
    <n v="0.31250000000000006"/>
    <s v="المخزن القديم "/>
    <n v="7.5000000000000018"/>
    <m/>
    <m/>
    <x v="13"/>
    <n v="5"/>
    <m/>
    <m/>
    <m/>
    <m/>
    <m/>
    <m/>
    <m/>
    <m/>
    <m/>
    <m/>
  </r>
  <r>
    <d v="2025-01-01T00:00:00"/>
    <d v="2025-01-11T00:00:00"/>
    <s v="السبت "/>
    <s v="القطاع الهندسى "/>
    <s v="محمد رفعت  "/>
    <s v="عمل صيانة الكلارك "/>
    <s v="تم العمل"/>
    <d v="1899-12-30T09:30:00"/>
    <d v="1899-12-30T12:00:00"/>
    <n v="0.10416666666666669"/>
    <s v="المخزن القديم "/>
    <n v="2.5000000000000004"/>
    <m/>
    <m/>
    <x v="13"/>
    <n v="5"/>
    <m/>
    <m/>
    <m/>
    <m/>
    <m/>
    <m/>
    <m/>
    <m/>
    <m/>
    <m/>
  </r>
  <r>
    <d v="2025-01-01T00:00:00"/>
    <d v="2025-01-12T00:00:00"/>
    <s v="الاحد "/>
    <s v="شركة الكريم "/>
    <s v="علاء على"/>
    <s v="تركيب لوحة انذار على غرفة المحول"/>
    <s v="تم العمل"/>
    <d v="1899-12-30T11:00:00"/>
    <d v="1899-12-30T12:00:00"/>
    <n v="4.1666666666666685E-2"/>
    <s v="المطابع "/>
    <n v="1.0000000000000004"/>
    <m/>
    <m/>
    <x v="0"/>
    <n v="5"/>
    <m/>
    <m/>
    <m/>
    <m/>
    <m/>
    <m/>
    <m/>
    <m/>
    <m/>
    <m/>
  </r>
  <r>
    <d v="2025-01-01T00:00:00"/>
    <d v="2025-01-12T00:00:00"/>
    <s v="الاحد "/>
    <s v="الشركة الالمانية "/>
    <s v="محمد ماهر"/>
    <s v="مكافحة الحشرات "/>
    <s v="تم العمل"/>
    <d v="1899-12-30T12:00:00"/>
    <d v="1899-12-30T15:00:00"/>
    <n v="0.125"/>
    <s v="المطابع "/>
    <n v="3"/>
    <m/>
    <m/>
    <x v="10"/>
    <n v="5"/>
    <m/>
    <m/>
    <m/>
    <m/>
    <m/>
    <m/>
    <m/>
    <m/>
    <m/>
    <m/>
  </r>
  <r>
    <d v="2025-01-01T00:00:00"/>
    <d v="2025-01-12T00:00:00"/>
    <s v="الاحد "/>
    <s v="شركة اوزوريون "/>
    <s v="مراد صالح"/>
    <s v="استكمال اعمال خزان الاطفاء"/>
    <s v="تم العمل"/>
    <d v="1899-12-30T09:00:00"/>
    <d v="1899-12-30T17:00:00"/>
    <n v="0.33333333333333337"/>
    <s v="المخزن القديم "/>
    <n v="8"/>
    <m/>
    <m/>
    <x v="9"/>
    <n v="5"/>
    <m/>
    <m/>
    <m/>
    <m/>
    <m/>
    <m/>
    <m/>
    <m/>
    <m/>
    <m/>
  </r>
  <r>
    <d v="2025-01-01T00:00:00"/>
    <d v="2025-01-13T00:00:00"/>
    <s v="الاثنين "/>
    <s v="شركة شلاندر "/>
    <s v="مخلص كامل "/>
    <s v="صيانة الاسانسير"/>
    <s v="تم العمل"/>
    <d v="1899-12-30T11:30:00"/>
    <d v="1899-12-30T12:30:00"/>
    <n v="4.1666666666666685E-2"/>
    <s v="المطابع "/>
    <n v="1.0000000000000004"/>
    <m/>
    <m/>
    <x v="10"/>
    <n v="5"/>
    <m/>
    <m/>
    <m/>
    <m/>
    <m/>
    <m/>
    <m/>
    <m/>
    <m/>
    <m/>
  </r>
  <r>
    <d v="2025-01-01T00:00:00"/>
    <d v="2025-01-13T00:00:00"/>
    <s v="الاثنين "/>
    <s v="مالك المخزن "/>
    <s v="فيكتور لوندي"/>
    <s v="عزل اسقف المخزن"/>
    <s v="تم العمل"/>
    <d v="1899-12-30T12:00:00"/>
    <d v="1899-12-30T15:30:00"/>
    <n v="0.14583333333333337"/>
    <s v="مخزن الوزارة"/>
    <n v="3.5000000000000009"/>
    <m/>
    <m/>
    <x v="4"/>
    <n v="5"/>
    <m/>
    <m/>
    <m/>
    <m/>
    <m/>
    <m/>
    <m/>
    <m/>
    <m/>
    <m/>
  </r>
  <r>
    <d v="2025-01-01T00:00:00"/>
    <d v="2025-01-13T00:00:00"/>
    <s v="الاثنين "/>
    <s v="الورشة الهندسية "/>
    <s v="شريف عيد"/>
    <s v="تركيب كشافات كهرباء "/>
    <s v="تم العمل"/>
    <d v="1899-12-30T10:00:00"/>
    <d v="1899-12-30T17:00:00"/>
    <n v="0.29166666666666669"/>
    <s v="المخزن الجديد "/>
    <n v="7"/>
    <m/>
    <m/>
    <x v="0"/>
    <n v="5"/>
    <m/>
    <m/>
    <m/>
    <m/>
    <m/>
    <m/>
    <m/>
    <m/>
    <m/>
    <m/>
  </r>
  <r>
    <d v="2025-01-01T00:00:00"/>
    <d v="2025-01-13T00:00:00"/>
    <s v="الاثنين "/>
    <s v="شركة شلاندر "/>
    <s v="مخلص كامل "/>
    <s v="تركيب مصاعد"/>
    <s v="تم العمل"/>
    <d v="1899-12-30T10:00:00"/>
    <d v="1899-12-30T17:00:00"/>
    <n v="0.29166666666666669"/>
    <s v="المخزن الجديد "/>
    <n v="7"/>
    <m/>
    <m/>
    <x v="0"/>
    <n v="4"/>
    <m/>
    <m/>
    <m/>
    <m/>
    <m/>
    <m/>
    <m/>
    <m/>
    <m/>
    <m/>
  </r>
  <r>
    <d v="2025-01-01T00:00:00"/>
    <d v="2025-01-13T00:00:00"/>
    <s v="الاثنين "/>
    <s v="شركة اوزوريون "/>
    <s v="محمد صلاح"/>
    <s v="تركيب الوميتال"/>
    <s v="تم العمل"/>
    <d v="1899-12-30T11:30:00"/>
    <d v="1899-12-30T17:00:00"/>
    <n v="0.22916666666666669"/>
    <s v="المخزن الجديد "/>
    <n v="5.5"/>
    <m/>
    <m/>
    <x v="0"/>
    <n v="5"/>
    <m/>
    <m/>
    <m/>
    <m/>
    <m/>
    <m/>
    <m/>
    <m/>
    <m/>
    <m/>
  </r>
  <r>
    <d v="2025-01-01T00:00:00"/>
    <d v="2025-01-13T00:00:00"/>
    <s v="الاثنين "/>
    <s v="شركة اوزوريون "/>
    <s v="مراد صالح"/>
    <s v="استكمال اعمال خزان الاطفاء"/>
    <s v="تم العمل"/>
    <d v="1899-12-30T09:00:00"/>
    <d v="1899-12-30T17:00:00"/>
    <n v="0.33333333333333337"/>
    <s v="المخزن القديم "/>
    <n v="8"/>
    <m/>
    <m/>
    <x v="9"/>
    <n v="5"/>
    <m/>
    <m/>
    <m/>
    <m/>
    <m/>
    <m/>
    <m/>
    <m/>
    <m/>
    <m/>
  </r>
  <r>
    <d v="2025-01-01T00:00:00"/>
    <d v="2025-01-13T00:00:00"/>
    <s v="الاثنين "/>
    <s v="شركة المصرية المتحدة "/>
    <s v="محمود سالم "/>
    <s v="صيانة غرفة الطلمبات  "/>
    <s v="تم العمل"/>
    <d v="1899-12-30T10:00:00"/>
    <d v="1899-12-30T11:00:00"/>
    <n v="4.1666666666666963E-2"/>
    <s v="المخزن القديم "/>
    <n v="1.0000000000000071"/>
    <m/>
    <m/>
    <x v="9"/>
    <n v="5"/>
    <m/>
    <m/>
    <m/>
    <m/>
    <m/>
    <m/>
    <m/>
    <m/>
    <m/>
    <m/>
  </r>
  <r>
    <d v="2025-01-01T00:00:00"/>
    <d v="2025-01-13T00:00:00"/>
    <s v="الاثنين "/>
    <s v="الشؤون الادارية "/>
    <s v="محمود ابوشادي"/>
    <s v="اعمال نظافة"/>
    <s v="تم العمل"/>
    <d v="1899-12-30T14:00:00"/>
    <d v="1899-12-30T17:00:00"/>
    <n v="0.125"/>
    <s v="المخزن القديم "/>
    <n v="3"/>
    <m/>
    <m/>
    <x v="9"/>
    <n v="4"/>
    <m/>
    <m/>
    <m/>
    <m/>
    <m/>
    <m/>
    <m/>
    <m/>
    <m/>
    <m/>
  </r>
  <r>
    <d v="2025-01-01T00:00:00"/>
    <d v="2025-01-13T00:00:00"/>
    <s v="الاثنين "/>
    <s v="الشؤون الادارية "/>
    <s v="محمود ابوشادي"/>
    <s v="صيانة كشافات الكافيتريا"/>
    <s v="تم العمل"/>
    <d v="1899-12-30T18:30:00"/>
    <d v="1899-12-30T21:00:00"/>
    <n v="0.10416666666666663"/>
    <s v="المطابع "/>
    <n v="2.4999999999999991"/>
    <m/>
    <m/>
    <x v="0"/>
    <n v="5"/>
    <m/>
    <m/>
    <m/>
    <m/>
    <m/>
    <m/>
    <m/>
    <m/>
    <m/>
    <m/>
  </r>
  <r>
    <d v="2025-01-01T00:00:00"/>
    <d v="2025-01-14T00:00:00"/>
    <s v="الثلاثاء "/>
    <s v="مالك المخزن "/>
    <s v="فيكتور لوندي"/>
    <s v="عزل اسقف المخزن"/>
    <s v="تم العمل"/>
    <d v="1899-12-30T11:30:00"/>
    <d v="1899-12-30T16:00:00"/>
    <n v="0.18749999999999994"/>
    <s v="مخزن الوزارة"/>
    <n v="4.4999999999999982"/>
    <m/>
    <m/>
    <x v="0"/>
    <n v="5"/>
    <m/>
    <m/>
    <m/>
    <m/>
    <m/>
    <m/>
    <m/>
    <m/>
    <m/>
    <m/>
  </r>
  <r>
    <d v="2025-01-01T00:00:00"/>
    <d v="2025-01-14T00:00:00"/>
    <s v="الثلاثاء "/>
    <s v="شركة شلاندر "/>
    <s v="احمد حسن"/>
    <s v="تركيب مصاعد"/>
    <s v="تم العمل"/>
    <d v="1899-12-30T10:00:00"/>
    <d v="1899-12-30T17:00:00"/>
    <n v="0.29166666666666669"/>
    <s v="المخزن الجديد "/>
    <n v="7"/>
    <m/>
    <m/>
    <x v="1"/>
    <n v="5"/>
    <m/>
    <m/>
    <m/>
    <m/>
    <m/>
    <m/>
    <m/>
    <m/>
    <m/>
    <m/>
  </r>
  <r>
    <d v="2025-01-01T00:00:00"/>
    <d v="2025-01-14T00:00:00"/>
    <s v="الثلاثاء "/>
    <s v="الورشة الهندسية "/>
    <s v="شريف عيد"/>
    <s v="تركيب كشافات كهرباء "/>
    <s v="تم العمل"/>
    <d v="1899-12-30T10:00:00"/>
    <d v="1899-12-30T17:00:00"/>
    <n v="0.29166666666666669"/>
    <s v="المخزن الجديد "/>
    <n v="7"/>
    <m/>
    <m/>
    <x v="1"/>
    <n v="4"/>
    <m/>
    <m/>
    <m/>
    <m/>
    <m/>
    <m/>
    <m/>
    <m/>
    <m/>
    <m/>
  </r>
  <r>
    <d v="2025-01-01T00:00:00"/>
    <d v="2025-01-14T00:00:00"/>
    <s v="الثلاثاء "/>
    <s v="الشؤون الادارية "/>
    <s v="مصطفى رشاد  "/>
    <s v="اعمال نقاشة   "/>
    <s v="تم العمل"/>
    <d v="1899-12-30T11:00:00"/>
    <d v="1899-12-30T17:00:00"/>
    <n v="0.25000000000000006"/>
    <s v="المخزن الجديد "/>
    <n v="6.0000000000000018"/>
    <m/>
    <m/>
    <x v="1"/>
    <n v="5"/>
    <m/>
    <m/>
    <m/>
    <m/>
    <m/>
    <m/>
    <m/>
    <m/>
    <m/>
    <m/>
  </r>
  <r>
    <d v="2025-01-01T00:00:00"/>
    <d v="2025-01-14T00:00:00"/>
    <s v="الثلاثاء "/>
    <s v="شركة اوزوريون "/>
    <s v="محمد صلاح"/>
    <s v="تركيب الوميتال"/>
    <s v="تم العمل"/>
    <d v="1899-12-30T11:00:00"/>
    <d v="1899-12-30T17:00:00"/>
    <n v="0.25000000000000006"/>
    <s v="المخزن الجديد "/>
    <n v="6.0000000000000018"/>
    <m/>
    <m/>
    <x v="1"/>
    <n v="5"/>
    <m/>
    <m/>
    <m/>
    <m/>
    <m/>
    <m/>
    <m/>
    <m/>
    <m/>
    <m/>
  </r>
  <r>
    <d v="2025-01-01T00:00:00"/>
    <d v="2025-01-14T00:00:00"/>
    <s v="الثلاثاء "/>
    <s v="بازان "/>
    <s v="سامر سامي"/>
    <s v="اعمال في شبكة الاطفاء "/>
    <s v="تم العمل"/>
    <d v="1899-12-30T12:00:00"/>
    <d v="1899-12-30T17:00:00"/>
    <n v="0.20833333333333337"/>
    <s v="المخزن الجديد "/>
    <n v="5.0000000000000009"/>
    <m/>
    <m/>
    <x v="1"/>
    <n v="4"/>
    <m/>
    <m/>
    <m/>
    <m/>
    <m/>
    <m/>
    <m/>
    <m/>
    <m/>
    <m/>
  </r>
  <r>
    <d v="2025-01-01T00:00:00"/>
    <d v="2025-01-14T00:00:00"/>
    <s v="الثلاثاء "/>
    <s v="شركة اوزوريون "/>
    <s v="محمد زنفل  "/>
    <s v="انشاءات"/>
    <s v="تم العمل"/>
    <d v="1899-12-30T10:00:00"/>
    <d v="1899-12-30T18:00:00"/>
    <n v="0.33333333333333331"/>
    <s v="البرج"/>
    <n v="8"/>
    <m/>
    <m/>
    <x v="3"/>
    <n v="5"/>
    <m/>
    <m/>
    <m/>
    <m/>
    <m/>
    <m/>
    <m/>
    <m/>
    <m/>
    <m/>
  </r>
  <r>
    <d v="2025-01-01T00:00:00"/>
    <d v="2025-01-15T00:00:00"/>
    <s v="الاربعاء "/>
    <s v="مالك المخزن "/>
    <s v="فيكتور لوندي"/>
    <s v="عزل اسقف المخزن"/>
    <s v="تم العمل"/>
    <d v="1899-12-30T11:00:00"/>
    <d v="1899-12-30T14:30:00"/>
    <n v="0.14583333333333331"/>
    <s v="مخزن الوزارة"/>
    <n v="3.4999999999999996"/>
    <m/>
    <m/>
    <x v="4"/>
    <n v="5"/>
    <m/>
    <m/>
    <m/>
    <m/>
    <m/>
    <m/>
    <m/>
    <m/>
    <m/>
    <m/>
  </r>
  <r>
    <d v="2025-01-01T00:00:00"/>
    <d v="2025-01-15T00:00:00"/>
    <s v="الاربعاء "/>
    <s v="بازان "/>
    <s v="سامر سامي"/>
    <s v="اعمال في شبكة الاطفاء "/>
    <s v="تم العمل"/>
    <d v="1899-12-30T10:00:00"/>
    <d v="1899-12-30T17:00:00"/>
    <n v="0.29166666666666669"/>
    <s v="المخزن الجديد "/>
    <n v="7"/>
    <m/>
    <m/>
    <x v="1"/>
    <n v="5"/>
    <m/>
    <m/>
    <m/>
    <m/>
    <m/>
    <m/>
    <m/>
    <m/>
    <m/>
    <m/>
  </r>
  <r>
    <d v="2025-01-01T00:00:00"/>
    <d v="2025-01-15T00:00:00"/>
    <s v="الاربعاء "/>
    <s v="الورشة الهندسية "/>
    <s v="شريف عيد"/>
    <s v="تركيب كشافات كهرباء "/>
    <s v="تم العمل"/>
    <d v="1899-12-30T10:00:00"/>
    <d v="1899-12-30T17:00:00"/>
    <n v="0.29166666666666669"/>
    <s v="المخزن الجديد "/>
    <n v="7"/>
    <m/>
    <m/>
    <x v="1"/>
    <n v="4"/>
    <m/>
    <m/>
    <m/>
    <m/>
    <m/>
    <m/>
    <m/>
    <m/>
    <m/>
    <m/>
  </r>
  <r>
    <d v="2025-01-01T00:00:00"/>
    <d v="2025-01-15T00:00:00"/>
    <s v="الاربعاء "/>
    <s v="الشركة الالمانية "/>
    <s v="كريم عبداالناصر"/>
    <s v="مكافحة الحشرات "/>
    <s v="تم العمل"/>
    <d v="1899-12-30T15:00:00"/>
    <d v="1899-12-30T16:00:00"/>
    <n v="4.166666666666663E-2"/>
    <s v="المخزن الجديد "/>
    <n v="0.99999999999999911"/>
    <m/>
    <m/>
    <x v="1"/>
    <n v="5"/>
    <m/>
    <m/>
    <m/>
    <m/>
    <m/>
    <m/>
    <m/>
    <m/>
    <m/>
    <m/>
  </r>
  <r>
    <d v="2025-01-01T00:00:00"/>
    <d v="2025-01-15T00:00:00"/>
    <s v="الاربعاء "/>
    <s v="الشؤون الادارية "/>
    <s v="مصطفى رشاد  "/>
    <s v="اعمال نقاشة   "/>
    <s v="تم العمل"/>
    <d v="1899-12-30T16:00:00"/>
    <d v="1899-12-30T17:00:00"/>
    <n v="4.1666666666666075E-2"/>
    <s v="المخزن الجديد "/>
    <n v="0.99999999999998579"/>
    <m/>
    <m/>
    <x v="1"/>
    <n v="5"/>
    <m/>
    <m/>
    <m/>
    <m/>
    <m/>
    <m/>
    <m/>
    <m/>
    <m/>
    <m/>
  </r>
  <r>
    <d v="2025-01-01T00:00:00"/>
    <d v="2025-01-15T00:00:00"/>
    <s v="الاربعاء "/>
    <s v="شركة اوزوريون "/>
    <s v="محمد زنفل  "/>
    <s v="انشاءات"/>
    <s v="تم العمل"/>
    <d v="1899-12-30T10:00:00"/>
    <d v="1899-12-30T18:00:00"/>
    <n v="0.33333333333333331"/>
    <s v="البرج"/>
    <n v="8"/>
    <m/>
    <m/>
    <x v="3"/>
    <n v="5"/>
    <m/>
    <m/>
    <m/>
    <m/>
    <m/>
    <m/>
    <m/>
    <m/>
    <m/>
    <m/>
  </r>
  <r>
    <d v="2025-01-01T00:00:00"/>
    <d v="2025-01-16T00:00:00"/>
    <s v="الخميس "/>
    <s v="الشؤون الادارية "/>
    <s v="ادم محمد "/>
    <s v="تركيب سيراميك"/>
    <s v="تم العمل"/>
    <d v="1899-12-30T10:00:00"/>
    <d v="1899-12-30T17:00:00"/>
    <n v="0.29166666666666669"/>
    <s v="المطابع "/>
    <n v="7"/>
    <m/>
    <m/>
    <x v="6"/>
    <n v="3"/>
    <m/>
    <m/>
    <m/>
    <m/>
    <m/>
    <m/>
    <m/>
    <m/>
    <m/>
    <m/>
  </r>
  <r>
    <d v="2025-01-01T00:00:00"/>
    <d v="2025-01-16T00:00:00"/>
    <s v="الخميس "/>
    <s v="شركة شلاندر "/>
    <s v="انس احمد"/>
    <s v="تركيب مصاعد"/>
    <s v="تم العمل"/>
    <d v="1899-12-30T10:00:00"/>
    <d v="1899-12-30T17:00:00"/>
    <n v="0.29166666666666669"/>
    <s v="المخزن الجديد "/>
    <n v="7"/>
    <m/>
    <m/>
    <x v="4"/>
    <n v="5"/>
    <m/>
    <m/>
    <m/>
    <m/>
    <m/>
    <m/>
    <m/>
    <m/>
    <m/>
    <m/>
  </r>
  <r>
    <d v="2025-01-01T00:00:00"/>
    <d v="2025-01-16T00:00:00"/>
    <s v="الخميس "/>
    <s v="بازان "/>
    <s v="سامر سامي"/>
    <s v="اعمال في شبكة الاطفاء "/>
    <s v="تم العمل"/>
    <d v="1899-12-30T10:00:00"/>
    <d v="1899-12-30T17:00:00"/>
    <n v="0.29166666666666669"/>
    <s v="المخزن الجديد "/>
    <n v="7"/>
    <m/>
    <m/>
    <x v="4"/>
    <n v="5"/>
    <m/>
    <m/>
    <m/>
    <m/>
    <m/>
    <m/>
    <m/>
    <m/>
    <m/>
    <m/>
  </r>
  <r>
    <d v="2025-01-01T00:00:00"/>
    <d v="2025-01-16T00:00:00"/>
    <s v="الخميس "/>
    <s v="شركة اوزوريون "/>
    <s v="مراد صالح"/>
    <s v="استكمال اعمال خزان الاطفاء"/>
    <s v="تم العمل"/>
    <d v="1899-12-30T09:00:00"/>
    <d v="1899-12-30T17:00:00"/>
    <n v="0.33333333333333337"/>
    <s v="المخزن القديم "/>
    <n v="8"/>
    <m/>
    <m/>
    <x v="9"/>
    <n v="5"/>
    <m/>
    <m/>
    <m/>
    <m/>
    <m/>
    <m/>
    <m/>
    <m/>
    <m/>
    <m/>
  </r>
  <r>
    <d v="2025-01-01T00:00:00"/>
    <d v="2025-01-18T00:00:00"/>
    <s v="السبت "/>
    <s v="شركة اوزوريون "/>
    <s v="مراد صالح"/>
    <s v="استكمال اعمال خزان الاطفاء"/>
    <s v="تم العمل"/>
    <d v="1899-12-30T09:00:00"/>
    <d v="1899-12-30T17:00:00"/>
    <n v="0.33333333333333337"/>
    <s v="المخزن القديم "/>
    <n v="8"/>
    <m/>
    <m/>
    <x v="8"/>
    <n v="5"/>
    <m/>
    <m/>
    <m/>
    <m/>
    <m/>
    <m/>
    <m/>
    <m/>
    <m/>
    <m/>
  </r>
  <r>
    <d v="2025-01-01T00:00:00"/>
    <d v="2025-01-18T00:00:00"/>
    <s v="السبت "/>
    <s v="شركة الفرج"/>
    <s v="فرج محمد"/>
    <s v="فك فراشة الشوارع الخارجية "/>
    <s v="تم العمل"/>
    <d v="1899-12-30T09:30:00"/>
    <d v="1899-12-30T17:00:00"/>
    <n v="0.31250000000000006"/>
    <s v="المخزن القديم "/>
    <n v="7.5000000000000018"/>
    <m/>
    <m/>
    <x v="13"/>
    <n v="5"/>
    <m/>
    <m/>
    <m/>
    <m/>
    <m/>
    <m/>
    <m/>
    <m/>
    <m/>
    <m/>
  </r>
  <r>
    <d v="2025-01-01T00:00:00"/>
    <d v="2025-01-18T00:00:00"/>
    <s v="السبت "/>
    <s v="بازان "/>
    <s v="سامر سامي"/>
    <s v="استكمال الاعمال في شبكة الاطفاء"/>
    <s v="تم العمل"/>
    <d v="1899-12-30T10:00:00"/>
    <d v="1899-12-30T17:00:00"/>
    <n v="0.29166666666666669"/>
    <s v="المخزن الجديد "/>
    <n v="7"/>
    <m/>
    <m/>
    <x v="4"/>
    <n v="5"/>
    <m/>
    <m/>
    <m/>
    <m/>
    <m/>
    <m/>
    <m/>
    <m/>
    <m/>
    <m/>
  </r>
  <r>
    <d v="2025-01-01T00:00:00"/>
    <d v="2025-01-18T00:00:00"/>
    <s v="السبت "/>
    <s v="شركة شلاندر "/>
    <s v="انس احمد"/>
    <s v="تركيب مصاعد"/>
    <s v="تم العمل"/>
    <d v="1899-12-30T10:00:00"/>
    <d v="1899-12-30T17:00:00"/>
    <n v="0.29166666666666669"/>
    <s v="المخزن الجديد "/>
    <n v="7"/>
    <m/>
    <m/>
    <x v="4"/>
    <n v="5"/>
    <m/>
    <m/>
    <m/>
    <m/>
    <m/>
    <m/>
    <m/>
    <m/>
    <m/>
    <m/>
  </r>
  <r>
    <d v="2025-01-01T00:00:00"/>
    <d v="2025-01-19T00:00:00"/>
    <s v="الاحد "/>
    <s v="الورشة الهندسية "/>
    <s v="شريف عيد"/>
    <s v="تركيب كشافات كهرباء "/>
    <s v="تم العمل"/>
    <d v="1899-12-30T10:00:00"/>
    <d v="1899-12-30T16:00:00"/>
    <n v="0.24999999999999994"/>
    <s v="المخزن الجديد "/>
    <n v="5.9999999999999982"/>
    <m/>
    <m/>
    <x v="10"/>
    <n v="5"/>
    <m/>
    <m/>
    <m/>
    <m/>
    <m/>
    <m/>
    <m/>
    <m/>
    <m/>
    <m/>
  </r>
  <r>
    <d v="2025-01-01T00:00:00"/>
    <d v="2025-01-19T00:00:00"/>
    <s v="الاحد "/>
    <s v="شركة شلاندر "/>
    <s v="انس احمد"/>
    <s v="تركيب مصاعد"/>
    <s v="تم العمل"/>
    <d v="1899-12-30T10:00:00"/>
    <d v="1899-12-30T16:00:00"/>
    <n v="0.24999999999999994"/>
    <s v="المخزن الجديد "/>
    <n v="5.9999999999999982"/>
    <m/>
    <m/>
    <x v="10"/>
    <n v="5"/>
    <m/>
    <m/>
    <m/>
    <m/>
    <m/>
    <m/>
    <m/>
    <m/>
    <m/>
    <m/>
  </r>
  <r>
    <d v="2025-01-01T00:00:00"/>
    <d v="2025-01-20T00:00:00"/>
    <s v="الاثنين "/>
    <s v="شركة شلاندر "/>
    <s v="انس احمد"/>
    <s v="تركيب مصاعد"/>
    <s v="تم العمل"/>
    <d v="1899-12-30T10:00:00"/>
    <d v="1899-12-30T17:00:00"/>
    <n v="0.29166666666666669"/>
    <s v="المخزن الجديد "/>
    <n v="7"/>
    <m/>
    <m/>
    <x v="1"/>
    <n v="5"/>
    <m/>
    <m/>
    <m/>
    <m/>
    <m/>
    <m/>
    <m/>
    <m/>
    <m/>
    <m/>
  </r>
  <r>
    <d v="2025-01-01T00:00:00"/>
    <d v="2025-01-20T00:00:00"/>
    <s v="الاثنين "/>
    <s v="بازان "/>
    <s v="سامر سامي"/>
    <s v="صيانة خط الحريق "/>
    <s v="تم العمل"/>
    <d v="1899-12-30T10:00:00"/>
    <d v="1899-12-30T17:00:00"/>
    <n v="0.29166666666666669"/>
    <s v="المخزن الجديد "/>
    <n v="7"/>
    <m/>
    <m/>
    <x v="1"/>
    <n v="5"/>
    <m/>
    <m/>
    <m/>
    <m/>
    <m/>
    <m/>
    <m/>
    <m/>
    <m/>
    <m/>
  </r>
  <r>
    <d v="2025-01-01T00:00:00"/>
    <d v="2025-01-21T00:00:00"/>
    <s v="الثلاثاء "/>
    <s v="شركة نات جاز "/>
    <s v="احمد محمود "/>
    <s v="صيانة دورية لغرف ومحابس الغاز     "/>
    <s v="تم العمل"/>
    <d v="1899-12-30T10:30:00"/>
    <d v="1899-12-30T11:30:00"/>
    <n v="4.1666666666666685E-2"/>
    <s v="المطابع "/>
    <n v="1.0000000000000004"/>
    <m/>
    <m/>
    <x v="8"/>
    <n v="5"/>
    <m/>
    <m/>
    <m/>
    <m/>
    <m/>
    <m/>
    <m/>
    <m/>
    <m/>
    <m/>
  </r>
  <r>
    <d v="2025-01-01T00:00:00"/>
    <d v="2025-01-21T00:00:00"/>
    <s v="الثلاثاء "/>
    <s v="شركة اوزوريون "/>
    <s v="مراد صالح"/>
    <s v="استكمال اعمال خزان الاطفاء"/>
    <s v="تم العمل"/>
    <d v="1899-12-30T08:00:00"/>
    <d v="1899-12-30T17:00:00"/>
    <n v="0.37500000000000006"/>
    <s v="المخزن القديم "/>
    <n v="9.0000000000000018"/>
    <m/>
    <m/>
    <x v="9"/>
    <n v="4"/>
    <m/>
    <m/>
    <m/>
    <m/>
    <m/>
    <m/>
    <m/>
    <m/>
    <m/>
    <m/>
  </r>
  <r>
    <d v="2025-01-01T00:00:00"/>
    <d v="2025-01-21T00:00:00"/>
    <s v="الثلاثاء "/>
    <s v="شركة شلاندر "/>
    <s v="انس احمد"/>
    <s v="تركيب مصاعد"/>
    <s v="تم العمل"/>
    <d v="1899-12-30T10:00:00"/>
    <d v="1899-12-30T17:00:00"/>
    <n v="0.29166666666666669"/>
    <s v="المخزن الجديد "/>
    <n v="7"/>
    <m/>
    <m/>
    <x v="1"/>
    <n v="5"/>
    <m/>
    <m/>
    <m/>
    <m/>
    <m/>
    <m/>
    <m/>
    <m/>
    <m/>
    <m/>
  </r>
  <r>
    <d v="2025-01-01T00:00:00"/>
    <d v="2025-01-21T00:00:00"/>
    <s v="الثلاثاء "/>
    <s v="الورشة الهندسية "/>
    <s v="شريف عيد"/>
    <s v="تركيب كشافات كهرباء "/>
    <s v="تم العمل"/>
    <d v="1899-12-30T10:00:00"/>
    <d v="1899-12-30T17:00:00"/>
    <n v="0.29166666666666735"/>
    <s v="المخزن الجديد "/>
    <n v="7.000000000000016"/>
    <m/>
    <m/>
    <x v="1"/>
    <n v="5"/>
    <m/>
    <m/>
    <m/>
    <m/>
    <m/>
    <m/>
    <m/>
    <m/>
    <m/>
    <m/>
  </r>
  <r>
    <d v="2025-01-01T00:00:00"/>
    <d v="2025-01-22T00:00:00"/>
    <s v="الاربعاء "/>
    <s v="بازان "/>
    <s v="سامر سامي"/>
    <s v="توصيل لوحة الانذار"/>
    <s v="تم العمل"/>
    <d v="1899-12-30T11:00:00"/>
    <d v="1899-12-30T16:00:00"/>
    <n v="0.20833333333333331"/>
    <s v="المخزن الجديد "/>
    <n v="5"/>
    <m/>
    <m/>
    <x v="1"/>
    <n v="5"/>
    <m/>
    <m/>
    <m/>
    <m/>
    <m/>
    <m/>
    <m/>
    <m/>
    <m/>
    <m/>
  </r>
  <r>
    <d v="2025-01-01T00:00:00"/>
    <d v="2025-01-22T00:00:00"/>
    <s v="الاربعاء "/>
    <s v="الشؤون الادارية "/>
    <s v="محمود عويس"/>
    <s v="تركيب فليسكبل ب  لكابلات تكيفات المبمى الاداري"/>
    <s v="تم العمل"/>
    <d v="1899-12-30T13:30:00"/>
    <d v="1899-12-30T15:00:00"/>
    <n v="6.25E-2"/>
    <s v="المطابع "/>
    <n v="1.5"/>
    <m/>
    <m/>
    <x v="5"/>
    <n v="5"/>
    <m/>
    <m/>
    <m/>
    <m/>
    <m/>
    <m/>
    <m/>
    <m/>
    <m/>
    <m/>
  </r>
  <r>
    <d v="2025-01-01T00:00:00"/>
    <d v="2025-01-22T00:00:00"/>
    <s v="الاربعاء "/>
    <s v="الورشة الهندسية "/>
    <s v="شريف عيد"/>
    <s v="تركيب كشافات كهرباء "/>
    <s v="تم العمل"/>
    <d v="1899-12-30T10:00:00"/>
    <d v="1899-12-30T17:00:00"/>
    <n v="0.29166666666666735"/>
    <s v="المخزن الجديد "/>
    <n v="7.000000000000016"/>
    <m/>
    <m/>
    <x v="1"/>
    <n v="5"/>
    <m/>
    <m/>
    <m/>
    <m/>
    <m/>
    <m/>
    <m/>
    <m/>
    <m/>
    <m/>
  </r>
  <r>
    <d v="2025-01-01T00:00:00"/>
    <d v="2025-01-22T00:00:00"/>
    <s v="الاربعاء "/>
    <s v="شركة شلاندر "/>
    <s v="احمد السيد"/>
    <s v="تركيب مصاعد"/>
    <s v="تم العمل"/>
    <d v="1899-12-30T10:00:00"/>
    <d v="1899-12-30T17:00:00"/>
    <n v="0.29166666666666735"/>
    <s v="المخزن الجديد "/>
    <n v="7.000000000000016"/>
    <m/>
    <m/>
    <x v="1"/>
    <n v="5"/>
    <m/>
    <m/>
    <m/>
    <m/>
    <m/>
    <m/>
    <m/>
    <m/>
    <m/>
    <m/>
  </r>
  <r>
    <d v="2025-01-01T00:00:00"/>
    <d v="2025-01-23T00:00:00"/>
    <s v="الخميس "/>
    <s v="بازان "/>
    <s v="سامر سامي"/>
    <s v="توصيل لوحة الانذار"/>
    <s v="تم العمل"/>
    <d v="1899-12-30T11:00:00"/>
    <d v="1899-12-30T16:00:00"/>
    <n v="0.20833333333333365"/>
    <s v="المخزن الجديد "/>
    <n v="5.0000000000000071"/>
    <m/>
    <m/>
    <x v="1"/>
    <n v="5"/>
    <m/>
    <m/>
    <m/>
    <m/>
    <m/>
    <m/>
    <m/>
    <m/>
    <m/>
    <m/>
  </r>
  <r>
    <d v="2025-01-01T00:00:00"/>
    <d v="2025-01-23T00:00:00"/>
    <s v="الخميس "/>
    <s v="شركة شلاندر "/>
    <s v="احمد السيد"/>
    <s v="تركيب مصاعد"/>
    <s v="تم العمل"/>
    <d v="1899-12-30T10:00:00"/>
    <d v="1899-12-30T17:00:00"/>
    <n v="0.29166666666666735"/>
    <s v="المخزن الجديد "/>
    <n v="7.000000000000016"/>
    <m/>
    <m/>
    <x v="1"/>
    <n v="5"/>
    <m/>
    <m/>
    <m/>
    <m/>
    <m/>
    <m/>
    <m/>
    <m/>
    <m/>
    <m/>
  </r>
  <r>
    <d v="2025-01-01T00:00:00"/>
    <d v="2025-01-25T00:00:00"/>
    <s v="السبت "/>
    <s v="شركة اوزوريون "/>
    <s v="مراد صالح"/>
    <s v="تركيب سيراميك لغرفة الطلمبات"/>
    <s v="تم العمل"/>
    <d v="1899-12-30T09:00:00"/>
    <d v="1899-12-30T17:00:00"/>
    <n v="0.33333333333333337"/>
    <s v="المخزن القديم "/>
    <n v="8"/>
    <m/>
    <m/>
    <x v="13"/>
    <n v="5"/>
    <m/>
    <m/>
    <m/>
    <m/>
    <m/>
    <m/>
    <m/>
    <m/>
    <m/>
    <m/>
  </r>
  <r>
    <d v="2025-01-01T00:00:00"/>
    <d v="2025-01-26T00:00:00"/>
    <s v="الاحد "/>
    <s v="الورشة الهندسية "/>
    <s v="صابر ابراهيم "/>
    <s v="تركيب استاند"/>
    <s v="تم العمل"/>
    <d v="1899-12-30T13:00:00"/>
    <d v="1899-12-30T15:00:00"/>
    <n v="8.333333333333337E-2"/>
    <s v="المطابع "/>
    <n v="2.0000000000000009"/>
    <m/>
    <m/>
    <x v="2"/>
    <n v="5"/>
    <m/>
    <m/>
    <m/>
    <m/>
    <m/>
    <m/>
    <m/>
    <m/>
    <m/>
    <m/>
  </r>
  <r>
    <d v="2025-01-01T00:00:00"/>
    <d v="2025-01-26T00:00:00"/>
    <s v="الاحد "/>
    <s v="شركة شلاندر "/>
    <s v="انس احمد"/>
    <s v="تركيب مصاعد"/>
    <s v="تم العمل"/>
    <d v="1899-12-30T11:00:00"/>
    <d v="1899-12-30T17:00:00"/>
    <n v="0.25000000000000006"/>
    <s v="المخزن الجديد "/>
    <n v="6.0000000000000018"/>
    <m/>
    <m/>
    <x v="8"/>
    <n v="5"/>
    <m/>
    <m/>
    <m/>
    <m/>
    <m/>
    <m/>
    <m/>
    <m/>
    <m/>
    <m/>
  </r>
  <r>
    <d v="2025-01-01T00:00:00"/>
    <d v="2025-01-26T00:00:00"/>
    <s v="الاحد "/>
    <s v="الشركة الالمانية "/>
    <s v="اسلام ابراهيم "/>
    <s v="مكافحة حشرات "/>
    <s v="تم العمل"/>
    <d v="1899-12-30T12:00:00"/>
    <d v="1899-12-30T13:30:00"/>
    <n v="6.25E-2"/>
    <s v="المخزن الجديد "/>
    <n v="1.5"/>
    <m/>
    <m/>
    <x v="8"/>
    <n v="4"/>
    <m/>
    <m/>
    <m/>
    <m/>
    <m/>
    <m/>
    <m/>
    <m/>
    <m/>
    <m/>
  </r>
  <r>
    <d v="2025-01-01T00:00:00"/>
    <d v="2025-01-27T00:00:00"/>
    <s v="الاثنين "/>
    <s v="شركة اوزوريون "/>
    <s v="محمد صلاح"/>
    <s v="استكمال اعمال خزان الاطفاء"/>
    <s v="تم العمل"/>
    <d v="1899-12-30T09:00:00"/>
    <d v="1899-12-30T17:00:00"/>
    <n v="0.33333333333333337"/>
    <s v="المخزن القديم "/>
    <n v="8"/>
    <m/>
    <m/>
    <x v="9"/>
    <n v="5"/>
    <m/>
    <m/>
    <m/>
    <m/>
    <m/>
    <m/>
    <m/>
    <m/>
    <m/>
    <m/>
  </r>
  <r>
    <d v="2025-01-01T00:00:00"/>
    <d v="2025-01-27T00:00:00"/>
    <s v="الاثنين "/>
    <s v="شركة شلاندر "/>
    <s v="ابراهيم هارون"/>
    <s v="تركيب مصاعد"/>
    <s v="تم العمل"/>
    <d v="1899-12-30T12:00:00"/>
    <d v="1899-12-30T17:00:00"/>
    <n v="0.20833333333333337"/>
    <s v="المخزن الجديد "/>
    <n v="5.0000000000000009"/>
    <m/>
    <m/>
    <x v="1"/>
    <n v="5"/>
    <m/>
    <m/>
    <m/>
    <m/>
    <m/>
    <m/>
    <m/>
    <m/>
    <m/>
    <m/>
  </r>
  <r>
    <d v="2025-01-01T00:00:00"/>
    <d v="2025-01-27T00:00:00"/>
    <s v="الاثنين "/>
    <s v="بازان "/>
    <s v="سامر سامي"/>
    <s v="تركيب شبكة انذار"/>
    <s v="تم العمل"/>
    <d v="1899-12-30T11:00:00"/>
    <d v="1899-12-30T14:00:00"/>
    <n v="0.12500000000000006"/>
    <s v="المخزن الجديد "/>
    <n v="3.0000000000000013"/>
    <m/>
    <m/>
    <x v="1"/>
    <n v="5"/>
    <m/>
    <m/>
    <m/>
    <m/>
    <m/>
    <m/>
    <m/>
    <m/>
    <m/>
    <m/>
  </r>
  <r>
    <d v="2025-01-01T00:00:00"/>
    <d v="2025-01-27T00:00:00"/>
    <s v="الاثنين "/>
    <s v="الورشة الهندسية "/>
    <s v="شريف عيد"/>
    <s v="اعمال كهرباء"/>
    <s v="تم العمل"/>
    <d v="1899-12-30T10:00:00"/>
    <d v="1899-12-30T17:00:00"/>
    <n v="0.29166666666666669"/>
    <s v="المخزن الجديد "/>
    <n v="7"/>
    <m/>
    <m/>
    <x v="1"/>
    <n v="5"/>
    <m/>
    <m/>
    <m/>
    <m/>
    <m/>
    <m/>
    <m/>
    <m/>
    <m/>
    <m/>
  </r>
  <r>
    <d v="2025-01-01T00:00:00"/>
    <d v="2025-01-28T00:00:00"/>
    <s v="الثلاثاء "/>
    <s v="شركة الامل "/>
    <s v="رامي محمد"/>
    <s v="صيانة الوميتال"/>
    <s v="تم العمل"/>
    <d v="1899-12-30T14:30:00"/>
    <d v="1899-12-30T15:30:00"/>
    <n v="4.1666666666666741E-2"/>
    <s v="المطابع "/>
    <n v="1.0000000000000018"/>
    <m/>
    <m/>
    <x v="14"/>
    <n v="5"/>
    <m/>
    <m/>
    <m/>
    <m/>
    <m/>
    <m/>
    <m/>
    <m/>
    <m/>
    <m/>
  </r>
  <r>
    <d v="2025-01-01T00:00:00"/>
    <d v="2025-01-28T00:00:00"/>
    <s v="الثلاثاء "/>
    <s v="شركة اوزوريون "/>
    <s v="مراد صالح"/>
    <s v="استكمال اعمال خزان الاطفاء"/>
    <s v="تم العمل"/>
    <d v="1899-12-30T09:00:00"/>
    <d v="1899-12-30T17:00:00"/>
    <n v="0.33333333333333337"/>
    <s v="المخزن القديم "/>
    <n v="8"/>
    <m/>
    <m/>
    <x v="9"/>
    <n v="5"/>
    <m/>
    <m/>
    <m/>
    <m/>
    <m/>
    <m/>
    <m/>
    <m/>
    <m/>
    <m/>
  </r>
  <r>
    <d v="2025-01-01T00:00:00"/>
    <d v="2025-01-28T00:00:00"/>
    <s v="الثلاثاء "/>
    <s v="شركة شلاندر "/>
    <s v="احمد السيد"/>
    <s v="تركيب مصاعد"/>
    <s v="تم العمل"/>
    <d v="1899-12-30T11:00:00"/>
    <d v="1899-12-30T17:00:00"/>
    <n v="0.25000000000000006"/>
    <s v="المخزن الجديد "/>
    <n v="6.0000000000000018"/>
    <m/>
    <m/>
    <x v="1"/>
    <n v="5"/>
    <m/>
    <m/>
    <m/>
    <m/>
    <m/>
    <m/>
    <m/>
    <m/>
    <m/>
    <m/>
  </r>
  <r>
    <d v="2025-01-01T00:00:00"/>
    <d v="2025-01-28T00:00:00"/>
    <s v="الثلاثاء "/>
    <s v="الورشة الهندسية "/>
    <s v="شريف عيد"/>
    <s v="اعمال كهرباء"/>
    <s v="تم العمل"/>
    <d v="1899-12-30T10:00:00"/>
    <d v="1899-12-30T17:00:00"/>
    <n v="0.29166666666666669"/>
    <s v="المخزن الجديد "/>
    <n v="7"/>
    <m/>
    <m/>
    <x v="1"/>
    <n v="4"/>
    <m/>
    <m/>
    <m/>
    <m/>
    <m/>
    <m/>
    <m/>
    <m/>
    <m/>
    <m/>
  </r>
  <r>
    <d v="2025-01-01T00:00:00"/>
    <d v="2025-01-29T00:00:00"/>
    <s v="الاربعاء "/>
    <s v="الورشة الهندسية "/>
    <s v="محمود عويس"/>
    <s v="صيانة تكييف"/>
    <s v="تم العمل"/>
    <d v="1899-12-30T10:30:00"/>
    <d v="1899-12-30T13:00:00"/>
    <n v="0.10416666666666663"/>
    <s v="المطابع "/>
    <n v="2.4999999999999991"/>
    <m/>
    <m/>
    <x v="0"/>
    <n v="5"/>
    <m/>
    <m/>
    <m/>
    <m/>
    <m/>
    <m/>
    <m/>
    <m/>
    <m/>
    <m/>
  </r>
  <r>
    <d v="2025-01-01T00:00:00"/>
    <d v="2025-01-29T00:00:00"/>
    <s v="الاربعاء "/>
    <s v="مقاول خارجي"/>
    <s v="ابراهيم عبدالحليم"/>
    <s v="صيانة كلاركات "/>
    <s v="تم العمل"/>
    <d v="1899-12-30T10:00:00"/>
    <d v="1899-12-30T12:00:00"/>
    <n v="8.3333333333333315E-2"/>
    <s v="المخزن الجديد "/>
    <n v="1.9999999999999996"/>
    <m/>
    <m/>
    <x v="1"/>
    <n v="4"/>
    <m/>
    <m/>
    <m/>
    <m/>
    <m/>
    <m/>
    <m/>
    <m/>
    <m/>
    <m/>
  </r>
  <r>
    <d v="2025-01-01T00:00:00"/>
    <d v="2025-01-29T00:00:00"/>
    <s v="الاربعاء "/>
    <s v="الورشة الهندسية "/>
    <s v="محمد نقيب"/>
    <s v="اعمال كهرباء"/>
    <s v="تم العمل"/>
    <d v="1899-12-30T10:00:00"/>
    <d v="1899-12-30T17:00:00"/>
    <n v="0.29166666666666635"/>
    <s v="المخزن الجديد "/>
    <n v="6.9999999999999929"/>
    <m/>
    <m/>
    <x v="1"/>
    <n v="5"/>
    <m/>
    <m/>
    <m/>
    <m/>
    <m/>
    <m/>
    <m/>
    <m/>
    <m/>
    <m/>
  </r>
  <r>
    <d v="2025-01-01T00:00:00"/>
    <d v="2025-01-29T00:00:00"/>
    <s v="الاربعاء "/>
    <s v="شركة اوزوريون "/>
    <s v="مراد صالح"/>
    <s v="استكمال اعمال خزان الاطفاء"/>
    <s v="تم العمل"/>
    <d v="1899-12-30T10:00:00"/>
    <d v="1899-12-30T17:00:00"/>
    <n v="0.29166666666666635"/>
    <s v="المخزن القديم "/>
    <n v="6.9999999999999929"/>
    <m/>
    <m/>
    <x v="8"/>
    <n v="4"/>
    <m/>
    <m/>
    <m/>
    <m/>
    <m/>
    <m/>
    <m/>
    <m/>
    <m/>
    <m/>
  </r>
  <r>
    <d v="2025-01-01T00:00:00"/>
    <d v="2025-01-30T00:00:00"/>
    <s v="الخميس "/>
    <s v="شركة اوزوريون "/>
    <s v="محمد رمضان   "/>
    <s v="تركيب الوميتال"/>
    <s v="تم العمل"/>
    <d v="1899-12-30T11:00:00"/>
    <d v="1899-12-30T17:00:00"/>
    <n v="0.25000000000000006"/>
    <s v="المخزن الجديد "/>
    <n v="6.0000000000000018"/>
    <m/>
    <m/>
    <x v="1"/>
    <n v="5"/>
    <m/>
    <m/>
    <m/>
    <m/>
    <m/>
    <m/>
    <m/>
    <m/>
    <m/>
    <m/>
  </r>
  <r>
    <d v="2025-01-01T00:00:00"/>
    <d v="2025-01-30T00:00:00"/>
    <s v="الخميس "/>
    <s v="الشؤون الادارية "/>
    <s v="مصطفى رشاد  "/>
    <s v="اعمال نقاشة   "/>
    <s v="تم العمل"/>
    <d v="1899-12-30T10:00:00"/>
    <d v="1899-12-30T12:00:00"/>
    <n v="8.3333333333333315E-2"/>
    <s v="المخزن الجديد "/>
    <n v="1.9999999999999996"/>
    <m/>
    <m/>
    <x v="1"/>
    <n v="5"/>
    <m/>
    <m/>
    <m/>
    <m/>
    <m/>
    <m/>
    <m/>
    <m/>
    <m/>
    <m/>
  </r>
  <r>
    <d v="2025-01-01T00:00:00"/>
    <d v="2025-01-30T00:00:00"/>
    <s v="الخميس "/>
    <s v="شركة اوزوريون "/>
    <s v="مراد صالح"/>
    <s v="استكمال اعمال خزان الاطفاء"/>
    <s v="تم العمل"/>
    <d v="1899-12-30T10:00:00"/>
    <d v="1899-12-30T16:00:00"/>
    <n v="0.24999999999999994"/>
    <s v="المخزن القديم "/>
    <n v="5.9999999999999982"/>
    <m/>
    <m/>
    <x v="0"/>
    <n v="5"/>
    <m/>
    <m/>
    <m/>
    <m/>
    <m/>
    <m/>
    <m/>
    <m/>
    <m/>
    <m/>
  </r>
  <r>
    <d v="2025-01-01T00:00:00"/>
    <d v="2025-01-30T00:00:00"/>
    <s v="الخميس "/>
    <s v="شركة الكريم "/>
    <s v="حامد ابوالمجد"/>
    <s v="تركيب ماسورة حريق في عنبر 2"/>
    <s v="تم العمل"/>
    <d v="1899-12-30T10:30:00"/>
    <d v="1899-12-30T15:00:00"/>
    <n v="0.1875"/>
    <s v="المخزن القديم "/>
    <n v="4.5"/>
    <m/>
    <m/>
    <x v="0"/>
    <n v="5"/>
    <m/>
    <m/>
    <m/>
    <m/>
    <m/>
    <m/>
    <m/>
    <m/>
    <m/>
    <m/>
  </r>
  <r>
    <d v="2025-02-01T00:00:00"/>
    <d v="2025-02-01T00:00:00"/>
    <s v="السبت "/>
    <s v="الشركة المتحدة "/>
    <s v="محمد مصطفى"/>
    <s v="تركيب طلمبات الحريق"/>
    <s v="تم العمل"/>
    <d v="1899-12-30T13:00:00"/>
    <d v="1899-12-30T17:00:00"/>
    <n v="0.16666666666666674"/>
    <s v="المخزن القديم "/>
    <n v="4.0000000000000018"/>
    <m/>
    <m/>
    <x v="2"/>
    <n v="5"/>
    <m/>
    <m/>
    <m/>
    <m/>
    <m/>
    <m/>
    <m/>
    <m/>
    <m/>
    <m/>
  </r>
  <r>
    <d v="2025-02-01T00:00:00"/>
    <d v="2025-02-01T00:00:00"/>
    <s v="السبت "/>
    <s v="شركة اوزوريون "/>
    <s v="ابراهيم سعد "/>
    <s v="تركيبات"/>
    <s v="تم العمل"/>
    <d v="1899-12-30T10:00:00"/>
    <d v="1899-12-30T18:00:00"/>
    <n v="0.33333333333333331"/>
    <s v="البرج"/>
    <n v="8"/>
    <m/>
    <m/>
    <x v="3"/>
    <n v="4"/>
    <m/>
    <m/>
    <m/>
    <m/>
    <m/>
    <m/>
    <m/>
    <m/>
    <m/>
    <m/>
  </r>
  <r>
    <d v="2025-02-01T00:00:00"/>
    <d v="2025-02-02T00:00:00"/>
    <s v="الاحد "/>
    <s v="شركة اوزوريون "/>
    <s v="محمد صلاح"/>
    <s v="تركيب الوميتال"/>
    <s v="تم العمل"/>
    <d v="1899-12-30T10:00:00"/>
    <d v="1899-12-30T17:00:00"/>
    <n v="0.29166666666666669"/>
    <s v="المخزن الجديد "/>
    <n v="7"/>
    <m/>
    <m/>
    <x v="1"/>
    <n v="5"/>
    <m/>
    <m/>
    <m/>
    <m/>
    <m/>
    <m/>
    <m/>
    <m/>
    <m/>
    <m/>
  </r>
  <r>
    <d v="2025-02-01T00:00:00"/>
    <d v="2025-02-02T00:00:00"/>
    <s v="الاحد "/>
    <s v="بازان "/>
    <s v="اسامة ابراهيم "/>
    <s v="توصيل لوحة الانذار"/>
    <s v="تم العمل"/>
    <d v="1899-12-30T11:00:00"/>
    <d v="1899-12-30T12:00:00"/>
    <n v="4.1666666666666685E-2"/>
    <s v="المخزن الجديد "/>
    <n v="1.0000000000000004"/>
    <m/>
    <m/>
    <x v="1"/>
    <n v="5"/>
    <m/>
    <m/>
    <m/>
    <m/>
    <m/>
    <m/>
    <m/>
    <m/>
    <m/>
    <m/>
  </r>
  <r>
    <d v="2025-02-01T00:00:00"/>
    <d v="2025-02-02T00:00:00"/>
    <s v="الاحد "/>
    <s v="الشركة المتحدة "/>
    <s v="محمد مصطفى"/>
    <s v="تركيب طلمبات الحريق"/>
    <s v="تم العمل"/>
    <d v="1899-12-30T08:00:00"/>
    <d v="1899-12-30T17:00:00"/>
    <n v="0.37500000000000006"/>
    <s v="المخزن القديم "/>
    <n v="9.0000000000000018"/>
    <m/>
    <m/>
    <x v="9"/>
    <n v="5"/>
    <m/>
    <m/>
    <m/>
    <m/>
    <m/>
    <m/>
    <m/>
    <m/>
    <m/>
    <m/>
  </r>
  <r>
    <d v="2025-02-01T00:00:00"/>
    <d v="2025-02-02T00:00:00"/>
    <s v="الاحد "/>
    <s v="الشؤون الادارية "/>
    <s v="محمد نقيب"/>
    <s v="صيانة كشافات الانارة"/>
    <s v="تم العمل"/>
    <d v="1899-12-30T10:00:00"/>
    <d v="1899-12-30T17:00:00"/>
    <n v="0.29166666666666669"/>
    <s v="المخزن القديم "/>
    <n v="7"/>
    <m/>
    <m/>
    <x v="9"/>
    <n v="5"/>
    <m/>
    <m/>
    <m/>
    <m/>
    <m/>
    <m/>
    <m/>
    <m/>
    <m/>
    <m/>
  </r>
  <r>
    <d v="2025-02-01T00:00:00"/>
    <d v="2025-02-03T00:00:00"/>
    <s v="الاثنين "/>
    <s v="شركة اوزوريون "/>
    <s v="مراد صالح"/>
    <s v="استكمال اعمال خزان الاطفاء"/>
    <s v="تم العمل"/>
    <d v="1899-12-30T09:00:00"/>
    <d v="1899-12-30T17:00:00"/>
    <n v="0.33333333333333337"/>
    <s v="المخزن القديم "/>
    <n v="8"/>
    <m/>
    <m/>
    <x v="9"/>
    <n v="5"/>
    <m/>
    <m/>
    <m/>
    <m/>
    <m/>
    <m/>
    <m/>
    <m/>
    <m/>
    <m/>
  </r>
  <r>
    <d v="2025-02-01T00:00:00"/>
    <d v="2025-02-03T00:00:00"/>
    <s v="الاثنين "/>
    <s v="الشؤون الادارية "/>
    <s v="محمد نقيب"/>
    <s v="صيانة كشافات الانارة"/>
    <s v="تم العمل"/>
    <d v="1899-12-30T10:00:00"/>
    <d v="1899-12-30T17:00:00"/>
    <n v="0.29166666666666669"/>
    <s v="المخزن القديم "/>
    <n v="7"/>
    <m/>
    <m/>
    <x v="9"/>
    <n v="5"/>
    <m/>
    <m/>
    <m/>
    <m/>
    <m/>
    <m/>
    <m/>
    <m/>
    <m/>
    <m/>
  </r>
  <r>
    <d v="2025-02-01T00:00:00"/>
    <d v="2025-02-04T00:00:00"/>
    <s v="الثلاثاء "/>
    <s v="شركة اوزوريون "/>
    <s v="محمد صلاح"/>
    <s v="تركيب الوميتال"/>
    <s v="تم العمل"/>
    <d v="1899-12-30T10:00:00"/>
    <d v="1899-12-30T17:00:00"/>
    <n v="0.29166666666666669"/>
    <s v="المخزن الجديد "/>
    <n v="7"/>
    <m/>
    <m/>
    <x v="1"/>
    <n v="5"/>
    <m/>
    <m/>
    <m/>
    <m/>
    <m/>
    <m/>
    <m/>
    <m/>
    <m/>
    <m/>
  </r>
  <r>
    <d v="2025-02-01T00:00:00"/>
    <d v="2025-02-04T00:00:00"/>
    <s v="الثلاثاء "/>
    <s v="الشركة المتحدة "/>
    <s v="محمد مصطفى"/>
    <s v="تركيب طلمبات الحريق"/>
    <s v="تم العمل"/>
    <d v="1899-12-30T09:00:00"/>
    <d v="1899-12-30T17:00:00"/>
    <n v="0.33333333333333337"/>
    <s v="المخزن القديم "/>
    <n v="8"/>
    <m/>
    <m/>
    <x v="9"/>
    <n v="5"/>
    <m/>
    <m/>
    <m/>
    <m/>
    <m/>
    <m/>
    <m/>
    <m/>
    <m/>
    <m/>
  </r>
  <r>
    <d v="2025-02-01T00:00:00"/>
    <d v="2025-02-04T00:00:00"/>
    <s v="الثلاثاء "/>
    <s v="الشؤون الادارية "/>
    <s v="محمد نقيب"/>
    <s v="صيانة كشافات الانارة"/>
    <s v="تم العمل"/>
    <d v="1899-12-30T10:00:00"/>
    <d v="1899-12-30T17:00:00"/>
    <n v="0.29166666666666669"/>
    <s v="المخزن القديم "/>
    <n v="7"/>
    <m/>
    <m/>
    <x v="9"/>
    <n v="5"/>
    <m/>
    <m/>
    <m/>
    <m/>
    <m/>
    <m/>
    <m/>
    <m/>
    <m/>
    <m/>
  </r>
  <r>
    <d v="2025-02-01T00:00:00"/>
    <d v="2025-02-04T00:00:00"/>
    <s v="الثلاثاء "/>
    <s v="شركة وان كونكت"/>
    <s v="سيد عادل"/>
    <s v="تركيبات"/>
    <s v="تم العمل"/>
    <d v="1899-12-30T11:30:00"/>
    <d v="1899-12-30T17:00:00"/>
    <n v="0.22916666666666669"/>
    <s v="البرج"/>
    <n v="5.5"/>
    <m/>
    <m/>
    <x v="3"/>
    <n v="5"/>
    <m/>
    <m/>
    <m/>
    <m/>
    <m/>
    <m/>
    <m/>
    <m/>
    <m/>
    <m/>
  </r>
  <r>
    <d v="2025-02-01T00:00:00"/>
    <d v="2025-02-07T00:00:00"/>
    <s v="الخميس "/>
    <s v="الورشة الهندسية "/>
    <s v="شريف عيد"/>
    <s v="اعمال كهرباء"/>
    <s v="تم العمل"/>
    <d v="1899-12-30T10:00:00"/>
    <d v="1899-12-30T12:00:00"/>
    <n v="8.3333333333333315E-2"/>
    <s v="المخزن الجديد "/>
    <n v="1.9999999999999996"/>
    <m/>
    <m/>
    <x v="1"/>
    <n v="5"/>
    <m/>
    <m/>
    <m/>
    <m/>
    <m/>
    <m/>
    <m/>
    <m/>
    <m/>
    <m/>
  </r>
  <r>
    <d v="2025-02-01T00:00:00"/>
    <d v="2025-02-08T00:00:00"/>
    <s v="السبت "/>
    <s v="شركة فودافون "/>
    <s v="سيد عاطف"/>
    <s v="صيانة"/>
    <s v="تم العمل"/>
    <d v="1899-12-30T10:00:00"/>
    <d v="1899-12-30T14:00:00"/>
    <n v="0.16666666666666669"/>
    <s v="البرج"/>
    <n v="4"/>
    <m/>
    <m/>
    <x v="3"/>
    <n v="5"/>
    <m/>
    <m/>
    <m/>
    <m/>
    <m/>
    <m/>
    <m/>
    <m/>
    <m/>
    <m/>
  </r>
  <r>
    <d v="2025-02-01T00:00:00"/>
    <d v="2025-02-08T00:00:00"/>
    <s v="السبت "/>
    <s v="شركة فينسيا للستائر "/>
    <s v="عاطف كمال"/>
    <s v="تركيبات"/>
    <s v="تم العمل"/>
    <d v="1899-12-30T10:30:00"/>
    <d v="1899-12-30T14:00:00"/>
    <n v="0.14583333333333337"/>
    <s v="البرج"/>
    <n v="3.5000000000000009"/>
    <m/>
    <m/>
    <x v="3"/>
    <n v="5"/>
    <m/>
    <m/>
    <m/>
    <m/>
    <m/>
    <m/>
    <m/>
    <m/>
    <m/>
    <m/>
  </r>
  <r>
    <d v="2025-02-01T00:00:00"/>
    <d v="2025-02-09T00:00:00"/>
    <s v="الاحد "/>
    <s v="شركة المدينة"/>
    <s v="محمد عبدالوهاب"/>
    <s v="صيانة ماكينة السلوفان"/>
    <s v="تم العمل"/>
    <d v="1899-12-30T10:30:00"/>
    <d v="1899-12-30T18:00:00"/>
    <n v="0.3125"/>
    <s v="المطابع "/>
    <n v="7.5"/>
    <m/>
    <m/>
    <x v="8"/>
    <n v="5"/>
    <m/>
    <m/>
    <m/>
    <m/>
    <m/>
    <m/>
    <m/>
    <m/>
    <m/>
    <m/>
  </r>
  <r>
    <d v="2025-02-01T00:00:00"/>
    <d v="2025-02-09T00:00:00"/>
    <s v="الاحد "/>
    <s v="ادارة المتابعة والمراقبة "/>
    <s v="احمد محمد"/>
    <s v="تركيب كاميرات"/>
    <s v="تم العمل"/>
    <d v="1899-12-30T12:00:00"/>
    <d v="1899-12-30T17:00:00"/>
    <n v="0.20833333333333337"/>
    <s v="المخزن الجديد "/>
    <n v="5.0000000000000009"/>
    <m/>
    <m/>
    <x v="1"/>
    <n v="5"/>
    <m/>
    <m/>
    <m/>
    <m/>
    <m/>
    <m/>
    <m/>
    <m/>
    <m/>
    <m/>
  </r>
  <r>
    <d v="2025-02-01T00:00:00"/>
    <d v="2025-02-09T00:00:00"/>
    <s v="الاحد "/>
    <s v="شركة شلاندر "/>
    <s v="جورج يونان"/>
    <s v="تركيب مصاعد"/>
    <s v="تم العمل"/>
    <d v="1899-12-30T11:00:00"/>
    <d v="1899-12-30T17:00:00"/>
    <n v="0.25000000000000006"/>
    <s v="المخزن الجديد "/>
    <n v="6.0000000000000018"/>
    <m/>
    <m/>
    <x v="1"/>
    <n v="5"/>
    <m/>
    <m/>
    <m/>
    <m/>
    <m/>
    <m/>
    <m/>
    <m/>
    <m/>
    <m/>
  </r>
  <r>
    <d v="2025-02-01T00:00:00"/>
    <d v="2025-02-09T00:00:00"/>
    <s v="الاحد "/>
    <s v="شركة المتحدة"/>
    <s v="محمد مصطفى"/>
    <s v="تركيب طلمبات الحريق"/>
    <s v="تم العمل"/>
    <d v="1899-12-30T10:00:00"/>
    <d v="1899-12-30T17:00:00"/>
    <n v="0.29166666666666669"/>
    <s v="المخزن القديم "/>
    <n v="7"/>
    <m/>
    <m/>
    <x v="9"/>
    <n v="5"/>
    <m/>
    <m/>
    <m/>
    <m/>
    <m/>
    <m/>
    <m/>
    <m/>
    <m/>
    <m/>
  </r>
  <r>
    <d v="2025-02-01T00:00:00"/>
    <d v="2025-02-09T00:00:00"/>
    <s v="الاحد "/>
    <s v="الشركة الالمانية "/>
    <s v="محمد ماهر"/>
    <s v="مكافحة حشرات "/>
    <s v="تم العمل"/>
    <d v="1899-12-30T15:00:00"/>
    <d v="1899-12-30T16:00:00"/>
    <n v="4.166666666666663E-2"/>
    <s v="المخزن الجديد "/>
    <n v="0.99999999999999911"/>
    <m/>
    <m/>
    <x v="1"/>
    <n v="5"/>
    <m/>
    <m/>
    <m/>
    <m/>
    <m/>
    <m/>
    <m/>
    <m/>
    <m/>
    <m/>
  </r>
  <r>
    <d v="2025-02-01T00:00:00"/>
    <d v="2025-02-10T00:00:00"/>
    <s v="الاثنين "/>
    <s v="شركة المدينة"/>
    <s v="محمد الزيني"/>
    <s v="صيانة ماكينة السلوفان"/>
    <s v="تم العمل"/>
    <d v="1899-12-30T10:30:00"/>
    <d v="1899-12-30T17:30:00"/>
    <n v="0.29166666666666663"/>
    <s v="المطابع "/>
    <n v="6.9999999999999991"/>
    <m/>
    <m/>
    <x v="0"/>
    <n v="5"/>
    <m/>
    <m/>
    <m/>
    <m/>
    <m/>
    <m/>
    <m/>
    <m/>
    <m/>
    <m/>
  </r>
  <r>
    <d v="2025-02-01T00:00:00"/>
    <d v="2025-02-10T00:00:00"/>
    <s v="الاثنين "/>
    <s v="شركة الكريم "/>
    <s v="علي الشحات "/>
    <s v="المرور الشهري على نظام الانذار"/>
    <s v="تم العمل"/>
    <d v="1899-12-30T12:00:00"/>
    <d v="1899-12-30T13:00:00"/>
    <n v="4.166666666666663E-2"/>
    <s v="المطابع "/>
    <n v="0.99999999999999911"/>
    <m/>
    <m/>
    <x v="5"/>
    <n v="5"/>
    <m/>
    <m/>
    <m/>
    <m/>
    <m/>
    <m/>
    <m/>
    <m/>
    <m/>
    <m/>
  </r>
  <r>
    <d v="2025-02-01T00:00:00"/>
    <d v="2025-02-11T00:00:00"/>
    <s v="الثلاثاء "/>
    <s v="شركة المدينة"/>
    <s v="ضياء ابراهيم"/>
    <s v="صيانة ماكينة السلوفان"/>
    <s v="تم العمل"/>
    <d v="1899-12-30T10:30:00"/>
    <d v="1899-12-30T17:00:00"/>
    <n v="0.27083333333333337"/>
    <s v="المطابع "/>
    <n v="6.5000000000000009"/>
    <m/>
    <m/>
    <x v="0"/>
    <n v="5"/>
    <m/>
    <m/>
    <m/>
    <m/>
    <m/>
    <m/>
    <m/>
    <m/>
    <m/>
    <m/>
  </r>
  <r>
    <d v="2025-02-01T00:00:00"/>
    <d v="2025-02-11T00:00:00"/>
    <s v="الثلاثاء "/>
    <s v="شركةأودك "/>
    <s v="اسلام شديد"/>
    <s v="صيانة ماكينة التكويد"/>
    <s v="تم العمل"/>
    <d v="1899-12-30T11:00:00"/>
    <d v="1899-12-30T14:00:00"/>
    <n v="0.12500000000000006"/>
    <s v="المطابع "/>
    <n v="3.0000000000000013"/>
    <m/>
    <m/>
    <x v="0"/>
    <n v="5"/>
    <m/>
    <m/>
    <m/>
    <m/>
    <m/>
    <m/>
    <m/>
    <m/>
    <m/>
    <m/>
  </r>
  <r>
    <d v="2025-02-01T00:00:00"/>
    <d v="2025-02-11T00:00:00"/>
    <s v="الثلاثاء "/>
    <s v="شركة الكريم "/>
    <s v="احمد فوزي"/>
    <s v="صيانة لوحات الانذار"/>
    <s v="تم العمل"/>
    <d v="1899-12-30T13:30:00"/>
    <d v="1899-12-30T15:00:00"/>
    <n v="6.25E-2"/>
    <s v="المطابع "/>
    <n v="1.5"/>
    <m/>
    <m/>
    <x v="0"/>
    <n v="5"/>
    <m/>
    <m/>
    <m/>
    <m/>
    <m/>
    <m/>
    <m/>
    <m/>
    <m/>
    <m/>
  </r>
  <r>
    <d v="2025-02-01T00:00:00"/>
    <d v="2025-02-12T00:00:00"/>
    <s v="الاربعاء "/>
    <s v="شركة وان كونكت"/>
    <s v="سيد عادل"/>
    <s v="توصيل كابلات"/>
    <s v="تم العمل"/>
    <d v="1899-12-30T10:30:00"/>
    <d v="1899-12-30T18:30:00"/>
    <n v="0.33333333333333337"/>
    <s v="المطابع "/>
    <n v="8"/>
    <m/>
    <m/>
    <x v="14"/>
    <n v="5"/>
    <m/>
    <m/>
    <m/>
    <m/>
    <m/>
    <m/>
    <m/>
    <m/>
    <m/>
    <m/>
  </r>
  <r>
    <d v="2025-02-01T00:00:00"/>
    <d v="2025-02-12T00:00:00"/>
    <s v="الاربعاء "/>
    <s v="شركة المدينة"/>
    <s v="ضياء ابراهيم"/>
    <s v="صيانة ماكينة SPOT"/>
    <s v="تم العمل"/>
    <d v="1899-12-30T11:00:00"/>
    <d v="1899-12-30T17:30:00"/>
    <n v="0.27083333333333331"/>
    <s v="المطابع "/>
    <n v="6.5"/>
    <m/>
    <m/>
    <x v="14"/>
    <n v="5"/>
    <m/>
    <m/>
    <m/>
    <m/>
    <m/>
    <m/>
    <m/>
    <m/>
    <m/>
    <m/>
  </r>
  <r>
    <d v="2025-02-01T00:00:00"/>
    <d v="2025-02-12T00:00:00"/>
    <s v="الاربعاء "/>
    <s v="الشؤون الادارية "/>
    <s v="محمد نقيب"/>
    <s v="صيانة كشافات الانارة"/>
    <s v="تم العمل"/>
    <d v="1899-12-30T10:00:00"/>
    <d v="1899-12-30T17:00:00"/>
    <n v="0.29166666666666669"/>
    <s v="المخزن القديم "/>
    <n v="7"/>
    <m/>
    <m/>
    <x v="8"/>
    <n v="5"/>
    <m/>
    <m/>
    <m/>
    <m/>
    <m/>
    <m/>
    <m/>
    <m/>
    <m/>
    <m/>
  </r>
  <r>
    <d v="2025-02-01T00:00:00"/>
    <d v="2025-02-12T00:00:00"/>
    <s v="الاربعاء "/>
    <s v="شركة المتحدة"/>
    <s v="محمد مصطفى"/>
    <s v="تركيب طلمبات الحريق"/>
    <s v="تم العمل"/>
    <d v="1899-12-30T11:00:00"/>
    <d v="1899-12-30T20:30:00"/>
    <n v="0.39583333333333331"/>
    <s v="المخزن القديم "/>
    <n v="9.5"/>
    <m/>
    <m/>
    <x v="8"/>
    <n v="5"/>
    <m/>
    <m/>
    <m/>
    <m/>
    <m/>
    <m/>
    <m/>
    <m/>
    <m/>
    <m/>
  </r>
  <r>
    <d v="2025-02-01T00:00:00"/>
    <d v="2025-02-13T00:00:00"/>
    <s v="الخميس "/>
    <s v="شركة المتحدة"/>
    <s v="محمد مصطفى"/>
    <s v="تركيب طلمبات الحريق"/>
    <s v="تم العمل"/>
    <d v="1899-12-30T10:00:00"/>
    <d v="1899-12-30T18:00:00"/>
    <n v="0.33333333333333331"/>
    <s v="المخزن القديم "/>
    <n v="8"/>
    <m/>
    <m/>
    <x v="8"/>
    <n v="5"/>
    <m/>
    <m/>
    <m/>
    <m/>
    <m/>
    <m/>
    <m/>
    <m/>
    <m/>
    <m/>
  </r>
  <r>
    <d v="2025-02-01T00:00:00"/>
    <d v="2025-02-15T00:00:00"/>
    <s v="السبت "/>
    <s v="بيت الخبرة"/>
    <s v="محمد محمود"/>
    <s v="صيانة زجاج"/>
    <s v="تم العمل"/>
    <d v="1899-12-30T16:00:00"/>
    <d v="1899-12-30T18:00:00"/>
    <n v="8.333333333333337E-2"/>
    <s v="البرج"/>
    <n v="2.0000000000000009"/>
    <m/>
    <m/>
    <x v="3"/>
    <n v="5"/>
    <m/>
    <m/>
    <m/>
    <m/>
    <m/>
    <m/>
    <m/>
    <m/>
    <m/>
    <m/>
  </r>
  <r>
    <d v="2025-02-01T00:00:00"/>
    <d v="2025-02-16T00:00:00"/>
    <s v="الاحد "/>
    <s v="الشركة الالمانية "/>
    <s v="محمد ماهر"/>
    <s v="مكافحة حشرات "/>
    <s v="تم العمل"/>
    <d v="1899-12-30T12:30:00"/>
    <d v="1899-12-30T14:00:00"/>
    <n v="6.25E-2"/>
    <s v="المطابع "/>
    <n v="1.5"/>
    <m/>
    <m/>
    <x v="2"/>
    <n v="5"/>
    <m/>
    <m/>
    <m/>
    <m/>
    <m/>
    <m/>
    <m/>
    <m/>
    <m/>
    <m/>
  </r>
  <r>
    <d v="2025-02-01T00:00:00"/>
    <d v="2025-02-16T00:00:00"/>
    <s v="الاحد "/>
    <s v="شركة المتحدة"/>
    <s v="محمد مصطفى"/>
    <s v="تركيب طلمبات الحريق"/>
    <s v="تم العمل"/>
    <d v="1899-12-30T10:00:00"/>
    <d v="1899-12-30T17:00:00"/>
    <n v="0.29166666666666669"/>
    <s v="المخزن القديم "/>
    <n v="7"/>
    <m/>
    <m/>
    <x v="9"/>
    <n v="5"/>
    <m/>
    <m/>
    <m/>
    <m/>
    <m/>
    <m/>
    <m/>
    <m/>
    <m/>
    <m/>
  </r>
  <r>
    <d v="2025-02-01T00:00:00"/>
    <d v="2025-02-16T00:00:00"/>
    <s v="الاحد "/>
    <s v="الشؤون الادارية "/>
    <s v="محمد نقيب"/>
    <s v="صيانة كشافات الانارة"/>
    <s v="تم العمل"/>
    <d v="1899-12-30T10:00:00"/>
    <d v="1899-12-30T17:00:00"/>
    <n v="0.29166666666666669"/>
    <s v="المخزن القديم "/>
    <n v="7"/>
    <m/>
    <m/>
    <x v="9"/>
    <n v="5"/>
    <m/>
    <m/>
    <m/>
    <m/>
    <m/>
    <m/>
    <m/>
    <m/>
    <m/>
    <m/>
  </r>
  <r>
    <d v="2025-02-01T00:00:00"/>
    <d v="2025-02-18T00:00:00"/>
    <s v="الثلاثاء "/>
    <s v="مالك المخزن "/>
    <s v="فيكتور لوندي"/>
    <s v="صيانة الديزل "/>
    <s v="تم العمل"/>
    <d v="1899-12-30T13:00:00"/>
    <d v="1899-12-30T17:00:00"/>
    <n v="0.16666666666666674"/>
    <s v="مخزن الوزارة"/>
    <n v="4.0000000000000018"/>
    <m/>
    <m/>
    <x v="4"/>
    <n v="5"/>
    <m/>
    <m/>
    <m/>
    <m/>
    <m/>
    <m/>
    <m/>
    <m/>
    <m/>
    <m/>
  </r>
  <r>
    <d v="2025-02-01T00:00:00"/>
    <d v="2025-02-20T00:00:00"/>
    <s v="الخميس "/>
    <s v="شركة شلاندر "/>
    <s v="محمد عادل  "/>
    <s v="صيانة المصاعد "/>
    <s v="تم العمل"/>
    <d v="1899-12-30T12:00:00"/>
    <d v="1899-12-30T13:00:00"/>
    <n v="4.166666666666663E-2"/>
    <s v="المطابع "/>
    <n v="0.99999999999999911"/>
    <m/>
    <m/>
    <x v="5"/>
    <n v="5"/>
    <m/>
    <m/>
    <m/>
    <m/>
    <m/>
    <m/>
    <m/>
    <m/>
    <m/>
    <m/>
  </r>
  <r>
    <d v="2025-02-01T00:00:00"/>
    <d v="2025-02-20T00:00:00"/>
    <s v="الخميس "/>
    <s v="مالك المخزن "/>
    <s v="فيكتور لوندي"/>
    <s v="صيانة الديزل "/>
    <s v="تم العمل"/>
    <d v="1899-12-30T12:00:00"/>
    <d v="1899-12-30T13:00:00"/>
    <n v="4.166666666666663E-2"/>
    <s v="مخزن الوزارة"/>
    <n v="0.99999999999999911"/>
    <m/>
    <m/>
    <x v="4"/>
    <n v="5"/>
    <m/>
    <m/>
    <m/>
    <m/>
    <m/>
    <m/>
    <m/>
    <m/>
    <m/>
    <m/>
  </r>
  <r>
    <d v="2025-02-01T00:00:00"/>
    <d v="2025-02-20T00:00:00"/>
    <s v="الخميس "/>
    <s v="الورشة الهندسية "/>
    <s v="شريف عيد"/>
    <s v="صيانة غرفة الكهرباء"/>
    <s v="تم العمل"/>
    <d v="1899-12-30T10:00:00"/>
    <d v="1899-12-30T12:00:00"/>
    <n v="8.3333333333333315E-2"/>
    <s v="المخزن الجديد "/>
    <n v="1.9999999999999996"/>
    <m/>
    <m/>
    <x v="1"/>
    <n v="5"/>
    <m/>
    <m/>
    <m/>
    <m/>
    <m/>
    <m/>
    <m/>
    <m/>
    <m/>
    <m/>
  </r>
  <r>
    <d v="2025-02-01T00:00:00"/>
    <d v="2025-02-20T00:00:00"/>
    <s v="الخميس "/>
    <s v="شركة شلاندر "/>
    <s v="محمد عادل  "/>
    <s v="تركيب مصاعد"/>
    <s v="تم العمل"/>
    <d v="1899-12-30T13:00:00"/>
    <d v="1899-12-30T15:00:00"/>
    <n v="8.333333333333337E-2"/>
    <s v="المخزن الجديد "/>
    <n v="2.0000000000000009"/>
    <m/>
    <m/>
    <x v="1"/>
    <n v="5"/>
    <m/>
    <m/>
    <m/>
    <m/>
    <m/>
    <m/>
    <m/>
    <m/>
    <m/>
    <m/>
  </r>
  <r>
    <d v="2025-02-01T00:00:00"/>
    <d v="2025-02-22T00:00:00"/>
    <s v="السبت "/>
    <s v="الورشة الهندسية "/>
    <s v="شريف عيد"/>
    <s v="سحب كابلات لغرفة الطلمبات"/>
    <s v="تم العمل"/>
    <d v="1899-12-30T10:00:00"/>
    <d v="1899-12-30T17:00:00"/>
    <n v="0.29166666666666669"/>
    <s v="المخزن القديم "/>
    <n v="7"/>
    <m/>
    <m/>
    <x v="10"/>
    <n v="5"/>
    <m/>
    <m/>
    <m/>
    <m/>
    <m/>
    <m/>
    <m/>
    <m/>
    <m/>
    <m/>
  </r>
  <r>
    <d v="2025-02-01T00:00:00"/>
    <d v="2025-02-22T00:00:00"/>
    <s v="السبت "/>
    <s v="شركة المتحدة"/>
    <s v="محمد سعيد"/>
    <s v="اعمال لحامات"/>
    <s v="تم العمل"/>
    <d v="1899-12-30T11:00:00"/>
    <d v="1899-12-30T17:00:00"/>
    <n v="0.25000000000000006"/>
    <s v="المخزن القديم "/>
    <n v="6.0000000000000018"/>
    <m/>
    <m/>
    <x v="10"/>
    <n v="5"/>
    <m/>
    <m/>
    <m/>
    <m/>
    <m/>
    <m/>
    <m/>
    <m/>
    <m/>
    <m/>
  </r>
  <r>
    <d v="2025-02-01T00:00:00"/>
    <d v="2025-02-23T00:00:00"/>
    <s v="الاحد "/>
    <s v="الشركة الالمانية "/>
    <s v="محمد احمد"/>
    <s v="مكافحة حشرات "/>
    <s v="تم العمل"/>
    <d v="1899-12-30T11:00:00"/>
    <d v="1899-12-30T13:00:00"/>
    <n v="8.3333333333333315E-2"/>
    <s v="المخزن الجديد "/>
    <n v="1.9999999999999996"/>
    <m/>
    <m/>
    <x v="1"/>
    <n v="5"/>
    <m/>
    <m/>
    <m/>
    <m/>
    <m/>
    <m/>
    <m/>
    <m/>
    <m/>
    <m/>
  </r>
  <r>
    <d v="2025-02-01T00:00:00"/>
    <d v="2025-02-23T00:00:00"/>
    <s v="الاحد "/>
    <s v="الشركة الالمانية "/>
    <s v="محمد احمد"/>
    <s v="مكافحة حشرات "/>
    <s v="تم العمل"/>
    <d v="1899-12-30T13:00:00"/>
    <d v="1899-12-30T14:00:00"/>
    <n v="4.1666666666666741E-2"/>
    <s v="مخزن الوزارة"/>
    <n v="1.0000000000000018"/>
    <m/>
    <m/>
    <x v="1"/>
    <n v="5"/>
    <m/>
    <m/>
    <m/>
    <m/>
    <m/>
    <m/>
    <m/>
    <m/>
    <m/>
    <m/>
  </r>
  <r>
    <d v="2025-03-01T00:00:00"/>
    <d v="2025-03-02T00:00:00"/>
    <s v="الاحد "/>
    <s v="الشركة الالمانية "/>
    <s v="نادر ياسر"/>
    <s v="مكافحة حشرات "/>
    <s v="تم العمل"/>
    <d v="1899-12-30T12:30:00"/>
    <d v="1899-12-30T15:30:00"/>
    <n v="0.125"/>
    <s v="المطابع "/>
    <n v="3"/>
    <m/>
    <m/>
    <x v="14"/>
    <n v="5"/>
    <m/>
    <m/>
    <m/>
    <m/>
    <m/>
    <m/>
    <m/>
    <m/>
    <m/>
    <m/>
  </r>
  <r>
    <d v="2025-03-01T00:00:00"/>
    <d v="2025-03-02T00:00:00"/>
    <s v="الاحد "/>
    <s v="الشركة الالمانية "/>
    <s v="محمد ماهر"/>
    <s v="مكافحة حشرات "/>
    <s v="تم العمل"/>
    <d v="1899-12-30T10:00:00"/>
    <d v="1899-12-30T11:00:00"/>
    <n v="4.166666666666663E-2"/>
    <s v="المخزن القديم "/>
    <n v="0.99999999999999911"/>
    <m/>
    <m/>
    <x v="1"/>
    <n v="5"/>
    <m/>
    <m/>
    <m/>
    <m/>
    <m/>
    <m/>
    <m/>
    <m/>
    <m/>
    <m/>
  </r>
  <r>
    <d v="2025-03-01T00:00:00"/>
    <d v="2025-03-03T00:00:00"/>
    <s v="الاثنين "/>
    <s v="شركة شلاندر "/>
    <s v="مخلص كامل "/>
    <s v="صيانة مصاعد"/>
    <s v="تم العمل"/>
    <d v="1899-12-30T12:00:00"/>
    <d v="1899-12-30T14:30:00"/>
    <n v="0.10416666666666663"/>
    <s v="المطابع "/>
    <n v="2.4999999999999991"/>
    <m/>
    <m/>
    <x v="8"/>
    <n v="5"/>
    <m/>
    <m/>
    <m/>
    <m/>
    <m/>
    <m/>
    <m/>
    <m/>
    <m/>
    <m/>
  </r>
  <r>
    <d v="2025-03-01T00:00:00"/>
    <d v="2025-03-06T00:00:00"/>
    <s v="الخميس "/>
    <s v="مقاول خارجي"/>
    <s v="عبدالسلام محمد"/>
    <s v="ترميم ارضيات المطابع"/>
    <s v="تم العمل"/>
    <d v="1899-12-30T10:00:00"/>
    <d v="1899-12-30T16:00:00"/>
    <n v="0.24999999999999994"/>
    <s v="المطابع "/>
    <n v="5.9999999999999982"/>
    <m/>
    <m/>
    <x v="6"/>
    <n v="5"/>
    <m/>
    <m/>
    <m/>
    <m/>
    <m/>
    <m/>
    <m/>
    <m/>
    <m/>
    <m/>
  </r>
  <r>
    <d v="2025-03-01T00:00:00"/>
    <d v="2025-03-06T00:00:00"/>
    <s v="الخميس "/>
    <s v="شركة الكريم "/>
    <s v="حامد ابوالمجد"/>
    <s v="المرور الشهري على نظام الانذار"/>
    <s v="تم العمل"/>
    <d v="1899-12-30T10:00:00"/>
    <d v="1899-12-30T12:00:00"/>
    <n v="8.3333333333333315E-2"/>
    <s v="المطابع "/>
    <n v="1.9999999999999996"/>
    <m/>
    <m/>
    <x v="5"/>
    <n v="5"/>
    <m/>
    <m/>
    <m/>
    <m/>
    <m/>
    <m/>
    <m/>
    <m/>
    <m/>
    <m/>
  </r>
  <r>
    <d v="2025-03-01T00:00:00"/>
    <d v="2025-03-08T00:00:00"/>
    <s v="السبت "/>
    <s v="شركة اوزوريون "/>
    <s v="محمد زنفل  "/>
    <s v="تركيبات"/>
    <s v="تم العمل"/>
    <d v="1899-12-30T09:30:00"/>
    <d v="1899-12-30T16:00:00"/>
    <n v="0.27083333333333331"/>
    <s v="البرج"/>
    <n v="6.5"/>
    <m/>
    <m/>
    <x v="3"/>
    <n v="5"/>
    <m/>
    <m/>
    <m/>
    <m/>
    <m/>
    <m/>
    <m/>
    <m/>
    <m/>
    <m/>
  </r>
  <r>
    <d v="2025-03-01T00:00:00"/>
    <d v="2025-03-08T00:00:00"/>
    <s v="السبت "/>
    <s v="شركة اوزوريون "/>
    <s v="يحيى طه"/>
    <s v="اعمال دهانات"/>
    <s v="تم العمل"/>
    <d v="1899-12-30T11:00:00"/>
    <d v="1899-12-30T16:00:00"/>
    <n v="0.20833333333333331"/>
    <s v="البرج"/>
    <n v="5"/>
    <m/>
    <m/>
    <x v="3"/>
    <n v="5"/>
    <m/>
    <m/>
    <m/>
    <m/>
    <m/>
    <m/>
    <m/>
    <m/>
    <m/>
    <m/>
  </r>
  <r>
    <d v="2025-03-01T00:00:00"/>
    <d v="2025-03-08T00:00:00"/>
    <s v="السبت "/>
    <s v="بيت الخبرة"/>
    <s v="اسامة داغر"/>
    <s v="اعمال صيانة"/>
    <s v="تم العمل"/>
    <d v="1899-12-30T13:00:00"/>
    <d v="1899-12-30T16:00:00"/>
    <n v="0.125"/>
    <s v="البرج"/>
    <n v="3"/>
    <m/>
    <m/>
    <x v="3"/>
    <n v="5"/>
    <m/>
    <m/>
    <m/>
    <m/>
    <m/>
    <m/>
    <m/>
    <m/>
    <m/>
    <m/>
  </r>
  <r>
    <d v="2025-03-01T00:00:00"/>
    <d v="2025-03-09T00:00:00"/>
    <s v="الاحد "/>
    <s v="مقاول خارجي"/>
    <s v="احمد علي"/>
    <s v="صيانة السلم المتحرك"/>
    <s v="تم العمل"/>
    <d v="1899-12-30T13:00:00"/>
    <d v="1899-12-30T16:00:00"/>
    <n v="0.125"/>
    <s v="المخزن الجديد "/>
    <n v="3"/>
    <m/>
    <m/>
    <x v="1"/>
    <n v="5"/>
    <m/>
    <m/>
    <m/>
    <m/>
    <m/>
    <m/>
    <m/>
    <m/>
    <m/>
    <m/>
  </r>
  <r>
    <d v="2025-03-01T00:00:00"/>
    <d v="2025-03-09T00:00:00"/>
    <s v="الاحد "/>
    <s v="الشركة الالمانية "/>
    <s v="محمد ماهر"/>
    <s v="مكافحة حشرات "/>
    <s v="تم العمل"/>
    <d v="1899-12-30T11:00:00"/>
    <d v="1899-12-30T12:00:00"/>
    <n v="4.1666666666666685E-2"/>
    <s v="المخزن الجديد "/>
    <n v="1.0000000000000004"/>
    <m/>
    <m/>
    <x v="1"/>
    <n v="5"/>
    <m/>
    <m/>
    <m/>
    <m/>
    <m/>
    <m/>
    <m/>
    <m/>
    <m/>
    <m/>
  </r>
  <r>
    <d v="2025-03-01T00:00:00"/>
    <d v="2025-03-09T00:00:00"/>
    <s v="الاحد "/>
    <s v="مقاول خارجي"/>
    <s v="عبدالسلام محمد"/>
    <s v="ترميم ارضيات المطابع"/>
    <s v="تم العمل"/>
    <d v="1899-12-30T10:00:00"/>
    <d v="1899-12-30T15:00:00"/>
    <n v="0.20833333333333331"/>
    <s v="المطابع "/>
    <n v="5"/>
    <m/>
    <m/>
    <x v="4"/>
    <n v="5"/>
    <m/>
    <m/>
    <m/>
    <m/>
    <m/>
    <m/>
    <m/>
    <m/>
    <m/>
    <m/>
  </r>
  <r>
    <d v="2025-03-01T00:00:00"/>
    <d v="2025-03-10T00:00:00"/>
    <s v="الاثنين "/>
    <s v="شركة الكريم "/>
    <s v="المهندس علاء"/>
    <s v="المرور الشهري على نظام الانذار"/>
    <s v="تم العمل"/>
    <d v="1899-12-30T10:30:00"/>
    <d v="1899-12-30T11:00:00"/>
    <n v="2.0833333333333315E-2"/>
    <s v="المطابع "/>
    <n v="0.49999999999999956"/>
    <m/>
    <m/>
    <x v="6"/>
    <n v="5"/>
    <m/>
    <m/>
    <m/>
    <m/>
    <m/>
    <m/>
    <m/>
    <m/>
    <m/>
    <m/>
  </r>
  <r>
    <d v="2025-03-01T00:00:00"/>
    <d v="2025-03-10T00:00:00"/>
    <s v="الاثنين "/>
    <s v="شركة شلاندر "/>
    <s v="مخلص كامل "/>
    <s v="صيانة مصاعد"/>
    <s v="تم العمل"/>
    <d v="1899-12-30T11:00:00"/>
    <d v="1899-12-30T14:00:00"/>
    <n v="0.12500000000000006"/>
    <s v="المخزن الجديد "/>
    <n v="3.0000000000000013"/>
    <m/>
    <m/>
    <x v="1"/>
    <n v="5"/>
    <m/>
    <m/>
    <m/>
    <m/>
    <m/>
    <m/>
    <m/>
    <m/>
    <m/>
    <m/>
  </r>
  <r>
    <d v="2025-03-01T00:00:00"/>
    <d v="2025-03-10T00:00:00"/>
    <s v="الاثنين "/>
    <s v="شركة الكريم "/>
    <s v="المهندس علاء"/>
    <s v="المرور الشهري على نظام الانذار"/>
    <s v="تم العمل"/>
    <d v="1899-12-30T10:00:00"/>
    <d v="1899-12-30T11:00:00"/>
    <n v="4.166666666666663E-2"/>
    <s v="المخزن الجديد "/>
    <n v="0.99999999999999911"/>
    <m/>
    <m/>
    <x v="1"/>
    <n v="5"/>
    <m/>
    <m/>
    <m/>
    <m/>
    <m/>
    <m/>
    <m/>
    <m/>
    <m/>
    <m/>
  </r>
  <r>
    <d v="2025-03-01T00:00:00"/>
    <d v="2025-03-10T00:00:00"/>
    <s v="الاثنين "/>
    <s v="شركة الكريم "/>
    <s v="مصطفى عبدالفتاح"/>
    <s v="صيانة طلمبات"/>
    <s v="تم العمل"/>
    <d v="1899-12-30T09:00:00"/>
    <d v="1899-12-30T11:00:00"/>
    <n v="8.3333333333333315E-2"/>
    <s v="المخزن الجديد "/>
    <n v="1.9999999999999996"/>
    <m/>
    <m/>
    <x v="1"/>
    <n v="4"/>
    <m/>
    <m/>
    <m/>
    <m/>
    <m/>
    <m/>
    <m/>
    <m/>
    <m/>
    <m/>
  </r>
  <r>
    <d v="2025-03-01T00:00:00"/>
    <d v="2025-03-11T00:00:00"/>
    <s v="الثلاثاء "/>
    <s v="الورشة الهندسية "/>
    <s v="شريف عيد"/>
    <s v="استكمال اعمال الكهرباء"/>
    <s v="تم العمل"/>
    <d v="1899-12-30T10:00:00"/>
    <d v="1899-12-30T13:00:00"/>
    <n v="0.12499999999999994"/>
    <s v="المخزن الجديد "/>
    <n v="2.9999999999999987"/>
    <m/>
    <m/>
    <x v="1"/>
    <n v="4"/>
    <m/>
    <m/>
    <m/>
    <m/>
    <m/>
    <m/>
    <m/>
    <m/>
    <m/>
    <m/>
  </r>
  <r>
    <d v="2025-03-01T00:00:00"/>
    <d v="2025-03-11T00:00:00"/>
    <s v="الثلاثاء "/>
    <s v="مالك المخزن "/>
    <s v="فيكتور لوندي"/>
    <s v="صيانة طلمبات"/>
    <s v="تم العمل"/>
    <d v="1899-12-30T04:00:00"/>
    <d v="1899-12-30T04:30:00"/>
    <n v="2.0833333333333343E-2"/>
    <s v="مخزن الوزارة"/>
    <n v="0.50000000000000022"/>
    <m/>
    <m/>
    <x v="8"/>
    <n v="5"/>
    <m/>
    <m/>
    <m/>
    <m/>
    <m/>
    <m/>
    <m/>
    <m/>
    <m/>
    <m/>
  </r>
  <r>
    <d v="2025-03-01T00:00:00"/>
    <d v="2025-03-12T00:00:00"/>
    <s v="الاربعاء "/>
    <s v="مالك المخزن "/>
    <s v="فيكتور لوندي"/>
    <s v="صيانة طلمبات"/>
    <s v="تم العمل"/>
    <d v="1899-12-30T10:00:00"/>
    <d v="1899-12-30T11:00:00"/>
    <n v="4.166666666666663E-2"/>
    <s v="مخزن الوزارة"/>
    <n v="0.99999999999999911"/>
    <m/>
    <m/>
    <x v="10"/>
    <n v="5"/>
    <m/>
    <m/>
    <m/>
    <m/>
    <m/>
    <m/>
    <m/>
    <m/>
    <m/>
    <m/>
  </r>
  <r>
    <d v="2025-03-01T00:00:00"/>
    <d v="2025-03-12T00:00:00"/>
    <s v="الاربعاء "/>
    <s v="شركة aps"/>
    <s v="محمد احمد"/>
    <s v="صيانة ماكينة سبيد ماستر 4"/>
    <s v="تم العمل"/>
    <d v="1899-12-30T11:30:00"/>
    <d v="1899-12-30T15:00:00"/>
    <n v="0.14583333333333331"/>
    <s v="المطابع "/>
    <n v="3.4999999999999996"/>
    <m/>
    <m/>
    <x v="10"/>
    <n v="5"/>
    <m/>
    <m/>
    <m/>
    <m/>
    <m/>
    <m/>
    <m/>
    <m/>
    <m/>
    <m/>
  </r>
  <r>
    <d v="2025-03-01T00:00:00"/>
    <d v="2025-03-13T00:00:00"/>
    <s v="الخميس "/>
    <s v="الورشة الهندسية "/>
    <s v="صابر ابراهيم "/>
    <s v="تركيب ركات"/>
    <s v="تم العمل"/>
    <d v="1899-12-30T09:30:00"/>
    <d v="1899-12-30T14:00:00"/>
    <n v="0.18750000000000006"/>
    <s v="المخزن الجديد "/>
    <n v="4.5000000000000018"/>
    <m/>
    <m/>
    <x v="6"/>
    <n v="5"/>
    <m/>
    <m/>
    <m/>
    <m/>
    <m/>
    <m/>
    <m/>
    <m/>
    <m/>
    <m/>
  </r>
  <r>
    <d v="2025-03-01T00:00:00"/>
    <d v="2025-03-15T00:00:00"/>
    <s v="السبت "/>
    <s v="شركة الكريم "/>
    <s v="حامد ابو المجد"/>
    <s v="صيانة غرفة الطلمبات  "/>
    <s v="تم العمل"/>
    <d v="1899-12-30T11:00:00"/>
    <d v="1899-12-30T14:00:00"/>
    <n v="0.12500000000000006"/>
    <s v="المخزن الجديد "/>
    <n v="3.0000000000000013"/>
    <m/>
    <m/>
    <x v="1"/>
    <n v="5"/>
    <m/>
    <m/>
    <m/>
    <m/>
    <m/>
    <m/>
    <m/>
    <m/>
    <m/>
    <m/>
  </r>
  <r>
    <d v="2025-03-01T00:00:00"/>
    <d v="2025-03-16T00:00:00"/>
    <s v="الاحد "/>
    <s v="الورشة الهندسية "/>
    <s v="صابر ابراهيم "/>
    <s v="اعمال لحامات"/>
    <s v="تم العمل"/>
    <d v="1899-12-30T10:00:00"/>
    <d v="1899-12-30T14:00:00"/>
    <n v="0.16666666666666669"/>
    <s v="المخزن الجديد "/>
    <n v="4"/>
    <m/>
    <m/>
    <x v="1"/>
    <n v="5"/>
    <m/>
    <m/>
    <m/>
    <m/>
    <m/>
    <m/>
    <m/>
    <m/>
    <m/>
    <m/>
  </r>
  <r>
    <d v="2025-03-01T00:00:00"/>
    <d v="2025-03-16T00:00:00"/>
    <s v="الاحد "/>
    <s v="الورشة الهندسية "/>
    <s v="صابر احمد"/>
    <s v="تركيب راكات "/>
    <s v="تم العمل"/>
    <d v="1899-12-30T10:00:00"/>
    <d v="1899-12-30T15:00:00"/>
    <n v="0.20833333333333331"/>
    <s v="المخزن الجديد "/>
    <n v="5"/>
    <m/>
    <m/>
    <x v="1"/>
    <n v="5"/>
    <m/>
    <m/>
    <m/>
    <m/>
    <m/>
    <m/>
    <m/>
    <m/>
    <m/>
    <m/>
  </r>
  <r>
    <d v="2025-03-01T00:00:00"/>
    <d v="2025-03-16T00:00:00"/>
    <s v="الاحد "/>
    <s v="الشركة الالمانية "/>
    <s v="محمد ماهر"/>
    <s v="مكافحة حشرات "/>
    <s v="تم العمل"/>
    <d v="1899-12-30T12:00:00"/>
    <d v="1899-12-30T14:30:00"/>
    <n v="0.10416666666666663"/>
    <s v="المطابع "/>
    <n v="2.4999999999999991"/>
    <m/>
    <m/>
    <x v="10"/>
    <n v="5"/>
    <m/>
    <m/>
    <m/>
    <m/>
    <m/>
    <m/>
    <m/>
    <m/>
    <m/>
    <m/>
  </r>
  <r>
    <d v="2025-03-01T00:00:00"/>
    <d v="2025-03-16T00:00:00"/>
    <s v="الاحد "/>
    <s v="شركة الكهرباء"/>
    <s v="المهندس محمد"/>
    <s v="اعمال صيانة غرف الكهرباء"/>
    <s v="تم العمل"/>
    <d v="1899-12-30T14:30:00"/>
    <d v="1899-12-30T17:00:00"/>
    <n v="0.10416666666666674"/>
    <s v="المطابع "/>
    <n v="2.5000000000000018"/>
    <m/>
    <m/>
    <x v="10"/>
    <n v="5"/>
    <m/>
    <m/>
    <m/>
    <m/>
    <m/>
    <m/>
    <m/>
    <m/>
    <m/>
    <m/>
  </r>
  <r>
    <d v="2025-03-01T00:00:00"/>
    <d v="2025-03-16T00:00:00"/>
    <s v="الاحد "/>
    <s v="شركة وان كونكت"/>
    <s v="سيد عادل"/>
    <s v="تركيبات"/>
    <s v="تم العمل"/>
    <d v="1899-12-30T12:30:00"/>
    <d v="1899-12-30T16:00:00"/>
    <n v="0.14583333333333326"/>
    <s v="البرج"/>
    <n v="3.4999999999999982"/>
    <m/>
    <m/>
    <x v="3"/>
    <n v="5"/>
    <m/>
    <m/>
    <m/>
    <m/>
    <m/>
    <m/>
    <m/>
    <m/>
    <m/>
    <m/>
  </r>
  <r>
    <d v="2025-03-01T00:00:00"/>
    <d v="2025-03-17T00:00:00"/>
    <s v="الاثنين "/>
    <s v="الشركة الوطنية "/>
    <s v="احمد شعبان"/>
    <s v="صيانة كلاركات "/>
    <s v="تم العمل"/>
    <d v="1899-12-30T09:30:00"/>
    <d v="1899-12-30T11:30:00"/>
    <n v="8.333333333333337E-2"/>
    <s v="المطابع "/>
    <n v="2.0000000000000009"/>
    <m/>
    <m/>
    <x v="10"/>
    <n v="5"/>
    <m/>
    <m/>
    <m/>
    <m/>
    <m/>
    <m/>
    <m/>
    <m/>
    <m/>
    <m/>
  </r>
  <r>
    <d v="2025-03-01T00:00:00"/>
    <d v="2025-03-17T00:00:00"/>
    <s v="الاثنين "/>
    <s v="الشركة الالمانية "/>
    <s v="وائل حلمي"/>
    <s v="مكافحة حشرات "/>
    <s v="تم العمل"/>
    <d v="1899-12-30T11:00:00"/>
    <d v="1899-12-30T12:00:00"/>
    <n v="4.1666666666666685E-2"/>
    <s v="المطابع "/>
    <n v="1.0000000000000004"/>
    <m/>
    <m/>
    <x v="8"/>
    <n v="5"/>
    <m/>
    <m/>
    <m/>
    <m/>
    <m/>
    <m/>
    <m/>
    <m/>
    <m/>
    <m/>
  </r>
  <r>
    <d v="2025-03-01T00:00:00"/>
    <d v="2025-03-17T00:00:00"/>
    <s v="الاثنين "/>
    <s v="الورشة الهندسية "/>
    <s v="صابر ابراهيم "/>
    <s v="اعمال لحامات"/>
    <s v="تم العمل"/>
    <d v="1899-12-30T10:00:00"/>
    <d v="1899-12-30T14:00:00"/>
    <n v="0.16666666666666669"/>
    <s v="المخزن الجديد "/>
    <n v="4"/>
    <m/>
    <m/>
    <x v="1"/>
    <n v="5"/>
    <m/>
    <m/>
    <m/>
    <m/>
    <m/>
    <m/>
    <m/>
    <m/>
    <m/>
    <m/>
  </r>
  <r>
    <d v="2025-03-01T00:00:00"/>
    <d v="2025-03-18T00:00:00"/>
    <s v="الثلاثاء "/>
    <s v="الورشة الهندسية "/>
    <s v="صابر ابراهيم "/>
    <s v="اعمال لحامات"/>
    <s v="تم العمل"/>
    <d v="1899-12-30T10:00:00"/>
    <d v="1899-12-30T14:00:00"/>
    <n v="0.16666666666666669"/>
    <s v="المخزن الجديد "/>
    <n v="4"/>
    <m/>
    <m/>
    <x v="1"/>
    <n v="5"/>
    <m/>
    <m/>
    <m/>
    <m/>
    <m/>
    <m/>
    <m/>
    <m/>
    <m/>
    <m/>
  </r>
  <r>
    <d v="2025-03-01T00:00:00"/>
    <d v="2025-03-22T00:00:00"/>
    <s v="السبت "/>
    <s v="شركة المتحدة"/>
    <s v="ابراهيم كمال"/>
    <s v="تركيب طلمبات الحريق"/>
    <s v="تم العمل"/>
    <d v="1899-12-30T10:30:00"/>
    <d v="1899-12-30T13:30:00"/>
    <n v="0.125"/>
    <s v="المخزن القديم "/>
    <n v="3"/>
    <m/>
    <m/>
    <x v="14"/>
    <n v="5"/>
    <m/>
    <m/>
    <m/>
    <m/>
    <m/>
    <m/>
    <m/>
    <m/>
    <m/>
    <m/>
  </r>
  <r>
    <d v="2025-03-01T00:00:00"/>
    <d v="2025-03-23T00:00:00"/>
    <s v="الاحد "/>
    <s v="شركة وان كونكت"/>
    <s v="سيد عادل"/>
    <s v="تركيبات"/>
    <s v="تم العمل"/>
    <d v="1899-12-30T12:00:00"/>
    <d v="1899-12-30T14:00:00"/>
    <n v="8.333333333333337E-2"/>
    <s v="البرج"/>
    <n v="2.0000000000000009"/>
    <m/>
    <m/>
    <x v="3"/>
    <n v="5"/>
    <m/>
    <m/>
    <m/>
    <m/>
    <m/>
    <m/>
    <m/>
    <m/>
    <m/>
    <m/>
  </r>
  <r>
    <d v="2025-03-01T00:00:00"/>
    <d v="2025-03-24T00:00:00"/>
    <s v="الاثنين "/>
    <s v="شركة شلاندر "/>
    <s v="محمد عادل  "/>
    <s v="صيانة مصاعد"/>
    <s v="تم العمل"/>
    <d v="1899-12-30T12:30:00"/>
    <d v="1899-12-30T13:15:00"/>
    <n v="3.125E-2"/>
    <s v="المطابع "/>
    <n v="0.75"/>
    <m/>
    <m/>
    <x v="10"/>
    <n v="5"/>
    <m/>
    <m/>
    <m/>
    <m/>
    <m/>
    <m/>
    <m/>
    <m/>
    <m/>
    <m/>
  </r>
  <r>
    <d v="2025-03-01T00:00:00"/>
    <d v="2025-03-24T00:00:00"/>
    <s v="الاثنين "/>
    <s v="شركة شلاندر "/>
    <s v="محسن جمال"/>
    <s v="صيانة مصاعد"/>
    <s v="تم العمل"/>
    <d v="1899-12-30T10:00:00"/>
    <d v="1899-12-30T14:00:00"/>
    <n v="0.16666666666666669"/>
    <s v="المخزن الجديد "/>
    <n v="4"/>
    <m/>
    <m/>
    <x v="8"/>
    <n v="5"/>
    <m/>
    <m/>
    <m/>
    <m/>
    <m/>
    <m/>
    <m/>
    <m/>
    <m/>
    <m/>
  </r>
  <r>
    <d v="2025-03-01T00:00:00"/>
    <d v="2025-03-25T00:00:00"/>
    <s v="الثلاثاء "/>
    <s v="مالك المخزن "/>
    <s v="فيكتور لوندي"/>
    <s v="صيانة طلمبات"/>
    <s v="تم العمل"/>
    <d v="1899-12-30T14:00:00"/>
    <d v="1899-12-30T17:00:00"/>
    <n v="0.125"/>
    <s v="مخزن الوزارة"/>
    <n v="3"/>
    <m/>
    <m/>
    <x v="8"/>
    <n v="5"/>
    <m/>
    <m/>
    <m/>
    <m/>
    <m/>
    <m/>
    <m/>
    <m/>
    <m/>
    <m/>
  </r>
  <r>
    <d v="2025-03-01T00:00:00"/>
    <d v="2025-03-25T00:00:00"/>
    <s v="الثلاثاء "/>
    <s v="شركة سكوير "/>
    <s v="محمد عطية السيد"/>
    <s v="صيانة السلم المتحرك"/>
    <s v="تم العمل"/>
    <d v="1899-12-30T10:00:00"/>
    <d v="1899-12-30T15:00:00"/>
    <n v="0.20833333333333331"/>
    <s v="المخزن الجديد "/>
    <n v="5"/>
    <m/>
    <m/>
    <x v="1"/>
    <n v="5"/>
    <m/>
    <m/>
    <m/>
    <m/>
    <m/>
    <m/>
    <m/>
    <m/>
    <m/>
    <m/>
  </r>
  <r>
    <d v="2025-03-01T00:00:00"/>
    <d v="2025-03-26T00:00:00"/>
    <s v="الاربعاء "/>
    <s v="شركة شلاندر "/>
    <s v="محسن جمال"/>
    <s v="صيانة مصاعد"/>
    <s v="تم العمل"/>
    <d v="1899-12-30T10:00:00"/>
    <d v="1899-12-30T15:00:00"/>
    <n v="0.20833333333333331"/>
    <s v="المخزن الجديد "/>
    <n v="5"/>
    <m/>
    <m/>
    <x v="1"/>
    <n v="5"/>
    <m/>
    <m/>
    <m/>
    <m/>
    <m/>
    <m/>
    <m/>
    <m/>
    <m/>
    <m/>
  </r>
  <r>
    <d v="2025-03-01T00:00:00"/>
    <d v="2025-03-27T00:00:00"/>
    <s v="الخميس "/>
    <s v="شركة الكريم "/>
    <s v="حامد ابوالمجد"/>
    <s v="تركيب ريليف فالف"/>
    <s v="تم العمل"/>
    <d v="1899-12-30T10:00:00"/>
    <d v="1899-12-30T12:00:00"/>
    <n v="8.3333333333333315E-2"/>
    <s v="المخزن الجديد "/>
    <n v="1.9999999999999996"/>
    <m/>
    <m/>
    <x v="1"/>
    <n v="5"/>
    <m/>
    <m/>
    <m/>
    <m/>
    <m/>
    <m/>
    <m/>
    <m/>
    <m/>
    <m/>
  </r>
  <r>
    <d v="2025-03-01T00:00:00"/>
    <d v="2025-03-27T00:00:00"/>
    <s v="الخميس "/>
    <s v="مالك المخزن "/>
    <s v="فيكتور لوندي"/>
    <s v="صيانة طلمبات"/>
    <s v="تم العمل"/>
    <d v="1899-12-30T13:00:00"/>
    <d v="1899-12-30T19:00:00"/>
    <n v="0.25"/>
    <s v="مخزن الوزارة"/>
    <n v="6"/>
    <m/>
    <m/>
    <x v="10"/>
    <n v="5"/>
    <m/>
    <m/>
    <m/>
    <m/>
    <m/>
    <m/>
    <m/>
    <m/>
    <m/>
    <m/>
  </r>
  <r>
    <d v="2025-03-01T00:00:00"/>
    <d v="2025-03-27T00:00:00"/>
    <s v="الخميس "/>
    <s v="شركة aps"/>
    <s v="احمد وهبة"/>
    <s v="صيانة ماكينة uv"/>
    <s v="تم العمل"/>
    <d v="1899-12-30T22:00:00"/>
    <d v="1899-12-30T23:59:00"/>
    <n v="8.2638888888888928E-2"/>
    <s v="المطابع "/>
    <n v="1.9833333333333343"/>
    <m/>
    <m/>
    <x v="6"/>
    <n v="5"/>
    <m/>
    <m/>
    <m/>
    <m/>
    <m/>
    <m/>
    <m/>
    <m/>
    <m/>
    <m/>
  </r>
  <r>
    <d v="2025-06-01T00:00:00"/>
    <d v="2025-06-01T00:00:00"/>
    <s v="الاحد "/>
    <s v="الشؤون الادارية "/>
    <s v="محمود عويس"/>
    <s v="صيانة تكييفات"/>
    <s v="تم العمل"/>
    <d v="1899-12-30T16:00:00"/>
    <d v="1899-12-30T17:00:00"/>
    <n v="4.1666666666666741E-2"/>
    <s v="المخزن الجديد "/>
    <n v="1.0000000000000018"/>
    <m/>
    <m/>
    <x v="10"/>
    <n v="5"/>
    <m/>
    <m/>
    <m/>
    <m/>
    <m/>
    <m/>
    <m/>
    <m/>
    <m/>
    <m/>
  </r>
  <r>
    <d v="2025-06-01T00:00:00"/>
    <d v="2025-06-02T00:00:00"/>
    <s v="الاثنين "/>
    <s v="القطاع الهندسى "/>
    <s v="صابر ايبراهيم "/>
    <s v="تركيب شفاط فى الطبع شيت "/>
    <s v="تم العمل"/>
    <d v="1899-12-30T14:30:00"/>
    <d v="1899-12-30T16:00:00"/>
    <n v="6.25E-2"/>
    <s v="المطابع "/>
    <n v="1.5"/>
    <m/>
    <m/>
    <x v="5"/>
    <n v="5"/>
    <m/>
    <m/>
    <m/>
    <m/>
    <m/>
    <m/>
    <m/>
    <m/>
    <m/>
    <m/>
  </r>
  <r>
    <d v="2025-06-01T00:00:00"/>
    <d v="2025-06-02T00:00:00"/>
    <s v="الاثنين "/>
    <s v="شركة الهدى "/>
    <s v="اسلام مصطفى  "/>
    <s v="عمل صيانة  ماكينة CTB"/>
    <s v="تم العمل"/>
    <d v="1899-12-30T13:00:00"/>
    <d v="1899-12-30T17:00:00"/>
    <n v="0.16666666666666674"/>
    <s v="المطابع "/>
    <n v="4.0000000000000018"/>
    <m/>
    <m/>
    <x v="10"/>
    <n v="5"/>
    <m/>
    <m/>
    <m/>
    <m/>
    <m/>
    <m/>
    <m/>
    <m/>
    <m/>
    <m/>
  </r>
  <r>
    <d v="2025-06-01T00:00:00"/>
    <d v="2025-06-02T00:00:00"/>
    <s v="الاثنين "/>
    <s v="الشركة الالمانية "/>
    <s v="كامل جمعة  "/>
    <s v="الزيارة الشهرية للمكافحة "/>
    <s v="تم العمل"/>
    <d v="1899-12-30T12:00:00"/>
    <d v="1899-12-30T14:00:00"/>
    <n v="8.333333333333337E-2"/>
    <s v="المخزن الجديد "/>
    <n v="2.0000000000000009"/>
    <m/>
    <m/>
    <x v="1"/>
    <n v="5"/>
    <m/>
    <m/>
    <m/>
    <m/>
    <m/>
    <m/>
    <m/>
    <m/>
    <m/>
    <m/>
  </r>
  <r>
    <d v="2025-06-01T00:00:00"/>
    <d v="2025-06-02T00:00:00"/>
    <s v="الاثنين "/>
    <s v="الشؤون الادارية "/>
    <s v="حازم عاطف "/>
    <s v="صيانة غرفة USB "/>
    <s v="تم العمل"/>
    <d v="1899-12-30T19:30:00"/>
    <d v="1899-12-30T21:00:00"/>
    <n v="6.25E-2"/>
    <s v="الفجالة"/>
    <n v="1.5"/>
    <m/>
    <m/>
    <x v="11"/>
    <n v="5"/>
    <m/>
    <m/>
    <m/>
    <m/>
    <m/>
    <m/>
    <m/>
    <m/>
    <m/>
    <m/>
  </r>
  <r>
    <d v="2025-06-01T00:00:00"/>
    <d v="2025-06-02T00:00:00"/>
    <s v="الاثنين "/>
    <s v="القطاع الهندسى "/>
    <s v="شريف عيد  "/>
    <s v="عمل صيانة بغرفة الكهرباء "/>
    <s v="تم العمل"/>
    <d v="1899-12-30T11:00:00"/>
    <d v="1899-12-30T17:00:00"/>
    <n v="0.25000000000000006"/>
    <s v="المخزن القديم "/>
    <n v="6.0000000000000018"/>
    <m/>
    <m/>
    <x v="9"/>
    <n v="5"/>
    <m/>
    <m/>
    <m/>
    <m/>
    <m/>
    <m/>
    <m/>
    <m/>
    <m/>
    <m/>
  </r>
  <r>
    <d v="2025-06-01T00:00:00"/>
    <d v="2025-06-02T00:00:00"/>
    <s v="الاثنين "/>
    <s v="الشركة الالمانية "/>
    <s v="كامل جمعة  "/>
    <s v="الزيارة الشهرية للمكافحة "/>
    <s v="تم العمل"/>
    <d v="1899-12-30T12:00:00"/>
    <d v="1899-12-30T14:00:00"/>
    <n v="8.333333333333337E-2"/>
    <s v="المخزن القديم "/>
    <n v="2.0000000000000009"/>
    <m/>
    <m/>
    <x v="9"/>
    <n v="5"/>
    <m/>
    <m/>
    <m/>
    <m/>
    <m/>
    <m/>
    <m/>
    <m/>
    <m/>
    <m/>
  </r>
  <r>
    <d v="2025-06-01T00:00:00"/>
    <d v="2025-06-02T00:00:00"/>
    <s v="الاثنين "/>
    <s v="الشؤون الادارية "/>
    <s v="احمد سعيد"/>
    <s v="تركيب كولدير مياه "/>
    <s v="تم العمل"/>
    <d v="1899-12-30T12:00:00"/>
    <d v="1899-12-30T15:00:00"/>
    <n v="0.125"/>
    <s v="المخزن القديم "/>
    <n v="3"/>
    <m/>
    <m/>
    <x v="9"/>
    <n v="4"/>
    <s v="لم يتم غلف التصريح "/>
    <m/>
    <m/>
    <m/>
    <m/>
    <m/>
    <m/>
    <m/>
    <m/>
    <m/>
  </r>
  <r>
    <d v="2025-06-01T00:00:00"/>
    <d v="2025-06-03T00:00:00"/>
    <s v="الثلاثاء "/>
    <s v="الشؤون الادارية "/>
    <s v="أحمد حسن "/>
    <s v="دهانات حديد فى مخزن هدايا"/>
    <s v="تم العمل"/>
    <d v="1899-12-30T13:00:00"/>
    <d v="1899-12-30T15:00:00"/>
    <n v="8.333333333333337E-2"/>
    <s v="الفجالة"/>
    <n v="2.0000000000000009"/>
    <m/>
    <m/>
    <x v="11"/>
    <n v="5"/>
    <m/>
    <m/>
    <m/>
    <m/>
    <m/>
    <m/>
    <m/>
    <m/>
    <m/>
    <m/>
  </r>
  <r>
    <d v="2025-06-01T00:00:00"/>
    <d v="2025-06-04T00:00:00"/>
    <s v="الاربعاء "/>
    <s v="القطاع الهندسى "/>
    <s v="ابراهيم  عبد الحليم   "/>
    <s v="صيانة الكلاركات"/>
    <s v="تم العمل"/>
    <d v="1899-12-30T11:00:00"/>
    <d v="1899-12-30T12:00:00"/>
    <n v="4.1666666666666685E-2"/>
    <s v="المخزن الجديد "/>
    <n v="1.0000000000000004"/>
    <m/>
    <m/>
    <x v="1"/>
    <n v="5"/>
    <m/>
    <m/>
    <m/>
    <m/>
    <m/>
    <m/>
    <m/>
    <m/>
    <m/>
    <m/>
  </r>
  <r>
    <d v="2025-06-01T00:00:00"/>
    <d v="2025-06-11T00:00:00"/>
    <s v="الاربعاء "/>
    <s v="مقاول خارجي"/>
    <s v="علاء شحات على "/>
    <s v="صيانة  خط الحريق فى مخزن الوزارة "/>
    <s v="تم العمل"/>
    <d v="1899-12-30T13:00:00"/>
    <d v="1899-12-30T17:00:00"/>
    <n v="0.16666666666666674"/>
    <s v="مخزن الوزارة"/>
    <n v="4.0000000000000018"/>
    <m/>
    <m/>
    <x v="11"/>
    <n v="4"/>
    <s v="ناقص توقيعات "/>
    <m/>
    <m/>
    <m/>
    <m/>
    <m/>
    <m/>
    <m/>
    <m/>
    <m/>
  </r>
  <r>
    <d v="2025-06-01T00:00:00"/>
    <d v="2025-06-11T00:00:00"/>
    <s v="الاربعاء "/>
    <s v="شركة استار كول "/>
    <s v="مصطفى مهدى  "/>
    <s v="صيانة  الشلندرات  "/>
    <s v="تم العمل"/>
    <d v="1899-12-30T12:00:00"/>
    <d v="1899-12-30T16:00:00"/>
    <n v="0.16666666666666663"/>
    <s v="المطابع "/>
    <n v="3.9999999999999991"/>
    <m/>
    <m/>
    <x v="2"/>
    <n v="4"/>
    <s v="ناقص توقيعات "/>
    <m/>
    <m/>
    <m/>
    <m/>
    <m/>
    <m/>
    <m/>
    <m/>
    <m/>
  </r>
  <r>
    <d v="2025-06-01T00:00:00"/>
    <d v="2025-06-11T00:00:00"/>
    <s v="الاربعاء "/>
    <s v="شركة الهدى "/>
    <s v="اسلام  "/>
    <s v="صيانة  ماكينة CTB"/>
    <s v="تم العمل"/>
    <d v="1899-12-30T13:00:00"/>
    <d v="1899-12-30T15:00:00"/>
    <n v="8.333333333333337E-2"/>
    <s v="المطابع "/>
    <n v="2.0000000000000009"/>
    <m/>
    <m/>
    <x v="6"/>
    <n v="5"/>
    <m/>
    <m/>
    <m/>
    <m/>
    <m/>
    <m/>
    <m/>
    <m/>
    <m/>
    <m/>
  </r>
  <r>
    <d v="2025-06-01T00:00:00"/>
    <d v="2025-06-12T00:00:00"/>
    <s v="الخميس "/>
    <s v="مقاول خارجي"/>
    <s v="علاء شحات على "/>
    <s v="صيانة  خط الحريق فى مخزن الوزارة "/>
    <s v="تم العمل"/>
    <d v="1899-12-30T09:30:00"/>
    <d v="1899-12-30T21:00:00"/>
    <n v="0.47916666666666669"/>
    <s v="مخزن الوزارة"/>
    <n v="11.5"/>
    <m/>
    <m/>
    <x v="11"/>
    <n v="4"/>
    <s v="ناقص توقيعات "/>
    <m/>
    <m/>
    <m/>
    <m/>
    <m/>
    <m/>
    <m/>
    <m/>
    <m/>
  </r>
  <r>
    <d v="2025-06-01T00:00:00"/>
    <d v="2025-06-12T00:00:00"/>
    <s v="الخميس "/>
    <s v="شركة الهدى "/>
    <s v="هشام  حسين  "/>
    <s v="صيانة تنك الاحبار"/>
    <s v="تم العمل"/>
    <d v="1899-12-30T13:00:00"/>
    <d v="1899-12-30T16:00:00"/>
    <n v="0.125"/>
    <s v="المخزن القديم "/>
    <n v="3"/>
    <m/>
    <m/>
    <x v="0"/>
    <n v="5"/>
    <m/>
    <m/>
    <m/>
    <m/>
    <m/>
    <m/>
    <m/>
    <m/>
    <m/>
    <m/>
  </r>
  <r>
    <d v="2025-06-01T00:00:00"/>
    <d v="2025-06-12T00:00:00"/>
    <s v="الخميس "/>
    <s v="شركة استار كول "/>
    <s v="احمد عبد العزيز "/>
    <s v="صيانة  الشلندرات  "/>
    <s v="تم العمل"/>
    <d v="1899-12-30T15:00:00"/>
    <d v="1899-12-30T17:00:00"/>
    <n v="8.333333333333337E-2"/>
    <s v="المطابع "/>
    <n v="2.0000000000000009"/>
    <m/>
    <m/>
    <x v="0"/>
    <n v="4"/>
    <s v="لم يتم غلف التصريح "/>
    <m/>
    <m/>
    <m/>
    <m/>
    <m/>
    <m/>
    <m/>
    <m/>
    <m/>
  </r>
  <r>
    <d v="2025-06-01T00:00:00"/>
    <d v="2025-06-15T00:00:00"/>
    <s v="الاحد "/>
    <s v="زيروكس"/>
    <s v="محمد راضى "/>
    <s v="صيانة  ماكينة التصوير  "/>
    <s v="تم العمل"/>
    <d v="1899-12-30T10:00:00"/>
    <d v="1899-12-30T11:00:00"/>
    <n v="4.166666666666663E-2"/>
    <s v="المطابع "/>
    <n v="0.99999999999999911"/>
    <m/>
    <m/>
    <x v="14"/>
    <n v="5"/>
    <m/>
    <m/>
    <m/>
    <m/>
    <m/>
    <m/>
    <m/>
    <m/>
    <m/>
    <m/>
  </r>
  <r>
    <d v="2025-06-01T00:00:00"/>
    <d v="2025-06-14T00:00:00"/>
    <s v="السبت "/>
    <s v="شركة الكريم "/>
    <s v="محمد عيسى "/>
    <s v="تركيبات "/>
    <s v="تم العمل"/>
    <d v="1899-12-30T12:00:00"/>
    <d v="1899-12-30T18:30:00"/>
    <n v="0.27083333333333337"/>
    <s v="البرج"/>
    <n v="6.5000000000000009"/>
    <m/>
    <m/>
    <x v="3"/>
    <n v="5"/>
    <m/>
    <m/>
    <m/>
    <m/>
    <m/>
    <m/>
    <m/>
    <m/>
    <m/>
    <m/>
  </r>
  <r>
    <d v="2025-06-01T00:00:00"/>
    <d v="2025-06-16T00:00:00"/>
    <s v="الاثنين "/>
    <s v="القطاع الهندسى "/>
    <s v="شريف عيد "/>
    <s v="صيانة فيشة كهربائية"/>
    <s v="تم العمل"/>
    <d v="1899-12-30T11:00:00"/>
    <d v="1899-12-30T12:30:00"/>
    <n v="6.2500000000000056E-2"/>
    <s v="المخزن الجديد "/>
    <n v="1.5000000000000013"/>
    <m/>
    <m/>
    <x v="1"/>
    <n v="5"/>
    <m/>
    <m/>
    <m/>
    <m/>
    <m/>
    <m/>
    <m/>
    <m/>
    <m/>
    <m/>
  </r>
  <r>
    <d v="2025-06-01T00:00:00"/>
    <d v="2025-06-16T00:00:00"/>
    <s v="الاثنين "/>
    <s v="الشؤون الادارية "/>
    <s v="محمود عويس"/>
    <s v="صيانة تكييفات  "/>
    <s v="تم العمل"/>
    <d v="1899-12-30T11:30:00"/>
    <d v="1899-12-30T17:00:00"/>
    <n v="0.22916666666666669"/>
    <s v="المطابع "/>
    <n v="5.5"/>
    <m/>
    <m/>
    <x v="10"/>
    <n v="5"/>
    <m/>
    <m/>
    <m/>
    <m/>
    <m/>
    <m/>
    <m/>
    <m/>
    <m/>
    <m/>
  </r>
  <r>
    <d v="2025-06-01T00:00:00"/>
    <d v="2025-06-16T00:00:00"/>
    <s v="الاثنين "/>
    <s v="شركة اوزوريون "/>
    <s v="محمد عيسى "/>
    <s v="تركيبات "/>
    <s v="تم العمل"/>
    <d v="1899-12-30T17:30:00"/>
    <d v="1899-12-30T21:00:00"/>
    <n v="0.14583333333333337"/>
    <s v="البرج"/>
    <n v="3.5000000000000009"/>
    <m/>
    <m/>
    <x v="3"/>
    <n v="5"/>
    <m/>
    <m/>
    <m/>
    <m/>
    <m/>
    <m/>
    <m/>
    <m/>
    <m/>
    <m/>
  </r>
  <r>
    <d v="2025-06-01T00:00:00"/>
    <d v="2025-06-17T00:00:00"/>
    <s v="الثلاثاء "/>
    <s v="القطاع الهندسى "/>
    <s v="ابراهيم عبدالحليم"/>
    <s v="صيانة كلاركات "/>
    <s v="تم العمل"/>
    <d v="1899-12-30T11:00:00"/>
    <d v="1899-12-30T13:00:00"/>
    <n v="8.3333333333333315E-2"/>
    <s v="المخزن الجديد "/>
    <n v="1.9999999999999996"/>
    <m/>
    <m/>
    <x v="1"/>
    <n v="5"/>
    <m/>
    <m/>
    <m/>
    <m/>
    <m/>
    <m/>
    <m/>
    <m/>
    <m/>
    <m/>
  </r>
  <r>
    <d v="2025-06-01T00:00:00"/>
    <d v="2025-06-17T00:00:00"/>
    <s v="الثلاثاء "/>
    <s v="شركة الهدى "/>
    <s v="هشام  حسين  "/>
    <s v="صيانة تنك الاحبار"/>
    <s v="تم العمل"/>
    <d v="1899-12-30T14:00:00"/>
    <d v="1899-12-30T17:30:00"/>
    <n v="0.14583333333333326"/>
    <s v="المخزن القديم "/>
    <n v="3.4999999999999982"/>
    <m/>
    <m/>
    <x v="6"/>
    <n v="5"/>
    <m/>
    <m/>
    <m/>
    <m/>
    <m/>
    <m/>
    <m/>
    <m/>
    <m/>
    <m/>
  </r>
  <r>
    <d v="2025-06-01T00:00:00"/>
    <d v="2025-06-18T00:00:00"/>
    <s v="الاربعاء "/>
    <s v="شركة الهدى "/>
    <s v="ايمن محمد كامل"/>
    <s v="صيانة تنك الاحبار"/>
    <s v="تم العمل"/>
    <d v="1899-12-30T12:00:00"/>
    <d v="1899-12-30T17:00:00"/>
    <n v="0.20833333333333337"/>
    <s v="المخزن القديم "/>
    <n v="5.0000000000000009"/>
    <m/>
    <m/>
    <x v="9"/>
    <n v="4"/>
    <s v="ناقص توقيعات "/>
    <m/>
    <m/>
    <m/>
    <m/>
    <m/>
    <m/>
    <m/>
    <m/>
    <m/>
  </r>
  <r>
    <d v="2025-06-01T00:00:00"/>
    <d v="2025-06-18T00:00:00"/>
    <s v="الاربعاء "/>
    <s v="الشؤون الادارية "/>
    <s v="محمود عويس"/>
    <s v="صيانة تكييفات التسليمات "/>
    <s v="تم العمل"/>
    <d v="1899-12-30T15:00:00"/>
    <d v="1899-12-30T17:00:00"/>
    <n v="8.333333333333337E-2"/>
    <s v="المطابع "/>
    <n v="2.0000000000000009"/>
    <m/>
    <m/>
    <x v="10"/>
    <n v="5"/>
    <m/>
    <m/>
    <m/>
    <m/>
    <m/>
    <m/>
    <m/>
    <m/>
    <m/>
    <m/>
  </r>
  <r>
    <d v="2025-06-01T00:00:00"/>
    <d v="2025-06-18T00:00:00"/>
    <s v="الاربعاء "/>
    <s v="شركة جلوب ويل "/>
    <s v="محمود عويس"/>
    <s v="صيانة فلتر المياه "/>
    <s v="تم العمل"/>
    <d v="1899-12-30T11:00:00"/>
    <d v="1899-12-30T12:00:00"/>
    <n v="4.1666666666666685E-2"/>
    <s v="المطابع "/>
    <n v="1.0000000000000004"/>
    <m/>
    <m/>
    <x v="10"/>
    <n v="5"/>
    <m/>
    <m/>
    <m/>
    <m/>
    <m/>
    <m/>
    <m/>
    <m/>
    <m/>
    <m/>
  </r>
  <r>
    <d v="2025-06-01T00:00:00"/>
    <d v="2025-06-18T00:00:00"/>
    <s v="الاربعاء "/>
    <s v="شركة جلوب ويل "/>
    <s v="اسلام مليجي"/>
    <s v="صيانة فلتر المياه "/>
    <s v="تم العمل"/>
    <d v="1899-12-30T12:00:00"/>
    <d v="1899-12-30T14:00:00"/>
    <n v="8.333333333333337E-2"/>
    <s v="المخزن الجديد "/>
    <n v="2.0000000000000009"/>
    <m/>
    <m/>
    <x v="1"/>
    <n v="5"/>
    <m/>
    <m/>
    <m/>
    <m/>
    <m/>
    <m/>
    <m/>
    <m/>
    <m/>
    <m/>
  </r>
  <r>
    <d v="2025-06-01T00:00:00"/>
    <d v="2025-06-18T00:00:00"/>
    <s v="الاربعاء "/>
    <s v="الشؤون الادارية "/>
    <s v="احمد حسين "/>
    <s v="صيانة اجهزة التكيف "/>
    <s v="تم العمل"/>
    <d v="1899-12-30T13:30:00"/>
    <d v="1899-12-30T15:00:00"/>
    <n v="6.25E-2"/>
    <s v="الفجالة"/>
    <n v="1.5"/>
    <m/>
    <m/>
    <x v="11"/>
    <n v="4"/>
    <s v="ناقص توقيعات "/>
    <m/>
    <m/>
    <m/>
    <m/>
    <m/>
    <m/>
    <m/>
    <m/>
    <m/>
  </r>
  <r>
    <d v="2025-06-01T00:00:00"/>
    <d v="2025-06-18T00:00:00"/>
    <s v="الاربعاء "/>
    <s v="الشؤون الادارية "/>
    <s v="احمد عبد الله "/>
    <s v="تركيب كولدير  مياه جديد "/>
    <s v="تم العمل"/>
    <d v="1899-12-30T18:30:00"/>
    <d v="1899-12-30T21:00:00"/>
    <n v="0.10416666666666663"/>
    <s v="الفجالة"/>
    <n v="2.4999999999999991"/>
    <m/>
    <m/>
    <x v="11"/>
    <n v="5"/>
    <m/>
    <m/>
    <m/>
    <m/>
    <m/>
    <m/>
    <m/>
    <m/>
    <m/>
    <m/>
  </r>
  <r>
    <d v="2025-06-01T00:00:00"/>
    <d v="2025-06-19T00:00:00"/>
    <s v="الخميس "/>
    <s v="شركة الهدى "/>
    <s v="اسلام  "/>
    <s v="صيانة  ماكينة CTB"/>
    <s v="تم العمل"/>
    <d v="1899-12-30T13:00:00"/>
    <d v="1899-12-30T17:30:00"/>
    <n v="0.1875"/>
    <s v="المطابع "/>
    <n v="4.5"/>
    <m/>
    <m/>
    <x v="2"/>
    <n v="5"/>
    <m/>
    <m/>
    <m/>
    <m/>
    <m/>
    <m/>
    <m/>
    <m/>
    <m/>
    <m/>
  </r>
  <r>
    <d v="2025-06-01T00:00:00"/>
    <d v="2025-06-19T00:00:00"/>
    <s v="الخميس "/>
    <s v="شركة شلاندر "/>
    <s v="مخلص كامل "/>
    <s v="اعمال صيانة الاسانسير "/>
    <s v="تم العمل"/>
    <d v="1899-12-30T14:00:00"/>
    <d v="1899-12-30T17:00:00"/>
    <n v="0.125"/>
    <s v="المخزن الجديد "/>
    <n v="3"/>
    <m/>
    <m/>
    <x v="1"/>
    <n v="5"/>
    <m/>
    <m/>
    <m/>
    <m/>
    <m/>
    <m/>
    <m/>
    <m/>
    <m/>
    <m/>
  </r>
  <r>
    <d v="2025-06-01T00:00:00"/>
    <d v="2025-06-19T00:00:00"/>
    <s v="الخميس "/>
    <s v="مقاول خارجي"/>
    <s v="محمد سعيد محمد"/>
    <s v="تركيب استيكر على الاستاندات"/>
    <s v="تم العمل"/>
    <d v="1899-12-30T13:00:00"/>
    <d v="1899-12-30T15:00:00"/>
    <n v="8.333333333333337E-2"/>
    <s v="المخزن الجديد "/>
    <n v="2.0000000000000009"/>
    <m/>
    <m/>
    <x v="1"/>
    <n v="5"/>
    <m/>
    <m/>
    <m/>
    <m/>
    <m/>
    <m/>
    <m/>
    <m/>
    <m/>
    <m/>
  </r>
  <r>
    <d v="2025-06-01T00:00:00"/>
    <d v="2025-06-20T00:00:00"/>
    <s v="الخميس "/>
    <s v="الشركة الالمانية "/>
    <s v="سيد جاد  "/>
    <s v="الزيارة الشهرية للمكافحة  الافات والقوارض"/>
    <s v="تم العمل"/>
    <d v="1899-12-30T16:00:00"/>
    <d v="1899-12-30T17:30:00"/>
    <n v="6.25E-2"/>
    <s v="الفجالة"/>
    <n v="1.5"/>
    <m/>
    <m/>
    <x v="11"/>
    <n v="4"/>
    <s v="ناقص توقيعات "/>
    <m/>
    <m/>
    <m/>
    <m/>
    <m/>
    <m/>
    <m/>
    <m/>
    <m/>
  </r>
  <r>
    <d v="2025-06-01T00:00:00"/>
    <d v="2025-06-21T00:00:00"/>
    <s v="السبت "/>
    <s v="شركة كايرو تريد "/>
    <s v="السيد ابراهيم "/>
    <s v="صيانة دورية "/>
    <s v="تم العمل"/>
    <d v="1899-12-30T10:30:00"/>
    <d v="1899-12-30T17:00:00"/>
    <n v="0.27083333333333337"/>
    <s v="البرج"/>
    <n v="6.5000000000000009"/>
    <m/>
    <m/>
    <x v="3"/>
    <n v="5"/>
    <m/>
    <m/>
    <m/>
    <m/>
    <m/>
    <m/>
    <m/>
    <m/>
    <m/>
    <m/>
  </r>
  <r>
    <d v="2025-06-01T00:00:00"/>
    <d v="2025-06-21T00:00:00"/>
    <s v="السبت "/>
    <s v="شركة اوزوريون "/>
    <s v="عمرو فاروق      "/>
    <s v="انشاءات"/>
    <s v="تم العمل"/>
    <d v="1899-12-30T09:30:00"/>
    <d v="1899-12-30T17:00:00"/>
    <n v="0.31250000000000006"/>
    <s v="البرج"/>
    <n v="7.5000000000000018"/>
    <m/>
    <m/>
    <x v="3"/>
    <n v="5"/>
    <m/>
    <m/>
    <m/>
    <m/>
    <m/>
    <m/>
    <m/>
    <m/>
    <m/>
    <m/>
  </r>
  <r>
    <d v="2025-06-01T00:00:00"/>
    <d v="2025-06-22T00:00:00"/>
    <s v="الاحد "/>
    <s v="شركة شلاندر "/>
    <s v="محمد عادل  "/>
    <s v="اعمال صيانة الاسانسير "/>
    <s v="تم العمل"/>
    <d v="1899-12-30T11:30:00"/>
    <d v="1899-12-30T12:30:00"/>
    <n v="4.1666666666666685E-2"/>
    <s v="المطابع "/>
    <n v="1.0000000000000004"/>
    <m/>
    <m/>
    <x v="6"/>
    <n v="5"/>
    <m/>
    <m/>
    <m/>
    <m/>
    <m/>
    <m/>
    <m/>
    <m/>
    <m/>
    <m/>
  </r>
  <r>
    <d v="2025-06-01T00:00:00"/>
    <d v="2025-06-22T00:00:00"/>
    <s v="الاحد "/>
    <s v="شركة الهدى "/>
    <s v="اسلام مصطفى  "/>
    <s v="عمل صيانة  ماكينة CTB"/>
    <s v="تم العمل"/>
    <d v="1899-12-30T13:00:00"/>
    <d v="1899-12-30T16:00:00"/>
    <n v="0.125"/>
    <s v="المطابع "/>
    <n v="3"/>
    <m/>
    <m/>
    <x v="8"/>
    <n v="5"/>
    <m/>
    <m/>
    <m/>
    <m/>
    <m/>
    <m/>
    <m/>
    <m/>
    <m/>
    <m/>
  </r>
  <r>
    <d v="2025-06-01T00:00:00"/>
    <d v="2025-06-22T00:00:00"/>
    <s v="الاحد "/>
    <s v="شركة الدروى "/>
    <s v="محمود عويس"/>
    <s v="صيانة تكييفات  "/>
    <s v="تم العمل"/>
    <d v="1899-12-30T12:00:00"/>
    <d v="1899-12-30T13:00:00"/>
    <n v="4.166666666666663E-2"/>
    <s v="المطابع "/>
    <n v="0.99999999999999911"/>
    <m/>
    <m/>
    <x v="0"/>
    <n v="5"/>
    <m/>
    <m/>
    <m/>
    <m/>
    <m/>
    <m/>
    <m/>
    <m/>
    <m/>
    <m/>
  </r>
  <r>
    <d v="2025-06-01T00:00:00"/>
    <d v="2025-06-22T00:00:00"/>
    <s v="الاحد "/>
    <s v="الشركة الالمانية "/>
    <s v="كامل جمعة  "/>
    <s v="الزيارة الشهرية للمكافحة  الافات والقوارض"/>
    <s v="تم العمل"/>
    <d v="1899-12-30T11:00:00"/>
    <d v="1899-12-30T12:00:00"/>
    <n v="4.1666666666666685E-2"/>
    <s v="المخزن القديم "/>
    <n v="1.0000000000000004"/>
    <m/>
    <m/>
    <x v="9"/>
    <n v="5"/>
    <m/>
    <m/>
    <m/>
    <m/>
    <m/>
    <m/>
    <m/>
    <m/>
    <m/>
    <m/>
  </r>
  <r>
    <d v="2025-06-01T00:00:00"/>
    <d v="2025-06-22T00:00:00"/>
    <s v="الاحد "/>
    <s v="الشركة الالمانية "/>
    <s v="كامل جمعة  "/>
    <s v="الزيارة الشهرية للمكافحة  الافات والقوارض"/>
    <s v="تم العمل"/>
    <d v="1899-12-30T12:00:00"/>
    <d v="1899-12-30T13:00:00"/>
    <n v="4.166666666666663E-2"/>
    <s v="المخزن الجديد "/>
    <n v="0.99999999999999911"/>
    <m/>
    <m/>
    <x v="1"/>
    <n v="5"/>
    <m/>
    <m/>
    <m/>
    <m/>
    <m/>
    <m/>
    <m/>
    <m/>
    <m/>
    <m/>
  </r>
  <r>
    <d v="2025-06-01T00:00:00"/>
    <d v="2025-06-23T00:00:00"/>
    <s v="الاثنين "/>
    <s v="شركة وان كونكت"/>
    <s v="سيد عادل  "/>
    <s v="صيانة  "/>
    <s v="تم العمل"/>
    <d v="1899-12-30T15:30:00"/>
    <d v="1899-12-30T18:00:00"/>
    <n v="0.10416666666666663"/>
    <s v="البرج"/>
    <n v="2.4999999999999991"/>
    <m/>
    <m/>
    <x v="3"/>
    <n v="5"/>
    <m/>
    <m/>
    <m/>
    <m/>
    <m/>
    <m/>
    <m/>
    <m/>
    <m/>
    <m/>
  </r>
  <r>
    <d v="2025-06-01T00:00:00"/>
    <d v="2025-06-23T00:00:00"/>
    <s v="الاثنين "/>
    <s v="الشؤون الادارية "/>
    <s v="محمود عويس"/>
    <s v="صيانة تكييفات"/>
    <s v="تم العمل"/>
    <d v="1899-12-30T10:00:00"/>
    <d v="1899-12-30T17:00:00"/>
    <n v="0.29166666666666669"/>
    <s v="المطابع "/>
    <n v="7"/>
    <m/>
    <m/>
    <x v="0"/>
    <n v="5"/>
    <m/>
    <m/>
    <m/>
    <m/>
    <m/>
    <m/>
    <m/>
    <m/>
    <m/>
    <m/>
  </r>
  <r>
    <d v="2025-06-01T00:00:00"/>
    <d v="2025-06-23T00:00:00"/>
    <s v="الاثنين "/>
    <s v="القطاع الهندسى "/>
    <s v="سيد رفاعي"/>
    <s v="تنزيل ماكينة من حاوية"/>
    <s v="تم العمل"/>
    <d v="1899-12-30T13:00:00"/>
    <d v="1899-12-30T14:00:00"/>
    <n v="4.1666666666666741E-2"/>
    <s v="المطابع "/>
    <n v="1.0000000000000018"/>
    <m/>
    <m/>
    <x v="2"/>
    <n v="5"/>
    <m/>
    <m/>
    <m/>
    <m/>
    <m/>
    <m/>
    <m/>
    <m/>
    <m/>
    <m/>
  </r>
  <r>
    <d v="2025-06-01T00:00:00"/>
    <d v="2025-06-23T00:00:00"/>
    <s v="الاثنين "/>
    <s v="شركة الهدى "/>
    <s v="ايمن محمد كامل"/>
    <s v="صيانة تانك الاحبار"/>
    <s v="تم العمل"/>
    <d v="1899-12-30T11:00:00"/>
    <d v="1899-12-30T17:00:00"/>
    <n v="0.25000000000000006"/>
    <s v="المخزن القديم "/>
    <n v="6.0000000000000018"/>
    <m/>
    <m/>
    <x v="9"/>
    <n v="5"/>
    <m/>
    <m/>
    <m/>
    <m/>
    <m/>
    <m/>
    <m/>
    <m/>
    <m/>
    <m/>
  </r>
  <r>
    <d v="2025-06-01T00:00:00"/>
    <d v="2025-06-23T00:00:00"/>
    <s v="الاثنين "/>
    <s v="الشؤون الادارية "/>
    <s v="ادم حسن"/>
    <s v="تركيب انتر لوك"/>
    <s v="تم العمل"/>
    <d v="1899-12-30T11:00:00"/>
    <d v="1899-12-30T17:00:00"/>
    <n v="0.25000000000000006"/>
    <s v="المخزن القديم "/>
    <n v="6.0000000000000018"/>
    <m/>
    <m/>
    <x v="9"/>
    <n v="5"/>
    <m/>
    <m/>
    <m/>
    <m/>
    <m/>
    <m/>
    <m/>
    <m/>
    <m/>
    <m/>
  </r>
  <r>
    <d v="2025-06-01T00:00:00"/>
    <d v="2025-06-24T00:00:00"/>
    <s v="الثلاثاء "/>
    <s v="القطاع الهندسى "/>
    <s v="عيد احمد"/>
    <s v="صيانة ماكينة sp4"/>
    <s v="تم العمل"/>
    <d v="1899-12-30T10:30:00"/>
    <d v="1899-12-30T17:00:00"/>
    <n v="0.27083333333333337"/>
    <s v="المطابع "/>
    <n v="6.5000000000000009"/>
    <m/>
    <m/>
    <x v="5"/>
    <n v="5"/>
    <m/>
    <m/>
    <m/>
    <m/>
    <m/>
    <m/>
    <m/>
    <m/>
    <m/>
    <m/>
  </r>
  <r>
    <d v="2025-06-01T00:00:00"/>
    <d v="2025-06-24T00:00:00"/>
    <s v="الثلاثاء "/>
    <s v="الشؤون الادارية "/>
    <s v="محمود عويس"/>
    <s v="صيانة تكييفات"/>
    <s v="تم العمل"/>
    <d v="1899-12-30T10:00:00"/>
    <d v="1899-12-30T11:00:00"/>
    <n v="4.166666666666663E-2"/>
    <s v="المخزن القديم "/>
    <n v="0.99999999999999911"/>
    <m/>
    <m/>
    <x v="9"/>
    <n v="5"/>
    <m/>
    <m/>
    <m/>
    <m/>
    <m/>
    <m/>
    <m/>
    <m/>
    <m/>
    <m/>
  </r>
  <r>
    <d v="2025-06-01T00:00:00"/>
    <d v="2025-06-24T00:00:00"/>
    <s v="الثلاثاء "/>
    <s v="الشؤون الادارية "/>
    <s v="ادم حسن"/>
    <s v="تركيب انتر لوك"/>
    <s v="تم العمل"/>
    <d v="1899-12-30T11:00:00"/>
    <d v="1899-12-30T17:00:00"/>
    <n v="0.25000000000000006"/>
    <s v="المخزن القديم "/>
    <n v="6.0000000000000018"/>
    <m/>
    <m/>
    <x v="9"/>
    <n v="5"/>
    <m/>
    <m/>
    <m/>
    <m/>
    <m/>
    <m/>
    <m/>
    <m/>
    <m/>
    <m/>
  </r>
  <r>
    <d v="2025-06-01T00:00:00"/>
    <d v="2025-06-25T00:00:00"/>
    <s v="الاربعاء "/>
    <s v="شركة الهدى "/>
    <s v="ايمن محمد كامل"/>
    <s v="صيانة تانك الاحبار"/>
    <s v="تم العمل"/>
    <d v="1899-12-30T12:00:00"/>
    <d v="1899-12-30T17:00:00"/>
    <n v="0.20833333333333337"/>
    <s v="المخزن القديم "/>
    <n v="5.0000000000000009"/>
    <m/>
    <m/>
    <x v="9"/>
    <n v="5"/>
    <m/>
    <m/>
    <m/>
    <m/>
    <m/>
    <m/>
    <m/>
    <m/>
    <m/>
    <m/>
  </r>
  <r>
    <d v="2025-06-01T00:00:00"/>
    <d v="2025-06-25T00:00:00"/>
    <s v="الاربعاء "/>
    <s v="شركة نات جاز "/>
    <s v="محمد حسنى  "/>
    <s v="عمل صيانة لغرفة الغاز "/>
    <s v="تم العمل"/>
    <d v="1899-12-30T10:00:00"/>
    <d v="1899-12-30T10:30:00"/>
    <n v="2.0833333333333315E-2"/>
    <s v="المطابع "/>
    <n v="0.49999999999999956"/>
    <m/>
    <m/>
    <x v="5"/>
    <n v="5"/>
    <m/>
    <m/>
    <m/>
    <m/>
    <m/>
    <m/>
    <m/>
    <m/>
    <m/>
    <m/>
  </r>
  <r>
    <d v="2025-06-01T00:00:00"/>
    <d v="2025-06-26T00:00:00"/>
    <s v="الخميس "/>
    <s v="شركة اوزوريون "/>
    <s v="يحيى طه "/>
    <s v="تركيبات "/>
    <s v="تم العمل"/>
    <d v="1899-12-30T10:30:00"/>
    <d v="1899-12-30T21:30:00"/>
    <n v="0.45833333333333337"/>
    <s v="البرج"/>
    <n v="11"/>
    <m/>
    <m/>
    <x v="3"/>
    <n v="5"/>
    <m/>
    <m/>
    <m/>
    <m/>
    <m/>
    <m/>
    <m/>
    <m/>
    <m/>
    <m/>
  </r>
  <r>
    <d v="2025-06-01T00:00:00"/>
    <d v="2025-06-26T00:00:00"/>
    <s v="الخميس "/>
    <s v="ستار كول  للتبريد والتكيف "/>
    <s v="مصطفى مهدى  "/>
    <s v="صيانة شيلر الويب الجديد"/>
    <s v="تم العمل"/>
    <d v="1899-12-30T13:00:00"/>
    <d v="1899-12-30T15:00:00"/>
    <n v="8.333333333333337E-2"/>
    <s v="المطابع "/>
    <n v="2.0000000000000009"/>
    <m/>
    <m/>
    <x v="2"/>
    <n v="5"/>
    <m/>
    <m/>
    <m/>
    <m/>
    <m/>
    <m/>
    <m/>
    <m/>
    <m/>
    <m/>
  </r>
  <r>
    <d v="2025-07-01T00:00:00"/>
    <d v="2025-07-01T00:00:00"/>
    <s v="الثلاثاء "/>
    <s v="الشؤون الادارية "/>
    <s v="محمود عويس"/>
    <s v="صيانة مبرد مياه الشرب "/>
    <s v="تم العمل"/>
    <n v="0.58333333333333337"/>
    <d v="1899-12-30T17:00:00"/>
    <n v="0.125"/>
    <s v="المطابع "/>
    <n v="3"/>
    <m/>
    <m/>
    <x v="10"/>
    <n v="5"/>
    <m/>
    <m/>
    <m/>
    <m/>
    <m/>
    <m/>
    <m/>
    <m/>
    <m/>
    <m/>
  </r>
  <r>
    <d v="2025-07-01T00:00:00"/>
    <d v="2025-07-02T00:00:00"/>
    <s v="الاربعاء "/>
    <s v="الشؤون الادارية "/>
    <s v="محمود عويس"/>
    <s v="صيانة مبرد مياه الشرب "/>
    <s v="تم العمل"/>
    <n v="0.41666666666666669"/>
    <d v="1899-12-30T13:00:00"/>
    <n v="0.12499999999999994"/>
    <s v="المطابع "/>
    <n v="2.9999999999999987"/>
    <m/>
    <m/>
    <x v="10"/>
    <n v="5"/>
    <m/>
    <m/>
    <m/>
    <m/>
    <m/>
    <m/>
    <m/>
    <m/>
    <m/>
    <m/>
  </r>
  <r>
    <d v="2025-07-01T00:00:00"/>
    <d v="2025-07-02T00:00:00"/>
    <s v="الاربعاء "/>
    <s v="شركة الهدى "/>
    <s v="ايمن محمد كامل "/>
    <s v="صيانة تانك الاحبار"/>
    <s v="تم العمل"/>
    <n v="0.5"/>
    <d v="1899-12-30T17:00:00"/>
    <n v="0.20833333333333337"/>
    <s v="المخزن القديم "/>
    <n v="5.0000000000000009"/>
    <m/>
    <m/>
    <x v="9"/>
    <n v="5"/>
    <m/>
    <m/>
    <m/>
    <m/>
    <m/>
    <m/>
    <m/>
    <m/>
    <m/>
    <m/>
  </r>
  <r>
    <d v="2025-07-01T00:00:00"/>
    <d v="2025-07-02T00:00:00"/>
    <s v="الاربعاء "/>
    <s v="شركة الامل للالمونتال"/>
    <s v="رامى محمد "/>
    <s v="صيانة ابواب الوميتال المبنى الاداري"/>
    <s v="تم العمل"/>
    <n v="0.625"/>
    <d v="1899-12-30T16:00:00"/>
    <n v="4.166666666666663E-2"/>
    <s v="المطابع "/>
    <n v="0.99999999999999911"/>
    <m/>
    <m/>
    <x v="10"/>
    <n v="5"/>
    <m/>
    <m/>
    <m/>
    <m/>
    <m/>
    <m/>
    <m/>
    <m/>
    <m/>
    <m/>
  </r>
  <r>
    <d v="2025-07-01T00:00:00"/>
    <d v="2025-07-03T00:00:00"/>
    <s v="الخميس "/>
    <s v="شركة الهدى "/>
    <s v="ايمن محمد كامل "/>
    <s v="صيانة تانك الاحبار"/>
    <s v="تم العمل"/>
    <n v="0.5"/>
    <d v="1899-12-30T17:00:00"/>
    <n v="0.20833333333333337"/>
    <s v="المخزن القديم "/>
    <n v="5.0000000000000009"/>
    <m/>
    <m/>
    <x v="9"/>
    <n v="5"/>
    <m/>
    <m/>
    <m/>
    <m/>
    <m/>
    <m/>
    <m/>
    <m/>
    <m/>
    <m/>
  </r>
  <r>
    <d v="2025-07-01T00:00:00"/>
    <d v="2025-07-04T00:00:00"/>
    <s v="الجمعة "/>
    <s v="القطاع الهندسى "/>
    <s v="مصطفى نصار  "/>
    <s v="لحام سيور بخط الكولبس "/>
    <s v="تم العمل"/>
    <n v="0.41666666666666669"/>
    <d v="1899-12-30T11:00:00"/>
    <n v="4.166666666666663E-2"/>
    <s v="المطابع "/>
    <n v="0.99999999999999911"/>
    <m/>
    <m/>
    <x v="5"/>
    <n v="5"/>
    <m/>
    <m/>
    <m/>
    <m/>
    <m/>
    <m/>
    <m/>
    <m/>
    <m/>
    <m/>
  </r>
  <r>
    <d v="2025-06-01T00:00:00"/>
    <d v="2025-07-05T00:00:00"/>
    <s v="السبت "/>
    <s v="شركة اوزوريون "/>
    <s v="يحيى طه "/>
    <s v="تركيبات "/>
    <s v="تم العمل"/>
    <n v="0.58333333333333337"/>
    <d v="1899-12-30T17:30:00"/>
    <n v="0.14583333333333326"/>
    <s v="البرج"/>
    <n v="3.4999999999999982"/>
    <m/>
    <m/>
    <x v="3"/>
    <n v="5"/>
    <m/>
    <m/>
    <m/>
    <m/>
    <m/>
    <m/>
    <m/>
    <m/>
    <m/>
    <m/>
  </r>
  <r>
    <d v="2025-07-01T00:00:00"/>
    <d v="2025-07-06T00:00:00"/>
    <s v="الاحد "/>
    <s v="مقاول خارجي"/>
    <s v="عبدالرحمن احمد"/>
    <s v="رفع وتثبيت تشيلر اعلى ويب 3"/>
    <s v="تم العمل"/>
    <n v="0.45833333333333331"/>
    <d v="1899-12-30T13:00:00"/>
    <n v="8.3333333333333315E-2"/>
    <s v="المطابع "/>
    <n v="1.9999999999999996"/>
    <m/>
    <m/>
    <x v="14"/>
    <n v="5"/>
    <m/>
    <m/>
    <m/>
    <m/>
    <m/>
    <m/>
    <m/>
    <m/>
    <m/>
    <m/>
  </r>
  <r>
    <d v="2025-07-01T00:00:00"/>
    <d v="2025-07-06T00:00:00"/>
    <s v="الاحد "/>
    <s v="الشركة الالمانية "/>
    <s v="كامل جمعة  "/>
    <s v="مكافحة قوارض وحشرات"/>
    <s v="تم العمل"/>
    <n v="0.45833333333333331"/>
    <d v="1899-12-30T13:00:00"/>
    <n v="8.3333333333333315E-2"/>
    <s v="المطابع "/>
    <n v="1.9999999999999996"/>
    <m/>
    <m/>
    <x v="2"/>
    <n v="5"/>
    <m/>
    <m/>
    <m/>
    <m/>
    <m/>
    <m/>
    <m/>
    <m/>
    <m/>
    <m/>
  </r>
  <r>
    <d v="2025-07-01T00:00:00"/>
    <d v="2025-07-06T00:00:00"/>
    <s v="الاحد "/>
    <s v="الشؤون الادارية "/>
    <s v="مصطفى رشاد  "/>
    <s v="ترميم حائط غرفة السيرفر"/>
    <s v="تم العمل"/>
    <n v="0.5"/>
    <d v="1899-12-30T16:00:00"/>
    <n v="0.16666666666666663"/>
    <s v="المطابع "/>
    <n v="3.9999999999999991"/>
    <m/>
    <m/>
    <x v="0"/>
    <n v="5"/>
    <m/>
    <m/>
    <m/>
    <m/>
    <m/>
    <m/>
    <m/>
    <m/>
    <m/>
    <m/>
  </r>
  <r>
    <d v="2025-07-01T00:00:00"/>
    <d v="2025-07-06T00:00:00"/>
    <s v="الاحد "/>
    <s v="شركة الهدى "/>
    <s v="ايمن محمد كامل "/>
    <s v="صيانة تانك الاحبار"/>
    <s v="تم العمل"/>
    <n v="0.5"/>
    <d v="1899-12-30T17:00:00"/>
    <n v="0.20833333333333337"/>
    <s v="المخزن القديم "/>
    <n v="5.0000000000000009"/>
    <m/>
    <m/>
    <x v="9"/>
    <n v="5"/>
    <m/>
    <m/>
    <m/>
    <m/>
    <m/>
    <m/>
    <m/>
    <m/>
    <m/>
    <m/>
  </r>
  <r>
    <d v="2025-06-01T00:00:00"/>
    <d v="2025-07-07T00:00:00"/>
    <s v="الاحد "/>
    <s v="شركة شلاندر "/>
    <s v="ملخص  كامل   "/>
    <s v=" صيانة المصاعد "/>
    <s v="تم العمل"/>
    <n v="0.5"/>
    <d v="1899-12-30T16:00:00"/>
    <n v="0.16666666666666663"/>
    <s v="المخزن الجديد "/>
    <n v="3.9999999999999991"/>
    <m/>
    <m/>
    <x v="1"/>
    <n v="5"/>
    <m/>
    <m/>
    <m/>
    <m/>
    <m/>
    <m/>
    <m/>
    <m/>
    <m/>
    <m/>
  </r>
  <r>
    <d v="2025-07-01T00:00:00"/>
    <d v="2025-07-07T00:00:00"/>
    <s v="الاحد "/>
    <s v="الشؤون الادارية "/>
    <s v="مصطفى رشاد  "/>
    <s v="ترميم حائط غرفة السيرفر"/>
    <s v="تم العمل"/>
    <d v="1899-12-30T10:00:00"/>
    <d v="1899-12-30T14:00:00"/>
    <n v="0.16666666666666669"/>
    <s v="المطابع "/>
    <n v="4"/>
    <m/>
    <m/>
    <x v="0"/>
    <n v="5"/>
    <m/>
    <m/>
    <m/>
    <m/>
    <m/>
    <m/>
    <m/>
    <m/>
    <m/>
    <m/>
  </r>
  <r>
    <d v="2025-06-01T00:00:00"/>
    <d v="2025-07-07T00:00:00"/>
    <s v="الاثنين "/>
    <s v="الشؤون الادارية "/>
    <s v="محدى كرم "/>
    <s v="لحام جنشات  فى كمر السقف "/>
    <s v="تم العمل"/>
    <d v="1899-12-30T16:30:00"/>
    <d v="1899-12-30T18:00:00"/>
    <n v="6.25E-2"/>
    <s v="الفجالة"/>
    <n v="1.5"/>
    <m/>
    <m/>
    <x v="11"/>
    <n v="4"/>
    <s v="لم يتم غلق التصريح "/>
    <m/>
    <m/>
    <m/>
    <m/>
    <m/>
    <m/>
    <m/>
    <m/>
    <m/>
  </r>
  <r>
    <d v="2025-07-01T00:00:00"/>
    <d v="2025-07-07T00:00:00"/>
    <s v="الاثنين "/>
    <s v="الشؤون الادارية "/>
    <s v="محمد سعيد "/>
    <s v="تركيب مراوح سقف "/>
    <s v="تم العمل"/>
    <d v="1899-12-30T06:00:00"/>
    <d v="1899-12-30T14:00:00"/>
    <n v="0.33333333333333337"/>
    <s v="الفجالة"/>
    <n v="8"/>
    <m/>
    <m/>
    <x v="11"/>
    <n v="4"/>
    <s v="لم يتم غلق التصريح "/>
    <m/>
    <m/>
    <m/>
    <m/>
    <m/>
    <m/>
    <m/>
    <m/>
    <m/>
  </r>
  <r>
    <d v="2025-07-01T00:00:00"/>
    <d v="2025-07-08T00:00:00"/>
    <s v="الثلاثاء "/>
    <s v="الشؤون الادارية "/>
    <s v="مصطفى رشاد"/>
    <s v="عمل نقاشة وترميم للحائط "/>
    <s v="تم العمل"/>
    <d v="1899-12-30T12:30:00"/>
    <d v="1899-12-30T16:00:00"/>
    <n v="0.14583333333333326"/>
    <s v="المطابع "/>
    <n v="3.4999999999999982"/>
    <m/>
    <m/>
    <x v="0"/>
    <n v="4"/>
    <s v="ناقص توقيعات "/>
    <m/>
    <m/>
    <m/>
    <m/>
    <m/>
    <m/>
    <m/>
    <m/>
    <m/>
  </r>
  <r>
    <d v="2025-07-01T00:00:00"/>
    <d v="2025-07-08T00:00:00"/>
    <s v="الثلاثاء "/>
    <s v="شركة الامل للالمونتال"/>
    <s v="رامى محمد "/>
    <s v="صيانة ابواب مكتب الحركة "/>
    <s v="تم العمل"/>
    <d v="1899-12-30T15:30:00"/>
    <d v="1899-12-30T17:00:00"/>
    <n v="6.25E-2"/>
    <s v="المطابع "/>
    <n v="1.5"/>
    <m/>
    <m/>
    <x v="0"/>
    <n v="4"/>
    <s v="ناقص توقيعات "/>
    <m/>
    <m/>
    <m/>
    <m/>
    <m/>
    <m/>
    <m/>
    <m/>
    <m/>
  </r>
  <r>
    <d v="2025-07-01T00:00:00"/>
    <d v="2025-07-08T00:00:00"/>
    <s v="الثلاثاء "/>
    <s v="الشؤون الادارية "/>
    <s v="محمود الدروى "/>
    <s v="صيانة تكييف غرفة السيرفر"/>
    <s v="تم العمل"/>
    <d v="1899-12-30T11:30:00"/>
    <d v="1899-12-30T17:00:00"/>
    <n v="0.22916666666666669"/>
    <s v="المطابع "/>
    <n v="5.5"/>
    <m/>
    <m/>
    <x v="0"/>
    <n v="3"/>
    <s v="لم يتم غلق التصريح "/>
    <m/>
    <m/>
    <m/>
    <m/>
    <m/>
    <m/>
    <m/>
    <m/>
    <m/>
  </r>
  <r>
    <d v="2025-07-01T00:00:00"/>
    <d v="2025-07-09T00:00:00"/>
    <s v="الاربعاء "/>
    <s v="الشؤون الادارية "/>
    <s v="ممدوح محمد "/>
    <s v="صيانة ادوات الاوراق  "/>
    <s v="تم العمل"/>
    <d v="1899-12-30T14:00:00"/>
    <d v="1899-12-30T17:00:00"/>
    <n v="0.125"/>
    <s v="الفجالة"/>
    <n v="3"/>
    <m/>
    <m/>
    <x v="11"/>
    <n v="5"/>
    <m/>
    <m/>
    <m/>
    <m/>
    <m/>
    <m/>
    <m/>
    <m/>
    <m/>
    <m/>
  </r>
  <r>
    <d v="2025-07-01T00:00:00"/>
    <d v="2025-07-09T00:00:00"/>
    <s v="الاربعاء "/>
    <s v="الشؤون الادارية "/>
    <s v="مصطفى محمود  "/>
    <s v="تغيير بطارية عداد المياه الديجتال "/>
    <s v="تم العمل"/>
    <d v="1899-12-30T11:30:00"/>
    <d v="1899-12-30T12:30:00"/>
    <n v="4.1666666666666685E-2"/>
    <s v="المطابع "/>
    <n v="1.0000000000000004"/>
    <m/>
    <m/>
    <x v="5"/>
    <n v="5"/>
    <m/>
    <m/>
    <m/>
    <m/>
    <m/>
    <m/>
    <m/>
    <m/>
    <m/>
    <m/>
  </r>
  <r>
    <d v="2025-07-01T00:00:00"/>
    <d v="2025-07-09T00:00:00"/>
    <s v="الاربعاء "/>
    <s v="شركة الهدى "/>
    <s v="ايمن محمد كامل "/>
    <s v="لحام تنكات الاحبار"/>
    <s v="تم العمل"/>
    <d v="1899-12-30T12:00:00"/>
    <d v="1899-12-30T17:00:00"/>
    <n v="0.20833333333333337"/>
    <s v="المخزن القديم "/>
    <n v="5.0000000000000009"/>
    <m/>
    <m/>
    <x v="9"/>
    <n v="5"/>
    <m/>
    <m/>
    <m/>
    <m/>
    <m/>
    <m/>
    <m/>
    <m/>
    <m/>
    <m/>
  </r>
  <r>
    <d v="2025-07-01T00:00:00"/>
    <d v="2025-07-09T00:00:00"/>
    <s v="الاربعاء "/>
    <s v="شركة وان كونكت"/>
    <s v="سيد عادل  "/>
    <s v="صيانة دورية"/>
    <s v="تم العمل"/>
    <d v="1899-12-30T12:00:00"/>
    <d v="1899-12-30T15:30:00"/>
    <n v="0.14583333333333337"/>
    <s v="البرج"/>
    <n v="3.5000000000000009"/>
    <m/>
    <m/>
    <x v="3"/>
    <n v="5"/>
    <m/>
    <m/>
    <m/>
    <m/>
    <m/>
    <m/>
    <m/>
    <m/>
    <m/>
    <m/>
  </r>
  <r>
    <d v="2025-07-01T00:00:00"/>
    <d v="2025-07-09T00:00:00"/>
    <s v="الاربعاء "/>
    <s v="الشؤون الادارية "/>
    <s v="مصطفى رشاد  "/>
    <s v="دهان سلم المبنى الادارى "/>
    <s v="تم العمل"/>
    <d v="1899-12-30T12:00:00"/>
    <d v="1899-12-30T16:00:00"/>
    <n v="0.16666666666666663"/>
    <s v="المطابع "/>
    <n v="3.9999999999999991"/>
    <m/>
    <m/>
    <x v="0"/>
    <n v="5"/>
    <m/>
    <m/>
    <m/>
    <m/>
    <m/>
    <m/>
    <m/>
    <m/>
    <m/>
    <m/>
  </r>
  <r>
    <d v="2025-07-01T00:00:00"/>
    <d v="2025-07-09T00:00:00"/>
    <s v="الاربعاء "/>
    <s v="شركة الهدى "/>
    <s v="اسلام مصطفى  "/>
    <s v="عمل صيانة  ماكينة CTB"/>
    <s v="تم العمل"/>
    <d v="1899-12-30T16:00:00"/>
    <d v="1899-12-30T17:00:00"/>
    <n v="4.1666666666666741E-2"/>
    <s v="المطابع "/>
    <n v="1.0000000000000018"/>
    <m/>
    <m/>
    <x v="10"/>
    <n v="5"/>
    <m/>
    <m/>
    <m/>
    <m/>
    <m/>
    <m/>
    <m/>
    <m/>
    <m/>
    <m/>
  </r>
  <r>
    <d v="2025-07-01T00:00:00"/>
    <d v="2025-07-09T00:00:00"/>
    <s v="الاربعاء "/>
    <s v="ادارة المخازن "/>
    <s v="على اشرف "/>
    <s v="معايرة الموازين "/>
    <s v="تم العمل"/>
    <d v="1899-12-30T16:00:00"/>
    <d v="1899-12-30T17:00:00"/>
    <n v="4.1666666666666741E-2"/>
    <s v="المخزن الجديد "/>
    <n v="1.0000000000000018"/>
    <m/>
    <m/>
    <x v="1"/>
    <n v="5"/>
    <m/>
    <m/>
    <m/>
    <m/>
    <m/>
    <m/>
    <m/>
    <m/>
    <m/>
    <m/>
  </r>
  <r>
    <d v="2025-07-01T00:00:00"/>
    <d v="2025-07-10T00:00:00"/>
    <s v="الخميس "/>
    <s v="شركة الدروى "/>
    <s v="محمود عويس"/>
    <s v="صيانة التكيفات "/>
    <s v="تم العمل"/>
    <d v="1899-12-30T10:00:00"/>
    <d v="1899-12-30T16:00:00"/>
    <n v="0.24999999999999994"/>
    <s v="المطابع "/>
    <n v="5.9999999999999982"/>
    <m/>
    <m/>
    <x v="5"/>
    <n v="5"/>
    <m/>
    <m/>
    <m/>
    <m/>
    <m/>
    <m/>
    <m/>
    <m/>
    <m/>
    <m/>
  </r>
  <r>
    <d v="2025-07-01T00:00:00"/>
    <d v="2025-07-10T00:00:00"/>
    <s v="الخميس "/>
    <s v="شركة سكوير "/>
    <s v="كريم محممود   "/>
    <s v="عزل حوائط "/>
    <s v="تم العمل"/>
    <d v="1899-12-30T05:00:00"/>
    <d v="1899-12-30T14:00:00"/>
    <n v="0.375"/>
    <s v="البرج"/>
    <n v="9"/>
    <m/>
    <m/>
    <x v="3"/>
    <n v="5"/>
    <m/>
    <m/>
    <m/>
    <m/>
    <m/>
    <m/>
    <m/>
    <m/>
    <m/>
    <m/>
  </r>
  <r>
    <d v="2025-07-01T00:00:00"/>
    <d v="2025-07-10T00:00:00"/>
    <s v="الخميس "/>
    <s v="الشؤون الادارية "/>
    <s v="عبد الله محمد "/>
    <s v="تغيير حبارات "/>
    <s v="تم العمل"/>
    <d v="1899-12-30T10:00:00"/>
    <d v="1899-12-30T10:30:00"/>
    <n v="2.0833333333333315E-2"/>
    <s v="المطابع "/>
    <n v="0.49999999999999956"/>
    <m/>
    <m/>
    <x v="14"/>
    <n v="5"/>
    <m/>
    <m/>
    <m/>
    <m/>
    <m/>
    <m/>
    <m/>
    <m/>
    <m/>
    <m/>
  </r>
  <r>
    <d v="2025-07-01T00:00:00"/>
    <d v="2025-07-10T00:00:00"/>
    <s v="الخميس "/>
    <s v="شركة الهدى "/>
    <s v="ايمن محمد كامل "/>
    <s v="لحام تنكات الاحبار"/>
    <s v="تم العمل"/>
    <d v="1899-12-30T12:00:00"/>
    <d v="1899-12-30T17:00:00"/>
    <n v="0.20833333333333337"/>
    <s v="المخزن القديم "/>
    <n v="5.0000000000000009"/>
    <m/>
    <m/>
    <x v="8"/>
    <n v="4"/>
    <s v="ناقص توقيعات "/>
    <m/>
    <m/>
    <m/>
    <m/>
    <m/>
    <m/>
    <m/>
    <m/>
    <m/>
  </r>
  <r>
    <d v="2025-07-01T00:00:00"/>
    <d v="2025-07-10T00:00:00"/>
    <s v="الخميس "/>
    <s v="الشؤون الادارية "/>
    <s v="محمود عويس"/>
    <s v="صيانة تكييف غرفة السيرفر "/>
    <s v="تم العمل"/>
    <d v="1899-12-30T15:30:00"/>
    <d v="1899-12-30T17:00:00"/>
    <n v="6.25E-2"/>
    <s v="المطابع "/>
    <n v="1.5"/>
    <m/>
    <m/>
    <x v="0"/>
    <n v="5"/>
    <m/>
    <m/>
    <m/>
    <m/>
    <m/>
    <m/>
    <m/>
    <m/>
    <m/>
    <m/>
  </r>
  <r>
    <d v="2025-07-01T00:00:00"/>
    <d v="2025-07-12T00:00:00"/>
    <s v="السبت "/>
    <s v="القطاع الهندسى "/>
    <s v="سيد على "/>
    <s v="صيانة كلارك "/>
    <s v="تم العمل"/>
    <d v="1899-12-30T12:00:00"/>
    <d v="1899-12-30T17:00:00"/>
    <n v="0.20833333333333337"/>
    <s v="المخزن الجديد "/>
    <n v="5.0000000000000009"/>
    <m/>
    <m/>
    <x v="1"/>
    <n v="4"/>
    <s v="ناقص توقيعات "/>
    <m/>
    <m/>
    <m/>
    <m/>
    <m/>
    <m/>
    <m/>
    <m/>
    <m/>
  </r>
  <r>
    <d v="2025-07-01T00:00:00"/>
    <d v="2025-07-12T00:00:00"/>
    <s v="السبت "/>
    <s v="شركة سكوير "/>
    <s v="كريم محممود   "/>
    <s v="عزل حوائط "/>
    <s v="تم العمل"/>
    <d v="1899-12-30T11:00:00"/>
    <d v="1899-12-30T19:00:00"/>
    <n v="0.33333333333333331"/>
    <s v="البرج"/>
    <n v="8"/>
    <m/>
    <m/>
    <x v="3"/>
    <n v="5"/>
    <m/>
    <m/>
    <m/>
    <m/>
    <m/>
    <m/>
    <m/>
    <m/>
    <m/>
    <m/>
  </r>
  <r>
    <d v="2025-07-01T00:00:00"/>
    <d v="2025-07-12T00:00:00"/>
    <s v="السبت "/>
    <s v="شركة الهدى "/>
    <s v="محسن عبد الباسط  "/>
    <s v="لحام تنكات الاحبار"/>
    <s v="تم العمل"/>
    <d v="1899-12-30T10:00:00"/>
    <d v="1899-12-30T17:00:00"/>
    <n v="0.29166666666666669"/>
    <s v="المخزن القديم "/>
    <n v="7"/>
    <m/>
    <m/>
    <x v="6"/>
    <n v="4"/>
    <s v="ناقص توقيعات "/>
    <m/>
    <m/>
    <m/>
    <m/>
    <m/>
    <m/>
    <m/>
    <m/>
    <m/>
  </r>
  <r>
    <d v="2025-07-01T00:00:00"/>
    <d v="2025-07-13T00:00:00"/>
    <s v="الاحد "/>
    <s v="شركة الهدى "/>
    <s v="اسلام مصطفى  "/>
    <s v="عمل صيانة  ماكينة CTB"/>
    <s v="تم العمل"/>
    <d v="1899-12-30T13:00:00"/>
    <d v="1899-12-30T17:00:00"/>
    <n v="0.16666666666666674"/>
    <s v="المطابع "/>
    <n v="4.0000000000000018"/>
    <m/>
    <m/>
    <x v="4"/>
    <n v="5"/>
    <m/>
    <m/>
    <m/>
    <m/>
    <m/>
    <m/>
    <m/>
    <m/>
    <m/>
    <m/>
  </r>
  <r>
    <d v="2025-07-01T00:00:00"/>
    <d v="2025-07-13T00:00:00"/>
    <s v="الاحد "/>
    <s v="شركة البكرى "/>
    <s v="احمد محمد   "/>
    <s v="صيانة "/>
    <s v="تم العمل"/>
    <d v="1899-12-30T13:15:00"/>
    <d v="1899-12-30T14:00:00"/>
    <n v="3.125E-2"/>
    <s v="البرج"/>
    <n v="0.75"/>
    <m/>
    <m/>
    <x v="3"/>
    <n v="5"/>
    <m/>
    <m/>
    <m/>
    <m/>
    <m/>
    <m/>
    <m/>
    <m/>
    <m/>
    <m/>
  </r>
  <r>
    <d v="2025-07-01T00:00:00"/>
    <d v="2025-07-13T00:00:00"/>
    <s v="الاحد "/>
    <s v="الشركة الالمانية "/>
    <s v="محمد احمد "/>
    <s v="الزيارة الشهرية لمكافحة القوارض والحشرات "/>
    <s v="تم العمل"/>
    <d v="1899-12-30T12:00:00"/>
    <d v="1899-12-30T17:00:00"/>
    <n v="0.20833333333333337"/>
    <s v="المطابع "/>
    <n v="5.0000000000000009"/>
    <m/>
    <m/>
    <x v="14"/>
    <n v="5"/>
    <m/>
    <m/>
    <m/>
    <m/>
    <m/>
    <m/>
    <m/>
    <m/>
    <m/>
    <m/>
  </r>
  <r>
    <d v="2025-07-01T00:00:00"/>
    <d v="2025-07-13T00:00:00"/>
    <s v="الاحد "/>
    <s v="الشركة الالمانية "/>
    <s v="محمد احمد "/>
    <s v="الزيارة الشهرية لمكافحة القوارض والحشرات "/>
    <s v="تم العمل"/>
    <d v="1899-12-30T13:00:00"/>
    <d v="1899-12-30T14:00:00"/>
    <n v="4.1666666666666741E-2"/>
    <s v="المخزن الجديد "/>
    <n v="1.0000000000000018"/>
    <m/>
    <m/>
    <x v="1"/>
    <n v="5"/>
    <m/>
    <m/>
    <m/>
    <m/>
    <m/>
    <m/>
    <m/>
    <m/>
    <m/>
    <m/>
  </r>
  <r>
    <d v="2025-07-01T00:00:00"/>
    <d v="2025-07-13T00:00:00"/>
    <s v="الاحد "/>
    <s v="الشؤون الادارية "/>
    <s v="محمود عويس"/>
    <s v="صيانة تكييف "/>
    <s v="تم العمل"/>
    <d v="1899-12-30T12:00:00"/>
    <d v="1899-12-30T14:00:00"/>
    <n v="8.333333333333337E-2"/>
    <s v="المخزن الجديد "/>
    <n v="2.0000000000000009"/>
    <m/>
    <m/>
    <x v="1"/>
    <n v="5"/>
    <m/>
    <m/>
    <m/>
    <m/>
    <m/>
    <m/>
    <m/>
    <m/>
    <m/>
    <m/>
  </r>
  <r>
    <d v="2025-07-01T00:00:00"/>
    <d v="2025-07-14T00:00:00"/>
    <s v="الاثنين "/>
    <s v="الشؤون الادارية "/>
    <s v="احمد سيد"/>
    <s v="صيانة أدوات ادارية "/>
    <s v="تم العمل"/>
    <d v="1899-12-30T13:00:00"/>
    <d v="1899-12-30T14:30:00"/>
    <n v="6.25E-2"/>
    <s v="الفجالة"/>
    <n v="1.5"/>
    <m/>
    <m/>
    <x v="11"/>
    <n v="5"/>
    <m/>
    <m/>
    <m/>
    <m/>
    <m/>
    <m/>
    <m/>
    <m/>
    <m/>
    <m/>
  </r>
  <r>
    <d v="2025-07-01T00:00:00"/>
    <d v="2025-07-14T00:00:00"/>
    <s v="الاثنين "/>
    <s v="شركة الفرج"/>
    <s v="فرج محمد "/>
    <s v="تركيب فراشة بالشوارع الخارجية "/>
    <s v="تم العمل"/>
    <d v="1899-12-30T10:30:00"/>
    <d v="1899-12-30T17:00:00"/>
    <n v="0.27083333333333337"/>
    <s v="المخزن القديم "/>
    <n v="6.5000000000000009"/>
    <m/>
    <m/>
    <x v="10"/>
    <n v="4"/>
    <s v="لم يتم غلق التصريح "/>
    <m/>
    <m/>
    <m/>
    <m/>
    <m/>
    <m/>
    <m/>
    <m/>
    <m/>
  </r>
  <r>
    <d v="2025-07-01T00:00:00"/>
    <d v="2025-07-14T00:00:00"/>
    <s v="الاثنين "/>
    <s v="الشؤون الادارية "/>
    <s v="محمد النقيب "/>
    <s v="اعمال الكهرباء "/>
    <s v="تم العمل"/>
    <d v="1899-12-30T10:30:00"/>
    <d v="1899-12-30T17:00:00"/>
    <n v="0.27083333333333337"/>
    <s v="المخزن القديم "/>
    <n v="6.5000000000000009"/>
    <m/>
    <m/>
    <x v="10"/>
    <n v="4"/>
    <s v="لم يتم غلق التصريح "/>
    <m/>
    <m/>
    <m/>
    <m/>
    <m/>
    <m/>
    <m/>
    <m/>
    <m/>
  </r>
  <r>
    <d v="2025-07-01T00:00:00"/>
    <d v="2025-07-15T00:00:00"/>
    <s v="الثلاثاء "/>
    <s v="الشركة المصرية "/>
    <s v="علاء احمد "/>
    <s v="صيانة "/>
    <s v="تم العمل"/>
    <d v="1899-12-30T09:00:00"/>
    <d v="1899-12-30T10:00:00"/>
    <n v="4.1666666666666685E-2"/>
    <s v="البرج"/>
    <n v="1.0000000000000004"/>
    <m/>
    <m/>
    <x v="3"/>
    <n v="5"/>
    <m/>
    <m/>
    <m/>
    <m/>
    <m/>
    <m/>
    <m/>
    <m/>
    <m/>
    <m/>
  </r>
  <r>
    <d v="2025-07-01T00:00:00"/>
    <d v="2025-07-15T00:00:00"/>
    <s v="الثلاثاء "/>
    <s v="شركة البكرى "/>
    <s v="احمد محمد   "/>
    <s v="صيانة "/>
    <s v="تم العمل"/>
    <d v="1899-12-30T13:15:00"/>
    <d v="1899-12-30T14:00:00"/>
    <n v="3.125E-2"/>
    <s v="البرج"/>
    <n v="0.75"/>
    <m/>
    <m/>
    <x v="3"/>
    <n v="5"/>
    <m/>
    <m/>
    <m/>
    <m/>
    <m/>
    <m/>
    <m/>
    <m/>
    <m/>
    <m/>
  </r>
  <r>
    <d v="2025-07-01T00:00:00"/>
    <d v="2025-07-15T00:00:00"/>
    <s v="الثلاثاء "/>
    <s v="شركة الفرج"/>
    <s v="فرج محمد "/>
    <s v="تركيب فراشة بالشوارع الخارجية "/>
    <s v="تم العمل"/>
    <d v="1899-12-30T11:00:00"/>
    <d v="1899-12-30T17:00:00"/>
    <n v="0.25000000000000006"/>
    <s v="المخزن القديم "/>
    <n v="6.0000000000000018"/>
    <m/>
    <m/>
    <x v="10"/>
    <n v="4"/>
    <s v="لم يتم غلق التصريح "/>
    <m/>
    <m/>
    <m/>
    <m/>
    <m/>
    <m/>
    <m/>
    <m/>
    <m/>
  </r>
  <r>
    <d v="2025-07-01T00:00:00"/>
    <d v="2025-07-16T00:00:00"/>
    <s v="الاربعاء "/>
    <s v="الشؤون الادارية "/>
    <s v="اسلام السيد "/>
    <s v="تغيير شمعات فلتر المياه"/>
    <s v="تم العمل"/>
    <d v="1899-12-30T12:00:00"/>
    <d v="1899-12-30T13:00:00"/>
    <n v="4.166666666666663E-2"/>
    <s v="المطابع "/>
    <n v="0.99999999999999911"/>
    <m/>
    <m/>
    <x v="6"/>
    <n v="5"/>
    <m/>
    <m/>
    <m/>
    <m/>
    <m/>
    <m/>
    <m/>
    <m/>
    <m/>
    <m/>
  </r>
  <r>
    <d v="2025-07-01T00:00:00"/>
    <d v="2025-07-16T00:00:00"/>
    <s v="الاربعاء "/>
    <s v="القطاع الهندسى "/>
    <s v="صابر ابراهيم  "/>
    <s v="اصلاح بوابة المخزن "/>
    <s v="تم العمل"/>
    <d v="1899-12-30T12:00:00"/>
    <d v="1899-12-30T17:00:00"/>
    <n v="0.20833333333333337"/>
    <s v="المخزن القديم "/>
    <n v="5.0000000000000009"/>
    <m/>
    <m/>
    <x v="9"/>
    <n v="5"/>
    <m/>
    <m/>
    <m/>
    <m/>
    <m/>
    <m/>
    <m/>
    <m/>
    <m/>
    <m/>
  </r>
  <r>
    <d v="2025-07-01T00:00:00"/>
    <d v="2025-07-16T00:00:00"/>
    <s v="الاربعاء "/>
    <s v="الشؤون الادارية "/>
    <s v="محمود عويس"/>
    <s v="صيانة تكييف مخزن قطع الغيار "/>
    <s v="تم العمل"/>
    <d v="1899-12-30T10:00:00"/>
    <d v="1899-12-30T17:00:00"/>
    <n v="0.29166666666666669"/>
    <s v="المطابع "/>
    <n v="7"/>
    <m/>
    <m/>
    <x v="4"/>
    <n v="5"/>
    <m/>
    <m/>
    <m/>
    <m/>
    <m/>
    <m/>
    <m/>
    <m/>
    <m/>
    <m/>
  </r>
  <r>
    <d v="2025-07-01T00:00:00"/>
    <d v="2025-07-16T00:00:00"/>
    <s v="الاربعاء "/>
    <s v="شركة الهدى "/>
    <s v="ايمن محمد كامل "/>
    <s v="لحام تنكات الاحبار"/>
    <s v="تم العمل"/>
    <d v="1899-12-30T12:00:00"/>
    <d v="1899-12-30T17:00:00"/>
    <n v="0.20833333333333337"/>
    <s v="المخزن القديم "/>
    <n v="5.0000000000000009"/>
    <m/>
    <m/>
    <x v="9"/>
    <n v="5"/>
    <m/>
    <m/>
    <m/>
    <m/>
    <m/>
    <m/>
    <m/>
    <m/>
    <m/>
    <m/>
  </r>
  <r>
    <d v="2025-07-01T00:00:00"/>
    <d v="2025-07-16T00:00:00"/>
    <s v="الاربعاء "/>
    <s v="شركة الفرج"/>
    <s v="فرج محمد "/>
    <s v="عمل  فراشة باالمخزن  "/>
    <s v="تم العمل"/>
    <d v="1899-12-30T11:00:00"/>
    <d v="1899-12-30T17:00:00"/>
    <n v="0.25000000000000006"/>
    <s v="المخزن القديم "/>
    <n v="6.0000000000000018"/>
    <m/>
    <m/>
    <x v="9"/>
    <n v="5"/>
    <m/>
    <m/>
    <m/>
    <m/>
    <m/>
    <m/>
    <m/>
    <m/>
    <m/>
    <m/>
  </r>
  <r>
    <d v="2025-07-01T00:00:00"/>
    <d v="2025-07-16T00:00:00"/>
    <s v="الاربعاء "/>
    <s v="الشؤون الادارية "/>
    <s v="اسلام السيد "/>
    <s v="تغيير شمعات فلتر المياه"/>
    <s v="تم العمل"/>
    <d v="1899-12-30T13:30:00"/>
    <d v="1899-12-30T14:00:00"/>
    <n v="2.083333333333337E-2"/>
    <s v="المخزن الجديد "/>
    <n v="0.50000000000000089"/>
    <m/>
    <m/>
    <x v="10"/>
    <n v="5"/>
    <m/>
    <m/>
    <m/>
    <m/>
    <m/>
    <m/>
    <m/>
    <m/>
    <m/>
    <m/>
  </r>
  <r>
    <d v="2025-07-01T00:00:00"/>
    <d v="2025-07-16T00:00:00"/>
    <s v="الاربعاء "/>
    <s v="الشؤون الادارية "/>
    <s v="محمود عويس"/>
    <s v="صيانة تكييفات الادارى "/>
    <s v="تم العمل"/>
    <d v="1899-12-30T11:00:00"/>
    <d v="1899-12-30T12:00:00"/>
    <n v="4.1666666666666685E-2"/>
    <s v="المخزن القديم "/>
    <n v="1.0000000000000004"/>
    <m/>
    <m/>
    <x v="9"/>
    <n v="5"/>
    <m/>
    <m/>
    <m/>
    <m/>
    <m/>
    <m/>
    <m/>
    <m/>
    <m/>
    <m/>
  </r>
  <r>
    <d v="2025-07-01T00:00:00"/>
    <d v="2025-07-16T00:00:00"/>
    <s v="الاربعاء "/>
    <s v="الشؤون الادارية "/>
    <s v="محمود عويس"/>
    <s v="صيانة تكييف "/>
    <s v="تم العمل"/>
    <d v="1899-12-30T10:00:00"/>
    <d v="1899-12-30T16:00:00"/>
    <n v="0.24999999999999994"/>
    <s v="المطابع "/>
    <n v="5.9999999999999982"/>
    <m/>
    <m/>
    <x v="4"/>
    <n v="5"/>
    <m/>
    <m/>
    <m/>
    <m/>
    <m/>
    <m/>
    <m/>
    <m/>
    <m/>
    <m/>
  </r>
  <r>
    <d v="2025-07-01T00:00:00"/>
    <d v="2025-07-17T00:00:00"/>
    <s v="الخميس "/>
    <s v="شركة أطلس "/>
    <s v="محمد عبد النبى  "/>
    <s v="عمل صيانة الكمبروسر  رقم 1 "/>
    <s v="تم العمل"/>
    <d v="1899-12-30T11:00:00"/>
    <d v="1899-12-30T11:30:00"/>
    <n v="2.083333333333337E-2"/>
    <s v="المطابع "/>
    <n v="0.50000000000000089"/>
    <m/>
    <m/>
    <x v="10"/>
    <n v="5"/>
    <m/>
    <m/>
    <m/>
    <m/>
    <m/>
    <m/>
    <m/>
    <m/>
    <m/>
    <m/>
  </r>
  <r>
    <d v="2025-07-01T00:00:00"/>
    <d v="2025-07-17T00:00:00"/>
    <s v="الخميس "/>
    <s v="الهندسية لضواغط الهواء "/>
    <s v="معروف محمد   "/>
    <s v="عمل صيانة الكمبروسر  "/>
    <s v="تم العمل"/>
    <d v="1899-12-30T12:15:00"/>
    <d v="1899-12-30T14:00:00"/>
    <n v="7.2916666666666741E-2"/>
    <s v="المطابع "/>
    <n v="1.7500000000000018"/>
    <m/>
    <m/>
    <x v="10"/>
    <n v="5"/>
    <m/>
    <m/>
    <m/>
    <m/>
    <m/>
    <m/>
    <m/>
    <m/>
    <m/>
    <m/>
  </r>
  <r>
    <d v="2025-07-01T00:00:00"/>
    <d v="2025-07-17T00:00:00"/>
    <s v="الخميس "/>
    <s v="الشركة الالمانية "/>
    <s v="محمد احمد "/>
    <s v="الزيارة الشهرية لمكافحة القوارض والحشرات "/>
    <s v="تم العمل"/>
    <d v="1899-12-30T15:30:00"/>
    <d v="1899-12-30T17:00:00"/>
    <n v="6.25E-2"/>
    <s v="المطابع "/>
    <n v="1.5"/>
    <m/>
    <m/>
    <x v="10"/>
    <n v="5"/>
    <m/>
    <m/>
    <m/>
    <m/>
    <m/>
    <m/>
    <m/>
    <m/>
    <m/>
    <m/>
  </r>
  <r>
    <d v="2025-07-01T00:00:00"/>
    <d v="2025-07-17T00:00:00"/>
    <s v="الخميس "/>
    <s v="شركة الفرج"/>
    <s v="فرج محمد "/>
    <s v="استكمال  فراشة باالمخزن  "/>
    <s v="تم العمل"/>
    <d v="1899-12-30T11:00:00"/>
    <d v="1899-12-30T17:00:00"/>
    <n v="0.25000000000000006"/>
    <s v="المخزن القديم "/>
    <n v="6.0000000000000018"/>
    <m/>
    <m/>
    <x v="9"/>
    <n v="5"/>
    <m/>
    <m/>
    <m/>
    <m/>
    <m/>
    <m/>
    <m/>
    <m/>
    <m/>
    <m/>
  </r>
  <r>
    <d v="2025-07-01T00:00:00"/>
    <d v="2025-07-17T00:00:00"/>
    <s v="الخميس "/>
    <s v="الشؤون الادارية "/>
    <s v="محمود عويس"/>
    <s v="عمل صيانة تكييف "/>
    <s v="تم العمل"/>
    <d v="1899-12-30T14:00:00"/>
    <d v="1899-12-30T16:00:00"/>
    <n v="8.3333333333333259E-2"/>
    <s v="المطابع "/>
    <n v="1.9999999999999982"/>
    <m/>
    <m/>
    <x v="10"/>
    <n v="5"/>
    <m/>
    <m/>
    <m/>
    <m/>
    <m/>
    <m/>
    <m/>
    <m/>
    <m/>
    <m/>
  </r>
  <r>
    <d v="2025-07-01T00:00:00"/>
    <d v="2025-07-17T00:00:00"/>
    <s v="الخميس "/>
    <s v="شركة الهدى "/>
    <s v="ايمن محمد كامل "/>
    <s v="لحام تسريب  الاحبار"/>
    <s v="تم العمل"/>
    <d v="1899-12-30T12:00:00"/>
    <d v="1899-12-30T17:00:00"/>
    <n v="0.20833333333333337"/>
    <s v="المخزن القديم "/>
    <n v="5.0000000000000009"/>
    <m/>
    <m/>
    <x v="9"/>
    <n v="5"/>
    <m/>
    <m/>
    <m/>
    <m/>
    <m/>
    <m/>
    <m/>
    <m/>
    <m/>
    <m/>
  </r>
  <r>
    <d v="2025-07-01T00:00:00"/>
    <d v="2025-07-19T00:00:00"/>
    <s v="السبت "/>
    <s v="شركة كايرو تريد "/>
    <s v="السيد ابراهيم  "/>
    <s v="صيانة دورية "/>
    <s v="تم العمل"/>
    <d v="1899-12-30T10:30:00"/>
    <d v="1899-12-30T14:00:00"/>
    <n v="0.14583333333333337"/>
    <s v="البرج"/>
    <n v="3.5000000000000009"/>
    <m/>
    <m/>
    <x v="3"/>
    <n v="5"/>
    <m/>
    <m/>
    <m/>
    <m/>
    <m/>
    <m/>
    <m/>
    <m/>
    <m/>
    <m/>
  </r>
  <r>
    <d v="2025-07-01T00:00:00"/>
    <d v="2025-07-19T00:00:00"/>
    <s v="السبت "/>
    <s v="شركة الفرج"/>
    <s v="فرج محمد "/>
    <s v="استكمال  فراشة باالمخزن  "/>
    <s v="تم العمل"/>
    <d v="1899-12-30T10:00:00"/>
    <d v="1899-12-30T17:00:00"/>
    <n v="0.29166666666666669"/>
    <s v="المخزن القديم "/>
    <n v="7"/>
    <m/>
    <m/>
    <x v="9"/>
    <n v="5"/>
    <m/>
    <m/>
    <m/>
    <m/>
    <m/>
    <m/>
    <m/>
    <m/>
    <m/>
    <m/>
  </r>
  <r>
    <d v="2025-07-01T00:00:00"/>
    <d v="2025-07-20T00:00:00"/>
    <s v="الاحد "/>
    <s v="شركة الفرج"/>
    <s v="فرج محمد "/>
    <s v="عمل  فراشة باالمخزن  "/>
    <s v="تم العمل"/>
    <d v="1899-12-30T10:00:00"/>
    <d v="1899-12-30T17:00:00"/>
    <n v="0.29166666666666669"/>
    <s v="المخزن القديم "/>
    <n v="7"/>
    <m/>
    <m/>
    <x v="9"/>
    <n v="5"/>
    <m/>
    <m/>
    <m/>
    <m/>
    <m/>
    <m/>
    <m/>
    <m/>
    <m/>
    <m/>
  </r>
  <r>
    <d v="2025-07-01T00:00:00"/>
    <d v="2025-07-20T00:00:00"/>
    <s v="الاحد "/>
    <s v="شركة الهدى "/>
    <s v="ايمن محمد كامل "/>
    <s v="عمل معالجة تسريب للاحبار "/>
    <s v="تم العمل"/>
    <d v="1899-12-30T12:30:00"/>
    <d v="1899-12-30T17:00:00"/>
    <n v="0.1875"/>
    <s v="المخزن القديم "/>
    <n v="4.5"/>
    <m/>
    <m/>
    <x v="8"/>
    <n v="4"/>
    <s v="لم يتم غلق التصريح "/>
    <m/>
    <m/>
    <m/>
    <m/>
    <m/>
    <m/>
    <m/>
    <m/>
    <m/>
  </r>
  <r>
    <d v="2025-07-01T00:00:00"/>
    <d v="2025-07-20T00:00:00"/>
    <s v="الاحد "/>
    <s v="الشؤون الادارية "/>
    <s v="علاء احمد "/>
    <s v="صيانةالتكييف فى المبنى الادارى "/>
    <s v="تم العمل"/>
    <d v="1899-12-30T14:00:00"/>
    <d v="1899-12-30T15:00:00"/>
    <n v="4.166666666666663E-2"/>
    <s v="الفجالة"/>
    <n v="0.99999999999999911"/>
    <m/>
    <m/>
    <x v="11"/>
    <n v="5"/>
    <m/>
    <m/>
    <m/>
    <m/>
    <m/>
    <m/>
    <m/>
    <m/>
    <m/>
    <m/>
  </r>
  <r>
    <d v="2025-07-01T00:00:00"/>
    <d v="2025-07-21T00:00:00"/>
    <s v="الاثنين "/>
    <s v="شركة الدسوقي"/>
    <s v="محمد دسوقى  "/>
    <s v="لحام وتقطيع  "/>
    <s v="تم العمل"/>
    <d v="1899-12-30T11:30:00"/>
    <d v="1899-12-30T17:00:00"/>
    <n v="0.22916666666666669"/>
    <s v="المطابع "/>
    <n v="5.5"/>
    <m/>
    <m/>
    <x v="5"/>
    <n v="5"/>
    <m/>
    <m/>
    <m/>
    <m/>
    <m/>
    <m/>
    <m/>
    <m/>
    <m/>
    <m/>
  </r>
  <r>
    <d v="2025-07-01T00:00:00"/>
    <d v="2025-07-21T00:00:00"/>
    <s v="الاثنين "/>
    <s v="الشركة الالمانية "/>
    <s v="محمد احمد   "/>
    <s v="الزيارة الشهرية للمكافحة  الافات والقوارض"/>
    <s v="تم العمل"/>
    <d v="1899-12-30T14:00:00"/>
    <d v="1899-12-30T16:00:00"/>
    <n v="8.3333333333333259E-2"/>
    <s v="المطابع "/>
    <n v="1.9999999999999982"/>
    <m/>
    <m/>
    <x v="8"/>
    <n v="5"/>
    <m/>
    <m/>
    <m/>
    <m/>
    <m/>
    <m/>
    <m/>
    <m/>
    <m/>
    <m/>
  </r>
  <r>
    <d v="2025-07-01T00:00:00"/>
    <d v="2025-07-21T00:00:00"/>
    <s v="الاثنين "/>
    <s v="الشؤون الادارية "/>
    <s v="محمد النقيب "/>
    <s v="صيانة فيشة الكهرباء "/>
    <s v="تم العمل"/>
    <d v="1899-12-30T10:00:00"/>
    <d v="1899-12-30T11:00:00"/>
    <n v="4.166666666666663E-2"/>
    <s v="المطابع "/>
    <n v="0.99999999999999911"/>
    <m/>
    <m/>
    <x v="1"/>
    <n v="5"/>
    <m/>
    <m/>
    <m/>
    <m/>
    <m/>
    <m/>
    <m/>
    <m/>
    <m/>
    <m/>
  </r>
  <r>
    <d v="2025-07-01T00:00:00"/>
    <d v="2025-07-21T00:00:00"/>
    <s v="الاثنين "/>
    <s v="الشؤون الادارية "/>
    <s v="محمود عويس"/>
    <s v="عمل صيانة تكييف "/>
    <s v="تم العمل"/>
    <d v="1899-12-30T13:00:00"/>
    <d v="1899-12-30T15:00:00"/>
    <n v="8.333333333333337E-2"/>
    <s v="المخزن الجديد "/>
    <n v="2.0000000000000009"/>
    <m/>
    <m/>
    <x v="1"/>
    <n v="5"/>
    <m/>
    <m/>
    <m/>
    <m/>
    <m/>
    <m/>
    <m/>
    <m/>
    <m/>
    <m/>
  </r>
  <r>
    <d v="2025-07-01T00:00:00"/>
    <d v="2025-07-21T00:00:00"/>
    <s v="الاثنين "/>
    <s v="شركة الفرج"/>
    <s v="فرج محمد "/>
    <s v="عمل  فراشة باالمخزن  "/>
    <s v="تم العمل"/>
    <d v="1899-12-30T10:00:00"/>
    <d v="1899-12-30T17:00:00"/>
    <n v="0.29166666666666669"/>
    <s v="المخزن القديم "/>
    <n v="7"/>
    <m/>
    <m/>
    <x v="9"/>
    <n v="4"/>
    <s v="بيانات خاطئة"/>
    <m/>
    <m/>
    <m/>
    <m/>
    <m/>
    <m/>
    <m/>
    <m/>
    <m/>
  </r>
  <r>
    <d v="2025-07-01T00:00:00"/>
    <d v="2025-07-21T00:00:00"/>
    <s v="الاثنين "/>
    <s v="شركة الهدى "/>
    <s v="ايمن محمد كامل "/>
    <s v="لحام تسريب  الاحبار"/>
    <s v="تم العمل"/>
    <d v="1899-12-30T12:00:00"/>
    <d v="1899-12-30T17:00:00"/>
    <n v="0.20833333333333337"/>
    <s v="المخزن القديم "/>
    <n v="5.0000000000000009"/>
    <m/>
    <m/>
    <x v="9"/>
    <n v="4"/>
    <s v="بيانات خاطئة"/>
    <m/>
    <m/>
    <m/>
    <m/>
    <m/>
    <m/>
    <m/>
    <m/>
    <m/>
  </r>
  <r>
    <d v="2025-07-01T00:00:00"/>
    <d v="2025-07-21T00:00:00"/>
    <s v="الاثنين "/>
    <s v="الشؤون الادارية "/>
    <s v="محمود عويس"/>
    <s v="عمل صيانة تكييف "/>
    <s v="تم العمل"/>
    <d v="1899-12-30T12:00:00"/>
    <d v="1899-12-30T17:00:00"/>
    <n v="0.20833333333333337"/>
    <s v="المخزن القديم "/>
    <n v="5.0000000000000009"/>
    <m/>
    <m/>
    <x v="9"/>
    <n v="4"/>
    <s v="بيانات خاطئة"/>
    <m/>
    <m/>
    <m/>
    <m/>
    <m/>
    <m/>
    <m/>
    <m/>
    <m/>
  </r>
  <r>
    <d v="2025-07-01T00:00:00"/>
    <d v="2025-07-21T00:00:00"/>
    <s v="الاثنين "/>
    <s v="الشؤون الادارية "/>
    <s v="محمود عويس"/>
    <s v="عمل صيانة تكييف "/>
    <s v="تم العمل"/>
    <d v="1899-12-30T12:00:00"/>
    <d v="1899-12-30T14:00:00"/>
    <n v="8.333333333333337E-2"/>
    <s v="المخزن الجديد "/>
    <n v="2.0000000000000009"/>
    <m/>
    <m/>
    <x v="1"/>
    <n v="5"/>
    <m/>
    <m/>
    <m/>
    <m/>
    <m/>
    <m/>
    <m/>
    <m/>
    <m/>
    <m/>
  </r>
  <r>
    <d v="2025-07-01T00:00:00"/>
    <d v="2025-07-22T00:00:00"/>
    <s v="الثلاثاء "/>
    <s v="الشؤون الادارية "/>
    <s v="مجدى كرم "/>
    <s v="صيانة أعمال سباكة  "/>
    <s v="تم العمل"/>
    <d v="1899-12-30T17:00:00"/>
    <d v="1899-12-30T18:00:00"/>
    <n v="4.166666666666663E-2"/>
    <s v="الفجالة"/>
    <n v="0.99999999999999911"/>
    <m/>
    <m/>
    <x v="11"/>
    <n v="5"/>
    <m/>
    <m/>
    <m/>
    <m/>
    <m/>
    <m/>
    <m/>
    <m/>
    <m/>
    <m/>
  </r>
  <r>
    <d v="2025-07-01T00:00:00"/>
    <d v="2025-07-22T00:00:00"/>
    <s v="الثلاثاء "/>
    <s v="القطاع الهندسى "/>
    <s v="ابراهيم  عبد الحليم   "/>
    <s v="صيانة كلارك "/>
    <s v="تم العمل"/>
    <d v="1899-12-30T12:00:00"/>
    <d v="1899-12-30T13:00:00"/>
    <n v="4.166666666666663E-2"/>
    <s v="المخزن الجديد "/>
    <n v="0.99999999999999911"/>
    <m/>
    <m/>
    <x v="1"/>
    <n v="5"/>
    <m/>
    <m/>
    <m/>
    <m/>
    <m/>
    <m/>
    <m/>
    <m/>
    <m/>
    <m/>
  </r>
  <r>
    <d v="2025-07-01T00:00:00"/>
    <d v="2025-07-22T00:00:00"/>
    <s v="الثلاثاء "/>
    <s v="الشؤون الادارية "/>
    <s v="محمود عويس"/>
    <s v="عمل صيانة تكييف "/>
    <s v="تم العمل"/>
    <d v="1899-12-30T13:00:00"/>
    <d v="1899-12-30T14:00:00"/>
    <n v="4.1666666666666741E-2"/>
    <s v="المخزن الجديد "/>
    <n v="1.0000000000000018"/>
    <m/>
    <m/>
    <x v="1"/>
    <n v="5"/>
    <m/>
    <m/>
    <m/>
    <m/>
    <m/>
    <m/>
    <m/>
    <m/>
    <m/>
    <m/>
  </r>
  <r>
    <d v="2025-07-01T00:00:00"/>
    <d v="2025-07-22T00:00:00"/>
    <s v="الثلاثاء "/>
    <s v="ادارة المتابعة والمراقبة "/>
    <s v="احمد بدوى "/>
    <s v="المرور على الكاميرات "/>
    <s v="تم العمل"/>
    <d v="1899-12-30T12:00:00"/>
    <d v="1899-12-30T16:00:00"/>
    <n v="0.16666666666666663"/>
    <s v="المخزن الجديد "/>
    <n v="3.9999999999999991"/>
    <m/>
    <m/>
    <x v="1"/>
    <n v="4"/>
    <s v="بيانات خاطئة"/>
    <m/>
    <m/>
    <m/>
    <m/>
    <m/>
    <m/>
    <m/>
    <m/>
    <m/>
  </r>
  <r>
    <d v="2025-07-01T00:00:00"/>
    <d v="2025-07-22T00:00:00"/>
    <s v="الثلاثاء "/>
    <s v="الشؤون الادارية "/>
    <s v="محمود الدروي"/>
    <s v="صيانةالتكييف فى استراحه المهندسين"/>
    <s v="تم العمل"/>
    <d v="1899-12-30T11:30:00"/>
    <d v="1899-12-30T14:00:00"/>
    <n v="0.10416666666666669"/>
    <s v="المطابع "/>
    <n v="2.5000000000000004"/>
    <m/>
    <m/>
    <x v="0"/>
    <n v="4"/>
    <s v="بيانات خاطئة"/>
    <m/>
    <m/>
    <m/>
    <m/>
    <m/>
    <m/>
    <m/>
    <m/>
    <m/>
  </r>
  <r>
    <d v="2025-07-01T00:00:00"/>
    <d v="2025-07-23T00:00:00"/>
    <s v="الثلاثاء "/>
    <s v="شركة الدسوقي"/>
    <s v="محمد الدسوقى "/>
    <s v="لحام وتجميع وصلات اللتشلر "/>
    <s v="تم العمل"/>
    <d v="1899-12-30T11:00:00"/>
    <d v="1899-12-30T17:30:00"/>
    <n v="0.27083333333333331"/>
    <s v="المطابع "/>
    <n v="6.5"/>
    <m/>
    <m/>
    <x v="5"/>
    <n v="5"/>
    <m/>
    <m/>
    <m/>
    <m/>
    <m/>
    <m/>
    <m/>
    <m/>
    <m/>
    <m/>
  </r>
  <r>
    <d v="2025-07-01T00:00:00"/>
    <d v="2025-07-23T00:00:00"/>
    <s v="الاربعاء "/>
    <s v="شركة الهدى "/>
    <s v="ايمن محمد كامل "/>
    <s v="لحام تسريب  الاحبار"/>
    <s v="تم العمل"/>
    <d v="1899-12-30T14:00:00"/>
    <d v="1899-12-30T17:00:00"/>
    <n v="0.125"/>
    <s v="المخزن القديم "/>
    <n v="3"/>
    <m/>
    <m/>
    <x v="9"/>
    <n v="5"/>
    <m/>
    <m/>
    <m/>
    <m/>
    <m/>
    <m/>
    <m/>
    <m/>
    <m/>
    <m/>
  </r>
  <r>
    <d v="2025-07-01T00:00:00"/>
    <d v="2025-07-23T00:00:00"/>
    <s v="الاربعاء "/>
    <s v="شركة الدسوقي"/>
    <s v="محمد الدسوقى "/>
    <s v="لحام وتجميع وصلات اللتشلر "/>
    <s v="تم العمل"/>
    <d v="1899-12-30T10:30:00"/>
    <d v="1899-12-30T17:30:00"/>
    <n v="0.29166666666666663"/>
    <s v="المطابع "/>
    <n v="6.9999999999999991"/>
    <m/>
    <m/>
    <x v="5"/>
    <n v="5"/>
    <m/>
    <m/>
    <m/>
    <m/>
    <m/>
    <m/>
    <m/>
    <m/>
    <m/>
    <m/>
  </r>
  <r>
    <d v="2025-07-01T00:00:00"/>
    <d v="2025-07-22T00:00:00"/>
    <s v="الثلاثاء "/>
    <s v="الشؤون الادارية "/>
    <s v="مجدى كرم "/>
    <s v="صيانة أعمال سباكة  "/>
    <s v="تم العمل"/>
    <d v="1899-12-30T17:00:00"/>
    <d v="1899-12-30T18:00:00"/>
    <n v="4.166666666666663E-2"/>
    <s v="الفجالة"/>
    <n v="0.99999999999999911"/>
    <m/>
    <m/>
    <x v="11"/>
    <n v="5"/>
    <m/>
    <m/>
    <m/>
    <m/>
    <m/>
    <m/>
    <m/>
    <m/>
    <m/>
    <m/>
  </r>
  <r>
    <d v="2025-07-01T00:00:00"/>
    <d v="2025-07-23T00:00:00"/>
    <s v="الاربعاء "/>
    <s v="الشركة الالمانية "/>
    <s v="محمود ماهر  "/>
    <s v="الزيارة الشهرية لمكافحة القوارض والحشرات "/>
    <s v="تم العمل"/>
    <d v="1899-12-30T11:00:00"/>
    <d v="1899-12-30T12:00:00"/>
    <n v="4.1666666666666685E-2"/>
    <s v="الفجالة"/>
    <n v="1.0000000000000004"/>
    <m/>
    <m/>
    <x v="11"/>
    <n v="5"/>
    <m/>
    <m/>
    <m/>
    <m/>
    <m/>
    <m/>
    <m/>
    <m/>
    <m/>
    <m/>
  </r>
  <r>
    <d v="2025-07-01T00:00:00"/>
    <d v="2025-07-23T00:00:00"/>
    <s v="الاربعاء "/>
    <s v="القطاع الهندسى "/>
    <s v="ابراهيم فتح الله"/>
    <s v="صيانةكلاركات "/>
    <s v="تم العمل"/>
    <d v="1899-12-30T11:00:00"/>
    <d v="1899-12-30T15:00:00"/>
    <n v="0.16666666666666669"/>
    <s v="المخزن الجديد "/>
    <n v="4"/>
    <m/>
    <m/>
    <x v="1"/>
    <n v="4"/>
    <s v="ناقص توقيعات "/>
    <m/>
    <m/>
    <m/>
    <m/>
    <m/>
    <m/>
    <m/>
    <m/>
    <m/>
  </r>
  <r>
    <d v="2025-07-01T00:00:00"/>
    <d v="2025-07-23T00:00:00"/>
    <s v="الاربعاء "/>
    <s v="الشؤون الادارية "/>
    <s v="محمود الدروي"/>
    <s v="صيانةالتكيفات "/>
    <s v="تم العمل"/>
    <d v="1899-12-30T12:00:00"/>
    <d v="1899-12-30T15:00:00"/>
    <n v="0.125"/>
    <s v="المخزن الجديد "/>
    <n v="3"/>
    <m/>
    <m/>
    <x v="1"/>
    <n v="5"/>
    <m/>
    <m/>
    <m/>
    <m/>
    <m/>
    <m/>
    <m/>
    <m/>
    <m/>
    <m/>
  </r>
  <r>
    <d v="2025-07-01T00:00:00"/>
    <d v="2025-07-23T00:00:00"/>
    <s v="الاربعاء "/>
    <s v="شركة شلاندر "/>
    <s v="محمد عادل  "/>
    <s v="المرور الشهرية على الاسناسير "/>
    <s v="تم العمل"/>
    <d v="1899-12-30T15:00:00"/>
    <d v="1899-12-30T16:00:00"/>
    <n v="4.166666666666663E-2"/>
    <s v="المخزن الجديد "/>
    <n v="0.99999999999999911"/>
    <m/>
    <m/>
    <x v="1"/>
    <n v="5"/>
    <m/>
    <m/>
    <m/>
    <m/>
    <m/>
    <m/>
    <m/>
    <m/>
    <m/>
    <m/>
  </r>
  <r>
    <d v="2025-07-01T00:00:00"/>
    <d v="2025-07-24T00:00:00"/>
    <s v="الخميس "/>
    <s v="شركة الدسوقي"/>
    <s v="محمد الدسوقى "/>
    <s v="تركيب شيلر قسم ويب 3"/>
    <s v="تم العمل"/>
    <d v="1899-12-30T10:30:00"/>
    <d v="1899-12-30T17:30:00"/>
    <n v="0.29166666666666663"/>
    <s v="المطابع "/>
    <n v="6.9999999999999991"/>
    <m/>
    <m/>
    <x v="6"/>
    <n v="5"/>
    <m/>
    <m/>
    <m/>
    <m/>
    <m/>
    <m/>
    <m/>
    <m/>
    <m/>
    <m/>
  </r>
  <r>
    <d v="2025-07-01T00:00:00"/>
    <d v="2025-07-27T00:00:00"/>
    <s v="الاحد "/>
    <s v="الشؤون الادارية "/>
    <s v="محمود عويس"/>
    <s v="عمل صيانة تكييف "/>
    <s v="تم العمل"/>
    <d v="1899-12-30T10:00:00"/>
    <d v="1899-12-30T14:00:00"/>
    <n v="0.16666666666666669"/>
    <s v="المخزن الجديد "/>
    <n v="4"/>
    <m/>
    <m/>
    <x v="1"/>
    <n v="5"/>
    <m/>
    <m/>
    <m/>
    <m/>
    <m/>
    <m/>
    <m/>
    <m/>
    <m/>
    <m/>
  </r>
  <r>
    <d v="2025-07-01T00:00:00"/>
    <d v="2025-07-27T00:00:00"/>
    <s v="الاحد "/>
    <s v="الشؤون الادارية "/>
    <s v="احمد سعيد "/>
    <s v="اعمال سباكة "/>
    <s v="تم العمل"/>
    <d v="1899-12-30T11:00:00"/>
    <d v="1899-12-30T14:00:00"/>
    <n v="0.12500000000000006"/>
    <s v="المخزن الجديد "/>
    <n v="3.0000000000000013"/>
    <m/>
    <m/>
    <x v="1"/>
    <n v="5"/>
    <m/>
    <m/>
    <m/>
    <m/>
    <m/>
    <m/>
    <m/>
    <m/>
    <m/>
    <m/>
  </r>
  <r>
    <d v="2025-07-01T00:00:00"/>
    <d v="2025-07-27T00:00:00"/>
    <s v="الاحد "/>
    <s v="شركة الدسوقي"/>
    <s v="محمد الدسوقى "/>
    <s v="تركيب شيلر قسم ويب 3"/>
    <s v="تم العمل"/>
    <d v="1899-12-30T10:30:00"/>
    <d v="1899-12-30T16:30:00"/>
    <n v="0.25"/>
    <s v="المطابع "/>
    <n v="6"/>
    <m/>
    <m/>
    <x v="5"/>
    <n v="5"/>
    <m/>
    <m/>
    <m/>
    <m/>
    <m/>
    <m/>
    <m/>
    <m/>
    <m/>
    <m/>
  </r>
  <r>
    <d v="2025-07-01T00:00:00"/>
    <d v="2025-07-28T00:00:00"/>
    <s v="الاثنين "/>
    <s v="الشركة الالمانية "/>
    <s v="كامل جمعة  "/>
    <s v="الزيارة الشهرية لمكافحة القوارض والحشرات "/>
    <s v="تم العمل"/>
    <d v="1899-12-30T12:00:00"/>
    <d v="1899-12-30T14:00:00"/>
    <n v="8.333333333333337E-2"/>
    <s v="المطابع "/>
    <n v="2.0000000000000009"/>
    <m/>
    <m/>
    <x v="2"/>
    <n v="5"/>
    <m/>
    <m/>
    <m/>
    <m/>
    <m/>
    <m/>
    <m/>
    <m/>
    <m/>
    <m/>
  </r>
  <r>
    <d v="2025-07-01T00:00:00"/>
    <d v="2025-07-28T00:00:00"/>
    <s v="الاثنين "/>
    <s v="شركة الدسوقي"/>
    <s v="محمد الدسوقى "/>
    <s v="لحام وتجميع وصلات اللتشلر "/>
    <s v="تم العمل"/>
    <d v="1899-12-30T10:30:00"/>
    <d v="1899-12-30T17:00:00"/>
    <n v="0.27083333333333337"/>
    <s v="المطابع "/>
    <n v="6.5000000000000009"/>
    <m/>
    <m/>
    <x v="5"/>
    <n v="5"/>
    <m/>
    <m/>
    <m/>
    <m/>
    <m/>
    <m/>
    <m/>
    <m/>
    <m/>
    <m/>
  </r>
  <r>
    <d v="2025-07-01T00:00:00"/>
    <d v="2025-07-28T00:00:00"/>
    <s v="الاثنين "/>
    <s v="شركة الهدى "/>
    <s v="ايمن محمد كامل "/>
    <s v="لحام تسريب  الاحبار"/>
    <s v="تم العمل"/>
    <d v="1899-12-30T14:00:00"/>
    <d v="1899-12-30T17:00:00"/>
    <n v="0.125"/>
    <s v="المخزن القديم "/>
    <n v="3"/>
    <m/>
    <m/>
    <x v="9"/>
    <n v="5"/>
    <m/>
    <m/>
    <m/>
    <m/>
    <m/>
    <m/>
    <m/>
    <m/>
    <m/>
    <m/>
  </r>
  <r>
    <d v="2025-07-01T00:00:00"/>
    <d v="2025-07-28T00:00:00"/>
    <s v="الاثنين "/>
    <s v="الشركة الالمانية "/>
    <s v="ايمن كامل   "/>
    <s v="الزيارة الشهرية لمكافحة القوارض والحشرات "/>
    <s v="تم العمل"/>
    <d v="1899-12-30T14:00:00"/>
    <d v="1899-12-30T17:00:00"/>
    <n v="0.125"/>
    <s v="المخزن القديم "/>
    <n v="3"/>
    <m/>
    <m/>
    <x v="9"/>
    <n v="5"/>
    <m/>
    <m/>
    <m/>
    <m/>
    <m/>
    <m/>
    <m/>
    <m/>
    <m/>
    <m/>
  </r>
  <r>
    <d v="2025-07-01T00:00:00"/>
    <d v="2025-07-28T00:00:00"/>
    <s v="الاثنين "/>
    <s v="الشؤون الادارية "/>
    <s v="محمود عويس"/>
    <s v="عمل صيانة تكييف "/>
    <s v="تم العمل"/>
    <d v="1899-12-30T10:30:00"/>
    <d v="1899-12-30T14:00:00"/>
    <n v="0.14583333333333337"/>
    <s v="المطابع "/>
    <n v="3.5000000000000009"/>
    <m/>
    <m/>
    <x v="2"/>
    <n v="4"/>
    <s v="لم يتم غلق التصريح "/>
    <m/>
    <m/>
    <m/>
    <m/>
    <m/>
    <m/>
    <m/>
    <m/>
    <m/>
  </r>
  <r>
    <d v="2025-07-01T00:00:00"/>
    <d v="2025-07-28T00:00:00"/>
    <s v="الاثنين "/>
    <s v="الشؤون الادارية "/>
    <s v="محمود عويس"/>
    <s v="عمل صيانة تكييف "/>
    <s v="تم العمل"/>
    <d v="1899-12-30T10:30:00"/>
    <d v="1899-12-30T14:00:00"/>
    <n v="0.14583333333333337"/>
    <s v="المخزن الجديد "/>
    <n v="3.5000000000000009"/>
    <m/>
    <m/>
    <x v="1"/>
    <n v="4"/>
    <s v="لم يتم غلق التصريح "/>
    <m/>
    <m/>
    <m/>
    <m/>
    <m/>
    <m/>
    <m/>
    <m/>
    <m/>
  </r>
  <r>
    <d v="2025-07-01T00:00:00"/>
    <d v="2025-07-29T00:00:00"/>
    <s v="الثلاثاء "/>
    <s v="الشؤون الادارية "/>
    <s v="محمود عويس"/>
    <s v="عمل صيانة تكييف "/>
    <s v="تم العمل"/>
    <d v="1899-12-30T16:00:00"/>
    <d v="1899-12-30T17:00:00"/>
    <n v="4.1666666666666741E-2"/>
    <s v="المطابع "/>
    <n v="1.0000000000000018"/>
    <m/>
    <m/>
    <x v="10"/>
    <n v="5"/>
    <m/>
    <m/>
    <m/>
    <m/>
    <m/>
    <m/>
    <m/>
    <m/>
    <m/>
    <m/>
  </r>
  <r>
    <d v="2025-07-01T00:00:00"/>
    <d v="2025-07-29T00:00:00"/>
    <s v="الثلاثاء "/>
    <s v="الشؤون الادارية "/>
    <s v="أحمد حسين  "/>
    <s v="الزيارة الشهرية لصيانة الاسانسير "/>
    <s v="تم العمل"/>
    <d v="1899-12-30T15:00:00"/>
    <d v="1899-12-30T16:00:00"/>
    <n v="4.166666666666663E-2"/>
    <s v="الفجالة"/>
    <n v="0.99999999999999911"/>
    <m/>
    <m/>
    <x v="11"/>
    <n v="5"/>
    <m/>
    <m/>
    <m/>
    <m/>
    <m/>
    <m/>
    <m/>
    <m/>
    <m/>
    <m/>
  </r>
  <r>
    <d v="2025-07-01T00:00:00"/>
    <d v="2025-07-30T00:00:00"/>
    <s v="الاربعاء "/>
    <s v="القطاع الهندسى "/>
    <s v="صابر ابراهيم "/>
    <s v="اعمال لحام فى  سندرة بسح عنبر ويب 3 "/>
    <s v="تم العمل"/>
    <d v="1899-12-30T11:00:00"/>
    <d v="1899-12-30T17:30:00"/>
    <n v="0.27083333333333331"/>
    <s v="المطابع "/>
    <n v="6.5"/>
    <m/>
    <m/>
    <x v="5"/>
    <n v="5"/>
    <m/>
    <m/>
    <m/>
    <m/>
    <m/>
    <m/>
    <m/>
    <m/>
    <m/>
    <m/>
  </r>
  <r>
    <d v="2025-07-01T00:00:00"/>
    <d v="2025-07-30T00:00:00"/>
    <s v="الاربعاء "/>
    <s v="الشؤون الادارية "/>
    <s v="محمد النقيب "/>
    <s v="تركيب كشاف بالكفتريا "/>
    <s v="تم العمل"/>
    <d v="1899-12-30T10:00:00"/>
    <d v="1899-12-30T11:00:00"/>
    <n v="4.166666666666663E-2"/>
    <s v="المطابع "/>
    <n v="0.99999999999999911"/>
    <m/>
    <m/>
    <x v="2"/>
    <n v="5"/>
    <m/>
    <m/>
    <m/>
    <m/>
    <m/>
    <m/>
    <m/>
    <m/>
    <m/>
    <m/>
  </r>
  <r>
    <d v="2025-08-01T00:00:00"/>
    <d v="2025-08-01T00:00:00"/>
    <s v="الجمعة "/>
    <s v="ادارة المخازن "/>
    <s v="ابو المجد  "/>
    <s v="اعمال صيانة لعربيات  الهيدورليك "/>
    <s v="تم العمل"/>
    <d v="1899-12-30T14:30:00"/>
    <d v="1899-12-30T15:00:00"/>
    <n v="2.0833333333333402E-2"/>
    <s v="الفجالة"/>
    <n v="0.50000000000000089"/>
    <m/>
    <m/>
    <x v="11"/>
    <n v="3"/>
    <s v="بيانات خاطئة"/>
    <m/>
    <m/>
    <m/>
    <m/>
    <m/>
    <m/>
    <m/>
    <m/>
    <m/>
  </r>
  <r>
    <d v="2025-08-01T00:00:00"/>
    <d v="2025-08-02T00:00:00"/>
    <s v="السبت "/>
    <s v="الشؤون الادارية "/>
    <s v="محمد ابراهيم "/>
    <s v="اعمال محارة "/>
    <s v="تم العمل"/>
    <d v="1899-12-30T10:00:00"/>
    <d v="1899-12-30T16:00:00"/>
    <n v="0.24999999999999994"/>
    <s v="المخزن القديم "/>
    <n v="5.9999999999999982"/>
    <m/>
    <m/>
    <x v="1"/>
    <n v="5"/>
    <m/>
    <m/>
    <m/>
    <m/>
    <m/>
    <m/>
    <m/>
    <m/>
    <m/>
    <m/>
  </r>
  <r>
    <d v="2025-08-01T00:00:00"/>
    <d v="2025-08-02T00:00:00"/>
    <s v="السبت "/>
    <s v="الشركة المصرية "/>
    <s v="محمود مرعى "/>
    <s v="اعمال لحام  شبكة الاطفاء "/>
    <s v="تم العمل"/>
    <d v="1899-12-30T11:00:00"/>
    <d v="1899-12-30T15:00:00"/>
    <n v="0.16666666666666669"/>
    <s v="البرج"/>
    <n v="4"/>
    <m/>
    <m/>
    <x v="3"/>
    <n v="5"/>
    <m/>
    <m/>
    <m/>
    <m/>
    <m/>
    <m/>
    <m/>
    <m/>
    <m/>
    <m/>
  </r>
  <r>
    <d v="2025-08-01T00:00:00"/>
    <d v="2025-08-02T00:00:00"/>
    <s v="السبت "/>
    <s v="أوفيس مكس"/>
    <s v="على فريد عبد الله "/>
    <s v="تركيبات "/>
    <s v="تم العمل"/>
    <d v="1899-12-30T15:00:00"/>
    <d v="1899-12-30T23:00:00"/>
    <n v="0.33333333333333337"/>
    <s v="البرج"/>
    <n v="8"/>
    <m/>
    <m/>
    <x v="3"/>
    <n v="5"/>
    <m/>
    <m/>
    <m/>
    <m/>
    <m/>
    <m/>
    <m/>
    <m/>
    <m/>
    <m/>
  </r>
  <r>
    <d v="2025-08-01T00:00:00"/>
    <d v="2025-08-02T00:00:00"/>
    <s v="السبت "/>
    <s v="شركة كايرو تريد "/>
    <s v="السيد ابراهيم  "/>
    <s v="صيانة دورية "/>
    <s v="تم العمل"/>
    <d v="1899-12-30T11:00:00"/>
    <d v="1899-12-30T14:00:00"/>
    <n v="0.12500000000000006"/>
    <s v="البرج"/>
    <n v="3.0000000000000013"/>
    <m/>
    <m/>
    <x v="3"/>
    <n v="5"/>
    <m/>
    <m/>
    <m/>
    <m/>
    <m/>
    <m/>
    <m/>
    <m/>
    <m/>
    <m/>
  </r>
  <r>
    <d v="2025-08-01T00:00:00"/>
    <d v="2025-08-02T00:00:00"/>
    <s v="السبت "/>
    <s v="الشؤون الادارية "/>
    <s v="جمعة محمد "/>
    <s v="صيانة كلارك "/>
    <s v="تم العمل"/>
    <d v="1899-12-30T10:00:00"/>
    <d v="1899-12-30T11:00:00"/>
    <n v="4.166666666666663E-2"/>
    <s v="المخزن القديم "/>
    <n v="0.99999999999999911"/>
    <m/>
    <m/>
    <x v="1"/>
    <n v="5"/>
    <m/>
    <m/>
    <m/>
    <m/>
    <m/>
    <m/>
    <m/>
    <m/>
    <m/>
    <m/>
  </r>
  <r>
    <d v="2025-08-01T00:00:00"/>
    <d v="2025-08-03T00:00:00"/>
    <s v="الاحد "/>
    <s v="الشؤون الادارية "/>
    <s v="محمود عويس"/>
    <s v="عمل صيانة تكييف استراحة المهندسين الخزينة "/>
    <s v="تم العمل"/>
    <d v="1899-12-30T13:00:00"/>
    <d v="1899-12-30T17:00:00"/>
    <n v="0.16666666666666674"/>
    <s v="المطابع "/>
    <n v="4.0000000000000018"/>
    <m/>
    <m/>
    <x v="0"/>
    <n v="5"/>
    <m/>
    <m/>
    <m/>
    <m/>
    <m/>
    <m/>
    <m/>
    <m/>
    <m/>
    <m/>
  </r>
  <r>
    <d v="2025-08-01T00:00:00"/>
    <d v="2025-08-03T00:00:00"/>
    <s v="الاحد "/>
    <s v="شركة الهدى "/>
    <s v="ايمن محمد كامل "/>
    <s v="عمل لحام  تسريب للاحبار "/>
    <s v="تم العمل"/>
    <d v="1899-12-30T14:00:00"/>
    <d v="1899-12-30T17:00:00"/>
    <n v="0.125"/>
    <s v="المخزن القديم "/>
    <n v="3"/>
    <m/>
    <m/>
    <x v="9"/>
    <n v="5"/>
    <m/>
    <m/>
    <m/>
    <m/>
    <m/>
    <m/>
    <m/>
    <m/>
    <m/>
    <m/>
  </r>
  <r>
    <d v="2025-08-01T00:00:00"/>
    <d v="2025-08-03T00:00:00"/>
    <s v="الاحد "/>
    <s v="شركة الدسوقي"/>
    <s v="محمد الدسوقى "/>
    <s v="اعمال تركيب الشلر"/>
    <s v="تم العمل"/>
    <d v="1899-12-30T12:30:00"/>
    <d v="1899-12-30T17:00:00"/>
    <n v="0.1875"/>
    <s v="المطابع "/>
    <n v="4.5"/>
    <m/>
    <m/>
    <x v="0"/>
    <n v="5"/>
    <m/>
    <m/>
    <m/>
    <m/>
    <m/>
    <m/>
    <m/>
    <m/>
    <m/>
    <m/>
  </r>
  <r>
    <d v="2025-08-01T00:00:00"/>
    <d v="2025-08-03T00:00:00"/>
    <s v="الاحد "/>
    <s v="أوفيس مكس"/>
    <s v="على فريد عبد الله "/>
    <s v="تركيبات "/>
    <s v="تم العمل"/>
    <d v="1899-12-30T10:00:00"/>
    <d v="1899-12-30T16:00:00"/>
    <n v="0.24999999999999994"/>
    <s v="البرج"/>
    <n v="5.9999999999999982"/>
    <m/>
    <m/>
    <x v="3"/>
    <n v="5"/>
    <m/>
    <m/>
    <m/>
    <m/>
    <m/>
    <m/>
    <m/>
    <m/>
    <m/>
    <m/>
  </r>
  <r>
    <d v="2025-08-01T00:00:00"/>
    <d v="2025-08-04T00:00:00"/>
    <s v="الاثنين "/>
    <s v="شركة كيمكس"/>
    <s v="اسلام محمد "/>
    <s v="عمل صيانة لوحدة السوفتير "/>
    <s v="تم العمل"/>
    <d v="1899-12-30T11:30:00"/>
    <d v="1899-12-30T13:30:00"/>
    <n v="8.3333333333333315E-2"/>
    <s v="المطابع "/>
    <n v="1.9999999999999996"/>
    <m/>
    <m/>
    <x v="5"/>
    <n v="5"/>
    <m/>
    <m/>
    <m/>
    <m/>
    <m/>
    <m/>
    <m/>
    <m/>
    <m/>
    <m/>
  </r>
  <r>
    <d v="2025-08-01T00:00:00"/>
    <d v="2025-08-04T00:00:00"/>
    <s v="الاثنين "/>
    <s v="الشركة الالمانية "/>
    <s v="محمد ماهر    "/>
    <s v="الزيارة الشهرية لمكافحة القوارض والحشرات "/>
    <s v="تم العمل"/>
    <d v="1899-12-30T12:00:00"/>
    <d v="1899-12-30T14:00:00"/>
    <n v="8.333333333333337E-2"/>
    <s v="المطابع "/>
    <n v="2.0000000000000009"/>
    <m/>
    <m/>
    <x v="5"/>
    <n v="5"/>
    <m/>
    <m/>
    <m/>
    <m/>
    <m/>
    <m/>
    <m/>
    <m/>
    <m/>
    <m/>
  </r>
  <r>
    <d v="2025-08-01T00:00:00"/>
    <d v="2025-08-04T00:00:00"/>
    <s v="الاثنين "/>
    <s v="شركة GM"/>
    <s v="نادر اسكندر "/>
    <s v="اعمال لحام لتجهيز  شبكة اطفاء تلقائى "/>
    <s v="تم العمل"/>
    <d v="1899-12-30T12:30:00"/>
    <d v="1899-12-30T17:00:00"/>
    <n v="0.1875"/>
    <s v="دويتش "/>
    <n v="4.5"/>
    <m/>
    <m/>
    <x v="0"/>
    <n v="5"/>
    <m/>
    <m/>
    <m/>
    <m/>
    <m/>
    <m/>
    <m/>
    <m/>
    <m/>
    <m/>
  </r>
  <r>
    <d v="2025-08-01T00:00:00"/>
    <d v="2025-08-04T00:00:00"/>
    <s v="الاثنين "/>
    <s v="الشركة الالمانية "/>
    <s v="محمد ماهر    "/>
    <s v="الزيارة الشهرية لمكافحة القوارض والحشرات "/>
    <s v="تم العمل"/>
    <d v="1899-12-30T14:00:00"/>
    <d v="1899-12-30T15:00:00"/>
    <n v="4.166666666666663E-2"/>
    <s v="المخزن الجديد "/>
    <n v="0.99999999999999911"/>
    <m/>
    <m/>
    <x v="10"/>
    <n v="5"/>
    <m/>
    <m/>
    <m/>
    <m/>
    <m/>
    <m/>
    <m/>
    <m/>
    <m/>
    <m/>
  </r>
  <r>
    <d v="2025-08-01T00:00:00"/>
    <d v="2025-08-04T00:00:00"/>
    <s v="الاثنين "/>
    <s v="الشركة الالمانية "/>
    <s v="محمد ماهر    "/>
    <s v="الزيارة الشهرية لمكافحة القوارض والحشرات "/>
    <s v="تم العمل"/>
    <d v="1899-12-30T15:00:00"/>
    <d v="1899-12-30T17:00:00"/>
    <n v="8.333333333333337E-2"/>
    <s v="المخزن القديم "/>
    <n v="2.0000000000000009"/>
    <m/>
    <m/>
    <x v="9"/>
    <n v="5"/>
    <m/>
    <m/>
    <m/>
    <m/>
    <m/>
    <m/>
    <m/>
    <m/>
    <m/>
    <m/>
  </r>
  <r>
    <d v="2025-08-01T00:00:00"/>
    <d v="2025-08-04T00:00:00"/>
    <s v="الاثنين "/>
    <s v="شركة الهدى "/>
    <s v="ايمن محمد كامل "/>
    <s v="عمل لحام  تسريب للاحبار "/>
    <s v="تم العمل"/>
    <d v="1899-12-30T14:00:00"/>
    <d v="1899-12-30T17:00:00"/>
    <n v="0.125"/>
    <s v="المخزن القديم "/>
    <n v="3"/>
    <m/>
    <m/>
    <x v="9"/>
    <n v="5"/>
    <m/>
    <m/>
    <m/>
    <m/>
    <m/>
    <m/>
    <m/>
    <m/>
    <m/>
    <m/>
  </r>
  <r>
    <d v="2025-08-01T00:00:00"/>
    <d v="2025-08-05T00:00:00"/>
    <s v="الثلاثاء "/>
    <s v="الشركة الالمانية "/>
    <s v="محمد ماهر    "/>
    <s v="الزيارة الشهرية لمكافحة القوارض والحشرات "/>
    <s v="تم العمل"/>
    <d v="1899-12-30T13:00:00"/>
    <d v="1899-12-30T17:00:00"/>
    <n v="0.16666666666666674"/>
    <s v="الفجالة"/>
    <n v="4.0000000000000018"/>
    <m/>
    <m/>
    <x v="11"/>
    <n v="5"/>
    <m/>
    <m/>
    <m/>
    <m/>
    <m/>
    <m/>
    <m/>
    <m/>
    <m/>
    <m/>
  </r>
  <r>
    <d v="2025-08-01T00:00:00"/>
    <d v="2025-08-05T00:00:00"/>
    <s v="الثلاثاء "/>
    <s v="الشؤون الادارية "/>
    <s v="محمود عويس"/>
    <s v="عمل صيانة صيانة لوحدات التكييف بالمطبعة"/>
    <s v="تم العمل"/>
    <d v="1899-12-30T10:00:00"/>
    <d v="1899-12-30T17:00:00"/>
    <n v="0.29166666666666669"/>
    <s v="المطابع "/>
    <n v="7"/>
    <m/>
    <m/>
    <x v="5"/>
    <n v="5"/>
    <m/>
    <m/>
    <m/>
    <m/>
    <m/>
    <m/>
    <m/>
    <m/>
    <m/>
    <m/>
  </r>
  <r>
    <d v="2025-08-01T00:00:00"/>
    <d v="2025-08-05T00:00:00"/>
    <s v="الثلاثاء "/>
    <s v="الشؤون الادارية "/>
    <s v="ادم محمد "/>
    <s v="عمل انشائات معمارية "/>
    <s v="تم العمل"/>
    <d v="1899-12-30T12:00:00"/>
    <d v="1899-12-30T17:00:00"/>
    <n v="0.20833333333333337"/>
    <s v="المخزن القديم "/>
    <n v="5.0000000000000009"/>
    <m/>
    <m/>
    <x v="9"/>
    <n v="5"/>
    <m/>
    <m/>
    <m/>
    <m/>
    <m/>
    <m/>
    <m/>
    <m/>
    <m/>
    <m/>
  </r>
  <r>
    <d v="2025-08-01T00:00:00"/>
    <d v="2025-08-05T00:00:00"/>
    <s v="الثلاثاء "/>
    <s v="الشركة المصرية "/>
    <s v="علاء احمد "/>
    <s v="صيانة"/>
    <s v="تم العمل"/>
    <d v="1899-12-30T11:00:00"/>
    <d v="1899-12-30T13:00:00"/>
    <n v="8.3333333333333315E-2"/>
    <s v="البرج"/>
    <n v="1.9999999999999996"/>
    <m/>
    <m/>
    <x v="3"/>
    <n v="5"/>
    <m/>
    <m/>
    <m/>
    <m/>
    <m/>
    <m/>
    <m/>
    <m/>
    <m/>
    <m/>
  </r>
  <r>
    <d v="2025-08-01T00:00:00"/>
    <d v="2025-08-05T00:00:00"/>
    <s v="الثلاثاء "/>
    <s v="شركة الهدى "/>
    <s v="ايمن محمد كامل "/>
    <s v="عمل لحام  تسريب للاحبار "/>
    <s v="تم العمل"/>
    <d v="1899-12-30T15:00:00"/>
    <d v="1899-12-30T17:00:00"/>
    <n v="8.333333333333337E-2"/>
    <s v="المخزن القديم "/>
    <n v="2.0000000000000009"/>
    <m/>
    <m/>
    <x v="9"/>
    <n v="5"/>
    <m/>
    <m/>
    <m/>
    <m/>
    <m/>
    <m/>
    <m/>
    <m/>
    <m/>
    <m/>
  </r>
  <r>
    <d v="2025-08-01T00:00:00"/>
    <d v="2025-08-06T00:00:00"/>
    <s v="الاربعاء "/>
    <s v="الشؤون الادارية "/>
    <s v="محمود عويس"/>
    <s v="عمل صيانة تكييف استراحة المهندسين"/>
    <s v="تم العمل"/>
    <d v="1899-12-30T12:30:00"/>
    <d v="1899-12-30T13:30:00"/>
    <n v="4.166666666666663E-2"/>
    <s v="المطابع "/>
    <n v="0.99999999999999911"/>
    <m/>
    <m/>
    <x v="0"/>
    <n v="5"/>
    <m/>
    <m/>
    <m/>
    <m/>
    <m/>
    <m/>
    <m/>
    <m/>
    <m/>
    <m/>
  </r>
  <r>
    <d v="2025-08-01T00:00:00"/>
    <d v="2025-08-06T00:00:00"/>
    <s v="الاربعاء "/>
    <s v="شركة الامل للالمونتال"/>
    <s v="رامى محمد "/>
    <s v="صيانة ابواب الالمونتال"/>
    <s v="تم العمل"/>
    <d v="1899-12-30T15:00:00"/>
    <d v="1899-12-30T17:00:00"/>
    <n v="8.333333333333337E-2"/>
    <s v="المطابع "/>
    <n v="2.0000000000000009"/>
    <m/>
    <m/>
    <x v="0"/>
    <n v="5"/>
    <m/>
    <m/>
    <m/>
    <m/>
    <m/>
    <m/>
    <m/>
    <m/>
    <m/>
    <m/>
  </r>
  <r>
    <d v="2025-08-01T00:00:00"/>
    <d v="2025-08-07T00:00:00"/>
    <s v="الخميس "/>
    <s v="KUC  شركة "/>
    <s v="كمال احمد  "/>
    <s v="تركيبات "/>
    <s v="تم العمل"/>
    <d v="1899-12-30T17:00:00"/>
    <d v="1899-12-30T20:00:00"/>
    <n v="0.125"/>
    <s v="البرج"/>
    <n v="3"/>
    <m/>
    <m/>
    <x v="3"/>
    <n v="5"/>
    <m/>
    <m/>
    <m/>
    <m/>
    <m/>
    <m/>
    <m/>
    <m/>
    <m/>
    <m/>
  </r>
  <r>
    <d v="2025-08-01T00:00:00"/>
    <d v="2025-08-07T00:00:00"/>
    <s v="الخميس "/>
    <s v="أوفيس مكس"/>
    <s v="على فريد عبد الله "/>
    <s v="تركيبات "/>
    <s v="تم العمل"/>
    <d v="1899-12-30T16:45:00"/>
    <d v="1899-12-30T22:00:00"/>
    <n v="0.21875"/>
    <s v="البرج"/>
    <n v="5.25"/>
    <m/>
    <m/>
    <x v="3"/>
    <n v="5"/>
    <m/>
    <m/>
    <m/>
    <m/>
    <m/>
    <m/>
    <m/>
    <m/>
    <m/>
    <m/>
  </r>
  <r>
    <d v="2025-08-01T00:00:00"/>
    <d v="2025-08-07T00:00:00"/>
    <s v="الخميس "/>
    <s v="شركة الامل للالمونتال"/>
    <s v="رامى محمد "/>
    <s v="صيانة ابواب الالمونتال"/>
    <s v="تم العمل"/>
    <d v="1899-12-30T15:00:00"/>
    <d v="1899-12-30T17:00:00"/>
    <n v="8.333333333333337E-2"/>
    <s v="المطابع "/>
    <n v="2.0000000000000009"/>
    <m/>
    <m/>
    <x v="1"/>
    <n v="5"/>
    <m/>
    <m/>
    <m/>
    <m/>
    <m/>
    <m/>
    <m/>
    <m/>
    <m/>
    <m/>
  </r>
  <r>
    <d v="2025-08-01T00:00:00"/>
    <d v="2025-08-07T00:00:00"/>
    <s v="الخميس "/>
    <s v="شركة البكرى "/>
    <s v="احمد محمد "/>
    <s v="تركيبات "/>
    <s v="تم العمل"/>
    <d v="1899-12-30T12:00:00"/>
    <d v="1899-12-30T18:00:00"/>
    <n v="0.25"/>
    <s v="البرج"/>
    <n v="6"/>
    <m/>
    <m/>
    <x v="3"/>
    <n v="5"/>
    <m/>
    <m/>
    <m/>
    <m/>
    <m/>
    <m/>
    <m/>
    <m/>
    <m/>
    <m/>
  </r>
  <r>
    <d v="2025-08-01T00:00:00"/>
    <d v="2025-08-07T00:00:00"/>
    <s v="الخميس "/>
    <s v="الشؤون الادارية "/>
    <s v="محمود عويس"/>
    <s v="عمل صيانة تكييف للطبع شيت "/>
    <s v="تم العمل"/>
    <d v="1899-12-30T11:00:00"/>
    <d v="1899-12-30T12:00:00"/>
    <n v="4.1666666666666685E-2"/>
    <s v="المطابع "/>
    <n v="1.0000000000000004"/>
    <m/>
    <m/>
    <x v="10"/>
    <n v="5"/>
    <m/>
    <m/>
    <m/>
    <m/>
    <m/>
    <m/>
    <m/>
    <m/>
    <m/>
    <m/>
  </r>
  <r>
    <d v="2025-08-01T00:00:00"/>
    <d v="2025-08-09T00:00:00"/>
    <s v="السبت "/>
    <s v="شركة GM"/>
    <s v="نادر اسكندر "/>
    <s v="اعمال لحام لتجهيز  شبكة اطفاء تلقائى "/>
    <s v="تم العمل"/>
    <d v="1899-12-30T10:00:00"/>
    <d v="1899-12-30T17:00:00"/>
    <n v="0.29166666666666669"/>
    <s v="دويتش "/>
    <n v="7"/>
    <m/>
    <m/>
    <x v="10"/>
    <n v="5"/>
    <m/>
    <m/>
    <m/>
    <m/>
    <m/>
    <m/>
    <m/>
    <m/>
    <m/>
    <m/>
  </r>
  <r>
    <d v="2025-08-01T00:00:00"/>
    <d v="2025-08-09T00:00:00"/>
    <s v="السبت "/>
    <s v="شركة فور تيك "/>
    <s v="محمد احمد "/>
    <s v="تركيبات "/>
    <s v="تم العمل"/>
    <d v="1899-12-30T10:00:00"/>
    <d v="1899-12-30T20:00:00"/>
    <n v="0.41666666666666669"/>
    <s v="البرج"/>
    <n v="10"/>
    <m/>
    <m/>
    <x v="3"/>
    <n v="5"/>
    <m/>
    <m/>
    <m/>
    <m/>
    <m/>
    <m/>
    <m/>
    <m/>
    <m/>
    <m/>
  </r>
  <r>
    <d v="2025-08-01T00:00:00"/>
    <d v="2025-08-10T00:00:00"/>
    <s v="الاحد "/>
    <s v="شركة الكريم "/>
    <s v="حامد عطوان"/>
    <s v="الزيارة الشهرية  على نقاط الاطفاء وصناديق الحريق "/>
    <s v="تم العمل"/>
    <d v="1899-12-30T12:00:00"/>
    <d v="1899-12-30T15:00:00"/>
    <n v="0.125"/>
    <s v="المطابع "/>
    <n v="3"/>
    <m/>
    <m/>
    <x v="4"/>
    <n v="5"/>
    <m/>
    <m/>
    <m/>
    <m/>
    <m/>
    <m/>
    <m/>
    <m/>
    <m/>
    <m/>
  </r>
  <r>
    <d v="2025-08-01T00:00:00"/>
    <d v="2025-08-10T00:00:00"/>
    <s v="الاحد "/>
    <s v="الشؤون الادارية "/>
    <s v="احمد سعيد  "/>
    <s v="صيانة الماتور "/>
    <s v="تم العمل"/>
    <d v="1899-12-30T13:00:00"/>
    <d v="1899-12-30T15:00:00"/>
    <n v="8.333333333333337E-2"/>
    <s v="المخزن الجديد "/>
    <n v="2.0000000000000009"/>
    <m/>
    <m/>
    <x v="1"/>
    <n v="5"/>
    <m/>
    <m/>
    <m/>
    <m/>
    <m/>
    <m/>
    <m/>
    <m/>
    <m/>
    <m/>
  </r>
  <r>
    <d v="2025-08-01T00:00:00"/>
    <d v="2025-08-10T00:00:00"/>
    <s v="الاحد "/>
    <s v="شركة الكريم "/>
    <s v="حامد عطوان"/>
    <s v="الزيارة الشهرية  على نقاط الاطفاء وصناديق الحريق "/>
    <s v="تم العمل"/>
    <d v="1899-12-30T15:30:00"/>
    <d v="1899-12-30T17:00:00"/>
    <n v="6.25E-2"/>
    <s v="المخزن القديم "/>
    <n v="1.5"/>
    <m/>
    <m/>
    <x v="10"/>
    <n v="5"/>
    <m/>
    <m/>
    <m/>
    <m/>
    <m/>
    <m/>
    <m/>
    <m/>
    <m/>
    <m/>
  </r>
  <r>
    <d v="2025-08-01T00:00:00"/>
    <d v="2025-08-10T00:00:00"/>
    <s v="الاحد "/>
    <s v="شركة الهدى "/>
    <s v="ايمن محمد كامل "/>
    <s v="عمل لحام  تسريب للاحبار "/>
    <s v="تم العمل"/>
    <d v="1899-12-30T10:00:00"/>
    <d v="1899-12-30T17:00:00"/>
    <n v="0.29166666666666669"/>
    <s v="المخزن القديم "/>
    <n v="7"/>
    <m/>
    <m/>
    <x v="10"/>
    <n v="5"/>
    <m/>
    <m/>
    <m/>
    <m/>
    <m/>
    <m/>
    <m/>
    <m/>
    <m/>
    <m/>
  </r>
  <r>
    <d v="2025-08-01T00:00:00"/>
    <d v="2025-08-10T00:00:00"/>
    <s v="الاحد "/>
    <s v="الشؤون الادارية "/>
    <s v="ادم محمد  "/>
    <s v="اعمال تركيب انتر لك "/>
    <s v="تم العمل"/>
    <d v="1899-12-30T11:00:00"/>
    <d v="1899-12-30T17:00:00"/>
    <n v="0.25000000000000006"/>
    <s v="المخزن القديم "/>
    <n v="6.0000000000000018"/>
    <m/>
    <m/>
    <x v="10"/>
    <n v="5"/>
    <m/>
    <m/>
    <m/>
    <m/>
    <m/>
    <m/>
    <m/>
    <m/>
    <m/>
    <m/>
  </r>
  <r>
    <d v="2025-08-01T00:00:00"/>
    <d v="2025-08-11T00:00:00"/>
    <s v="الاثنين "/>
    <s v="شركة GM"/>
    <s v="سامى سامى "/>
    <s v="اعمال لحام لتجهيز  شبكة اطفاء تلقائى "/>
    <s v="تم العمل"/>
    <d v="1899-12-30T10:00:00"/>
    <d v="1899-12-30T17:00:00"/>
    <n v="0.29166666666666669"/>
    <s v="دويتش "/>
    <n v="7"/>
    <m/>
    <m/>
    <x v="2"/>
    <n v="4"/>
    <s v="عدم غلف التصريح"/>
    <m/>
    <m/>
    <m/>
    <m/>
    <m/>
    <m/>
    <m/>
    <m/>
    <m/>
  </r>
  <r>
    <d v="2025-08-01T00:00:00"/>
    <d v="2025-08-11T00:00:00"/>
    <s v="الاثنين "/>
    <s v="شركة الكريم "/>
    <s v="على شحات "/>
    <s v="الزيارة الشهرية  على الانزار "/>
    <s v="تم العمل"/>
    <d v="1899-12-30T11:00:00"/>
    <d v="1899-12-30T12:00:00"/>
    <n v="4.1666666666666685E-2"/>
    <s v="المطابع "/>
    <n v="1.0000000000000004"/>
    <m/>
    <m/>
    <x v="4"/>
    <n v="5"/>
    <m/>
    <m/>
    <m/>
    <m/>
    <m/>
    <m/>
    <m/>
    <m/>
    <m/>
    <m/>
  </r>
  <r>
    <d v="2025-08-01T00:00:00"/>
    <d v="2025-08-11T00:00:00"/>
    <s v="الاثنين "/>
    <s v="شركة الكريم "/>
    <s v="على شحات "/>
    <s v="الزيارة الشهرية  على الانزار "/>
    <s v="تم العمل"/>
    <d v="1899-12-30T15:30:00"/>
    <d v="1899-12-30T17:00:00"/>
    <n v="6.25E-2"/>
    <s v="المخزن القديم "/>
    <n v="1.5"/>
    <m/>
    <m/>
    <x v="10"/>
    <n v="5"/>
    <m/>
    <m/>
    <m/>
    <m/>
    <m/>
    <m/>
    <m/>
    <m/>
    <m/>
    <m/>
  </r>
  <r>
    <d v="2025-08-01T00:00:00"/>
    <d v="2025-08-11T00:00:00"/>
    <s v="الاثنين "/>
    <s v="الشركة الوطنية "/>
    <s v="سيد على "/>
    <s v="صيانة الكلارك "/>
    <s v="تم العمل"/>
    <d v="1899-12-30T12:30:00"/>
    <d v="1899-12-30T16:00:00"/>
    <n v="0.14583333333333326"/>
    <s v="المخزن القديم "/>
    <n v="3.4999999999999982"/>
    <m/>
    <m/>
    <x v="10"/>
    <n v="5"/>
    <m/>
    <m/>
    <m/>
    <m/>
    <m/>
    <m/>
    <m/>
    <m/>
    <m/>
    <m/>
  </r>
  <r>
    <d v="2025-08-01T00:00:00"/>
    <d v="2025-08-11T00:00:00"/>
    <s v="الاثنين "/>
    <s v="شركة الهدى "/>
    <s v="محسن عبد الباسط  "/>
    <s v="لحام تنك  للاحبار "/>
    <s v="تم العمل"/>
    <d v="1899-12-30T12:30:00"/>
    <d v="1899-12-30T17:00:00"/>
    <n v="0.1875"/>
    <s v="المخزن القديم "/>
    <n v="4.5"/>
    <m/>
    <m/>
    <x v="10"/>
    <n v="5"/>
    <m/>
    <m/>
    <m/>
    <m/>
    <m/>
    <m/>
    <m/>
    <m/>
    <m/>
    <m/>
  </r>
  <r>
    <d v="2025-08-01T00:00:00"/>
    <d v="2025-08-11T00:00:00"/>
    <s v="الاثنين "/>
    <s v="شركة الكريم "/>
    <s v="على شحات "/>
    <s v="الزيارة الشهرية  على الانزار "/>
    <s v="تم العمل"/>
    <d v="1899-12-30T11:00:00"/>
    <d v="1899-12-30T17:00:00"/>
    <n v="0.25000000000000006"/>
    <s v="المخزن الجديد "/>
    <n v="6.0000000000000018"/>
    <m/>
    <m/>
    <x v="1"/>
    <n v="5"/>
    <m/>
    <m/>
    <m/>
    <m/>
    <m/>
    <m/>
    <m/>
    <m/>
    <m/>
    <m/>
  </r>
  <r>
    <d v="2025-08-01T00:00:00"/>
    <d v="2025-08-11T00:00:00"/>
    <s v="الاثنين "/>
    <s v="الشؤون الادارية "/>
    <s v="علاء احمد "/>
    <s v="صيانة تكيفات  غرفة السيرفر "/>
    <s v="تم العمل"/>
    <d v="1899-12-30T12:00:00"/>
    <d v="1899-12-30T13:30:00"/>
    <n v="6.25E-2"/>
    <s v="الفجالة"/>
    <n v="1.5"/>
    <m/>
    <m/>
    <x v="11"/>
    <n v="5"/>
    <m/>
    <m/>
    <m/>
    <m/>
    <m/>
    <m/>
    <m/>
    <m/>
    <m/>
    <m/>
  </r>
  <r>
    <d v="2025-08-01T00:00:00"/>
    <d v="2025-08-12T00:00:00"/>
    <s v="الثلاثاء "/>
    <s v="شركة الهدى "/>
    <s v="اسلام مصطفى  "/>
    <s v="صيانة ctp"/>
    <s v="تم العمل"/>
    <d v="1899-12-30T14:00:00"/>
    <d v="1899-12-30T17:00:00"/>
    <n v="0.125"/>
    <s v="المطابع "/>
    <n v="3"/>
    <m/>
    <m/>
    <x v="2"/>
    <n v="5"/>
    <m/>
    <m/>
    <m/>
    <m/>
    <m/>
    <m/>
    <m/>
    <m/>
    <m/>
    <m/>
  </r>
  <r>
    <d v="2025-08-01T00:00:00"/>
    <d v="2025-08-12T00:00:00"/>
    <s v="الثلاثاء "/>
    <s v="شركة الهدى "/>
    <s v="محسن عبد الباسط  "/>
    <s v="لحام تسريب  للاحبار "/>
    <s v="تم العمل"/>
    <d v="1899-12-30T13:00:00"/>
    <d v="1899-12-30T17:00:00"/>
    <n v="0.16666666666666674"/>
    <s v="المخزن القديم "/>
    <n v="4.0000000000000018"/>
    <m/>
    <m/>
    <x v="9"/>
    <n v="5"/>
    <m/>
    <m/>
    <m/>
    <m/>
    <m/>
    <m/>
    <m/>
    <m/>
    <m/>
    <m/>
  </r>
  <r>
    <d v="2025-08-01T00:00:00"/>
    <d v="2025-08-12T00:00:00"/>
    <s v="الثلاثاء "/>
    <s v="شركة الفرج"/>
    <s v="فرج محمد   "/>
    <s v="فرج الفراشة "/>
    <s v="تم العمل"/>
    <d v="1899-12-30T10:00:00"/>
    <d v="1899-12-30T12:00:00"/>
    <n v="8.3333333333333315E-2"/>
    <s v="المخزن القديم "/>
    <n v="1.9999999999999996"/>
    <m/>
    <m/>
    <x v="10"/>
    <n v="5"/>
    <m/>
    <m/>
    <m/>
    <m/>
    <m/>
    <m/>
    <m/>
    <m/>
    <m/>
    <m/>
  </r>
  <r>
    <d v="2025-08-01T00:00:00"/>
    <d v="2025-08-12T00:00:00"/>
    <s v="الثلاثاء "/>
    <s v="الشؤون الادارية "/>
    <s v="ادم محمد  "/>
    <s v="اعمال تركيب انتر لك "/>
    <s v="تم العمل"/>
    <d v="1899-12-30T12:00:00"/>
    <d v="1899-12-30T17:00:00"/>
    <n v="0.20833333333333337"/>
    <s v="المخزن القديم "/>
    <n v="5.0000000000000009"/>
    <m/>
    <m/>
    <x v="10"/>
    <n v="5"/>
    <m/>
    <m/>
    <m/>
    <m/>
    <m/>
    <m/>
    <m/>
    <m/>
    <m/>
    <m/>
  </r>
  <r>
    <d v="2025-08-01T00:00:00"/>
    <d v="2025-08-13T00:00:00"/>
    <s v="الاربعاء "/>
    <s v="شركة الهدى "/>
    <s v="محسن عبد الباسط  "/>
    <s v="لحام تنك  للاحبار "/>
    <s v="تم العمل"/>
    <d v="1899-12-30T14:00:00"/>
    <d v="1899-12-30T17:00:00"/>
    <n v="0.125"/>
    <s v="المخزن القديم "/>
    <n v="3"/>
    <m/>
    <m/>
    <x v="9"/>
    <n v="5"/>
    <m/>
    <m/>
    <m/>
    <m/>
    <m/>
    <m/>
    <m/>
    <m/>
    <m/>
    <m/>
  </r>
  <r>
    <d v="2025-08-01T00:00:00"/>
    <d v="2025-08-14T00:00:00"/>
    <s v="الخميس "/>
    <s v="شركة البكرى "/>
    <s v="احمد محمد "/>
    <s v="تركيبات "/>
    <s v="تم العمل"/>
    <d v="1899-12-30T12:00:00"/>
    <d v="1899-12-30T18:00:00"/>
    <n v="0.25"/>
    <s v="البرج"/>
    <n v="6"/>
    <m/>
    <m/>
    <x v="3"/>
    <n v="5"/>
    <m/>
    <m/>
    <m/>
    <m/>
    <m/>
    <m/>
    <m/>
    <m/>
    <m/>
    <m/>
  </r>
  <r>
    <d v="2025-08-01T00:00:00"/>
    <d v="2025-08-14T00:00:00"/>
    <s v="الخميس "/>
    <s v="شركة الهدى "/>
    <s v="محسن عبد الباسط  "/>
    <s v="لحام تنك  للاحبار "/>
    <s v="تم العمل"/>
    <d v="1899-12-30T13:00:00"/>
    <d v="1899-12-30T17:00:00"/>
    <n v="0.16666666666666674"/>
    <s v="المخزن القديم "/>
    <n v="4.0000000000000018"/>
    <m/>
    <m/>
    <x v="10"/>
    <n v="5"/>
    <m/>
    <m/>
    <m/>
    <m/>
    <m/>
    <m/>
    <m/>
    <m/>
    <m/>
    <m/>
  </r>
  <r>
    <d v="2025-08-01T00:00:00"/>
    <d v="2025-08-16T00:00:00"/>
    <s v="السبت "/>
    <s v="الشركة المصرية "/>
    <s v="امير حجازى "/>
    <s v="تركيب خط الفايبر "/>
    <s v="تم العمل"/>
    <d v="1899-12-30T10:00:00"/>
    <d v="1899-12-30T17:00:00"/>
    <n v="0.29166666666666669"/>
    <s v="المطابع "/>
    <n v="7"/>
    <m/>
    <m/>
    <x v="5"/>
    <n v="5"/>
    <m/>
    <m/>
    <m/>
    <m/>
    <m/>
    <m/>
    <m/>
    <m/>
    <m/>
    <m/>
  </r>
  <r>
    <d v="2025-08-01T00:00:00"/>
    <d v="2025-08-16T00:00:00"/>
    <s v="السبت "/>
    <s v="شركة البكرى "/>
    <s v="احمد محمد "/>
    <s v="تركيبات "/>
    <s v="تم العمل"/>
    <d v="1899-12-30T11:00:00"/>
    <d v="1899-12-30T18:00:00"/>
    <n v="0.29166666666666669"/>
    <s v="البرج"/>
    <n v="7"/>
    <m/>
    <m/>
    <x v="3"/>
    <n v="5"/>
    <m/>
    <m/>
    <m/>
    <m/>
    <m/>
    <m/>
    <m/>
    <m/>
    <m/>
    <m/>
  </r>
  <r>
    <d v="2025-08-01T00:00:00"/>
    <d v="2025-08-16T00:00:00"/>
    <s v="السبت "/>
    <s v="شركة اوزوريون "/>
    <s v="يحيى طه "/>
    <s v="تركيبات "/>
    <s v="تم العمل"/>
    <d v="1899-12-30T11:00:00"/>
    <d v="1899-12-30T18:00:00"/>
    <n v="0.29166666666666669"/>
    <s v="البرج"/>
    <n v="7"/>
    <m/>
    <m/>
    <x v="3"/>
    <n v="5"/>
    <m/>
    <m/>
    <m/>
    <m/>
    <m/>
    <m/>
    <m/>
    <m/>
    <m/>
    <m/>
  </r>
  <r>
    <d v="2025-08-01T00:00:00"/>
    <d v="2025-08-17T00:00:00"/>
    <s v="الاحد "/>
    <s v="الشركة المصرية "/>
    <s v="امير حجازى "/>
    <s v="استكمال تركيب خط الفايبر "/>
    <s v="تم العمل"/>
    <d v="1899-12-30T10:30:00"/>
    <d v="1899-12-30T17:00:00"/>
    <n v="0.27083333333333337"/>
    <s v="المطابع "/>
    <n v="6.5000000000000009"/>
    <m/>
    <m/>
    <x v="5"/>
    <n v="5"/>
    <m/>
    <m/>
    <m/>
    <m/>
    <m/>
    <m/>
    <m/>
    <m/>
    <m/>
    <m/>
  </r>
  <r>
    <d v="2025-08-01T00:00:00"/>
    <d v="2025-08-17T00:00:00"/>
    <s v="الاحد "/>
    <s v="الشؤون الادارية "/>
    <s v="احمد سعيد  "/>
    <s v="عمل صرف للتكيفات "/>
    <s v="تم العمل"/>
    <d v="1899-12-30T14:00:00"/>
    <d v="1899-12-30T17:00:00"/>
    <n v="0.125"/>
    <s v="المطابع "/>
    <n v="3"/>
    <m/>
    <m/>
    <x v="9"/>
    <n v="5"/>
    <m/>
    <m/>
    <m/>
    <m/>
    <m/>
    <m/>
    <m/>
    <m/>
    <m/>
    <m/>
  </r>
  <r>
    <d v="2025-08-01T00:00:00"/>
    <d v="2025-08-17T00:00:00"/>
    <s v="الاحد "/>
    <s v="القطاع الهندسى "/>
    <s v="صابر ابراهيم "/>
    <s v="صيانة ابواب العنابر "/>
    <s v="تم العمل"/>
    <d v="1899-12-30T11:00:00"/>
    <d v="1899-12-30T16:00:00"/>
    <n v="0.20833333333333331"/>
    <s v="المطابع "/>
    <n v="5"/>
    <m/>
    <m/>
    <x v="6"/>
    <n v="5"/>
    <m/>
    <m/>
    <m/>
    <m/>
    <m/>
    <m/>
    <m/>
    <m/>
    <m/>
    <m/>
  </r>
  <r>
    <d v="2025-08-01T00:00:00"/>
    <d v="2025-08-18T00:00:00"/>
    <s v="الاثنين "/>
    <s v="القطاع الهندسى "/>
    <s v="محمود الدروى"/>
    <s v="صيانة تكييف ويب 11"/>
    <s v="تم العمل"/>
    <d v="1899-12-30T10:00:00"/>
    <d v="1899-12-30T15:00:00"/>
    <n v="0.20833333333333331"/>
    <s v="المطابع "/>
    <n v="5"/>
    <m/>
    <m/>
    <x v="0"/>
    <n v="5"/>
    <m/>
    <m/>
    <m/>
    <m/>
    <m/>
    <m/>
    <m/>
    <m/>
    <m/>
    <m/>
  </r>
  <r>
    <d v="2025-08-01T00:00:00"/>
    <d v="2025-08-18T00:00:00"/>
    <s v="الاثنين "/>
    <s v="الشؤون الادارية "/>
    <s v="محمد نقيب "/>
    <s v="عمل صيانة كهرباء بالعنابر"/>
    <s v="تم العمل"/>
    <d v="1899-12-30T11:00:00"/>
    <d v="1899-12-30T17:00:00"/>
    <n v="0.25000000000000006"/>
    <s v="المطابع "/>
    <n v="6.0000000000000018"/>
    <m/>
    <m/>
    <x v="9"/>
    <n v="5"/>
    <m/>
    <m/>
    <m/>
    <m/>
    <m/>
    <m/>
    <m/>
    <m/>
    <m/>
    <m/>
  </r>
  <r>
    <d v="2025-08-01T00:00:00"/>
    <d v="2025-08-18T00:00:00"/>
    <s v="الاثنين "/>
    <s v="الشؤون الادارية "/>
    <s v="أحمد سعيد "/>
    <s v="اعمال سباكة "/>
    <s v="تم العمل"/>
    <d v="1899-12-30T14:00:00"/>
    <d v="1899-12-30T15:00:00"/>
    <n v="4.166666666666663E-2"/>
    <s v="المخزن الجديد "/>
    <n v="0.99999999999999911"/>
    <m/>
    <m/>
    <x v="1"/>
    <n v="5"/>
    <m/>
    <m/>
    <m/>
    <m/>
    <m/>
    <m/>
    <m/>
    <m/>
    <m/>
    <m/>
  </r>
  <r>
    <d v="2025-08-01T00:00:00"/>
    <d v="2025-08-18T00:00:00"/>
    <s v="الاثنين "/>
    <s v="الشؤون الادارية "/>
    <s v="محمد نقيب "/>
    <s v=" صيانة كهرباء "/>
    <s v="تم العمل"/>
    <d v="1899-12-30T10:00:00"/>
    <d v="1899-12-30T11:00:00"/>
    <n v="4.166666666666663E-2"/>
    <s v="المخزن الجديد "/>
    <n v="0.99999999999999911"/>
    <m/>
    <m/>
    <x v="1"/>
    <n v="5"/>
    <m/>
    <m/>
    <m/>
    <m/>
    <m/>
    <m/>
    <m/>
    <m/>
    <m/>
    <m/>
  </r>
  <r>
    <d v="2025-08-01T00:00:00"/>
    <d v="2025-08-18T00:00:00"/>
    <s v="الاثنين "/>
    <s v="شركة الهدى "/>
    <s v="محسن عبد الباسط  "/>
    <s v="لحام تسريب  تنك  للاحبار "/>
    <s v="تم العمل"/>
    <d v="1899-12-30T14:00:00"/>
    <d v="1899-12-30T17:00:00"/>
    <n v="0.125"/>
    <s v="المخزن القديم "/>
    <n v="3"/>
    <m/>
    <m/>
    <x v="9"/>
    <n v="5"/>
    <m/>
    <m/>
    <m/>
    <m/>
    <m/>
    <m/>
    <m/>
    <m/>
    <m/>
    <m/>
  </r>
  <r>
    <d v="2025-08-01T00:00:00"/>
    <d v="2025-08-18T00:00:00"/>
    <s v="الاثنين "/>
    <s v="الشؤون الادارية "/>
    <s v="احمد سعيد  "/>
    <s v="استكمال عمل صرف للتكيفات "/>
    <s v="تم العمل"/>
    <d v="1899-12-30T14:00:00"/>
    <d v="1899-12-30T17:00:00"/>
    <n v="0.125"/>
    <s v="المخزن القديم "/>
    <n v="3"/>
    <m/>
    <m/>
    <x v="9"/>
    <n v="5"/>
    <m/>
    <m/>
    <m/>
    <m/>
    <m/>
    <m/>
    <m/>
    <m/>
    <m/>
    <m/>
  </r>
  <r>
    <d v="2025-08-01T00:00:00"/>
    <d v="2025-08-18T00:00:00"/>
    <s v="الاثنين "/>
    <s v="الشركة الالمانية "/>
    <s v="كامل جمعة     "/>
    <s v="الزيارة الشهرية لمكافحة القوارض والحشرات "/>
    <s v="تم العمل"/>
    <d v="1899-12-30T12:00:00"/>
    <d v="1899-12-30T17:00:00"/>
    <n v="0.20833333333333337"/>
    <s v="المخزن القديم "/>
    <n v="5.0000000000000009"/>
    <m/>
    <m/>
    <x v="9"/>
    <n v="5"/>
    <m/>
    <m/>
    <m/>
    <m/>
    <m/>
    <m/>
    <m/>
    <m/>
    <m/>
    <m/>
  </r>
  <r>
    <d v="2025-08-01T00:00:00"/>
    <d v="2025-08-18T00:00:00"/>
    <s v="الاثنين "/>
    <s v="القطاع الهندسى "/>
    <s v="صابر ابراهيم      "/>
    <s v="عمل تنده لخزان السولار  للماكينة الديزل"/>
    <s v="تم العمل"/>
    <d v="1899-12-30T11:00:00"/>
    <d v="1899-12-30T17:00:00"/>
    <n v="0.25000000000000006"/>
    <s v="المخزن الجديد "/>
    <n v="6.0000000000000018"/>
    <m/>
    <m/>
    <x v="9"/>
    <n v="5"/>
    <m/>
    <m/>
    <m/>
    <m/>
    <m/>
    <m/>
    <m/>
    <m/>
    <m/>
    <m/>
  </r>
  <r>
    <d v="2025-08-01T00:00:00"/>
    <d v="2025-08-18T00:00:00"/>
    <s v="الاثنين "/>
    <s v="الشركة الالمانية "/>
    <s v="كامل جمعة     "/>
    <s v="الزيارة الشهرية لمكافحة القوارض والحشرات "/>
    <s v="تم العمل"/>
    <d v="1899-12-30T14:00:00"/>
    <d v="1899-12-30T15:00:00"/>
    <n v="4.166666666666663E-2"/>
    <s v="المخزن الجديد "/>
    <n v="0.99999999999999911"/>
    <m/>
    <m/>
    <x v="1"/>
    <n v="5"/>
    <m/>
    <m/>
    <m/>
    <m/>
    <m/>
    <m/>
    <m/>
    <m/>
    <m/>
    <m/>
  </r>
  <r>
    <d v="2025-08-01T00:00:00"/>
    <d v="2025-08-19T00:00:00"/>
    <s v="الثلاثاء "/>
    <s v="القطاع الهندسى "/>
    <s v="أحمد ابوزيد    "/>
    <s v="لحام وقطع فى باب  طوارىء بجوار ويب 2"/>
    <s v="تم العمل"/>
    <d v="1899-12-30T15:30:00"/>
    <d v="1899-12-30T16:30:00"/>
    <n v="4.166666666666663E-2"/>
    <s v="المطابع "/>
    <n v="0.99999999999999911"/>
    <m/>
    <m/>
    <x v="0"/>
    <n v="5"/>
    <m/>
    <m/>
    <m/>
    <m/>
    <m/>
    <m/>
    <m/>
    <m/>
    <m/>
    <m/>
  </r>
  <r>
    <d v="2025-08-01T00:00:00"/>
    <d v="2025-08-19T00:00:00"/>
    <s v="الثلاثاء "/>
    <s v="شركة الفرج"/>
    <s v="فرج محمد   "/>
    <s v="فرج الفراشة "/>
    <s v="تم العمل"/>
    <d v="1899-12-30T11:00:00"/>
    <d v="1899-12-30T17:00:00"/>
    <n v="0.25000000000000006"/>
    <s v="المخزن القديم "/>
    <n v="6.0000000000000018"/>
    <m/>
    <m/>
    <x v="9"/>
    <n v="5"/>
    <m/>
    <m/>
    <m/>
    <m/>
    <m/>
    <m/>
    <m/>
    <m/>
    <m/>
    <m/>
  </r>
  <r>
    <d v="2025-08-01T00:00:00"/>
    <d v="2025-08-20T00:00:00"/>
    <s v="الاربعاء "/>
    <s v="الشؤون الادارية "/>
    <s v="محمود عويس  "/>
    <s v="صيانة الثلاجة "/>
    <s v="تم العمل"/>
    <d v="1899-12-30T13:00:00"/>
    <d v="1899-12-30T15:00:00"/>
    <n v="8.333333333333337E-2"/>
    <s v="المخزن الجديد "/>
    <n v="2.0000000000000009"/>
    <m/>
    <m/>
    <x v="1"/>
    <n v="5"/>
    <m/>
    <m/>
    <m/>
    <m/>
    <m/>
    <m/>
    <m/>
    <m/>
    <m/>
    <m/>
  </r>
  <r>
    <d v="2025-08-01T00:00:00"/>
    <d v="2025-08-20T00:00:00"/>
    <s v="الاربعاء "/>
    <s v="أوفيس مكس"/>
    <s v="مصطفى سليم  "/>
    <s v="تركيبات "/>
    <s v="تم العمل"/>
    <d v="1899-12-30T10:00:00"/>
    <d v="1899-12-30T20:00:00"/>
    <n v="0.41666666666666669"/>
    <s v="البرج"/>
    <n v="10"/>
    <m/>
    <m/>
    <x v="3"/>
    <n v="5"/>
    <m/>
    <m/>
    <m/>
    <m/>
    <m/>
    <m/>
    <m/>
    <m/>
    <m/>
    <m/>
  </r>
  <r>
    <d v="2025-08-01T00:00:00"/>
    <d v="2025-08-20T00:00:00"/>
    <s v="الاربعاء "/>
    <s v="شركة جلوب ويل "/>
    <s v="اسلام  مليجى "/>
    <s v="تغيير فلتر "/>
    <s v="تم العمل"/>
    <d v="1899-12-30T13:00:00"/>
    <d v="1899-12-30T15:00:00"/>
    <n v="8.333333333333337E-2"/>
    <s v="المخزن الجديد "/>
    <n v="2.0000000000000009"/>
    <m/>
    <m/>
    <x v="1"/>
    <n v="5"/>
    <m/>
    <m/>
    <m/>
    <m/>
    <m/>
    <m/>
    <m/>
    <m/>
    <m/>
    <m/>
  </r>
  <r>
    <d v="2025-08-01T00:00:00"/>
    <d v="2025-08-20T00:00:00"/>
    <s v="الاربعاء "/>
    <s v="شركة الهدى "/>
    <s v="محسن عبد الباسط  "/>
    <s v="لحام تسريب  تنك  للاحبار "/>
    <s v="تم العمل"/>
    <d v="1899-12-30T14:00:00"/>
    <d v="1899-12-30T17:00:00"/>
    <n v="0.125"/>
    <s v="المخزن القديم "/>
    <n v="3"/>
    <m/>
    <m/>
    <x v="9"/>
    <n v="5"/>
    <m/>
    <m/>
    <m/>
    <m/>
    <m/>
    <m/>
    <m/>
    <m/>
    <m/>
    <m/>
  </r>
  <r>
    <d v="2025-08-01T00:00:00"/>
    <d v="2025-08-20T00:00:00"/>
    <s v="الاربعاء "/>
    <s v="الشؤون الادارية "/>
    <s v="أحمد سعيد "/>
    <s v="عمل صرف للتكيفات "/>
    <s v="تم العمل"/>
    <d v="1899-12-30T11:00:00"/>
    <d v="1899-12-30T17:00:00"/>
    <n v="0.25000000000000006"/>
    <s v="المخزن القديم "/>
    <n v="6.0000000000000018"/>
    <m/>
    <m/>
    <x v="9"/>
    <n v="5"/>
    <m/>
    <m/>
    <m/>
    <m/>
    <m/>
    <m/>
    <m/>
    <m/>
    <m/>
    <m/>
  </r>
  <r>
    <d v="2025-08-01T00:00:00"/>
    <d v="2025-08-21T00:00:00"/>
    <s v="الخميس "/>
    <s v="الشركة المصرية "/>
    <s v="مصطغى  عماد "/>
    <s v=" تركيب خط الفايبر  فى غرفة السيرفر"/>
    <s v="تم العمل"/>
    <d v="1899-12-30T12:00:00"/>
    <d v="1899-12-30T15:00:00"/>
    <n v="0.125"/>
    <s v="المطابع "/>
    <n v="3"/>
    <m/>
    <m/>
    <x v="2"/>
    <n v="5"/>
    <m/>
    <m/>
    <m/>
    <m/>
    <m/>
    <m/>
    <m/>
    <m/>
    <m/>
    <m/>
  </r>
  <r>
    <d v="2025-08-01T00:00:00"/>
    <d v="2025-08-21T00:00:00"/>
    <s v="الخميس "/>
    <s v="الشؤون الادارية "/>
    <s v="أحمد سعيد "/>
    <s v="عمل صرف للتكيفات "/>
    <s v="تم العمل"/>
    <d v="1899-12-30T10:00:00"/>
    <d v="1899-12-30T17:00:00"/>
    <n v="0.29166666666666669"/>
    <s v="المخزن القديم "/>
    <n v="7"/>
    <m/>
    <m/>
    <x v="0"/>
    <n v="5"/>
    <m/>
    <m/>
    <m/>
    <m/>
    <m/>
    <m/>
    <m/>
    <m/>
    <m/>
    <m/>
  </r>
  <r>
    <d v="2025-08-01T00:00:00"/>
    <d v="2025-08-21T00:00:00"/>
    <s v="الخميس "/>
    <s v="شركة الهدى "/>
    <s v="محسن عبد الباسط  "/>
    <s v="صيانة تنكات الاحبار "/>
    <s v="تم العمل"/>
    <d v="1899-12-30T15:00:00"/>
    <d v="1899-12-30T17:00:00"/>
    <n v="8.333333333333337E-2"/>
    <s v="المخزن القديم "/>
    <n v="2.0000000000000009"/>
    <m/>
    <m/>
    <x v="0"/>
    <n v="5"/>
    <m/>
    <m/>
    <m/>
    <m/>
    <m/>
    <m/>
    <m/>
    <m/>
    <m/>
    <m/>
  </r>
  <r>
    <d v="2025-08-01T00:00:00"/>
    <d v="2025-08-21T00:00:00"/>
    <s v="الخميس "/>
    <s v="الشؤون الادارية "/>
    <s v="محمود الدروى"/>
    <s v="صيانة تكييف "/>
    <s v="تم العمل"/>
    <d v="1899-12-30T13:00:00"/>
    <d v="1899-12-30T16:00:00"/>
    <n v="0.125"/>
    <s v="المخزن القديم "/>
    <n v="3"/>
    <m/>
    <m/>
    <x v="0"/>
    <n v="5"/>
    <m/>
    <m/>
    <m/>
    <m/>
    <m/>
    <m/>
    <m/>
    <m/>
    <m/>
    <m/>
  </r>
  <r>
    <d v="2025-08-01T00:00:00"/>
    <d v="2025-08-21T00:00:00"/>
    <s v="الخميس "/>
    <s v="الشركة الالمانية "/>
    <s v="محمد ماهر    "/>
    <s v="الزيارة الشهرية لمكافحة القوارض والحشرات "/>
    <s v="تم العمل"/>
    <d v="1899-12-30T16:30:00"/>
    <d v="1899-12-30T17:30:00"/>
    <n v="4.166666666666663E-2"/>
    <s v="الفجالة"/>
    <n v="0.99999999999999911"/>
    <m/>
    <m/>
    <x v="11"/>
    <n v="5"/>
    <m/>
    <m/>
    <m/>
    <m/>
    <m/>
    <m/>
    <m/>
    <m/>
    <m/>
    <m/>
  </r>
  <r>
    <d v="2025-08-01T00:00:00"/>
    <d v="2025-08-21T00:00:00"/>
    <s v="الخميس "/>
    <s v="الشركة المصرية "/>
    <s v="سيد ممدوح  "/>
    <s v="صيانة اجهزة التكييف فى المبنى الادارى  "/>
    <s v="تم العمل"/>
    <d v="1899-12-30T13:30:00"/>
    <d v="1899-12-30T15:00:00"/>
    <n v="6.25E-2"/>
    <s v="الفجالة"/>
    <n v="1.5"/>
    <m/>
    <m/>
    <x v="11"/>
    <n v="5"/>
    <m/>
    <m/>
    <m/>
    <m/>
    <m/>
    <m/>
    <m/>
    <m/>
    <m/>
    <m/>
  </r>
  <r>
    <d v="2025-08-01T00:00:00"/>
    <d v="2025-08-21T00:00:00"/>
    <s v="الخميس "/>
    <s v="الشركة المصرية "/>
    <s v="على الشحات  "/>
    <s v="الزيارة الشهرية لشركة الكريم شبكة الانزار "/>
    <s v="تم العمل"/>
    <d v="1899-12-30T13:30:00"/>
    <d v="1899-12-30T23:30:00"/>
    <n v="0.41666666666666663"/>
    <s v="الفجالة"/>
    <n v="10"/>
    <m/>
    <m/>
    <x v="11"/>
    <n v="5"/>
    <m/>
    <m/>
    <m/>
    <m/>
    <m/>
    <m/>
    <m/>
    <m/>
    <m/>
    <m/>
  </r>
  <r>
    <d v="2025-08-01T00:00:00"/>
    <d v="2025-08-23T00:00:00"/>
    <s v="السبت "/>
    <s v="أوفيس مكس"/>
    <s v="مصطفى سليم  "/>
    <s v="تركيبات "/>
    <s v="تم العمل"/>
    <d v="1899-12-30T12:00:00"/>
    <d v="1899-12-30T18:00:00"/>
    <n v="0.25"/>
    <s v="البرج"/>
    <n v="6"/>
    <m/>
    <m/>
    <x v="3"/>
    <n v="5"/>
    <m/>
    <m/>
    <m/>
    <m/>
    <m/>
    <m/>
    <m/>
    <m/>
    <m/>
    <m/>
  </r>
  <r>
    <d v="2025-08-01T00:00:00"/>
    <d v="2025-08-23T00:00:00"/>
    <s v="السبت "/>
    <s v="شركة اوزوريون "/>
    <s v="مصطفى سليم  "/>
    <s v="تركيبات "/>
    <s v="تم العمل"/>
    <d v="1899-12-30T15:00:00"/>
    <d v="1899-12-30T18:00:00"/>
    <n v="0.125"/>
    <s v="البرج"/>
    <n v="3"/>
    <m/>
    <m/>
    <x v="3"/>
    <n v="5"/>
    <m/>
    <m/>
    <m/>
    <m/>
    <m/>
    <m/>
    <m/>
    <m/>
    <m/>
    <m/>
  </r>
  <r>
    <d v="2025-08-01T00:00:00"/>
    <d v="2025-08-23T00:00:00"/>
    <s v="السبت "/>
    <s v="الشؤون الادارية "/>
    <s v="ياسر روبى  "/>
    <s v="اعمال تركيب انتر لك "/>
    <s v="تم العمل"/>
    <d v="1899-12-30T10:00:00"/>
    <d v="1899-12-30T16:00:00"/>
    <n v="0.24999999999999994"/>
    <s v="المخزن الجديد "/>
    <n v="5.9999999999999982"/>
    <m/>
    <m/>
    <x v="1"/>
    <n v="5"/>
    <m/>
    <m/>
    <m/>
    <m/>
    <m/>
    <m/>
    <m/>
    <m/>
    <m/>
    <m/>
  </r>
  <r>
    <d v="2025-08-01T00:00:00"/>
    <d v="2025-08-24T00:00:00"/>
    <s v="الاحد "/>
    <s v="شركة الهدى "/>
    <s v="ايمن محمد كامل   "/>
    <s v="لحام تسريب  تنك  للاحبار "/>
    <s v="تم العمل"/>
    <d v="1899-12-30T14:00:00"/>
    <d v="1899-12-30T17:00:00"/>
    <n v="0.125"/>
    <s v="المخزن القديم "/>
    <n v="3"/>
    <m/>
    <m/>
    <x v="9"/>
    <n v="5"/>
    <m/>
    <m/>
    <m/>
    <m/>
    <m/>
    <m/>
    <m/>
    <m/>
    <m/>
    <m/>
  </r>
  <r>
    <d v="2025-08-01T00:00:00"/>
    <d v="2025-08-25T00:00:00"/>
    <s v="الاثنين "/>
    <s v="شركة شلاندر "/>
    <s v="محمد عابد    "/>
    <s v="صيانة الاسانسير  "/>
    <s v="تم العمل"/>
    <d v="1899-12-30T11:00:00"/>
    <d v="1899-12-30T12:00:00"/>
    <n v="4.1666666666666685E-2"/>
    <s v="المطابع "/>
    <n v="1.0000000000000004"/>
    <m/>
    <m/>
    <x v="2"/>
    <n v="5"/>
    <m/>
    <m/>
    <m/>
    <m/>
    <m/>
    <m/>
    <m/>
    <m/>
    <m/>
    <m/>
  </r>
  <r>
    <d v="2025-08-01T00:00:00"/>
    <d v="2025-08-25T00:00:00"/>
    <s v="الاثنين "/>
    <s v="شركة الهدى "/>
    <s v="اسلام مصطفى  "/>
    <s v="صيانة ماكينة CTB"/>
    <s v="تم العمل"/>
    <d v="1899-12-30T13:00:00"/>
    <d v="1899-12-30T16:00:00"/>
    <n v="0.125"/>
    <s v="المطابع "/>
    <n v="3"/>
    <m/>
    <m/>
    <x v="2"/>
    <n v="5"/>
    <m/>
    <m/>
    <m/>
    <m/>
    <m/>
    <m/>
    <m/>
    <m/>
    <m/>
    <m/>
  </r>
  <r>
    <d v="2025-08-01T00:00:00"/>
    <d v="2025-08-25T00:00:00"/>
    <s v="الاثنين "/>
    <s v="شركة اوزوريون "/>
    <s v="عبد الفتاح خضير  "/>
    <s v="سقى بلاط المطبخ "/>
    <s v="تم العمل"/>
    <d v="1899-12-30T17:30:00"/>
    <d v="1899-12-30T22:00:00"/>
    <n v="0.1875"/>
    <s v="المطابع "/>
    <n v="4.5"/>
    <m/>
    <m/>
    <x v="5"/>
    <n v="5"/>
    <m/>
    <m/>
    <m/>
    <m/>
    <m/>
    <m/>
    <m/>
    <m/>
    <m/>
    <m/>
  </r>
  <r>
    <d v="2025-08-01T00:00:00"/>
    <d v="2025-08-25T00:00:00"/>
    <s v="الاثنين "/>
    <s v="شركة الهدى "/>
    <s v="محسن عبد الباسط  "/>
    <s v="لحام تسريب  تنك  للاحبار "/>
    <s v="تم العمل"/>
    <d v="1899-12-30T10:00:00"/>
    <d v="1899-12-30T17:00:00"/>
    <n v="0.29166666666666669"/>
    <s v="المخزن القديم "/>
    <n v="7"/>
    <m/>
    <m/>
    <x v="9"/>
    <n v="5"/>
    <m/>
    <m/>
    <m/>
    <m/>
    <m/>
    <m/>
    <m/>
    <m/>
    <m/>
    <m/>
  </r>
  <r>
    <d v="2025-08-01T00:00:00"/>
    <d v="2025-08-25T00:00:00"/>
    <s v="الاثنين "/>
    <s v="الشركة الالمانية "/>
    <s v="كامل  جمعة    "/>
    <s v="الزيارة الشهرية لمكافحة القوارض والحشرات "/>
    <s v="تم العمل"/>
    <d v="1899-12-30T15:00:00"/>
    <d v="1899-12-30T17:00:00"/>
    <n v="8.333333333333337E-2"/>
    <s v="المطابع "/>
    <n v="2.0000000000000009"/>
    <m/>
    <m/>
    <x v="2"/>
    <n v="5"/>
    <m/>
    <m/>
    <m/>
    <m/>
    <m/>
    <m/>
    <m/>
    <m/>
    <m/>
    <m/>
  </r>
  <r>
    <d v="2025-08-01T00:00:00"/>
    <d v="2025-08-25T00:00:00"/>
    <s v="الاثنين "/>
    <s v="شركة المتحدة"/>
    <s v="اجمد فتحى "/>
    <s v="صيانة الاساسنسير "/>
    <s v="تم العمل"/>
    <d v="1899-12-30T14:00:00"/>
    <d v="1899-12-30T14:30:00"/>
    <n v="2.0833333333333259E-2"/>
    <s v="الفجالة"/>
    <n v="0.49999999999999822"/>
    <m/>
    <m/>
    <x v="11"/>
    <n v="5"/>
    <m/>
    <m/>
    <m/>
    <m/>
    <m/>
    <m/>
    <m/>
    <m/>
    <m/>
    <m/>
  </r>
  <r>
    <d v="2025-08-01T00:00:00"/>
    <d v="2025-08-26T00:00:00"/>
    <s v="الثلاثاء "/>
    <s v="الشؤون الادارية "/>
    <s v="محمود عويس  "/>
    <s v="صيانة تكييف ماكينة ATM "/>
    <s v="تم العمل"/>
    <d v="1899-12-30T13:00:00"/>
    <d v="1899-12-30T15:00:00"/>
    <n v="8.333333333333337E-2"/>
    <s v="المطابع "/>
    <n v="2.0000000000000009"/>
    <m/>
    <m/>
    <x v="2"/>
    <n v="5"/>
    <m/>
    <m/>
    <m/>
    <m/>
    <m/>
    <m/>
    <m/>
    <m/>
    <m/>
    <m/>
  </r>
  <r>
    <d v="2025-08-01T00:00:00"/>
    <d v="2025-08-26T00:00:00"/>
    <s v="الثلاثاء "/>
    <s v="شركة الهدى "/>
    <s v="محسن عبد الباسط  "/>
    <s v="لحام تسريب  تنك  للاحبار "/>
    <s v="تم العمل"/>
    <d v="1899-12-30T16:00:00"/>
    <d v="1899-12-30T17:00:00"/>
    <n v="4.1666666666666741E-2"/>
    <s v="المخزن القديم "/>
    <n v="1.0000000000000018"/>
    <m/>
    <m/>
    <x v="9"/>
    <n v="5"/>
    <m/>
    <m/>
    <m/>
    <m/>
    <m/>
    <m/>
    <m/>
    <m/>
    <m/>
    <m/>
  </r>
  <r>
    <d v="2025-08-01T00:00:00"/>
    <d v="2025-08-31T00:00:00"/>
    <s v="الاحد "/>
    <s v="شركة الاسكندرية"/>
    <s v="احمد حسين "/>
    <s v="صيانة سقف عنبر 2"/>
    <s v="تم العمل"/>
    <d v="1899-12-30T11:00:00"/>
    <d v="1899-12-30T15:30:00"/>
    <n v="0.18750000000000006"/>
    <s v="دويتش "/>
    <n v="4.5000000000000018"/>
    <m/>
    <m/>
    <x v="6"/>
    <n v="4"/>
    <m/>
    <m/>
    <m/>
    <m/>
    <m/>
    <m/>
    <m/>
    <m/>
    <m/>
    <m/>
  </r>
  <r>
    <d v="2025-08-01T00:00:00"/>
    <d v="2025-08-31T00:00:00"/>
    <s v="الاحد "/>
    <s v="الشئون الادارية"/>
    <s v="محمود ابوشادي"/>
    <s v="دهان طرقة المسجد"/>
    <s v="تم العمل"/>
    <d v="1899-12-30T11:30:00"/>
    <d v="1899-12-30T16:00:00"/>
    <n v="0.18749999999999994"/>
    <s v="المطابع "/>
    <n v="4.4999999999999982"/>
    <m/>
    <m/>
    <x v="0"/>
    <n v="4"/>
    <m/>
    <m/>
    <m/>
    <m/>
    <m/>
    <m/>
    <m/>
    <m/>
    <m/>
    <m/>
  </r>
  <r>
    <d v="2025-08-01T00:00:00"/>
    <d v="2025-08-31T00:00:00"/>
    <s v="الاحد "/>
    <s v="شركة الهدي "/>
    <s v="محسن عبد الباسط  "/>
    <s v="لحام تسريب  تانك الاحبار"/>
    <s v="تم العمل"/>
    <d v="1899-12-30T16:00:00"/>
    <d v="1899-12-30T21:00:00"/>
    <n v="0.20833333333333337"/>
    <s v="المخزن القديم "/>
    <n v="5.0000000000000009"/>
    <m/>
    <m/>
    <x v="9"/>
    <n v="5"/>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r>
    <m/>
    <m/>
    <m/>
    <m/>
    <m/>
    <m/>
    <m/>
    <m/>
    <m/>
    <m/>
    <m/>
    <m/>
    <m/>
    <m/>
    <x v="15"/>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BDCB26-C0A6-4F46-BC04-3A29F502952D}" name="PivotTable11" cacheId="2" applyNumberFormats="0" applyBorderFormats="0" applyFontFormats="0" applyPatternFormats="0" applyAlignmentFormats="0" applyWidthHeightFormats="1" dataCaption="Values" updatedVersion="7" minRefreshableVersion="3" useAutoFormatting="1" rowGrandTotals="0" colGrandTotals="0" itemPrintTitles="1" createdVersion="8" indent="0" compact="0" compactData="0" multipleFieldFilters="0" chartFormat="1">
  <location ref="A3:C32" firstHeaderRow="1" firstDataRow="1" firstDataCol="2"/>
  <pivotFields count="3">
    <pivotField axis="axisRow" compact="0" numFmtId="17" outline="0" showAll="0" defaultSubtotal="0">
      <items count="9">
        <item x="0"/>
        <item x="1"/>
        <item x="2"/>
        <item x="3"/>
        <item x="4"/>
        <item x="5"/>
        <item x="6"/>
        <item x="7"/>
        <item x="8"/>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3"/>
        <item x="1"/>
        <item x="2"/>
        <item x="4"/>
        <item x="5"/>
      </items>
      <extLst>
        <ext xmlns:x14="http://schemas.microsoft.com/office/spreadsheetml/2009/9/main" uri="{2946ED86-A175-432a-8AC1-64E0C546D7DE}">
          <x14:pivotField fillDownLabels="1"/>
        </ext>
      </extLst>
    </pivotField>
  </pivotFields>
  <rowFields count="2">
    <field x="2"/>
    <field x="0"/>
  </rowFields>
  <rowItems count="29">
    <i>
      <x/>
      <x/>
    </i>
    <i r="1">
      <x v="1"/>
    </i>
    <i r="1">
      <x v="2"/>
    </i>
    <i r="1">
      <x v="3"/>
    </i>
    <i r="1">
      <x v="4"/>
    </i>
    <i r="1">
      <x v="5"/>
    </i>
    <i r="1">
      <x v="6"/>
    </i>
    <i r="1">
      <x v="7"/>
    </i>
    <i>
      <x v="1"/>
      <x/>
    </i>
    <i r="1">
      <x v="1"/>
    </i>
    <i r="1">
      <x v="2"/>
    </i>
    <i r="1">
      <x v="3"/>
    </i>
    <i r="1">
      <x v="4"/>
    </i>
    <i r="1">
      <x v="5"/>
    </i>
    <i r="1">
      <x v="6"/>
    </i>
    <i r="1">
      <x v="7"/>
    </i>
    <i>
      <x v="2"/>
      <x v="1"/>
    </i>
    <i r="1">
      <x v="2"/>
    </i>
    <i r="1">
      <x v="3"/>
    </i>
    <i r="1">
      <x v="4"/>
    </i>
    <i r="1">
      <x v="5"/>
    </i>
    <i r="1">
      <x v="6"/>
    </i>
    <i r="1">
      <x v="7"/>
    </i>
    <i>
      <x v="3"/>
      <x v="1"/>
    </i>
    <i r="1">
      <x v="2"/>
    </i>
    <i r="1">
      <x v="7"/>
    </i>
    <i>
      <x v="4"/>
      <x v="2"/>
    </i>
    <i r="1">
      <x v="4"/>
    </i>
    <i>
      <x v="5"/>
      <x v="8"/>
    </i>
  </rowItems>
  <colItems count="1">
    <i/>
  </colItems>
  <dataFields count="1">
    <dataField name="Sum of اجمالي الساعات "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CF7BE8-8A01-4A35-A429-35A44FD747DE}" name="PivotTable1" cacheId="1" applyNumberFormats="0" applyBorderFormats="0" applyFontFormats="0" applyPatternFormats="0" applyAlignmentFormats="0" applyWidthHeightFormats="1" dataCaption="القيم" updatedVersion="7" minRefreshableVersion="5" useAutoFormatting="1" itemPrintTitles="1" createdVersion="8" indent="0" outline="1" outlineData="1" multipleFieldFilters="0" chartFormat="2">
  <location ref="A3:B43" firstHeaderRow="1" firstDataRow="1" firstDataCol="1" rowPageCount="1" colPageCount="1"/>
  <pivotFields count="12">
    <pivotField showAll="0">
      <items count="20">
        <item m="1" x="15"/>
        <item m="1" x="12"/>
        <item m="1" x="16"/>
        <item m="1" x="13"/>
        <item m="1" x="11"/>
        <item m="1" x="10"/>
        <item m="1" x="9"/>
        <item m="1" x="8"/>
        <item m="1" x="7"/>
        <item m="1" x="6"/>
        <item m="1" x="5"/>
        <item m="1" x="18"/>
        <item m="1" x="17"/>
        <item m="1" x="14"/>
        <item x="0"/>
        <item x="1"/>
        <item x="2"/>
        <item x="3"/>
        <item x="4"/>
        <item t="default"/>
      </items>
    </pivotField>
    <pivotField showAll="0"/>
    <pivotField showAll="0"/>
    <pivotField axis="axisRow" showAll="0">
      <items count="82">
        <item m="1" x="46"/>
        <item m="1" x="56"/>
        <item m="1" x="70"/>
        <item m="1" x="78"/>
        <item x="7"/>
        <item x="5"/>
        <item m="1" x="48"/>
        <item m="1" x="40"/>
        <item m="1" x="67"/>
        <item x="6"/>
        <item m="1" x="39"/>
        <item m="1" x="49"/>
        <item m="1" x="71"/>
        <item m="1" x="45"/>
        <item x="17"/>
        <item m="1" x="50"/>
        <item m="1" x="74"/>
        <item m="1" x="42"/>
        <item m="1" x="54"/>
        <item x="1"/>
        <item m="1" x="44"/>
        <item m="1" x="51"/>
        <item m="1" x="37"/>
        <item m="1" x="57"/>
        <item m="1" x="62"/>
        <item x="18"/>
        <item m="1" x="63"/>
        <item m="1" x="65"/>
        <item m="1" x="43"/>
        <item m="1" x="72"/>
        <item m="1" x="38"/>
        <item f="1" x="64"/>
        <item f="1" x="47"/>
        <item m="1" x="76"/>
        <item m="1" x="80"/>
        <item m="1" x="77"/>
        <item m="1" x="59"/>
        <item m="1" x="53"/>
        <item x="11"/>
        <item m="1" x="75"/>
        <item m="1" x="52"/>
        <item x="35"/>
        <item m="1" x="68"/>
        <item x="9"/>
        <item m="1" x="69"/>
        <item x="4"/>
        <item m="1" x="60"/>
        <item x="12"/>
        <item m="1" x="58"/>
        <item m="1" x="66"/>
        <item m="1" x="55"/>
        <item m="1" x="61"/>
        <item x="26"/>
        <item m="1" x="73"/>
        <item m="1" x="79"/>
        <item m="1" x="41"/>
        <item x="13"/>
        <item x="15"/>
        <item x="16"/>
        <item x="19"/>
        <item x="20"/>
        <item x="3"/>
        <item x="21"/>
        <item x="0"/>
        <item x="22"/>
        <item x="23"/>
        <item x="24"/>
        <item x="25"/>
        <item x="27"/>
        <item x="28"/>
        <item x="29"/>
        <item x="30"/>
        <item x="31"/>
        <item x="32"/>
        <item x="33"/>
        <item x="34"/>
        <item x="36"/>
        <item x="10"/>
        <item x="2"/>
        <item x="8"/>
        <item x="14"/>
        <item t="default"/>
      </items>
    </pivotField>
    <pivotField showAll="0"/>
    <pivotField showAll="0"/>
    <pivotField showAll="0"/>
    <pivotField showAll="0"/>
    <pivotField showAll="0"/>
    <pivotField showAll="0"/>
    <pivotField axis="axisPage" showAll="0">
      <items count="13">
        <item x="6"/>
        <item m="1" x="8"/>
        <item m="1" x="9"/>
        <item m="1" x="10"/>
        <item x="4"/>
        <item m="1" x="7"/>
        <item m="1" x="11"/>
        <item x="2"/>
        <item x="5"/>
        <item x="3"/>
        <item x="0"/>
        <item x="1"/>
        <item t="default"/>
      </items>
    </pivotField>
    <pivotField dataField="1" numFmtId="169" showAll="0"/>
  </pivotFields>
  <rowFields count="1">
    <field x="3"/>
  </rowFields>
  <rowItems count="40">
    <i>
      <x v="4"/>
    </i>
    <i>
      <x v="5"/>
    </i>
    <i>
      <x v="9"/>
    </i>
    <i>
      <x v="14"/>
    </i>
    <i>
      <x v="19"/>
    </i>
    <i>
      <x v="25"/>
    </i>
    <i>
      <x v="31"/>
    </i>
    <i>
      <x v="32"/>
    </i>
    <i>
      <x v="38"/>
    </i>
    <i>
      <x v="41"/>
    </i>
    <i>
      <x v="43"/>
    </i>
    <i>
      <x v="45"/>
    </i>
    <i>
      <x v="47"/>
    </i>
    <i>
      <x v="52"/>
    </i>
    <i>
      <x v="56"/>
    </i>
    <i>
      <x v="57"/>
    </i>
    <i>
      <x v="58"/>
    </i>
    <i>
      <x v="59"/>
    </i>
    <i>
      <x v="60"/>
    </i>
    <i>
      <x v="61"/>
    </i>
    <i>
      <x v="62"/>
    </i>
    <i>
      <x v="63"/>
    </i>
    <i>
      <x v="64"/>
    </i>
    <i>
      <x v="65"/>
    </i>
    <i>
      <x v="66"/>
    </i>
    <i>
      <x v="67"/>
    </i>
    <i>
      <x v="68"/>
    </i>
    <i>
      <x v="69"/>
    </i>
    <i>
      <x v="70"/>
    </i>
    <i>
      <x v="71"/>
    </i>
    <i>
      <x v="72"/>
    </i>
    <i>
      <x v="73"/>
    </i>
    <i>
      <x v="74"/>
    </i>
    <i>
      <x v="75"/>
    </i>
    <i>
      <x v="76"/>
    </i>
    <i>
      <x v="77"/>
    </i>
    <i>
      <x v="78"/>
    </i>
    <i>
      <x v="79"/>
    </i>
    <i>
      <x v="80"/>
    </i>
    <i t="grand">
      <x/>
    </i>
  </rowItems>
  <colItems count="1">
    <i/>
  </colItems>
  <pageFields count="1">
    <pageField fld="10" hier="-1"/>
  </pageFields>
  <dataFields count="1">
    <dataField name="مجموع من إجمالي ساعات العمل" fld="11" baseField="0" baseItem="0"/>
  </dataFields>
  <formats count="6">
    <format dxfId="131">
      <pivotArea field="10" type="button" dataOnly="0" labelOnly="1" outline="0" axis="axisPage" fieldPosition="0"/>
    </format>
    <format dxfId="130">
      <pivotArea dataOnly="0" labelOnly="1" outline="0" axis="axisValues" fieldPosition="0"/>
    </format>
    <format dxfId="129">
      <pivotArea dataOnly="0" labelOnly="1" fieldPosition="0">
        <references count="1">
          <reference field="10" count="5">
            <x v="0"/>
            <x v="1"/>
            <x v="2"/>
            <x v="3"/>
            <x v="4"/>
          </reference>
        </references>
      </pivotArea>
    </format>
    <format dxfId="128">
      <pivotArea grandRow="1" outline="0" collapsedLevelsAreSubtotals="1" fieldPosition="0"/>
    </format>
    <format dxfId="127">
      <pivotArea dataOnly="0" labelOnly="1" grandRow="1" outline="0" fieldPosition="0"/>
    </format>
    <format dxfId="126">
      <pivotArea collapsedLevelsAreSubtotals="1" fieldPosition="0">
        <references count="1">
          <reference field="10" count="5">
            <x v="0"/>
            <x v="1"/>
            <x v="2"/>
            <x v="3"/>
            <x v="4"/>
          </reference>
        </references>
      </pivotArea>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FDAED0-0FF0-45E7-AEA5-90AD436151E0}" name="PivotTable1" cacheId="1" applyNumberFormats="0" applyBorderFormats="0" applyFontFormats="0" applyPatternFormats="0" applyAlignmentFormats="0" applyWidthHeightFormats="1" dataCaption="القيم" updatedVersion="7" minRefreshableVersion="5" useAutoFormatting="1" itemPrintTitles="1" createdVersion="8" indent="0" outline="1" outlineData="1" multipleFieldFilters="0" chartFormat="1">
  <location ref="A3:B6" firstHeaderRow="1" firstDataRow="1" firstDataCol="1" rowPageCount="1" colPageCount="1"/>
  <pivotFields count="12">
    <pivotField axis="axisPage" multipleItemSelectionAllowed="1" showAll="0">
      <items count="20">
        <item h="1" m="1" x="15"/>
        <item h="1" m="1" x="12"/>
        <item h="1" m="1" x="16"/>
        <item h="1" m="1" x="13"/>
        <item h="1" m="1" x="11"/>
        <item h="1" m="1" x="10"/>
        <item h="1" m="1" x="9"/>
        <item h="1" m="1" x="8"/>
        <item h="1" m="1" x="7"/>
        <item h="1" m="1" x="6"/>
        <item h="1" m="1" x="5"/>
        <item h="1" m="1" x="18"/>
        <item h="1" m="1" x="17"/>
        <item m="1" x="14"/>
        <item h="1" x="0"/>
        <item h="1" x="1"/>
        <item h="1" x="2"/>
        <item h="1" x="3"/>
        <item h="1" x="4"/>
        <item t="default"/>
      </items>
    </pivotField>
    <pivotField showAll="0"/>
    <pivotField showAll="0"/>
    <pivotField axis="axisRow" showAll="0">
      <items count="82">
        <item m="1" x="46"/>
        <item m="1" x="56"/>
        <item m="1" x="70"/>
        <item m="1" x="78"/>
        <item x="7"/>
        <item x="5"/>
        <item m="1" x="48"/>
        <item m="1" x="40"/>
        <item m="1" x="67"/>
        <item x="6"/>
        <item m="1" x="39"/>
        <item m="1" x="49"/>
        <item m="1" x="71"/>
        <item m="1" x="45"/>
        <item x="17"/>
        <item m="1" x="50"/>
        <item m="1" x="74"/>
        <item m="1" x="42"/>
        <item m="1" x="54"/>
        <item x="1"/>
        <item m="1" x="44"/>
        <item m="1" x="51"/>
        <item m="1" x="37"/>
        <item m="1" x="57"/>
        <item m="1" x="62"/>
        <item x="18"/>
        <item m="1" x="63"/>
        <item m="1" x="65"/>
        <item m="1" x="43"/>
        <item f="1" x="64"/>
        <item f="1" x="47"/>
        <item m="1" x="72"/>
        <item m="1" x="38"/>
        <item m="1" x="76"/>
        <item m="1" x="80"/>
        <item m="1" x="77"/>
        <item m="1" x="59"/>
        <item m="1" x="53"/>
        <item x="11"/>
        <item m="1" x="75"/>
        <item m="1" x="52"/>
        <item x="35"/>
        <item m="1" x="68"/>
        <item x="9"/>
        <item m="1" x="69"/>
        <item x="4"/>
        <item m="1" x="60"/>
        <item x="12"/>
        <item m="1" x="58"/>
        <item m="1" x="66"/>
        <item m="1" x="55"/>
        <item m="1" x="61"/>
        <item x="26"/>
        <item m="1" x="73"/>
        <item m="1" x="79"/>
        <item m="1" x="41"/>
        <item x="13"/>
        <item x="15"/>
        <item x="16"/>
        <item x="19"/>
        <item x="20"/>
        <item x="3"/>
        <item x="21"/>
        <item x="0"/>
        <item x="22"/>
        <item x="23"/>
        <item x="24"/>
        <item x="25"/>
        <item x="27"/>
        <item x="28"/>
        <item x="29"/>
        <item x="30"/>
        <item x="31"/>
        <item x="32"/>
        <item x="33"/>
        <item x="34"/>
        <item x="36"/>
        <item x="10"/>
        <item x="2"/>
        <item x="8"/>
        <item x="14"/>
        <item t="default"/>
      </items>
    </pivotField>
    <pivotField showAll="0"/>
    <pivotField showAll="0"/>
    <pivotField showAll="0"/>
    <pivotField showAll="0"/>
    <pivotField showAll="0"/>
    <pivotField showAll="0"/>
    <pivotField showAll="0">
      <items count="13">
        <item x="6"/>
        <item m="1" x="8"/>
        <item m="1" x="9"/>
        <item m="1" x="10"/>
        <item x="4"/>
        <item m="1" x="7"/>
        <item m="1" x="11"/>
        <item x="2"/>
        <item x="5"/>
        <item x="3"/>
        <item x="0"/>
        <item x="1"/>
        <item t="default"/>
      </items>
    </pivotField>
    <pivotField dataField="1" numFmtId="169" showAll="0"/>
  </pivotFields>
  <rowFields count="1">
    <field x="3"/>
  </rowFields>
  <rowItems count="3">
    <i>
      <x v="29"/>
    </i>
    <i>
      <x v="30"/>
    </i>
    <i t="grand">
      <x/>
    </i>
  </rowItems>
  <colItems count="1">
    <i/>
  </colItems>
  <pageFields count="1">
    <pageField fld="0" hier="-1"/>
  </pageFields>
  <dataFields count="1">
    <dataField name="مجموع من إجمالي ساعات العمل" fld="11" baseField="0" baseItem="0"/>
  </dataFields>
  <formats count="5">
    <format dxfId="125">
      <pivotArea field="10" type="button" dataOnly="0" labelOnly="1" outline="0"/>
    </format>
    <format dxfId="124">
      <pivotArea dataOnly="0" labelOnly="1" outline="0" axis="axisValues" fieldPosition="0"/>
    </format>
    <format dxfId="123">
      <pivotArea grandRow="1" outline="0" collapsedLevelsAreSubtotals="1" fieldPosition="0"/>
    </format>
    <format dxfId="122">
      <pivotArea dataOnly="0" labelOnly="1" grandRow="1" outline="0" fieldPosition="0"/>
    </format>
    <format dxfId="121">
      <pivotArea type="all" dataOnly="0" outline="0" fieldPosition="0"/>
    </format>
  </formats>
  <chartFormats count="2">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D05630-6186-4B3B-99D3-77EB83D7D15C}" name="PivotTable1" cacheId="3" applyNumberFormats="0" applyBorderFormats="0" applyFontFormats="0" applyPatternFormats="0" applyAlignmentFormats="0" applyWidthHeightFormats="1" dataCaption="القيم" updatedVersion="7" minRefreshableVersion="5" useAutoFormatting="1" itemPrintTitles="1" createdVersion="8" indent="0" outline="1" outlineData="1" multipleFieldFilters="0" chartFormat="2">
  <location ref="A3:H16" firstHeaderRow="1" firstDataRow="2" firstDataCol="1" rowPageCount="1" colPageCount="1"/>
  <pivotFields count="12">
    <pivotField axis="axisPage" multipleItemSelectionAllowed="1" showAll="0">
      <items count="34">
        <item m="1" x="29"/>
        <item m="1" x="26"/>
        <item m="1" x="30"/>
        <item m="1" x="27"/>
        <item m="1" x="25"/>
        <item m="1" x="24"/>
        <item m="1" x="23"/>
        <item m="1" x="22"/>
        <item m="1" x="21"/>
        <item m="1" x="20"/>
        <item h="1" x="18"/>
        <item m="1" x="19"/>
        <item m="1" x="32"/>
        <item m="1" x="31"/>
        <item m="1" x="28"/>
        <item x="0"/>
        <item h="1" x="1"/>
        <item h="1" x="2"/>
        <item h="1" x="3"/>
        <item h="1" x="4"/>
        <item h="1" x="5"/>
        <item h="1" x="6"/>
        <item h="1" x="7"/>
        <item h="1" x="8"/>
        <item h="1" x="9"/>
        <item h="1" x="10"/>
        <item h="1" x="11"/>
        <item h="1" x="12"/>
        <item h="1" x="13"/>
        <item h="1" x="14"/>
        <item h="1" x="15"/>
        <item x="16"/>
        <item h="1" x="17"/>
        <item t="default"/>
      </items>
    </pivotField>
    <pivotField showAll="0"/>
    <pivotField showAll="0"/>
    <pivotField axis="axisRow" showAll="0">
      <items count="125">
        <item m="1" x="92"/>
        <item m="1" x="101"/>
        <item m="1" x="114"/>
        <item m="1" x="122"/>
        <item x="7"/>
        <item x="5"/>
        <item m="1" x="94"/>
        <item m="1" x="87"/>
        <item m="1" x="111"/>
        <item x="6"/>
        <item m="1" x="86"/>
        <item m="1" x="95"/>
        <item m="1" x="115"/>
        <item m="1" x="91"/>
        <item x="17"/>
        <item m="1" x="96"/>
        <item m="1" x="118"/>
        <item m="1" x="88"/>
        <item m="1" x="99"/>
        <item x="1"/>
        <item m="1" x="90"/>
        <item m="1" x="97"/>
        <item m="1" x="85"/>
        <item m="1" x="102"/>
        <item m="1" x="106"/>
        <item x="18"/>
        <item m="1" x="107"/>
        <item m="1" x="109"/>
        <item m="1" x="89"/>
        <item m="1" x="116"/>
        <item h="1" x="84"/>
        <item h="1" f="1" x="108"/>
        <item h="1" f="1" x="93"/>
        <item m="1" x="120"/>
        <item m="1" x="123"/>
        <item m="1" x="121"/>
        <item m="1" x="103"/>
        <item m="1" x="98"/>
        <item x="11"/>
        <item m="1" x="119"/>
        <item x="69"/>
        <item x="35"/>
        <item m="1" x="112"/>
        <item x="9"/>
        <item m="1" x="113"/>
        <item x="4"/>
        <item m="1" x="104"/>
        <item x="12"/>
        <item x="82"/>
        <item m="1" x="110"/>
        <item m="1" x="100"/>
        <item m="1" x="105"/>
        <item x="26"/>
        <item m="1" x="117"/>
        <item x="67"/>
        <item x="38"/>
        <item x="13"/>
        <item x="15"/>
        <item h="1" x="16"/>
        <item h="1" x="19"/>
        <item h="1" x="20"/>
        <item h="1" x="3"/>
        <item h="1" x="21"/>
        <item h="1" x="0"/>
        <item h="1" x="22"/>
        <item h="1" x="23"/>
        <item h="1" x="24"/>
        <item h="1" x="25"/>
        <item h="1" x="27"/>
        <item h="1" x="28"/>
        <item h="1" x="29"/>
        <item h="1" x="30"/>
        <item h="1" x="31"/>
        <item h="1" x="32"/>
        <item h="1" x="33"/>
        <item h="1" x="34"/>
        <item h="1" x="36"/>
        <item h="1" x="10"/>
        <item h="1" x="2"/>
        <item h="1" x="8"/>
        <item h="1" x="14"/>
        <item h="1" x="37"/>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8"/>
        <item h="1" x="70"/>
        <item h="1" x="71"/>
        <item h="1" x="72"/>
        <item h="1" x="73"/>
        <item h="1" x="74"/>
        <item h="1" x="75"/>
        <item h="1" x="76"/>
        <item h="1" x="77"/>
        <item h="1" x="78"/>
        <item h="1" x="79"/>
        <item h="1" x="80"/>
        <item h="1" x="81"/>
        <item h="1" x="83"/>
        <item t="default"/>
      </items>
    </pivotField>
    <pivotField showAll="0"/>
    <pivotField showAll="0"/>
    <pivotField showAll="0"/>
    <pivotField showAll="0"/>
    <pivotField showAll="0"/>
    <pivotField showAll="0"/>
    <pivotField axis="axisCol" showAll="0">
      <items count="13">
        <item x="6"/>
        <item m="1" x="8"/>
        <item m="1" x="9"/>
        <item m="1" x="10"/>
        <item x="4"/>
        <item x="7"/>
        <item m="1" x="11"/>
        <item x="2"/>
        <item x="5"/>
        <item x="3"/>
        <item x="0"/>
        <item x="1"/>
        <item t="default"/>
      </items>
    </pivotField>
    <pivotField dataField="1" numFmtId="169" showAll="0"/>
  </pivotFields>
  <rowFields count="1">
    <field x="3"/>
  </rowFields>
  <rowItems count="12">
    <i>
      <x v="4"/>
    </i>
    <i>
      <x v="5"/>
    </i>
    <i>
      <x v="9"/>
    </i>
    <i>
      <x v="19"/>
    </i>
    <i>
      <x v="38"/>
    </i>
    <i>
      <x v="40"/>
    </i>
    <i>
      <x v="43"/>
    </i>
    <i>
      <x v="45"/>
    </i>
    <i>
      <x v="47"/>
    </i>
    <i>
      <x v="56"/>
    </i>
    <i>
      <x v="57"/>
    </i>
    <i t="grand">
      <x/>
    </i>
  </rowItems>
  <colFields count="1">
    <field x="10"/>
  </colFields>
  <colItems count="7">
    <i>
      <x/>
    </i>
    <i>
      <x v="4"/>
    </i>
    <i>
      <x v="7"/>
    </i>
    <i>
      <x v="9"/>
    </i>
    <i>
      <x v="10"/>
    </i>
    <i>
      <x v="11"/>
    </i>
    <i t="grand">
      <x/>
    </i>
  </colItems>
  <pageFields count="1">
    <pageField fld="0" hier="-1"/>
  </pageFields>
  <dataFields count="1">
    <dataField name="مجموع من إجمالي ساعات العمل" fld="11" baseField="0" baseItem="0"/>
  </dataFields>
  <formats count="26">
    <format dxfId="120">
      <pivotArea field="10" type="button" dataOnly="0" labelOnly="1" outline="0" axis="axisCol" fieldPosition="0"/>
    </format>
    <format dxfId="119">
      <pivotArea dataOnly="0" labelOnly="1" outline="0" axis="axisValues" fieldPosition="0"/>
    </format>
    <format dxfId="118">
      <pivotArea grandRow="1" outline="0" collapsedLevelsAreSubtotals="1" fieldPosition="0"/>
    </format>
    <format dxfId="117">
      <pivotArea dataOnly="0" labelOnly="1" grandRow="1" outline="0" fieldPosition="0"/>
    </format>
    <format dxfId="116">
      <pivotArea type="all" dataOnly="0" outline="0" fieldPosition="0"/>
    </format>
    <format dxfId="115">
      <pivotArea type="origin" dataOnly="0" labelOnly="1" outline="0" fieldPosition="0"/>
    </format>
    <format dxfId="114">
      <pivotArea field="10" type="button" dataOnly="0" labelOnly="1" outline="0" axis="axisCol" fieldPosition="0"/>
    </format>
    <format dxfId="113">
      <pivotArea type="topRight" dataOnly="0" labelOnly="1" outline="0" fieldPosition="0"/>
    </format>
    <format dxfId="112">
      <pivotArea field="3" type="button" dataOnly="0" labelOnly="1" outline="0" axis="axisRow" fieldPosition="0"/>
    </format>
    <format dxfId="111">
      <pivotArea dataOnly="0" labelOnly="1" fieldPosition="0">
        <references count="1">
          <reference field="10" count="0"/>
        </references>
      </pivotArea>
    </format>
    <format dxfId="110">
      <pivotArea dataOnly="0" labelOnly="1" grandCol="1" outline="0" fieldPosition="0"/>
    </format>
    <format dxfId="109">
      <pivotArea outline="0" collapsedLevelsAreSubtotals="1" fieldPosition="0">
        <references count="1">
          <reference field="10" count="1" selected="0">
            <x v="3"/>
          </reference>
        </references>
      </pivotArea>
    </format>
    <format dxfId="108">
      <pivotArea outline="0" collapsedLevelsAreSubtotals="1" fieldPosition="0">
        <references count="1">
          <reference field="10" count="1" selected="0">
            <x v="2"/>
          </reference>
        </references>
      </pivotArea>
    </format>
    <format dxfId="107">
      <pivotArea outline="0" collapsedLevelsAreSubtotals="1" fieldPosition="0">
        <references count="1">
          <reference field="10" count="1" selected="0">
            <x v="1"/>
          </reference>
        </references>
      </pivotArea>
    </format>
    <format dxfId="106">
      <pivotArea outline="0" collapsedLevelsAreSubtotals="1" fieldPosition="0">
        <references count="1">
          <reference field="10" count="1" selected="0">
            <x v="0"/>
          </reference>
        </references>
      </pivotArea>
    </format>
    <format dxfId="105">
      <pivotArea outline="0" collapsedLevelsAreSubtotals="1" fieldPosition="0">
        <references count="1">
          <reference field="10" count="1" selected="0">
            <x v="4"/>
          </reference>
        </references>
      </pivotArea>
    </format>
    <format dxfId="104">
      <pivotArea grandCol="1" outline="0" collapsedLevelsAreSubtotals="1" fieldPosition="0"/>
    </format>
    <format dxfId="103">
      <pivotArea outline="0" collapsedLevelsAreSubtotals="1" fieldPosition="0">
        <references count="1">
          <reference field="10" count="5" selected="0">
            <x v="1"/>
            <x v="2"/>
            <x v="3"/>
            <x v="4"/>
            <x v="5"/>
          </reference>
        </references>
      </pivotArea>
    </format>
    <format dxfId="102">
      <pivotArea grandCol="1" outline="0" collapsedLevelsAreSubtotals="1" fieldPosition="0"/>
    </format>
    <format dxfId="101">
      <pivotArea outline="0" collapsedLevelsAreSubtotals="1" fieldPosition="0">
        <references count="1">
          <reference field="10" count="5" selected="0">
            <x v="1"/>
            <x v="2"/>
            <x v="3"/>
            <x v="4"/>
            <x v="5"/>
          </reference>
        </references>
      </pivotArea>
    </format>
    <format dxfId="100">
      <pivotArea grandCol="1" outline="0" collapsedLevelsAreSubtotals="1" fieldPosition="0"/>
    </format>
    <format dxfId="99">
      <pivotArea outline="0" collapsedLevelsAreSubtotals="1" fieldPosition="0">
        <references count="1">
          <reference field="10" count="5" selected="0">
            <x v="1"/>
            <x v="2"/>
            <x v="3"/>
            <x v="4"/>
            <x v="5"/>
          </reference>
        </references>
      </pivotArea>
    </format>
    <format dxfId="98">
      <pivotArea grandCol="1" outline="0" collapsedLevelsAreSubtotals="1" fieldPosition="0"/>
    </format>
    <format dxfId="97">
      <pivotArea dataOnly="0" labelOnly="1" fieldPosition="0">
        <references count="1">
          <reference field="3" count="0"/>
        </references>
      </pivotArea>
    </format>
    <format dxfId="96">
      <pivotArea dataOnly="0" labelOnly="1" fieldPosition="0">
        <references count="1">
          <reference field="3" count="0"/>
        </references>
      </pivotArea>
    </format>
    <format dxfId="95">
      <pivotArea dataOnly="0" labelOnly="1" fieldPosition="0">
        <references count="1">
          <reference field="3" count="0"/>
        </references>
      </pivotArea>
    </format>
  </formats>
  <chartFormats count="13">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2">
          <reference field="4294967294" count="1" selected="0">
            <x v="0"/>
          </reference>
          <reference field="10" count="1" selected="0">
            <x v="1"/>
          </reference>
        </references>
      </pivotArea>
    </chartFormat>
    <chartFormat chart="1" format="4" series="1">
      <pivotArea type="data" outline="0" fieldPosition="0">
        <references count="2">
          <reference field="4294967294" count="1" selected="0">
            <x v="0"/>
          </reference>
          <reference field="10" count="1" selected="0">
            <x v="2"/>
          </reference>
        </references>
      </pivotArea>
    </chartFormat>
    <chartFormat chart="1" format="5" series="1">
      <pivotArea type="data" outline="0" fieldPosition="0">
        <references count="2">
          <reference field="4294967294" count="1" selected="0">
            <x v="0"/>
          </reference>
          <reference field="10" count="1" selected="0">
            <x v="3"/>
          </reference>
        </references>
      </pivotArea>
    </chartFormat>
    <chartFormat chart="1" format="6" series="1">
      <pivotArea type="data" outline="0" fieldPosition="0">
        <references count="2">
          <reference field="4294967294" count="1" selected="0">
            <x v="0"/>
          </reference>
          <reference field="10" count="1" selected="0">
            <x v="4"/>
          </reference>
        </references>
      </pivotArea>
    </chartFormat>
    <chartFormat chart="1" format="7" series="1">
      <pivotArea type="data" outline="0" fieldPosition="0">
        <references count="2">
          <reference field="4294967294" count="1" selected="0">
            <x v="0"/>
          </reference>
          <reference field="10" count="1" selected="0">
            <x v="5"/>
          </reference>
        </references>
      </pivotArea>
    </chartFormat>
    <chartFormat chart="1" format="8" series="1">
      <pivotArea type="data" outline="0" fieldPosition="0">
        <references count="2">
          <reference field="4294967294" count="1" selected="0">
            <x v="0"/>
          </reference>
          <reference field="10" count="1" selected="0">
            <x v="6"/>
          </reference>
        </references>
      </pivotArea>
    </chartFormat>
    <chartFormat chart="1" format="9" series="1">
      <pivotArea type="data" outline="0" fieldPosition="0">
        <references count="2">
          <reference field="4294967294" count="1" selected="0">
            <x v="0"/>
          </reference>
          <reference field="10" count="1" selected="0">
            <x v="7"/>
          </reference>
        </references>
      </pivotArea>
    </chartFormat>
    <chartFormat chart="1" format="10" series="1">
      <pivotArea type="data" outline="0" fieldPosition="0">
        <references count="2">
          <reference field="4294967294" count="1" selected="0">
            <x v="0"/>
          </reference>
          <reference field="10" count="1" selected="0">
            <x v="8"/>
          </reference>
        </references>
      </pivotArea>
    </chartFormat>
    <chartFormat chart="1" format="11" series="1">
      <pivotArea type="data" outline="0" fieldPosition="0">
        <references count="2">
          <reference field="4294967294" count="1" selected="0">
            <x v="0"/>
          </reference>
          <reference field="10" count="1" selected="0">
            <x v="9"/>
          </reference>
        </references>
      </pivotArea>
    </chartFormat>
    <chartFormat chart="1" format="12" series="1">
      <pivotArea type="data" outline="0" fieldPosition="0">
        <references count="2">
          <reference field="4294967294" count="1" selected="0">
            <x v="0"/>
          </reference>
          <reference field="10" count="1" selected="0">
            <x v="10"/>
          </reference>
        </references>
      </pivotArea>
    </chartFormat>
    <chartFormat chart="1" format="13" series="1">
      <pivotArea type="data" outline="0" fieldPosition="0">
        <references count="2">
          <reference field="4294967294" count="1" selected="0">
            <x v="0"/>
          </reference>
          <reference field="1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B64639-49C2-42ED-9CB1-6ED061A6490F}" name="PivotTable1" cacheId="0" applyNumberFormats="0" applyBorderFormats="0" applyFontFormats="0" applyPatternFormats="0" applyAlignmentFormats="0" applyWidthHeightFormats="1" dataCaption="القيم" updatedVersion="8" minRefreshableVersion="5" useAutoFormatting="1" itemPrintTitles="1" createdVersion="8" indent="0" outline="1" outlineData="1" multipleFieldFilters="0" chartFormat="18" rowHeaderCaption="الموقع">
  <location ref="A3:B9" firstHeaderRow="1" firstDataRow="1" firstDataCol="1" rowPageCount="1" colPageCount="1"/>
  <pivotFields count="12">
    <pivotField axis="axisPage" multipleItemSelectionAllowed="1" showAll="0">
      <items count="34">
        <item m="1" x="29"/>
        <item m="1" x="26"/>
        <item m="1" x="30"/>
        <item m="1" x="27"/>
        <item m="1" x="25"/>
        <item m="1" x="24"/>
        <item m="1" x="23"/>
        <item m="1" x="22"/>
        <item m="1" x="21"/>
        <item m="1" x="20"/>
        <item m="1" x="19"/>
        <item m="1" x="32"/>
        <item m="1" x="31"/>
        <item m="1" x="28"/>
        <item h="1" x="0"/>
        <item h="1" x="1"/>
        <item h="1" x="2"/>
        <item h="1" x="3"/>
        <item h="1" x="4"/>
        <item h="1" x="5"/>
        <item h="1" x="6"/>
        <item h="1" x="7"/>
        <item h="1" x="8"/>
        <item h="1" x="9"/>
        <item h="1" x="10"/>
        <item h="1" x="11"/>
        <item h="1" x="12"/>
        <item h="1" x="13"/>
        <item h="1" x="14"/>
        <item h="1" x="18"/>
        <item h="1" x="15"/>
        <item x="16"/>
        <item x="17"/>
        <item t="default"/>
      </items>
    </pivotField>
    <pivotField showAll="0"/>
    <pivotField showAll="0"/>
    <pivotField showAll="0">
      <items count="125">
        <item m="1" x="92"/>
        <item m="1" x="101"/>
        <item m="1" x="114"/>
        <item m="1" x="122"/>
        <item x="7"/>
        <item x="5"/>
        <item m="1" x="94"/>
        <item m="1" x="87"/>
        <item m="1" x="111"/>
        <item x="6"/>
        <item m="1" x="86"/>
        <item m="1" x="95"/>
        <item m="1" x="115"/>
        <item m="1" x="91"/>
        <item x="17"/>
        <item m="1" x="96"/>
        <item m="1" x="118"/>
        <item m="1" x="88"/>
        <item m="1" x="99"/>
        <item x="1"/>
        <item m="1" x="90"/>
        <item m="1" x="97"/>
        <item m="1" x="85"/>
        <item m="1" x="102"/>
        <item m="1" x="106"/>
        <item x="18"/>
        <item m="1" x="107"/>
        <item m="1" x="109"/>
        <item m="1" x="89"/>
        <item m="1" x="116"/>
        <item x="84"/>
        <item f="1" x="108"/>
        <item f="1" x="93"/>
        <item m="1" x="120"/>
        <item m="1" x="123"/>
        <item m="1" x="121"/>
        <item m="1" x="103"/>
        <item m="1" x="98"/>
        <item x="11"/>
        <item m="1" x="119"/>
        <item x="69"/>
        <item x="35"/>
        <item m="1" x="112"/>
        <item x="9"/>
        <item m="1" x="113"/>
        <item x="4"/>
        <item m="1" x="104"/>
        <item x="12"/>
        <item x="82"/>
        <item m="1" x="110"/>
        <item m="1" x="100"/>
        <item m="1" x="105"/>
        <item x="26"/>
        <item m="1" x="117"/>
        <item x="67"/>
        <item x="38"/>
        <item x="13"/>
        <item x="15"/>
        <item x="16"/>
        <item x="19"/>
        <item x="20"/>
        <item x="3"/>
        <item x="21"/>
        <item x="0"/>
        <item x="22"/>
        <item x="23"/>
        <item x="24"/>
        <item x="25"/>
        <item x="27"/>
        <item x="28"/>
        <item x="29"/>
        <item x="30"/>
        <item x="31"/>
        <item x="32"/>
        <item x="33"/>
        <item x="34"/>
        <item x="36"/>
        <item x="10"/>
        <item x="2"/>
        <item x="8"/>
        <item x="14"/>
        <item x="37"/>
        <item x="39"/>
        <item x="40"/>
        <item x="41"/>
        <item x="42"/>
        <item x="43"/>
        <item x="44"/>
        <item x="45"/>
        <item x="46"/>
        <item x="47"/>
        <item x="48"/>
        <item x="49"/>
        <item x="50"/>
        <item x="51"/>
        <item x="52"/>
        <item x="53"/>
        <item x="54"/>
        <item x="55"/>
        <item x="56"/>
        <item x="57"/>
        <item x="58"/>
        <item x="59"/>
        <item x="60"/>
        <item x="61"/>
        <item x="62"/>
        <item x="63"/>
        <item x="64"/>
        <item x="65"/>
        <item x="66"/>
        <item x="68"/>
        <item x="70"/>
        <item x="71"/>
        <item x="72"/>
        <item x="73"/>
        <item x="74"/>
        <item x="75"/>
        <item x="76"/>
        <item x="77"/>
        <item x="78"/>
        <item x="79"/>
        <item x="80"/>
        <item x="81"/>
        <item x="83"/>
        <item t="default"/>
      </items>
    </pivotField>
    <pivotField showAll="0"/>
    <pivotField showAll="0"/>
    <pivotField showAll="0"/>
    <pivotField showAll="0"/>
    <pivotField showAll="0"/>
    <pivotField showAll="0"/>
    <pivotField axis="axisRow" showAll="0">
      <items count="13">
        <item x="6"/>
        <item h="1" m="1" x="8"/>
        <item h="1" m="1" x="9"/>
        <item h="1" m="1" x="10"/>
        <item x="4"/>
        <item h="1" x="7"/>
        <item h="1" m="1" x="11"/>
        <item x="2"/>
        <item h="1" x="5"/>
        <item x="3"/>
        <item x="0"/>
        <item x="1"/>
        <item t="default"/>
      </items>
    </pivotField>
    <pivotField dataField="1" numFmtId="169" showAll="0"/>
  </pivotFields>
  <rowFields count="1">
    <field x="10"/>
  </rowFields>
  <rowItems count="6">
    <i>
      <x/>
    </i>
    <i>
      <x v="7"/>
    </i>
    <i>
      <x v="9"/>
    </i>
    <i>
      <x v="10"/>
    </i>
    <i>
      <x v="11"/>
    </i>
    <i t="grand">
      <x/>
    </i>
  </rowItems>
  <colItems count="1">
    <i/>
  </colItems>
  <pageFields count="1">
    <pageField fld="0" hier="-1"/>
  </pageFields>
  <dataFields count="1">
    <dataField name="ساعات العمل الخارجي" fld="11" baseField="10" baseItem="0"/>
  </dataFields>
  <formats count="33">
    <format dxfId="94">
      <pivotArea field="10" type="button" dataOnly="0" labelOnly="1" outline="0" axis="axisRow" fieldPosition="0"/>
    </format>
    <format dxfId="93">
      <pivotArea dataOnly="0" labelOnly="1" outline="0" axis="axisValues" fieldPosition="0"/>
    </format>
    <format dxfId="92">
      <pivotArea grandRow="1" outline="0" collapsedLevelsAreSubtotals="1" fieldPosition="0"/>
    </format>
    <format dxfId="91">
      <pivotArea dataOnly="0" labelOnly="1" grandRow="1" outline="0" fieldPosition="0"/>
    </format>
    <format dxfId="90">
      <pivotArea grandRow="1" outline="0" collapsedLevelsAreSubtotals="1" fieldPosition="0"/>
    </format>
    <format dxfId="89">
      <pivotArea grandRow="1" outline="0" collapsedLevelsAreSubtotals="1" fieldPosition="0"/>
    </format>
    <format dxfId="88">
      <pivotArea type="all" dataOnly="0" outline="0" fieldPosition="0"/>
    </format>
    <format dxfId="87">
      <pivotArea outline="0" collapsedLevelsAreSubtotals="1" fieldPosition="0"/>
    </format>
    <format dxfId="86">
      <pivotArea field="10" type="button" dataOnly="0" labelOnly="1" outline="0" axis="axisRow" fieldPosition="0"/>
    </format>
    <format dxfId="85">
      <pivotArea dataOnly="0" labelOnly="1" grandRow="1" outline="0" fieldPosition="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field="10" type="button" dataOnly="0" labelOnly="1" outline="0" axis="axisRow" fieldPosition="0"/>
    </format>
    <format dxfId="80">
      <pivotArea dataOnly="0" labelOnly="1" fieldPosition="0">
        <references count="1">
          <reference field="10" count="0"/>
        </references>
      </pivotArea>
    </format>
    <format dxfId="79">
      <pivotArea dataOnly="0" labelOnly="1" grandRow="1" outline="0"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field="10" type="button" dataOnly="0" labelOnly="1" outline="0" axis="axisRow" fieldPosition="0"/>
    </format>
    <format dxfId="74">
      <pivotArea dataOnly="0" labelOnly="1" fieldPosition="0">
        <references count="1">
          <reference field="10" count="0"/>
        </references>
      </pivotArea>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10" type="button" dataOnly="0" labelOnly="1" outline="0" axis="axisRow" fieldPosition="0"/>
    </format>
    <format dxfId="68">
      <pivotArea dataOnly="0" labelOnly="1" fieldPosition="0">
        <references count="1">
          <reference field="10" count="0"/>
        </references>
      </pivotArea>
    </format>
    <format dxfId="67">
      <pivotArea dataOnly="0" labelOnly="1" grandRow="1" outline="0" fieldPosition="0"/>
    </format>
    <format dxfId="66">
      <pivotArea dataOnly="0" labelOnly="1" outline="0" axis="axisValues" fieldPosition="0"/>
    </format>
    <format dxfId="65">
      <pivotArea grandRow="1" outline="0" collapsedLevelsAreSubtotals="1" fieldPosition="0"/>
    </format>
    <format dxfId="64">
      <pivotArea collapsedLevelsAreSubtotals="1" fieldPosition="0">
        <references count="1">
          <reference field="10" count="1">
            <x v="4"/>
          </reference>
        </references>
      </pivotArea>
    </format>
    <format dxfId="63">
      <pivotArea collapsedLevelsAreSubtotals="1" fieldPosition="0">
        <references count="1">
          <reference field="10" count="1">
            <x v="9"/>
          </reference>
        </references>
      </pivotArea>
    </format>
    <format dxfId="62">
      <pivotArea collapsedLevelsAreSubtotals="1" fieldPosition="0">
        <references count="1">
          <reference field="10" count="1">
            <x v="11"/>
          </reference>
        </references>
      </pivotArea>
    </format>
  </formats>
  <chartFormats count="7">
    <chartFormat chart="1"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C2BF6D-C9D0-4D46-B6F0-7658B0DD85A0}" name="PivotTable2" cacheId="4" applyNumberFormats="0" applyBorderFormats="0" applyFontFormats="0" applyPatternFormats="0" applyAlignmentFormats="0" applyWidthHeightFormats="1" dataCaption="القيم" updatedVersion="7" minRefreshableVersion="3" useAutoFormatting="1" itemPrintTitles="1" createdVersion="8" indent="0" outline="1" outlineData="1" multipleFieldFilters="0">
  <location ref="A3:B17"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26">
        <item x="10"/>
        <item m="1" x="23"/>
        <item x="2"/>
        <item x="8"/>
        <item m="1" x="21"/>
        <item x="0"/>
        <item x="12"/>
        <item x="4"/>
        <item m="1" x="18"/>
        <item m="1" x="24"/>
        <item m="1" x="19"/>
        <item m="1" x="22"/>
        <item m="1" x="20"/>
        <item m="1" x="16"/>
        <item x="3"/>
        <item x="1"/>
        <item x="9"/>
        <item x="6"/>
        <item x="11"/>
        <item h="1" x="15"/>
        <item m="1" x="17"/>
        <item x="5"/>
        <item x="7"/>
        <item h="1" x="13"/>
        <item h="1" x="14"/>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4">
    <i>
      <x/>
    </i>
    <i>
      <x v="2"/>
    </i>
    <i>
      <x v="3"/>
    </i>
    <i>
      <x v="5"/>
    </i>
    <i>
      <x v="6"/>
    </i>
    <i>
      <x v="7"/>
    </i>
    <i>
      <x v="14"/>
    </i>
    <i>
      <x v="15"/>
    </i>
    <i>
      <x v="16"/>
    </i>
    <i>
      <x v="17"/>
    </i>
    <i>
      <x v="18"/>
    </i>
    <i>
      <x v="21"/>
    </i>
    <i>
      <x v="22"/>
    </i>
    <i t="grand">
      <x/>
    </i>
  </rowItems>
  <colItems count="1">
    <i/>
  </colItems>
  <dataFields count="1">
    <dataField name="مجموع من إجمالي ساعات العمل"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إسم_الشركة" xr10:uid="{DBF18FCB-ABEB-4EAB-A1D4-DFB866BA5BDC}" sourceName="إسم الشركة">
  <pivotTables>
    <pivotTable tabId="14" name="PivotTable1"/>
  </pivotTables>
  <data>
    <tabular pivotCacheId="1998088414">
      <items count="124">
        <i x="2" s="1"/>
        <i x="69" s="1"/>
        <i x="32" s="1"/>
        <i x="7" s="1"/>
        <i x="3" s="1"/>
        <i x="11" s="1"/>
        <i x="5" s="1"/>
        <i x="82" s="1"/>
        <i x="6" s="1"/>
        <i x="30" s="1"/>
        <i x="66" s="1"/>
        <i x="76" s="1"/>
        <i x="12" s="1"/>
        <i x="75" s="1"/>
        <i x="22" s="1"/>
        <i x="77" s="1"/>
        <i x="10" s="1"/>
        <i x="8" s="1"/>
        <i x="70" s="1"/>
        <i x="13" s="1"/>
        <i x="83" s="1"/>
        <i x="0" s="1"/>
        <i x="38" s="1"/>
        <i x="36" s="1"/>
        <i x="14" s="1"/>
        <i x="80" s="1"/>
        <i x="60" s="1"/>
        <i x="78" s="1"/>
        <i x="61" s="1"/>
        <i x="108" s="1"/>
        <i x="93" s="1"/>
        <i x="64" s="1"/>
        <i x="103" s="1" nd="1"/>
        <i x="58" s="1" nd="1"/>
        <i x="92" s="1" nd="1"/>
        <i x="101" s="1" nd="1"/>
        <i x="114" s="1" nd="1"/>
        <i x="98" s="1" nd="1"/>
        <i x="122" s="1" nd="1"/>
        <i x="56" s="1" nd="1"/>
        <i x="28" s="1" nd="1"/>
        <i x="24" s="1" nd="1"/>
        <i x="19" s="1" nd="1"/>
        <i x="16" s="1" nd="1"/>
        <i x="94" s="1" nd="1"/>
        <i x="87" s="1" nd="1"/>
        <i x="44" s="1" nd="1"/>
        <i x="111" s="1" nd="1"/>
        <i x="86" s="1" nd="1"/>
        <i x="95" s="1" nd="1"/>
        <i x="115" s="1" nd="1"/>
        <i x="123" s="1" nd="1"/>
        <i x="91" s="1" nd="1"/>
        <i x="41" s="1" nd="1"/>
        <i x="21" s="1" nd="1"/>
        <i x="17" s="1" nd="1"/>
        <i x="96" s="1" nd="1"/>
        <i x="25" s="1" nd="1"/>
        <i x="118" s="1" nd="1"/>
        <i x="88" s="1" nd="1"/>
        <i x="99" s="1" nd="1"/>
        <i x="1" s="1" nd="1"/>
        <i x="110" s="1" nd="1"/>
        <i x="71" s="1" nd="1"/>
        <i x="112" s="1" nd="1"/>
        <i x="121" s="1" nd="1"/>
        <i x="74" s="1" nd="1"/>
        <i x="35" s="1" nd="1"/>
        <i x="72" s="1" nd="1"/>
        <i x="79" s="1" nd="1"/>
        <i x="50" s="1" nd="1"/>
        <i x="59" s="1" nd="1"/>
        <i x="29" s="1" nd="1"/>
        <i x="37" s="1" nd="1"/>
        <i x="57" s="1" nd="1"/>
        <i x="23" s="1" nd="1"/>
        <i x="46" s="1" nd="1"/>
        <i x="81" s="1" nd="1"/>
        <i x="34" s="1" nd="1"/>
        <i x="90" s="1" nd="1"/>
        <i x="39" s="1" nd="1"/>
        <i x="42" s="1" nd="1"/>
        <i x="65" s="1" nd="1"/>
        <i x="105" s="1" nd="1"/>
        <i x="97" s="1" nd="1"/>
        <i x="73" s="1" nd="1"/>
        <i x="104" s="1" nd="1"/>
        <i x="68" s="1" nd="1"/>
        <i x="120" s="1" nd="1"/>
        <i x="67" s="1" nd="1"/>
        <i x="20" s="1" nd="1"/>
        <i x="100" s="1" nd="1"/>
        <i x="85" s="1" nd="1"/>
        <i x="102" s="1" nd="1"/>
        <i x="63" s="1" nd="1"/>
        <i x="55" s="1" nd="1"/>
        <i x="62" s="1" nd="1"/>
        <i x="27" s="1" nd="1"/>
        <i x="43" s="1" nd="1"/>
        <i x="52" s="1" nd="1"/>
        <i x="15" s="1" nd="1"/>
        <i x="4" s="1" nd="1"/>
        <i x="54" s="1" nd="1"/>
        <i x="53" s="1" nd="1"/>
        <i x="47" s="1" nd="1"/>
        <i x="26" s="1" nd="1"/>
        <i x="45" s="1" nd="1"/>
        <i x="117" s="1" nd="1"/>
        <i x="49" s="1" nd="1"/>
        <i x="33" s="1" nd="1"/>
        <i x="48" s="1" nd="1"/>
        <i x="106" s="1" nd="1"/>
        <i x="119" s="1" nd="1"/>
        <i x="113" s="1" nd="1"/>
        <i x="9" s="1" nd="1"/>
        <i x="31" s="1" nd="1"/>
        <i x="40" s="1" nd="1"/>
        <i x="18" s="1" nd="1"/>
        <i x="107" s="1" nd="1"/>
        <i x="51" s="1" nd="1"/>
        <i x="109" s="1" nd="1"/>
        <i x="89" s="1" nd="1"/>
        <i x="116" s="1" nd="1"/>
        <i x="8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الموقع" xr10:uid="{49B34C64-C17F-4EA0-9F6A-F2C32BAF5AF8}" sourceName="الموقع">
  <pivotTables>
    <pivotTable tabId="14" name="PivotTable1"/>
  </pivotTables>
  <data>
    <tabular pivotCacheId="1998088414">
      <items count="12">
        <i x="2" s="1"/>
        <i x="6" s="1"/>
        <i x="1" s="1"/>
        <i x="0" s="1"/>
        <i x="3" s="1"/>
        <i x="5"/>
        <i x="8" nd="1"/>
        <i x="9" nd="1"/>
        <i x="10" nd="1"/>
        <i x="11" nd="1"/>
        <i x="4" s="1" nd="1"/>
        <i x="7"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إسم_الشركة1" xr10:uid="{B8AF44DD-2312-4E4C-A867-45B2CDE7E289}" sourceName="إسم الشركة">
  <pivotTables>
    <pivotTable tabId="17" name="PivotTable1"/>
  </pivotTables>
  <data>
    <tabular pivotCacheId="630186923">
      <items count="81">
        <i x="2" s="1"/>
        <i x="32" s="1"/>
        <i x="7" s="1"/>
        <i x="28" s="1"/>
        <i x="24" s="1"/>
        <i x="3" s="1"/>
        <i x="19" s="1"/>
        <i x="16" s="1"/>
        <i x="11" s="1"/>
        <i x="5" s="1"/>
        <i x="6" s="1"/>
        <i x="30" s="1"/>
        <i x="21" s="1"/>
        <i x="17" s="1"/>
        <i x="25" s="1"/>
        <i x="1" s="1"/>
        <i x="35" s="1"/>
        <i x="29" s="1"/>
        <i x="23" s="1"/>
        <i x="34" s="1"/>
        <i x="12" s="1"/>
        <i x="22" s="1"/>
        <i x="10" s="1"/>
        <i x="8" s="1"/>
        <i x="13" s="1"/>
        <i x="20" s="1"/>
        <i x="0" s="1"/>
        <i x="27" s="1"/>
        <i x="36" s="1"/>
        <i x="14" s="1"/>
        <i x="15" s="1"/>
        <i x="4" s="1"/>
        <i x="26" s="1"/>
        <i x="33" s="1"/>
        <i x="64" s="1"/>
        <i x="47" s="1"/>
        <i x="9" s="1"/>
        <i x="31" s="1"/>
        <i x="18" s="1"/>
        <i x="59" s="1" nd="1"/>
        <i x="46" s="1" nd="1"/>
        <i x="52" s="1" nd="1"/>
        <i x="56" s="1" nd="1"/>
        <i x="70" s="1" nd="1"/>
        <i x="53" s="1" nd="1"/>
        <i x="78" s="1" nd="1"/>
        <i x="48" s="1" nd="1"/>
        <i x="58" s="1" nd="1"/>
        <i x="40" s="1" nd="1"/>
        <i x="67" s="1" nd="1"/>
        <i x="39" s="1" nd="1"/>
        <i x="49" s="1" nd="1"/>
        <i x="71" s="1" nd="1"/>
        <i x="80" s="1" nd="1"/>
        <i x="45" s="1" nd="1"/>
        <i x="50" s="1" nd="1"/>
        <i x="74" s="1" nd="1"/>
        <i x="42" s="1" nd="1"/>
        <i x="54" s="1" nd="1"/>
        <i x="66" s="1" nd="1"/>
        <i x="68" s="1" nd="1"/>
        <i x="77" s="1" nd="1"/>
        <i x="44" s="1" nd="1"/>
        <i x="61" s="1" nd="1"/>
        <i x="51" s="1" nd="1"/>
        <i x="60" s="1" nd="1"/>
        <i x="76" s="1" nd="1"/>
        <i x="79" s="1" nd="1"/>
        <i x="55" s="1" nd="1"/>
        <i x="37" s="1" nd="1"/>
        <i x="57" s="1" nd="1"/>
        <i x="41" s="1" nd="1"/>
        <i x="73" s="1" nd="1"/>
        <i x="62" s="1" nd="1"/>
        <i x="75" s="1" nd="1"/>
        <i x="69" s="1" nd="1"/>
        <i x="63" s="1" nd="1"/>
        <i x="65" s="1" nd="1"/>
        <i x="43" s="1" nd="1"/>
        <i x="72" s="1" nd="1"/>
        <i x="38"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الموقع1" xr10:uid="{BB9EA357-3910-4E34-A92D-E9B7A0ADC629}" sourceName="الموقع">
  <pivotTables>
    <pivotTable tabId="17" name="PivotTable1"/>
  </pivotTables>
  <data>
    <tabular pivotCacheId="630186923">
      <items count="12">
        <i x="2" s="1"/>
        <i x="6" s="1"/>
        <i x="8" s="1"/>
        <i x="1" s="1"/>
        <i x="9" s="1"/>
        <i x="0" s="1"/>
        <i x="10" s="1"/>
        <i x="3" s="1"/>
        <i x="11" s="1"/>
        <i x="5" s="1"/>
        <i x="4"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إسم الشركة 1" xr10:uid="{6D69D4EE-4056-4AC1-9A2D-7930C8B2F6B8}" cache="مقسم_طريقة_العرض_إسم_الشركة1" caption="إسم الشركة" rowHeight="241300"/>
  <slicer name="الموقع 1" xr10:uid="{6EB61DB3-CE30-481E-9EAC-0208602AFEB3}" cache="مقسم_طريقة_العرض_الموقع1" caption="الموقع"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إسم الشركة" xr10:uid="{89E8AD60-128B-447E-B052-0F29D2374992}" cache="مقسم_طريقة_العرض_إسم_الشركة" caption="إسم الشركة" rowHeight="241300"/>
  <slicer name="الموقع" xr10:uid="{DCB4EF4F-D8CA-4E74-B5B6-07BA6889BCA4}" cache="مقسم_طريقة_العرض_الموقع" caption="الموقع"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54BB08-7BD8-4BB9-8507-455E2C1CEFC2}" name="Table1" displayName="Table1" ref="A1:C30" totalsRowShown="0">
  <autoFilter ref="A1:C30" xr:uid="{2554BB08-7BD8-4BB9-8507-455E2C1CEFC2}"/>
  <tableColumns count="3">
    <tableColumn id="1" xr3:uid="{EE927A52-A753-4A6A-92AA-F5ED02A5A199}" name="شهر" dataDxfId="134"/>
    <tableColumn id="2" xr3:uid="{07D60575-9798-4734-A792-2DB0A36B35D3}" name="اجمالي الساعات " dataDxfId="133"/>
    <tableColumn id="3" xr3:uid="{5A83F437-CBC6-4AFD-8F7F-FC34859007E0}" name="الموقع " dataDxfId="132"/>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B73358-609C-4DB0-9F47-3076BBFD350E}" name="الجدول3" displayName="الجدول3" ref="A1:Z2078" totalsRowShown="0" headerRowBorderDxfId="61" tableBorderDxfId="60" totalsRowBorderDxfId="59">
  <autoFilter ref="A1:Z2078" xr:uid="{ECB73358-609C-4DB0-9F47-3076BBFD350E}"/>
  <tableColumns count="26">
    <tableColumn id="1" xr3:uid="{0ED0C040-FBCF-4859-A932-58F3048FA74E}" name="الشهر" dataDxfId="58"/>
    <tableColumn id="2" xr3:uid="{88D820E6-E164-43E4-82B9-7956D3D520F8}" name="التاريخ" dataDxfId="57"/>
    <tableColumn id="3" xr3:uid="{4DCF1046-2575-4432-B1D3-84C3CB70A852}" name="اليوم" dataDxfId="56"/>
    <tableColumn id="4" xr3:uid="{38D9AF04-938C-4D59-B229-9D425D0E51CD}" name="إسم الشركة" dataDxfId="55"/>
    <tableColumn id="5" xr3:uid="{1FD02FFB-33A9-4A3A-AD79-0ED949F0FDA1}" name="المشرف التنفيزى " dataDxfId="54"/>
    <tableColumn id="6" xr3:uid="{57A29B39-EA9A-4E4C-95E6-12F45C29BEE1}" name="نوع العمل" dataDxfId="53"/>
    <tableColumn id="7" xr3:uid="{A40BFA02-9A3E-4ED3-B2A0-FC4F5BBD35A4}" name="مواقف التصريح" dataDxfId="52"/>
    <tableColumn id="8" xr3:uid="{2D67EC52-D04B-4735-95B0-AFAB094A2987}" name="ساعة الدخول " dataDxfId="51"/>
    <tableColumn id="9" xr3:uid="{D5D2E2F9-CCE8-481E-A619-72F147EB445B}" name="ساعة الخروج" dataDxfId="50"/>
    <tableColumn id="10" xr3:uid="{6C9B6880-E908-4096-A54C-86726AF375A3}" name="إجمالي عدد الساعات" dataDxfId="49"/>
    <tableColumn id="11" xr3:uid="{B746EC56-AFB7-4342-895E-5D23A2A42AC3}" name="الموقع" dataDxfId="2"/>
    <tableColumn id="12" xr3:uid="{FE4A168B-A57E-4D90-A363-68F9FCFA953F}" name="إجمالي ساعات العمل" dataDxfId="0"/>
    <tableColumn id="13" xr3:uid="{0B20429E-9648-472E-B0BE-BA405A17C421}" name="المصدر" dataDxfId="1"/>
    <tableColumn id="14" xr3:uid="{88EF6EEB-8529-468E-AA8B-289F83FB6081}" name="عمود1" dataDxfId="48"/>
    <tableColumn id="15" xr3:uid="{ED5ADF76-AB91-440C-9456-ECE217C2CFDE}" name="مشرف السلامة" dataDxfId="47"/>
    <tableColumn id="16" xr3:uid="{EF2504D0-5954-472E-B6C0-E8252A513AE3}" name="تقييم العملية" dataDxfId="46"/>
    <tableColumn id="17" xr3:uid="{303ECB80-5DD6-4A8D-9BA3-58ECC24CDFA9}" name="عمود2" dataDxfId="45"/>
    <tableColumn id="18" xr3:uid="{95BC36D9-8424-4760-8D50-4C8686C6EF15}" name="عمود3" dataDxfId="44"/>
    <tableColumn id="19" xr3:uid="{FD878609-CCBF-43A5-BD79-92348E74F614}" name="عمود4" dataDxfId="43"/>
    <tableColumn id="20" xr3:uid="{D112795E-2058-4493-B5C4-07F198A56606}" name="عمود5" dataDxfId="42"/>
    <tableColumn id="21" xr3:uid="{2C0FB0F5-994D-4903-B653-9902348F5547}" name="عمود6" dataDxfId="41"/>
    <tableColumn id="22" xr3:uid="{EB706147-7A0C-448F-BCDE-12CEF45BD436}" name="عمود7" dataDxfId="40"/>
    <tableColumn id="23" xr3:uid="{40B46DC0-47D1-4659-ABBB-DFCB831925BA}" name="عمود8" dataDxfId="39"/>
    <tableColumn id="24" xr3:uid="{A27B39B8-1844-44C5-A5E2-884FF53A4C4E}" name="عمود9" dataDxfId="38"/>
    <tableColumn id="25" xr3:uid="{51AD5579-3A64-42B9-AEE0-545DFA21769A}" name="عمود10" dataDxfId="37"/>
    <tableColumn id="26" xr3:uid="{840394E8-1533-41C0-96B9-3F7D2329F934}" name="Column1" dataDxfId="3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الخط_الزمني_الأصلي_الشهر" xr10:uid="{632D8121-3DAF-4EE6-BA99-B18900A1A87F}" sourceName="الشهر">
  <pivotTables>
    <pivotTable tabId="14" name="PivotTable1"/>
  </pivotTables>
  <state minimalRefreshVersion="6" lastRefreshVersion="6" pivotCacheId="1998088414" filterType="unknown">
    <bounds startDate="2022-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الخط_الزمني_الأصلي_الشهر1" xr10:uid="{151851E8-3ED6-4D5B-9F1F-7A35C505E01D}" sourceName="الشهر">
  <pivotTables>
    <pivotTable tabId="15" name="PivotTable1"/>
  </pivotTables>
  <state minimalRefreshVersion="6" lastRefreshVersion="6" pivotCacheId="2125979561" filterType="unknown">
    <bounds startDate="2022-01-01T00:00:00" endDate="2026-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الخط_الزمني_الأصلي_الشهر11" xr10:uid="{1651FFFD-E465-43E8-92EA-B843B0FDC92D}" sourceName="الشهر">
  <pivotTables>
    <pivotTable tabId="16" name="PivotTable1"/>
  </pivotTables>
  <state minimalRefreshVersion="6" lastRefreshVersion="6" pivotCacheId="630186923" filterType="unknown">
    <bounds startDate="2022-01-01T00:00:00" endDate="2025-01-01T00:00:00"/>
  </state>
</timelineCacheDefinition>
</file>

<file path=xl/timelineCaches/timelineCache4.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الخط_الزمني_الأصلي_الشهر2" xr10:uid="{AA192E61-09E2-4CC2-B4A3-742F0FF03AF2}" sourceName="الشهر">
  <pivotTables>
    <pivotTable tabId="17" name="PivotTable1"/>
  </pivotTables>
  <state minimalRefreshVersion="6" lastRefreshVersion="6" pivotCacheId="630186923"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الشهر 3" xr10:uid="{1C77BBA8-F260-45DC-BA70-80E957B0FB78}" cache="الخط_الزمني_الأصلي_الشهر2" caption="الشهر" level="2" selectionLevel="2" scrollPosition="2023-07-01T00:00:00" style="TimeSlicerStyleDark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الشهر 2" xr10:uid="{3135E6AF-75AF-49B9-8650-A5C59E9A2799}" cache="الخط_الزمني_الأصلي_الشهر11" caption="الشهر" level="2" selectionLevel="2" scrollPosition="2023-06-07T00:00:00" style="TimeSlicerStyleDark2"/>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الشهر 1" xr10:uid="{C0D4CFA8-00F2-4278-9C72-B54CFF35218F}" cache="الخط_الزمني_الأصلي_الشهر1" caption="الشهر" level="2" selectionLevel="2" scrollPosition="2023-10-01T00:00:00" style="TimeSlicerStyleDark2"/>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الشهر" xr10:uid="{BDECBA47-B801-42E2-85EF-6CB075421FC5}" cache="الخط_الزمني_الأصلي_الشهر" caption="الشهر" level="2" selectionLevel="2" scrollPosition="2023-05-01T00:00:00" style="TimeSlicerStyleDark2"/>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11/relationships/timeline" Target="../timelines/timeline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EB44C-32A4-4605-8042-332498C1F846}">
  <dimension ref="A3:C32"/>
  <sheetViews>
    <sheetView rightToLeft="1" topLeftCell="D1" workbookViewId="0">
      <selection activeCell="B5" sqref="B5"/>
    </sheetView>
  </sheetViews>
  <sheetFormatPr defaultRowHeight="14.25" x14ac:dyDescent="0.2"/>
  <cols>
    <col min="1" max="1" width="11.375" bestFit="1" customWidth="1"/>
    <col min="2" max="2" width="7.25" bestFit="1" customWidth="1"/>
    <col min="3" max="6" width="18.5" bestFit="1" customWidth="1"/>
  </cols>
  <sheetData>
    <row r="3" spans="1:3" x14ac:dyDescent="0.2">
      <c r="A3" s="15" t="s">
        <v>109</v>
      </c>
      <c r="B3" s="15" t="s">
        <v>67</v>
      </c>
      <c r="C3" t="s">
        <v>115</v>
      </c>
    </row>
    <row r="4" spans="1:3" x14ac:dyDescent="0.2">
      <c r="A4" t="s">
        <v>110</v>
      </c>
      <c r="B4" s="58">
        <v>44866</v>
      </c>
      <c r="C4">
        <v>204.3</v>
      </c>
    </row>
    <row r="5" spans="1:3" x14ac:dyDescent="0.2">
      <c r="A5" t="s">
        <v>110</v>
      </c>
      <c r="B5" s="58">
        <v>44896</v>
      </c>
      <c r="C5">
        <v>151.30000000000001</v>
      </c>
    </row>
    <row r="6" spans="1:3" x14ac:dyDescent="0.2">
      <c r="A6" t="s">
        <v>110</v>
      </c>
      <c r="B6" s="58">
        <v>44927</v>
      </c>
      <c r="C6">
        <v>5</v>
      </c>
    </row>
    <row r="7" spans="1:3" x14ac:dyDescent="0.2">
      <c r="A7" t="s">
        <v>110</v>
      </c>
      <c r="B7" s="58">
        <v>44958</v>
      </c>
      <c r="C7">
        <v>99</v>
      </c>
    </row>
    <row r="8" spans="1:3" x14ac:dyDescent="0.2">
      <c r="A8" t="s">
        <v>110</v>
      </c>
      <c r="B8" s="58">
        <v>44986</v>
      </c>
      <c r="C8">
        <v>218.35</v>
      </c>
    </row>
    <row r="9" spans="1:3" x14ac:dyDescent="0.2">
      <c r="A9" t="s">
        <v>110</v>
      </c>
      <c r="B9" s="58">
        <v>45017</v>
      </c>
      <c r="C9">
        <v>44</v>
      </c>
    </row>
    <row r="10" spans="1:3" x14ac:dyDescent="0.2">
      <c r="A10" t="s">
        <v>110</v>
      </c>
      <c r="B10" s="58">
        <v>45047</v>
      </c>
      <c r="C10">
        <v>81</v>
      </c>
    </row>
    <row r="11" spans="1:3" x14ac:dyDescent="0.2">
      <c r="A11" t="s">
        <v>110</v>
      </c>
      <c r="B11" s="58">
        <v>45078</v>
      </c>
      <c r="C11">
        <v>62.3</v>
      </c>
    </row>
    <row r="12" spans="1:3" x14ac:dyDescent="0.2">
      <c r="A12" t="s">
        <v>113</v>
      </c>
      <c r="B12" s="58">
        <v>44866</v>
      </c>
      <c r="C12">
        <v>0</v>
      </c>
    </row>
    <row r="13" spans="1:3" x14ac:dyDescent="0.2">
      <c r="A13" t="s">
        <v>113</v>
      </c>
      <c r="B13" s="58">
        <v>44896</v>
      </c>
      <c r="C13">
        <v>16</v>
      </c>
    </row>
    <row r="14" spans="1:3" x14ac:dyDescent="0.2">
      <c r="A14" t="s">
        <v>113</v>
      </c>
      <c r="B14" s="58">
        <v>44927</v>
      </c>
      <c r="C14">
        <v>2.2999999999999998</v>
      </c>
    </row>
    <row r="15" spans="1:3" x14ac:dyDescent="0.2">
      <c r="A15" t="s">
        <v>113</v>
      </c>
      <c r="B15" s="58">
        <v>44958</v>
      </c>
      <c r="C15">
        <v>60.3</v>
      </c>
    </row>
    <row r="16" spans="1:3" x14ac:dyDescent="0.2">
      <c r="A16" t="s">
        <v>113</v>
      </c>
      <c r="B16" s="58">
        <v>44986</v>
      </c>
      <c r="C16">
        <v>7.3</v>
      </c>
    </row>
    <row r="17" spans="1:3" x14ac:dyDescent="0.2">
      <c r="A17" t="s">
        <v>113</v>
      </c>
      <c r="B17" s="58">
        <v>45017</v>
      </c>
      <c r="C17">
        <v>0</v>
      </c>
    </row>
    <row r="18" spans="1:3" x14ac:dyDescent="0.2">
      <c r="A18" t="s">
        <v>113</v>
      </c>
      <c r="B18" s="58">
        <v>45047</v>
      </c>
      <c r="C18">
        <v>51.3</v>
      </c>
    </row>
    <row r="19" spans="1:3" x14ac:dyDescent="0.2">
      <c r="A19" t="s">
        <v>113</v>
      </c>
      <c r="B19" s="58">
        <v>45078</v>
      </c>
      <c r="C19">
        <v>16.3</v>
      </c>
    </row>
    <row r="20" spans="1:3" x14ac:dyDescent="0.2">
      <c r="A20" t="s">
        <v>111</v>
      </c>
      <c r="B20" s="58">
        <v>44896</v>
      </c>
      <c r="C20">
        <v>76.45</v>
      </c>
    </row>
    <row r="21" spans="1:3" x14ac:dyDescent="0.2">
      <c r="A21" t="s">
        <v>111</v>
      </c>
      <c r="B21" s="58">
        <v>44927</v>
      </c>
      <c r="C21">
        <v>67</v>
      </c>
    </row>
    <row r="22" spans="1:3" x14ac:dyDescent="0.2">
      <c r="A22" t="s">
        <v>111</v>
      </c>
      <c r="B22" s="58">
        <v>44958</v>
      </c>
      <c r="C22">
        <v>51.4</v>
      </c>
    </row>
    <row r="23" spans="1:3" x14ac:dyDescent="0.2">
      <c r="A23" t="s">
        <v>111</v>
      </c>
      <c r="B23" s="58">
        <v>44986</v>
      </c>
      <c r="C23">
        <v>70.3</v>
      </c>
    </row>
    <row r="24" spans="1:3" x14ac:dyDescent="0.2">
      <c r="A24" t="s">
        <v>111</v>
      </c>
      <c r="B24" s="58">
        <v>45017</v>
      </c>
      <c r="C24">
        <v>9.3000000000000007</v>
      </c>
    </row>
    <row r="25" spans="1:3" x14ac:dyDescent="0.2">
      <c r="A25" t="s">
        <v>111</v>
      </c>
      <c r="B25" s="58">
        <v>45047</v>
      </c>
      <c r="C25">
        <v>52</v>
      </c>
    </row>
    <row r="26" spans="1:3" x14ac:dyDescent="0.2">
      <c r="A26" t="s">
        <v>111</v>
      </c>
      <c r="B26" s="58">
        <v>45078</v>
      </c>
      <c r="C26">
        <v>10.3</v>
      </c>
    </row>
    <row r="27" spans="1:3" x14ac:dyDescent="0.2">
      <c r="A27" t="s">
        <v>112</v>
      </c>
      <c r="B27" s="58">
        <v>44896</v>
      </c>
      <c r="C27">
        <v>7.3</v>
      </c>
    </row>
    <row r="28" spans="1:3" x14ac:dyDescent="0.2">
      <c r="A28" t="s">
        <v>112</v>
      </c>
      <c r="B28" s="58">
        <v>44927</v>
      </c>
      <c r="C28">
        <v>1</v>
      </c>
    </row>
    <row r="29" spans="1:3" x14ac:dyDescent="0.2">
      <c r="A29" t="s">
        <v>112</v>
      </c>
      <c r="B29" s="58">
        <v>45078</v>
      </c>
      <c r="C29">
        <v>13.3</v>
      </c>
    </row>
    <row r="30" spans="1:3" x14ac:dyDescent="0.2">
      <c r="A30" t="s">
        <v>114</v>
      </c>
      <c r="B30" s="58">
        <v>44927</v>
      </c>
      <c r="C30">
        <v>4.3</v>
      </c>
    </row>
    <row r="31" spans="1:3" x14ac:dyDescent="0.2">
      <c r="A31" t="s">
        <v>114</v>
      </c>
      <c r="B31" s="58">
        <v>44986</v>
      </c>
      <c r="C31">
        <v>6.3</v>
      </c>
    </row>
    <row r="32" spans="1:3" x14ac:dyDescent="0.2">
      <c r="A32" t="s">
        <v>824</v>
      </c>
      <c r="B32" s="58" t="s">
        <v>279</v>
      </c>
      <c r="C32">
        <v>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1DAA6-F513-45A1-88B6-9AFDCD790DA6}">
  <dimension ref="A1:C58"/>
  <sheetViews>
    <sheetView rightToLeft="1" workbookViewId="0">
      <selection activeCell="D21" sqref="A19:D21"/>
    </sheetView>
  </sheetViews>
  <sheetFormatPr defaultRowHeight="14.25" x14ac:dyDescent="0.2"/>
  <cols>
    <col min="1" max="1" width="10.125" customWidth="1"/>
    <col min="2" max="2" width="14.125" bestFit="1" customWidth="1"/>
    <col min="3" max="3" width="11.375" bestFit="1" customWidth="1"/>
  </cols>
  <sheetData>
    <row r="1" spans="1:3" x14ac:dyDescent="0.2">
      <c r="A1" t="s">
        <v>67</v>
      </c>
      <c r="B1" t="s">
        <v>108</v>
      </c>
      <c r="C1" t="s">
        <v>109</v>
      </c>
    </row>
    <row r="2" spans="1:3" x14ac:dyDescent="0.2">
      <c r="A2" s="14">
        <v>44866</v>
      </c>
      <c r="B2" s="10">
        <v>204.3</v>
      </c>
      <c r="C2" s="1" t="s">
        <v>110</v>
      </c>
    </row>
    <row r="3" spans="1:3" x14ac:dyDescent="0.2">
      <c r="A3" s="14">
        <v>44896</v>
      </c>
      <c r="B3" s="10">
        <v>151.30000000000001</v>
      </c>
      <c r="C3" s="1" t="s">
        <v>110</v>
      </c>
    </row>
    <row r="4" spans="1:3" x14ac:dyDescent="0.2">
      <c r="A4" s="14">
        <v>44927</v>
      </c>
      <c r="B4" s="10">
        <v>5</v>
      </c>
      <c r="C4" s="1" t="s">
        <v>110</v>
      </c>
    </row>
    <row r="5" spans="1:3" x14ac:dyDescent="0.2">
      <c r="A5" s="14">
        <v>44958</v>
      </c>
      <c r="B5" s="10">
        <v>99</v>
      </c>
      <c r="C5" s="1" t="s">
        <v>110</v>
      </c>
    </row>
    <row r="6" spans="1:3" x14ac:dyDescent="0.2">
      <c r="A6" s="14">
        <v>44986</v>
      </c>
      <c r="B6" s="10">
        <v>218.35</v>
      </c>
      <c r="C6" s="1" t="s">
        <v>110</v>
      </c>
    </row>
    <row r="7" spans="1:3" x14ac:dyDescent="0.2">
      <c r="A7" s="14">
        <v>45017</v>
      </c>
      <c r="B7" s="10">
        <v>44</v>
      </c>
      <c r="C7" s="1" t="s">
        <v>110</v>
      </c>
    </row>
    <row r="8" spans="1:3" x14ac:dyDescent="0.2">
      <c r="A8" s="14">
        <v>45047</v>
      </c>
      <c r="B8" s="10">
        <v>81</v>
      </c>
      <c r="C8" s="1" t="s">
        <v>110</v>
      </c>
    </row>
    <row r="9" spans="1:3" x14ac:dyDescent="0.2">
      <c r="A9" s="14">
        <v>45078</v>
      </c>
      <c r="B9" s="10">
        <v>62.3</v>
      </c>
      <c r="C9" s="1" t="s">
        <v>110</v>
      </c>
    </row>
    <row r="10" spans="1:3" x14ac:dyDescent="0.2">
      <c r="A10" s="14">
        <v>44896</v>
      </c>
      <c r="B10" s="10">
        <v>76.45</v>
      </c>
      <c r="C10" s="1" t="s">
        <v>111</v>
      </c>
    </row>
    <row r="11" spans="1:3" x14ac:dyDescent="0.2">
      <c r="A11" s="14">
        <v>44927</v>
      </c>
      <c r="B11" s="10">
        <v>67</v>
      </c>
      <c r="C11" s="1" t="s">
        <v>111</v>
      </c>
    </row>
    <row r="12" spans="1:3" x14ac:dyDescent="0.2">
      <c r="A12" s="14">
        <v>44958</v>
      </c>
      <c r="B12" s="10">
        <v>51.4</v>
      </c>
      <c r="C12" s="1" t="s">
        <v>111</v>
      </c>
    </row>
    <row r="13" spans="1:3" x14ac:dyDescent="0.2">
      <c r="A13" s="14">
        <v>44986</v>
      </c>
      <c r="B13" s="10">
        <v>70.3</v>
      </c>
      <c r="C13" s="1" t="s">
        <v>111</v>
      </c>
    </row>
    <row r="14" spans="1:3" x14ac:dyDescent="0.2">
      <c r="A14" s="14">
        <v>45017</v>
      </c>
      <c r="B14" s="10">
        <v>9.3000000000000007</v>
      </c>
      <c r="C14" s="1" t="s">
        <v>111</v>
      </c>
    </row>
    <row r="15" spans="1:3" x14ac:dyDescent="0.2">
      <c r="A15" s="14">
        <v>45047</v>
      </c>
      <c r="B15" s="10">
        <v>52</v>
      </c>
      <c r="C15" s="1" t="s">
        <v>111</v>
      </c>
    </row>
    <row r="16" spans="1:3" x14ac:dyDescent="0.2">
      <c r="A16" s="14">
        <v>45078</v>
      </c>
      <c r="B16" s="10">
        <v>10.3</v>
      </c>
      <c r="C16" s="1" t="s">
        <v>111</v>
      </c>
    </row>
    <row r="17" spans="1:3" x14ac:dyDescent="0.2">
      <c r="A17" s="14">
        <v>44896</v>
      </c>
      <c r="B17" s="10">
        <v>7.3</v>
      </c>
      <c r="C17" s="1" t="s">
        <v>112</v>
      </c>
    </row>
    <row r="18" spans="1:3" x14ac:dyDescent="0.2">
      <c r="A18" s="14">
        <v>44927</v>
      </c>
      <c r="B18" s="10">
        <v>1</v>
      </c>
      <c r="C18" s="1" t="s">
        <v>112</v>
      </c>
    </row>
    <row r="19" spans="1:3" x14ac:dyDescent="0.2">
      <c r="A19" s="14">
        <v>45078</v>
      </c>
      <c r="B19" s="10">
        <v>13.3</v>
      </c>
      <c r="C19" s="1" t="s">
        <v>112</v>
      </c>
    </row>
    <row r="20" spans="1:3" x14ac:dyDescent="0.2">
      <c r="A20" s="14">
        <v>44866</v>
      </c>
      <c r="B20" s="10">
        <v>0</v>
      </c>
      <c r="C20" s="1" t="s">
        <v>113</v>
      </c>
    </row>
    <row r="21" spans="1:3" x14ac:dyDescent="0.2">
      <c r="A21" s="14">
        <v>44896</v>
      </c>
      <c r="B21" s="10">
        <v>16</v>
      </c>
      <c r="C21" s="1" t="s">
        <v>113</v>
      </c>
    </row>
    <row r="22" spans="1:3" x14ac:dyDescent="0.2">
      <c r="A22" s="14">
        <v>44927</v>
      </c>
      <c r="B22" s="10">
        <v>2.2999999999999998</v>
      </c>
      <c r="C22" s="1" t="s">
        <v>113</v>
      </c>
    </row>
    <row r="23" spans="1:3" x14ac:dyDescent="0.2">
      <c r="A23" s="14">
        <v>44958</v>
      </c>
      <c r="B23" s="10">
        <v>60.3</v>
      </c>
      <c r="C23" s="1" t="s">
        <v>113</v>
      </c>
    </row>
    <row r="24" spans="1:3" x14ac:dyDescent="0.2">
      <c r="A24" s="14">
        <v>44986</v>
      </c>
      <c r="B24" s="10">
        <v>7.3</v>
      </c>
      <c r="C24" s="1" t="s">
        <v>113</v>
      </c>
    </row>
    <row r="25" spans="1:3" x14ac:dyDescent="0.2">
      <c r="A25" s="14">
        <v>45017</v>
      </c>
      <c r="B25" s="10">
        <v>0</v>
      </c>
      <c r="C25" s="1" t="s">
        <v>113</v>
      </c>
    </row>
    <row r="26" spans="1:3" x14ac:dyDescent="0.2">
      <c r="A26" s="14">
        <v>45047</v>
      </c>
      <c r="B26" s="10">
        <v>51.3</v>
      </c>
      <c r="C26" s="1" t="s">
        <v>113</v>
      </c>
    </row>
    <row r="27" spans="1:3" x14ac:dyDescent="0.2">
      <c r="A27" s="14">
        <v>45078</v>
      </c>
      <c r="B27" s="10">
        <v>16.3</v>
      </c>
      <c r="C27" s="1" t="s">
        <v>113</v>
      </c>
    </row>
    <row r="28" spans="1:3" x14ac:dyDescent="0.2">
      <c r="A28" s="14">
        <v>44927</v>
      </c>
      <c r="B28" s="10">
        <v>4.3</v>
      </c>
      <c r="C28" s="1" t="s">
        <v>114</v>
      </c>
    </row>
    <row r="29" spans="1:3" x14ac:dyDescent="0.2">
      <c r="A29" s="14">
        <v>44986</v>
      </c>
      <c r="B29" s="10">
        <v>6.3</v>
      </c>
      <c r="C29" s="1" t="s">
        <v>114</v>
      </c>
    </row>
    <row r="30" spans="1:3" x14ac:dyDescent="0.2">
      <c r="A30" s="57" t="s">
        <v>279</v>
      </c>
      <c r="B30" s="10" t="s">
        <v>279</v>
      </c>
      <c r="C30" s="1"/>
    </row>
    <row r="31" spans="1:3" x14ac:dyDescent="0.2">
      <c r="A31" s="1"/>
      <c r="B31" s="1"/>
      <c r="C31" s="1"/>
    </row>
    <row r="32" spans="1:3" x14ac:dyDescent="0.2">
      <c r="A32" s="1"/>
      <c r="B32" s="1"/>
      <c r="C32" s="1"/>
    </row>
    <row r="33" spans="1:3" x14ac:dyDescent="0.2">
      <c r="A33" s="1"/>
      <c r="B33" s="1"/>
      <c r="C33" s="1"/>
    </row>
    <row r="34" spans="1:3" x14ac:dyDescent="0.2">
      <c r="A34" s="1"/>
      <c r="B34" s="1"/>
      <c r="C34" s="1"/>
    </row>
    <row r="35" spans="1:3" x14ac:dyDescent="0.2">
      <c r="A35" s="1"/>
      <c r="B35" s="1"/>
      <c r="C35" s="1"/>
    </row>
    <row r="36" spans="1:3" x14ac:dyDescent="0.2">
      <c r="A36" s="1"/>
      <c r="B36" s="1"/>
      <c r="C36" s="1"/>
    </row>
    <row r="37" spans="1:3" x14ac:dyDescent="0.2">
      <c r="A37" s="1"/>
      <c r="B37" s="1"/>
      <c r="C37" s="1"/>
    </row>
    <row r="38" spans="1:3" x14ac:dyDescent="0.2">
      <c r="A38" s="1"/>
      <c r="B38" s="1"/>
      <c r="C38" s="1"/>
    </row>
    <row r="39" spans="1:3" x14ac:dyDescent="0.2">
      <c r="A39" s="1"/>
      <c r="B39" s="1"/>
      <c r="C39" s="1"/>
    </row>
    <row r="40" spans="1:3" x14ac:dyDescent="0.2">
      <c r="A40" s="1"/>
      <c r="B40" s="1"/>
      <c r="C40" s="1"/>
    </row>
    <row r="41" spans="1:3" x14ac:dyDescent="0.2">
      <c r="A41" s="1"/>
      <c r="B41" s="1"/>
      <c r="C41" s="1"/>
    </row>
    <row r="42" spans="1:3" x14ac:dyDescent="0.2">
      <c r="A42" s="1"/>
      <c r="B42" s="1"/>
      <c r="C42" s="1"/>
    </row>
    <row r="43" spans="1:3" x14ac:dyDescent="0.2">
      <c r="A43" s="1"/>
      <c r="B43" s="1"/>
      <c r="C43" s="1"/>
    </row>
    <row r="44" spans="1:3" x14ac:dyDescent="0.2">
      <c r="A44" s="1"/>
      <c r="B44" s="1"/>
      <c r="C44" s="1"/>
    </row>
    <row r="45" spans="1:3" x14ac:dyDescent="0.2">
      <c r="A45" s="1"/>
      <c r="B45" s="1"/>
      <c r="C45" s="1"/>
    </row>
    <row r="46" spans="1:3" x14ac:dyDescent="0.2">
      <c r="A46" s="1"/>
      <c r="B46" s="1"/>
      <c r="C46" s="1"/>
    </row>
    <row r="47" spans="1:3" x14ac:dyDescent="0.2">
      <c r="A47" s="1"/>
      <c r="B47" s="1"/>
      <c r="C47" s="1"/>
    </row>
    <row r="48" spans="1:3" x14ac:dyDescent="0.2">
      <c r="A48" s="1"/>
      <c r="B48" s="1"/>
      <c r="C48" s="1"/>
    </row>
    <row r="49" spans="1:3" x14ac:dyDescent="0.2">
      <c r="A49" s="1"/>
      <c r="B49" s="1"/>
      <c r="C49" s="1"/>
    </row>
    <row r="50" spans="1:3" x14ac:dyDescent="0.2">
      <c r="A50" s="1"/>
      <c r="B50" s="1"/>
      <c r="C50" s="1"/>
    </row>
    <row r="51" spans="1:3" x14ac:dyDescent="0.2">
      <c r="A51" s="1"/>
      <c r="B51" s="1"/>
      <c r="C51" s="1"/>
    </row>
    <row r="52" spans="1:3" x14ac:dyDescent="0.2">
      <c r="A52" s="1"/>
      <c r="B52" s="1"/>
      <c r="C52" s="1"/>
    </row>
    <row r="53" spans="1:3" x14ac:dyDescent="0.2">
      <c r="A53" s="1"/>
      <c r="B53" s="1"/>
      <c r="C53" s="1"/>
    </row>
    <row r="54" spans="1:3" x14ac:dyDescent="0.2">
      <c r="A54" s="1"/>
      <c r="B54" s="1"/>
      <c r="C54" s="1"/>
    </row>
    <row r="55" spans="1:3" x14ac:dyDescent="0.2">
      <c r="A55" s="1"/>
      <c r="B55" s="1"/>
      <c r="C55" s="1"/>
    </row>
    <row r="56" spans="1:3" x14ac:dyDescent="0.2">
      <c r="A56" s="1"/>
      <c r="B56" s="1"/>
      <c r="C56" s="1"/>
    </row>
    <row r="57" spans="1:3" x14ac:dyDescent="0.2">
      <c r="A57" s="1"/>
      <c r="B57" s="1"/>
      <c r="C57" s="1"/>
    </row>
    <row r="58" spans="1:3" x14ac:dyDescent="0.2">
      <c r="A58" s="1"/>
      <c r="B58" s="1"/>
      <c r="C58" s="1"/>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17"/>
  <sheetViews>
    <sheetView rightToLeft="1" view="pageBreakPreview" topLeftCell="H1" zoomScale="159" zoomScaleNormal="100" zoomScaleSheetLayoutView="159" workbookViewId="0">
      <pane ySplit="1" topLeftCell="A2" activePane="bottomLeft" state="frozen"/>
      <selection activeCell="B5" sqref="B5"/>
      <selection pane="bottomLeft" activeCell="B5" sqref="B5"/>
    </sheetView>
  </sheetViews>
  <sheetFormatPr defaultColWidth="8.875" defaultRowHeight="15" x14ac:dyDescent="0.2"/>
  <cols>
    <col min="1" max="1" width="4.625" style="1" bestFit="1" customWidth="1"/>
    <col min="2" max="2" width="10.5" style="2" customWidth="1"/>
    <col min="3" max="3" width="5.5" style="2" customWidth="1"/>
    <col min="4" max="4" width="8.5" style="27" customWidth="1"/>
    <col min="5" max="5" width="9.5" style="27" customWidth="1"/>
    <col min="6" max="6" width="18.5" style="24" customWidth="1"/>
    <col min="7" max="7" width="8.125" style="27" customWidth="1"/>
    <col min="8" max="8" width="11.375" style="33" customWidth="1"/>
    <col min="9" max="9" width="10.125" style="33" customWidth="1"/>
    <col min="10" max="10" width="15.125" style="37" bestFit="1" customWidth="1"/>
    <col min="11" max="12" width="8.875" style="1"/>
    <col min="13" max="13" width="8.375" style="1" bestFit="1" customWidth="1"/>
    <col min="14" max="14" width="15.625" style="1" bestFit="1" customWidth="1"/>
    <col min="15" max="16384" width="8.875" style="1"/>
  </cols>
  <sheetData>
    <row r="1" spans="1:14" ht="31.35" customHeight="1" x14ac:dyDescent="0.2">
      <c r="A1" s="5" t="s">
        <v>69</v>
      </c>
      <c r="B1" s="5" t="s">
        <v>3</v>
      </c>
      <c r="C1" s="5" t="s">
        <v>4</v>
      </c>
      <c r="D1" s="25" t="s">
        <v>6</v>
      </c>
      <c r="E1" s="25" t="s">
        <v>291</v>
      </c>
      <c r="F1" s="22" t="s">
        <v>127</v>
      </c>
      <c r="G1" s="28" t="s">
        <v>143</v>
      </c>
      <c r="H1" s="32" t="s">
        <v>0</v>
      </c>
      <c r="I1" s="32" t="s">
        <v>1</v>
      </c>
      <c r="J1" s="32" t="s">
        <v>2</v>
      </c>
      <c r="M1" s="18" t="s">
        <v>67</v>
      </c>
      <c r="N1" s="18" t="s">
        <v>68</v>
      </c>
    </row>
    <row r="2" spans="1:14" x14ac:dyDescent="0.2">
      <c r="A2" s="1">
        <v>11</v>
      </c>
      <c r="B2" s="6">
        <v>44572</v>
      </c>
      <c r="C2" s="6" t="s">
        <v>5</v>
      </c>
      <c r="D2" s="26" t="s">
        <v>7</v>
      </c>
      <c r="E2" s="26"/>
      <c r="F2" s="23" t="s">
        <v>216</v>
      </c>
      <c r="G2" s="26" t="s">
        <v>142</v>
      </c>
      <c r="H2" s="34">
        <v>0.375</v>
      </c>
      <c r="I2" s="34">
        <v>0.70833333333333337</v>
      </c>
      <c r="J2" s="36">
        <f>I2-H2</f>
        <v>0.33333333333333337</v>
      </c>
      <c r="M2" s="10">
        <v>11</v>
      </c>
      <c r="N2" s="11">
        <f t="shared" ref="N2:N13" si="0">SUMIF(A:A,M2,J:J)</f>
        <v>8.5208333333333339</v>
      </c>
    </row>
    <row r="3" spans="1:14" x14ac:dyDescent="0.2">
      <c r="A3" s="1">
        <v>11</v>
      </c>
      <c r="B3" s="6">
        <v>44603</v>
      </c>
      <c r="C3" s="7" t="s">
        <v>16</v>
      </c>
      <c r="D3" s="26" t="s">
        <v>7</v>
      </c>
      <c r="E3" s="26"/>
      <c r="F3" s="23" t="s">
        <v>216</v>
      </c>
      <c r="G3" s="26" t="s">
        <v>142</v>
      </c>
      <c r="H3" s="34">
        <v>0.39583333333333331</v>
      </c>
      <c r="I3" s="34">
        <v>0.70833333333333337</v>
      </c>
      <c r="J3" s="36">
        <f t="shared" ref="J3:J66" si="1">I3-H3</f>
        <v>0.31250000000000006</v>
      </c>
      <c r="M3" s="10">
        <v>12</v>
      </c>
      <c r="N3" s="11">
        <f t="shared" si="0"/>
        <v>6.3124999999999991</v>
      </c>
    </row>
    <row r="4" spans="1:14" x14ac:dyDescent="0.2">
      <c r="A4" s="1">
        <v>11</v>
      </c>
      <c r="B4" s="6">
        <v>44631</v>
      </c>
      <c r="C4" s="7" t="s">
        <v>10</v>
      </c>
      <c r="D4" s="26" t="s">
        <v>7</v>
      </c>
      <c r="E4" s="26"/>
      <c r="F4" s="23" t="s">
        <v>216</v>
      </c>
      <c r="G4" s="26" t="s">
        <v>142</v>
      </c>
      <c r="H4" s="34">
        <v>0.39583333333333331</v>
      </c>
      <c r="I4" s="34">
        <v>0.70833333333333337</v>
      </c>
      <c r="J4" s="36">
        <f t="shared" si="1"/>
        <v>0.31250000000000006</v>
      </c>
      <c r="M4" s="10">
        <v>1</v>
      </c>
      <c r="N4" s="11">
        <f t="shared" si="0"/>
        <v>0.20833333333333331</v>
      </c>
    </row>
    <row r="5" spans="1:14" x14ac:dyDescent="0.2">
      <c r="A5" s="1">
        <v>11</v>
      </c>
      <c r="B5" s="6">
        <v>44692</v>
      </c>
      <c r="C5" s="7" t="s">
        <v>11</v>
      </c>
      <c r="D5" s="26" t="s">
        <v>7</v>
      </c>
      <c r="E5" s="26"/>
      <c r="F5" s="23" t="s">
        <v>216</v>
      </c>
      <c r="G5" s="26" t="s">
        <v>142</v>
      </c>
      <c r="H5" s="34">
        <v>0.41666666666666669</v>
      </c>
      <c r="I5" s="34">
        <v>0.70833333333333337</v>
      </c>
      <c r="J5" s="36">
        <f t="shared" si="1"/>
        <v>0.29166666666666669</v>
      </c>
      <c r="M5" s="10">
        <v>2</v>
      </c>
      <c r="N5" s="11">
        <f t="shared" si="0"/>
        <v>4.125</v>
      </c>
    </row>
    <row r="6" spans="1:14" x14ac:dyDescent="0.2">
      <c r="A6" s="1">
        <v>11</v>
      </c>
      <c r="B6" s="6">
        <v>44723</v>
      </c>
      <c r="C6" s="7" t="s">
        <v>12</v>
      </c>
      <c r="D6" s="26" t="s">
        <v>7</v>
      </c>
      <c r="E6" s="26"/>
      <c r="F6" s="23" t="s">
        <v>216</v>
      </c>
      <c r="G6" s="26" t="s">
        <v>142</v>
      </c>
      <c r="H6" s="34">
        <v>0.41666666666666669</v>
      </c>
      <c r="I6" s="34">
        <v>0.70833333333333337</v>
      </c>
      <c r="J6" s="36">
        <f t="shared" si="1"/>
        <v>0.29166666666666669</v>
      </c>
      <c r="M6" s="10">
        <v>3</v>
      </c>
      <c r="N6" s="11">
        <f t="shared" si="0"/>
        <v>8.7743055555555571</v>
      </c>
    </row>
    <row r="7" spans="1:14" x14ac:dyDescent="0.2">
      <c r="A7" s="1">
        <v>11</v>
      </c>
      <c r="B7" s="6">
        <v>44753</v>
      </c>
      <c r="C7" s="7" t="s">
        <v>13</v>
      </c>
      <c r="D7" s="26" t="s">
        <v>7</v>
      </c>
      <c r="E7" s="26"/>
      <c r="F7" s="23" t="s">
        <v>216</v>
      </c>
      <c r="G7" s="26" t="s">
        <v>142</v>
      </c>
      <c r="H7" s="34">
        <v>0.39583333333333331</v>
      </c>
      <c r="I7" s="34">
        <v>0.70833333333333337</v>
      </c>
      <c r="J7" s="36">
        <f t="shared" si="1"/>
        <v>0.31250000000000006</v>
      </c>
      <c r="M7" s="10">
        <v>4</v>
      </c>
      <c r="N7" s="11">
        <f t="shared" si="0"/>
        <v>1.833333333333333</v>
      </c>
    </row>
    <row r="8" spans="1:14" x14ac:dyDescent="0.2">
      <c r="A8" s="1">
        <v>11</v>
      </c>
      <c r="B8" s="6">
        <v>44784</v>
      </c>
      <c r="C8" s="6" t="s">
        <v>5</v>
      </c>
      <c r="D8" s="26" t="s">
        <v>8</v>
      </c>
      <c r="E8" s="26"/>
      <c r="F8" s="23" t="s">
        <v>218</v>
      </c>
      <c r="G8" s="26" t="s">
        <v>142</v>
      </c>
      <c r="H8" s="34">
        <v>0.29166666666666669</v>
      </c>
      <c r="I8" s="34">
        <v>0.70833333333333337</v>
      </c>
      <c r="J8" s="36">
        <f t="shared" si="1"/>
        <v>0.41666666666666669</v>
      </c>
      <c r="M8" s="10">
        <v>5</v>
      </c>
      <c r="N8" s="11">
        <f t="shared" si="0"/>
        <v>3.4791666666666665</v>
      </c>
    </row>
    <row r="9" spans="1:14" x14ac:dyDescent="0.2">
      <c r="A9" s="1">
        <v>11</v>
      </c>
      <c r="B9" s="6">
        <v>44784</v>
      </c>
      <c r="C9" s="6" t="s">
        <v>5</v>
      </c>
      <c r="D9" s="26" t="s">
        <v>7</v>
      </c>
      <c r="E9" s="26"/>
      <c r="F9" s="23" t="s">
        <v>216</v>
      </c>
      <c r="G9" s="26" t="s">
        <v>142</v>
      </c>
      <c r="H9" s="34">
        <v>0.39583333333333331</v>
      </c>
      <c r="I9" s="34">
        <v>0.70833333333333337</v>
      </c>
      <c r="J9" s="36">
        <f t="shared" si="1"/>
        <v>0.31250000000000006</v>
      </c>
      <c r="M9" s="10">
        <v>6</v>
      </c>
      <c r="N9" s="11">
        <f t="shared" si="0"/>
        <v>4.2291666666666679</v>
      </c>
    </row>
    <row r="10" spans="1:14" x14ac:dyDescent="0.2">
      <c r="A10" s="1">
        <v>11</v>
      </c>
      <c r="B10" s="6">
        <v>44815</v>
      </c>
      <c r="C10" s="7" t="s">
        <v>9</v>
      </c>
      <c r="D10" s="26" t="s">
        <v>7</v>
      </c>
      <c r="E10" s="26"/>
      <c r="F10" s="23" t="s">
        <v>216</v>
      </c>
      <c r="G10" s="26" t="s">
        <v>142</v>
      </c>
      <c r="H10" s="34">
        <v>0.39583333333333331</v>
      </c>
      <c r="I10" s="34">
        <v>0.70833333333333337</v>
      </c>
      <c r="J10" s="36">
        <f t="shared" si="1"/>
        <v>0.31250000000000006</v>
      </c>
      <c r="M10" s="10">
        <v>7</v>
      </c>
      <c r="N10" s="11">
        <f t="shared" si="0"/>
        <v>7.5416666666666679</v>
      </c>
    </row>
    <row r="11" spans="1:14" x14ac:dyDescent="0.2">
      <c r="A11" s="1">
        <v>11</v>
      </c>
      <c r="B11" s="6">
        <v>44845</v>
      </c>
      <c r="C11" s="7" t="s">
        <v>10</v>
      </c>
      <c r="D11" s="26" t="s">
        <v>7</v>
      </c>
      <c r="E11" s="26"/>
      <c r="F11" s="23" t="s">
        <v>216</v>
      </c>
      <c r="G11" s="26" t="s">
        <v>142</v>
      </c>
      <c r="H11" s="34">
        <v>0.39583333333333331</v>
      </c>
      <c r="I11" s="34">
        <v>0.70833333333333337</v>
      </c>
      <c r="J11" s="36">
        <f t="shared" si="1"/>
        <v>0.31250000000000006</v>
      </c>
      <c r="M11" s="10">
        <v>8</v>
      </c>
      <c r="N11" s="11">
        <f t="shared" si="0"/>
        <v>4.8541666666666652</v>
      </c>
    </row>
    <row r="12" spans="1:14" x14ac:dyDescent="0.2">
      <c r="A12" s="1">
        <v>11</v>
      </c>
      <c r="B12" s="6">
        <v>44906</v>
      </c>
      <c r="C12" s="7" t="s">
        <v>11</v>
      </c>
      <c r="D12" s="26" t="s">
        <v>7</v>
      </c>
      <c r="E12" s="26"/>
      <c r="F12" s="23" t="s">
        <v>216</v>
      </c>
      <c r="G12" s="26" t="s">
        <v>142</v>
      </c>
      <c r="H12" s="34">
        <v>0.39583333333333331</v>
      </c>
      <c r="I12" s="34">
        <v>0.70833333333333337</v>
      </c>
      <c r="J12" s="36">
        <f t="shared" si="1"/>
        <v>0.31250000000000006</v>
      </c>
      <c r="M12" s="10">
        <v>9</v>
      </c>
      <c r="N12" s="11">
        <f t="shared" si="0"/>
        <v>0</v>
      </c>
    </row>
    <row r="13" spans="1:14" x14ac:dyDescent="0.2">
      <c r="A13" s="1">
        <v>11</v>
      </c>
      <c r="B13" s="6" t="s">
        <v>14</v>
      </c>
      <c r="C13" s="7" t="s">
        <v>12</v>
      </c>
      <c r="D13" s="26" t="s">
        <v>7</v>
      </c>
      <c r="E13" s="26"/>
      <c r="F13" s="23" t="s">
        <v>216</v>
      </c>
      <c r="G13" s="26" t="s">
        <v>142</v>
      </c>
      <c r="H13" s="34">
        <v>0.39583333333333331</v>
      </c>
      <c r="I13" s="34">
        <v>0.70833333333333337</v>
      </c>
      <c r="J13" s="36">
        <f t="shared" si="1"/>
        <v>0.31250000000000006</v>
      </c>
      <c r="M13" s="10">
        <v>10</v>
      </c>
      <c r="N13" s="11">
        <f t="shared" si="0"/>
        <v>0</v>
      </c>
    </row>
    <row r="14" spans="1:14" x14ac:dyDescent="0.2">
      <c r="A14" s="1">
        <v>11</v>
      </c>
      <c r="B14" s="6" t="s">
        <v>15</v>
      </c>
      <c r="C14" s="7" t="s">
        <v>13</v>
      </c>
      <c r="D14" s="26" t="s">
        <v>7</v>
      </c>
      <c r="E14" s="26"/>
      <c r="F14" s="23" t="s">
        <v>216</v>
      </c>
      <c r="G14" s="26" t="s">
        <v>142</v>
      </c>
      <c r="H14" s="34">
        <v>0.39583333333333331</v>
      </c>
      <c r="I14" s="34">
        <v>0.70833333333333337</v>
      </c>
      <c r="J14" s="36">
        <f t="shared" si="1"/>
        <v>0.31250000000000006</v>
      </c>
      <c r="M14" s="16" t="s">
        <v>70</v>
      </c>
      <c r="N14" s="17">
        <f>SUM(N2:N13)</f>
        <v>49.878472222222221</v>
      </c>
    </row>
    <row r="15" spans="1:14" x14ac:dyDescent="0.2">
      <c r="A15" s="1">
        <v>11</v>
      </c>
      <c r="B15" s="6" t="s">
        <v>17</v>
      </c>
      <c r="C15" s="6" t="s">
        <v>5</v>
      </c>
      <c r="D15" s="26" t="s">
        <v>7</v>
      </c>
      <c r="E15" s="26"/>
      <c r="F15" s="23" t="s">
        <v>216</v>
      </c>
      <c r="G15" s="26" t="s">
        <v>142</v>
      </c>
      <c r="H15" s="34">
        <v>0.39583333333333331</v>
      </c>
      <c r="I15" s="34">
        <v>0.70833333333333337</v>
      </c>
      <c r="J15" s="36">
        <f t="shared" si="1"/>
        <v>0.31250000000000006</v>
      </c>
    </row>
    <row r="16" spans="1:14" x14ac:dyDescent="0.2">
      <c r="A16" s="1">
        <v>11</v>
      </c>
      <c r="B16" s="6" t="s">
        <v>18</v>
      </c>
      <c r="C16" s="7" t="s">
        <v>9</v>
      </c>
      <c r="D16" s="26" t="s">
        <v>7</v>
      </c>
      <c r="E16" s="26"/>
      <c r="F16" s="23" t="s">
        <v>216</v>
      </c>
      <c r="G16" s="26" t="s">
        <v>142</v>
      </c>
      <c r="H16" s="34">
        <v>0.39583333333333331</v>
      </c>
      <c r="I16" s="34">
        <v>0.70833333333333337</v>
      </c>
      <c r="J16" s="36">
        <f t="shared" si="1"/>
        <v>0.31250000000000006</v>
      </c>
    </row>
    <row r="17" spans="1:10" x14ac:dyDescent="0.2">
      <c r="A17" s="1">
        <v>11</v>
      </c>
      <c r="B17" s="6" t="s">
        <v>19</v>
      </c>
      <c r="C17" s="7" t="s">
        <v>10</v>
      </c>
      <c r="D17" s="26" t="s">
        <v>7</v>
      </c>
      <c r="E17" s="26"/>
      <c r="F17" s="23" t="s">
        <v>216</v>
      </c>
      <c r="G17" s="26" t="s">
        <v>142</v>
      </c>
      <c r="H17" s="34">
        <v>0.39583333333333331</v>
      </c>
      <c r="I17" s="34">
        <v>0.70833333333333337</v>
      </c>
      <c r="J17" s="36">
        <f t="shared" si="1"/>
        <v>0.31250000000000006</v>
      </c>
    </row>
    <row r="18" spans="1:10" x14ac:dyDescent="0.2">
      <c r="A18" s="1">
        <v>11</v>
      </c>
      <c r="B18" s="6" t="s">
        <v>20</v>
      </c>
      <c r="C18" s="7" t="s">
        <v>11</v>
      </c>
      <c r="D18" s="26" t="s">
        <v>7</v>
      </c>
      <c r="E18" s="26"/>
      <c r="F18" s="23" t="s">
        <v>216</v>
      </c>
      <c r="G18" s="26" t="s">
        <v>142</v>
      </c>
      <c r="H18" s="34">
        <v>0.39583333333333331</v>
      </c>
      <c r="I18" s="34">
        <v>0.70833333333333337</v>
      </c>
      <c r="J18" s="36">
        <f t="shared" si="1"/>
        <v>0.31250000000000006</v>
      </c>
    </row>
    <row r="19" spans="1:10" x14ac:dyDescent="0.2">
      <c r="A19" s="1">
        <v>11</v>
      </c>
      <c r="B19" s="6" t="s">
        <v>21</v>
      </c>
      <c r="C19" s="7" t="s">
        <v>12</v>
      </c>
      <c r="D19" s="26" t="s">
        <v>7</v>
      </c>
      <c r="E19" s="26"/>
      <c r="F19" s="23" t="s">
        <v>216</v>
      </c>
      <c r="G19" s="26" t="s">
        <v>142</v>
      </c>
      <c r="H19" s="34">
        <v>0.39583333333333331</v>
      </c>
      <c r="I19" s="34">
        <v>0.70833333333333337</v>
      </c>
      <c r="J19" s="36">
        <f t="shared" si="1"/>
        <v>0.31250000000000006</v>
      </c>
    </row>
    <row r="20" spans="1:10" x14ac:dyDescent="0.2">
      <c r="A20" s="1">
        <v>11</v>
      </c>
      <c r="B20" s="6" t="s">
        <v>22</v>
      </c>
      <c r="C20" s="7" t="s">
        <v>13</v>
      </c>
      <c r="D20" s="26" t="s">
        <v>7</v>
      </c>
      <c r="E20" s="26"/>
      <c r="F20" s="23" t="s">
        <v>216</v>
      </c>
      <c r="G20" s="26" t="s">
        <v>142</v>
      </c>
      <c r="H20" s="34">
        <v>0.39583333333333331</v>
      </c>
      <c r="I20" s="34">
        <v>0.70833333333333337</v>
      </c>
      <c r="J20" s="36">
        <f t="shared" si="1"/>
        <v>0.31250000000000006</v>
      </c>
    </row>
    <row r="21" spans="1:10" x14ac:dyDescent="0.2">
      <c r="A21" s="1">
        <v>11</v>
      </c>
      <c r="B21" s="6" t="s">
        <v>23</v>
      </c>
      <c r="C21" s="6" t="s">
        <v>5</v>
      </c>
      <c r="D21" s="26" t="s">
        <v>7</v>
      </c>
      <c r="E21" s="26"/>
      <c r="F21" s="23" t="s">
        <v>217</v>
      </c>
      <c r="G21" s="26" t="s">
        <v>142</v>
      </c>
      <c r="H21" s="34">
        <v>0.39583333333333331</v>
      </c>
      <c r="I21" s="34">
        <v>0.70833333333333337</v>
      </c>
      <c r="J21" s="36">
        <f t="shared" si="1"/>
        <v>0.31250000000000006</v>
      </c>
    </row>
    <row r="22" spans="1:10" x14ac:dyDescent="0.2">
      <c r="A22" s="1">
        <v>11</v>
      </c>
      <c r="B22" s="6" t="s">
        <v>24</v>
      </c>
      <c r="C22" s="7" t="s">
        <v>9</v>
      </c>
      <c r="D22" s="26" t="s">
        <v>7</v>
      </c>
      <c r="E22" s="26"/>
      <c r="F22" s="23" t="s">
        <v>217</v>
      </c>
      <c r="G22" s="26" t="s">
        <v>142</v>
      </c>
      <c r="H22" s="34">
        <v>0.39583333333333331</v>
      </c>
      <c r="I22" s="34">
        <v>0.70833333333333337</v>
      </c>
      <c r="J22" s="36">
        <f t="shared" si="1"/>
        <v>0.31250000000000006</v>
      </c>
    </row>
    <row r="23" spans="1:10" x14ac:dyDescent="0.2">
      <c r="A23" s="1">
        <v>11</v>
      </c>
      <c r="B23" s="6" t="s">
        <v>25</v>
      </c>
      <c r="C23" s="7" t="s">
        <v>10</v>
      </c>
      <c r="D23" s="26" t="s">
        <v>7</v>
      </c>
      <c r="E23" s="26"/>
      <c r="F23" s="23" t="s">
        <v>217</v>
      </c>
      <c r="G23" s="26" t="s">
        <v>142</v>
      </c>
      <c r="H23" s="34">
        <v>0.39583333333333331</v>
      </c>
      <c r="I23" s="34">
        <v>0.70833333333333337</v>
      </c>
      <c r="J23" s="36">
        <f t="shared" si="1"/>
        <v>0.31250000000000006</v>
      </c>
    </row>
    <row r="24" spans="1:10" x14ac:dyDescent="0.2">
      <c r="A24" s="1">
        <v>11</v>
      </c>
      <c r="B24" s="6" t="s">
        <v>26</v>
      </c>
      <c r="C24" s="7" t="s">
        <v>11</v>
      </c>
      <c r="D24" s="26" t="s">
        <v>7</v>
      </c>
      <c r="E24" s="26"/>
      <c r="F24" s="23" t="s">
        <v>216</v>
      </c>
      <c r="G24" s="26" t="s">
        <v>142</v>
      </c>
      <c r="H24" s="34">
        <v>0.39583333333333331</v>
      </c>
      <c r="I24" s="34">
        <v>0.70833333333333337</v>
      </c>
      <c r="J24" s="36">
        <f t="shared" si="1"/>
        <v>0.31250000000000006</v>
      </c>
    </row>
    <row r="25" spans="1:10" x14ac:dyDescent="0.2">
      <c r="A25" s="1">
        <v>11</v>
      </c>
      <c r="B25" s="6" t="s">
        <v>27</v>
      </c>
      <c r="C25" s="7" t="s">
        <v>12</v>
      </c>
      <c r="D25" s="26" t="s">
        <v>7</v>
      </c>
      <c r="E25" s="26"/>
      <c r="F25" s="23" t="s">
        <v>216</v>
      </c>
      <c r="G25" s="26" t="s">
        <v>142</v>
      </c>
      <c r="H25" s="34">
        <v>0.39583333333333331</v>
      </c>
      <c r="I25" s="34">
        <v>0.70833333333333337</v>
      </c>
      <c r="J25" s="36">
        <f t="shared" si="1"/>
        <v>0.31250000000000006</v>
      </c>
    </row>
    <row r="26" spans="1:10" x14ac:dyDescent="0.2">
      <c r="A26" s="1">
        <v>11</v>
      </c>
      <c r="B26" s="6" t="s">
        <v>28</v>
      </c>
      <c r="C26" s="7" t="s">
        <v>13</v>
      </c>
      <c r="D26" s="26" t="s">
        <v>7</v>
      </c>
      <c r="E26" s="26"/>
      <c r="F26" s="23" t="s">
        <v>216</v>
      </c>
      <c r="G26" s="26" t="s">
        <v>142</v>
      </c>
      <c r="H26" s="34">
        <v>0.39583333333333331</v>
      </c>
      <c r="I26" s="34">
        <v>0.70833333333333337</v>
      </c>
      <c r="J26" s="36">
        <f t="shared" si="1"/>
        <v>0.31250000000000006</v>
      </c>
    </row>
    <row r="27" spans="1:10" x14ac:dyDescent="0.2">
      <c r="A27" s="1">
        <v>11</v>
      </c>
      <c r="B27" s="6" t="s">
        <v>29</v>
      </c>
      <c r="C27" s="6" t="s">
        <v>5</v>
      </c>
      <c r="D27" s="26" t="s">
        <v>7</v>
      </c>
      <c r="E27" s="26"/>
      <c r="F27" s="23" t="s">
        <v>216</v>
      </c>
      <c r="G27" s="26" t="s">
        <v>142</v>
      </c>
      <c r="H27" s="34">
        <v>0.39583333333333331</v>
      </c>
      <c r="I27" s="34">
        <v>0.70833333333333337</v>
      </c>
      <c r="J27" s="36">
        <f t="shared" si="1"/>
        <v>0.31250000000000006</v>
      </c>
    </row>
    <row r="28" spans="1:10" x14ac:dyDescent="0.2">
      <c r="A28" s="1">
        <v>11</v>
      </c>
      <c r="B28" s="6" t="s">
        <v>30</v>
      </c>
      <c r="C28" s="7" t="s">
        <v>9</v>
      </c>
      <c r="D28" s="26" t="s">
        <v>7</v>
      </c>
      <c r="E28" s="26"/>
      <c r="F28" s="23" t="s">
        <v>216</v>
      </c>
      <c r="G28" s="26" t="s">
        <v>142</v>
      </c>
      <c r="H28" s="34">
        <v>0.39583333333333331</v>
      </c>
      <c r="I28" s="34">
        <v>0.70833333333333337</v>
      </c>
      <c r="J28" s="36">
        <f t="shared" si="1"/>
        <v>0.31250000000000006</v>
      </c>
    </row>
    <row r="29" spans="1:10" x14ac:dyDescent="0.2">
      <c r="A29" s="1">
        <v>12</v>
      </c>
      <c r="B29" s="6">
        <v>44573</v>
      </c>
      <c r="C29" s="7" t="s">
        <v>10</v>
      </c>
      <c r="D29" s="26" t="s">
        <v>7</v>
      </c>
      <c r="E29" s="26"/>
      <c r="F29" s="23" t="s">
        <v>216</v>
      </c>
      <c r="G29" s="26" t="s">
        <v>142</v>
      </c>
      <c r="H29" s="34">
        <v>0.39583333333333331</v>
      </c>
      <c r="I29" s="34">
        <v>0.70833333333333337</v>
      </c>
      <c r="J29" s="36">
        <f t="shared" si="1"/>
        <v>0.31250000000000006</v>
      </c>
    </row>
    <row r="30" spans="1:10" x14ac:dyDescent="0.2">
      <c r="A30" s="1">
        <v>12</v>
      </c>
      <c r="B30" s="6">
        <v>44632</v>
      </c>
      <c r="C30" s="7" t="s">
        <v>11</v>
      </c>
      <c r="D30" s="26" t="s">
        <v>7</v>
      </c>
      <c r="E30" s="26"/>
      <c r="F30" s="23" t="s">
        <v>216</v>
      </c>
      <c r="G30" s="26" t="s">
        <v>142</v>
      </c>
      <c r="H30" s="34">
        <v>0.39583333333333331</v>
      </c>
      <c r="I30" s="34">
        <v>0.72916666666666663</v>
      </c>
      <c r="J30" s="36">
        <f t="shared" si="1"/>
        <v>0.33333333333333331</v>
      </c>
    </row>
    <row r="31" spans="1:10" x14ac:dyDescent="0.2">
      <c r="A31" s="1">
        <v>12</v>
      </c>
      <c r="B31" s="6">
        <v>44663</v>
      </c>
      <c r="C31" s="7" t="s">
        <v>12</v>
      </c>
      <c r="D31" s="26" t="s">
        <v>7</v>
      </c>
      <c r="E31" s="26"/>
      <c r="F31" s="23" t="s">
        <v>216</v>
      </c>
      <c r="G31" s="26" t="s">
        <v>142</v>
      </c>
      <c r="H31" s="34">
        <v>0.39583333333333331</v>
      </c>
      <c r="I31" s="34">
        <v>0.72916666666666663</v>
      </c>
      <c r="J31" s="36">
        <f t="shared" si="1"/>
        <v>0.33333333333333331</v>
      </c>
    </row>
    <row r="32" spans="1:10" x14ac:dyDescent="0.2">
      <c r="A32" s="1">
        <v>12</v>
      </c>
      <c r="B32" s="6">
        <v>44693</v>
      </c>
      <c r="C32" s="7" t="s">
        <v>13</v>
      </c>
      <c r="D32" s="26" t="s">
        <v>7</v>
      </c>
      <c r="E32" s="26"/>
      <c r="F32" s="23" t="s">
        <v>216</v>
      </c>
      <c r="G32" s="26" t="s">
        <v>142</v>
      </c>
      <c r="H32" s="34">
        <v>0.39583333333333331</v>
      </c>
      <c r="I32" s="34">
        <v>0.72916666666666663</v>
      </c>
      <c r="J32" s="36">
        <f t="shared" si="1"/>
        <v>0.33333333333333331</v>
      </c>
    </row>
    <row r="33" spans="1:10" x14ac:dyDescent="0.2">
      <c r="A33" s="1">
        <v>12</v>
      </c>
      <c r="B33" s="6">
        <v>44724</v>
      </c>
      <c r="C33" s="6" t="s">
        <v>5</v>
      </c>
      <c r="D33" s="26" t="s">
        <v>7</v>
      </c>
      <c r="E33" s="26"/>
      <c r="F33" s="23" t="s">
        <v>216</v>
      </c>
      <c r="G33" s="26" t="s">
        <v>142</v>
      </c>
      <c r="H33" s="34">
        <v>0.39583333333333331</v>
      </c>
      <c r="I33" s="34">
        <v>0.72916666666666663</v>
      </c>
      <c r="J33" s="36">
        <f t="shared" si="1"/>
        <v>0.33333333333333331</v>
      </c>
    </row>
    <row r="34" spans="1:10" x14ac:dyDescent="0.2">
      <c r="A34" s="1">
        <v>12</v>
      </c>
      <c r="B34" s="6">
        <v>44754</v>
      </c>
      <c r="C34" s="7" t="s">
        <v>9</v>
      </c>
      <c r="D34" s="26" t="s">
        <v>7</v>
      </c>
      <c r="E34" s="26"/>
      <c r="F34" s="23" t="s">
        <v>216</v>
      </c>
      <c r="G34" s="26" t="s">
        <v>142</v>
      </c>
      <c r="H34" s="34">
        <v>0.39583333333333331</v>
      </c>
      <c r="I34" s="34">
        <v>0.72916666666666663</v>
      </c>
      <c r="J34" s="36">
        <f t="shared" si="1"/>
        <v>0.33333333333333331</v>
      </c>
    </row>
    <row r="35" spans="1:10" x14ac:dyDescent="0.2">
      <c r="A35" s="1">
        <v>12</v>
      </c>
      <c r="B35" s="6">
        <v>44785</v>
      </c>
      <c r="C35" s="7" t="s">
        <v>10</v>
      </c>
      <c r="D35" s="26" t="s">
        <v>7</v>
      </c>
      <c r="E35" s="26"/>
      <c r="F35" s="23" t="s">
        <v>216</v>
      </c>
      <c r="G35" s="26" t="s">
        <v>142</v>
      </c>
      <c r="H35" s="34">
        <v>0.39583333333333331</v>
      </c>
      <c r="I35" s="34">
        <v>0.72916666666666663</v>
      </c>
      <c r="J35" s="36">
        <f t="shared" si="1"/>
        <v>0.33333333333333331</v>
      </c>
    </row>
    <row r="36" spans="1:10" x14ac:dyDescent="0.2">
      <c r="A36" s="1">
        <v>12</v>
      </c>
      <c r="B36" s="6">
        <v>44846</v>
      </c>
      <c r="C36" s="7" t="s">
        <v>11</v>
      </c>
      <c r="D36" s="26" t="s">
        <v>7</v>
      </c>
      <c r="E36" s="26"/>
      <c r="F36" s="23" t="s">
        <v>216</v>
      </c>
      <c r="G36" s="26" t="s">
        <v>142</v>
      </c>
      <c r="H36" s="34">
        <v>0.39583333333333331</v>
      </c>
      <c r="I36" s="34">
        <v>0.72916666666666663</v>
      </c>
      <c r="J36" s="36">
        <f t="shared" si="1"/>
        <v>0.33333333333333331</v>
      </c>
    </row>
    <row r="37" spans="1:10" x14ac:dyDescent="0.2">
      <c r="A37" s="1">
        <v>12</v>
      </c>
      <c r="B37" s="6">
        <v>44877</v>
      </c>
      <c r="C37" s="7" t="s">
        <v>12</v>
      </c>
      <c r="D37" s="26" t="s">
        <v>7</v>
      </c>
      <c r="E37" s="26"/>
      <c r="F37" s="23" t="s">
        <v>216</v>
      </c>
      <c r="G37" s="26" t="s">
        <v>142</v>
      </c>
      <c r="H37" s="34">
        <v>0.39583333333333331</v>
      </c>
      <c r="I37" s="34">
        <v>0.72916666666666663</v>
      </c>
      <c r="J37" s="36">
        <f t="shared" si="1"/>
        <v>0.33333333333333331</v>
      </c>
    </row>
    <row r="38" spans="1:10" x14ac:dyDescent="0.2">
      <c r="A38" s="1">
        <v>12</v>
      </c>
      <c r="B38" s="6">
        <v>44907</v>
      </c>
      <c r="C38" s="7" t="s">
        <v>13</v>
      </c>
      <c r="D38" s="26" t="s">
        <v>7</v>
      </c>
      <c r="E38" s="26"/>
      <c r="F38" s="23" t="s">
        <v>216</v>
      </c>
      <c r="G38" s="26" t="s">
        <v>142</v>
      </c>
      <c r="H38" s="34">
        <v>0.39583333333333331</v>
      </c>
      <c r="I38" s="34">
        <v>0.72916666666666663</v>
      </c>
      <c r="J38" s="36">
        <f t="shared" si="1"/>
        <v>0.33333333333333331</v>
      </c>
    </row>
    <row r="39" spans="1:10" x14ac:dyDescent="0.2">
      <c r="A39" s="1">
        <v>12</v>
      </c>
      <c r="B39" s="6" t="s">
        <v>36</v>
      </c>
      <c r="C39" s="6" t="s">
        <v>5</v>
      </c>
      <c r="D39" s="26" t="s">
        <v>7</v>
      </c>
      <c r="E39" s="26"/>
      <c r="F39" s="23" t="s">
        <v>216</v>
      </c>
      <c r="G39" s="26" t="s">
        <v>142</v>
      </c>
      <c r="H39" s="34">
        <v>0.39583333333333331</v>
      </c>
      <c r="I39" s="34">
        <v>0.72916666666666663</v>
      </c>
      <c r="J39" s="36">
        <f t="shared" si="1"/>
        <v>0.33333333333333331</v>
      </c>
    </row>
    <row r="40" spans="1:10" x14ac:dyDescent="0.2">
      <c r="A40" s="1">
        <v>12</v>
      </c>
      <c r="B40" s="6" t="s">
        <v>38</v>
      </c>
      <c r="C40" s="7" t="s">
        <v>9</v>
      </c>
      <c r="D40" s="26" t="s">
        <v>7</v>
      </c>
      <c r="E40" s="26"/>
      <c r="F40" s="23" t="s">
        <v>216</v>
      </c>
      <c r="G40" s="26" t="s">
        <v>142</v>
      </c>
      <c r="H40" s="34">
        <v>0.39583333333333331</v>
      </c>
      <c r="I40" s="34">
        <v>0.72916666666666663</v>
      </c>
      <c r="J40" s="36">
        <f t="shared" si="1"/>
        <v>0.33333333333333331</v>
      </c>
    </row>
    <row r="41" spans="1:10" x14ac:dyDescent="0.2">
      <c r="A41" s="1">
        <v>12</v>
      </c>
      <c r="B41" s="6" t="s">
        <v>39</v>
      </c>
      <c r="C41" s="7" t="s">
        <v>10</v>
      </c>
      <c r="D41" s="26" t="s">
        <v>7</v>
      </c>
      <c r="E41" s="26"/>
      <c r="F41" s="23" t="s">
        <v>216</v>
      </c>
      <c r="G41" s="26" t="s">
        <v>142</v>
      </c>
      <c r="H41" s="34">
        <v>0.39583333333333331</v>
      </c>
      <c r="I41" s="34">
        <v>0.72916666666666663</v>
      </c>
      <c r="J41" s="36">
        <f t="shared" si="1"/>
        <v>0.33333333333333331</v>
      </c>
    </row>
    <row r="42" spans="1:10" x14ac:dyDescent="0.2">
      <c r="A42" s="1">
        <v>12</v>
      </c>
      <c r="B42" s="6" t="s">
        <v>40</v>
      </c>
      <c r="C42" s="7" t="s">
        <v>11</v>
      </c>
      <c r="D42" s="26" t="s">
        <v>7</v>
      </c>
      <c r="E42" s="26"/>
      <c r="F42" s="23" t="s">
        <v>216</v>
      </c>
      <c r="G42" s="26" t="s">
        <v>142</v>
      </c>
      <c r="H42" s="34">
        <v>0.39583333333333331</v>
      </c>
      <c r="I42" s="34">
        <v>0.72916666666666663</v>
      </c>
      <c r="J42" s="36">
        <f t="shared" si="1"/>
        <v>0.33333333333333331</v>
      </c>
    </row>
    <row r="43" spans="1:10" x14ac:dyDescent="0.2">
      <c r="A43" s="1">
        <v>12</v>
      </c>
      <c r="B43" s="6" t="s">
        <v>41</v>
      </c>
      <c r="C43" s="7" t="s">
        <v>12</v>
      </c>
      <c r="D43" s="26" t="s">
        <v>7</v>
      </c>
      <c r="E43" s="26"/>
      <c r="F43" s="23" t="s">
        <v>216</v>
      </c>
      <c r="G43" s="26" t="s">
        <v>142</v>
      </c>
      <c r="H43" s="34">
        <v>0.39583333333333331</v>
      </c>
      <c r="I43" s="34">
        <v>0.72916666666666663</v>
      </c>
      <c r="J43" s="36">
        <f t="shared" si="1"/>
        <v>0.33333333333333331</v>
      </c>
    </row>
    <row r="44" spans="1:10" x14ac:dyDescent="0.2">
      <c r="A44" s="1">
        <v>12</v>
      </c>
      <c r="B44" s="6" t="s">
        <v>42</v>
      </c>
      <c r="C44" s="7" t="s">
        <v>13</v>
      </c>
      <c r="D44" s="26" t="s">
        <v>7</v>
      </c>
      <c r="E44" s="26"/>
      <c r="F44" s="23" t="s">
        <v>216</v>
      </c>
      <c r="G44" s="26" t="s">
        <v>142</v>
      </c>
      <c r="H44" s="34">
        <v>0.39583333333333331</v>
      </c>
      <c r="I44" s="34">
        <v>0.72916666666666663</v>
      </c>
      <c r="J44" s="36">
        <f t="shared" si="1"/>
        <v>0.33333333333333331</v>
      </c>
    </row>
    <row r="45" spans="1:10" x14ac:dyDescent="0.2">
      <c r="A45" s="1">
        <v>12</v>
      </c>
      <c r="B45" s="6" t="s">
        <v>43</v>
      </c>
      <c r="C45" s="6" t="s">
        <v>5</v>
      </c>
      <c r="D45" s="26" t="s">
        <v>7</v>
      </c>
      <c r="E45" s="26"/>
      <c r="F45" s="23" t="s">
        <v>219</v>
      </c>
      <c r="G45" s="26" t="s">
        <v>142</v>
      </c>
      <c r="H45" s="34">
        <v>0.39583333333333331</v>
      </c>
      <c r="I45" s="34">
        <v>0.72916666666666663</v>
      </c>
      <c r="J45" s="36">
        <f t="shared" si="1"/>
        <v>0.33333333333333331</v>
      </c>
    </row>
    <row r="46" spans="1:10" x14ac:dyDescent="0.2">
      <c r="A46" s="1">
        <v>12</v>
      </c>
      <c r="B46" s="6" t="s">
        <v>44</v>
      </c>
      <c r="C46" s="7" t="s">
        <v>9</v>
      </c>
      <c r="D46" s="26" t="s">
        <v>7</v>
      </c>
      <c r="E46" s="26"/>
      <c r="F46" s="23" t="s">
        <v>219</v>
      </c>
      <c r="G46" s="26" t="s">
        <v>142</v>
      </c>
      <c r="H46" s="34">
        <v>0.39583333333333331</v>
      </c>
      <c r="I46" s="34">
        <v>0.72916666666666663</v>
      </c>
      <c r="J46" s="36">
        <f t="shared" si="1"/>
        <v>0.33333333333333331</v>
      </c>
    </row>
    <row r="47" spans="1:10" x14ac:dyDescent="0.2">
      <c r="A47" s="1">
        <v>12</v>
      </c>
      <c r="B47" s="6" t="s">
        <v>35</v>
      </c>
      <c r="C47" s="7" t="s">
        <v>10</v>
      </c>
      <c r="D47" s="26" t="s">
        <v>7</v>
      </c>
      <c r="E47" s="26"/>
      <c r="F47" s="23" t="s">
        <v>219</v>
      </c>
      <c r="G47" s="26" t="s">
        <v>142</v>
      </c>
      <c r="H47" s="34">
        <v>0.39583333333333331</v>
      </c>
      <c r="I47" s="34">
        <v>0.72916666666666663</v>
      </c>
      <c r="J47" s="36">
        <f t="shared" si="1"/>
        <v>0.33333333333333331</v>
      </c>
    </row>
    <row r="48" spans="1:10" x14ac:dyDescent="0.2">
      <c r="A48" s="1">
        <v>1</v>
      </c>
      <c r="B48" s="6">
        <v>45139</v>
      </c>
      <c r="C48" s="7" t="s">
        <v>12</v>
      </c>
      <c r="D48" s="26" t="s">
        <v>47</v>
      </c>
      <c r="E48" s="26"/>
      <c r="F48" s="23" t="s">
        <v>220</v>
      </c>
      <c r="G48" s="26" t="s">
        <v>142</v>
      </c>
      <c r="H48" s="34">
        <v>0.41666666666666669</v>
      </c>
      <c r="I48" s="34">
        <v>0.625</v>
      </c>
      <c r="J48" s="36">
        <f t="shared" si="1"/>
        <v>0.20833333333333331</v>
      </c>
    </row>
    <row r="49" spans="1:10" x14ac:dyDescent="0.2">
      <c r="A49" s="1">
        <v>2</v>
      </c>
      <c r="B49" s="6">
        <v>45109</v>
      </c>
      <c r="C49" s="6" t="s">
        <v>5</v>
      </c>
      <c r="D49" s="26" t="s">
        <v>7</v>
      </c>
      <c r="E49" s="26"/>
      <c r="F49" s="23" t="s">
        <v>232</v>
      </c>
      <c r="G49" s="26" t="s">
        <v>142</v>
      </c>
      <c r="H49" s="34">
        <v>0.39583333333333331</v>
      </c>
      <c r="I49" s="34">
        <v>0.72916666666666663</v>
      </c>
      <c r="J49" s="36">
        <f t="shared" si="1"/>
        <v>0.33333333333333331</v>
      </c>
    </row>
    <row r="50" spans="1:10" x14ac:dyDescent="0.2">
      <c r="A50" s="1">
        <v>2</v>
      </c>
      <c r="B50" s="6">
        <v>45140</v>
      </c>
      <c r="C50" s="7" t="s">
        <v>9</v>
      </c>
      <c r="D50" s="26" t="s">
        <v>47</v>
      </c>
      <c r="E50" s="26"/>
      <c r="F50" s="23" t="s">
        <v>231</v>
      </c>
      <c r="G50" s="26" t="s">
        <v>142</v>
      </c>
      <c r="H50" s="34">
        <v>0.39583333333333331</v>
      </c>
      <c r="I50" s="34">
        <v>0.72916666666666663</v>
      </c>
      <c r="J50" s="36">
        <f t="shared" si="1"/>
        <v>0.33333333333333331</v>
      </c>
    </row>
    <row r="51" spans="1:10" x14ac:dyDescent="0.2">
      <c r="A51" s="1">
        <v>2</v>
      </c>
      <c r="B51" s="6">
        <v>45171</v>
      </c>
      <c r="C51" s="7" t="s">
        <v>12</v>
      </c>
      <c r="D51" s="26" t="s">
        <v>7</v>
      </c>
      <c r="E51" s="26"/>
      <c r="F51" s="23" t="s">
        <v>230</v>
      </c>
      <c r="G51" s="26" t="s">
        <v>142</v>
      </c>
      <c r="H51" s="34">
        <v>0.45833333333333331</v>
      </c>
      <c r="I51" s="34">
        <v>0.75</v>
      </c>
      <c r="J51" s="36">
        <f t="shared" si="1"/>
        <v>0.29166666666666669</v>
      </c>
    </row>
    <row r="52" spans="1:10" x14ac:dyDescent="0.2">
      <c r="A52" s="1">
        <v>2</v>
      </c>
      <c r="B52" s="6">
        <v>45232</v>
      </c>
      <c r="C52" s="7" t="s">
        <v>11</v>
      </c>
      <c r="D52" s="26" t="s">
        <v>7</v>
      </c>
      <c r="E52" s="26"/>
      <c r="F52" s="23" t="s">
        <v>230</v>
      </c>
      <c r="G52" s="26" t="s">
        <v>142</v>
      </c>
      <c r="H52" s="34">
        <v>0.41666666666666669</v>
      </c>
      <c r="I52" s="34">
        <v>0.72916666666666663</v>
      </c>
      <c r="J52" s="36">
        <f t="shared" si="1"/>
        <v>0.31249999999999994</v>
      </c>
    </row>
    <row r="53" spans="1:10" x14ac:dyDescent="0.2">
      <c r="A53" s="1">
        <v>2</v>
      </c>
      <c r="B53" s="6">
        <v>45232</v>
      </c>
      <c r="C53" s="7" t="s">
        <v>11</v>
      </c>
      <c r="D53" s="26" t="s">
        <v>47</v>
      </c>
      <c r="E53" s="26"/>
      <c r="F53" s="23" t="s">
        <v>229</v>
      </c>
      <c r="G53" s="26" t="s">
        <v>142</v>
      </c>
      <c r="H53" s="34">
        <v>0.5</v>
      </c>
      <c r="I53" s="34">
        <v>0.625</v>
      </c>
      <c r="J53" s="36">
        <f t="shared" si="1"/>
        <v>0.125</v>
      </c>
    </row>
    <row r="54" spans="1:10" x14ac:dyDescent="0.2">
      <c r="A54" s="1">
        <v>2</v>
      </c>
      <c r="B54" s="6" t="s">
        <v>53</v>
      </c>
      <c r="C54" s="7" t="s">
        <v>13</v>
      </c>
      <c r="D54" s="26" t="s">
        <v>47</v>
      </c>
      <c r="E54" s="26"/>
      <c r="F54" s="23" t="s">
        <v>228</v>
      </c>
      <c r="G54" s="26" t="s">
        <v>142</v>
      </c>
      <c r="H54" s="34">
        <v>0.4375</v>
      </c>
      <c r="I54" s="34">
        <v>0.58333333333333337</v>
      </c>
      <c r="J54" s="36">
        <f t="shared" si="1"/>
        <v>0.14583333333333337</v>
      </c>
    </row>
    <row r="55" spans="1:10" x14ac:dyDescent="0.2">
      <c r="A55" s="1">
        <v>2</v>
      </c>
      <c r="B55" s="6" t="s">
        <v>54</v>
      </c>
      <c r="C55" s="6" t="s">
        <v>5</v>
      </c>
      <c r="D55" s="26" t="s">
        <v>47</v>
      </c>
      <c r="E55" s="26"/>
      <c r="F55" s="23" t="s">
        <v>227</v>
      </c>
      <c r="G55" s="26" t="s">
        <v>142</v>
      </c>
      <c r="H55" s="34">
        <v>0.27083333333333331</v>
      </c>
      <c r="I55" s="34">
        <v>0.54166666666666663</v>
      </c>
      <c r="J55" s="36">
        <f t="shared" si="1"/>
        <v>0.27083333333333331</v>
      </c>
    </row>
    <row r="56" spans="1:10" x14ac:dyDescent="0.2">
      <c r="A56" s="1">
        <v>2</v>
      </c>
      <c r="B56" s="6" t="s">
        <v>61</v>
      </c>
      <c r="C56" s="7" t="s">
        <v>12</v>
      </c>
      <c r="D56" s="26" t="s">
        <v>47</v>
      </c>
      <c r="E56" s="26"/>
      <c r="F56" s="23" t="s">
        <v>226</v>
      </c>
      <c r="G56" s="26" t="s">
        <v>142</v>
      </c>
      <c r="H56" s="34">
        <v>0.39583333333333331</v>
      </c>
      <c r="I56" s="34">
        <v>0.70833333333333337</v>
      </c>
      <c r="J56" s="36">
        <f t="shared" si="1"/>
        <v>0.31250000000000006</v>
      </c>
    </row>
    <row r="57" spans="1:10" x14ac:dyDescent="0.2">
      <c r="A57" s="1">
        <v>2</v>
      </c>
      <c r="B57" s="6" t="s">
        <v>58</v>
      </c>
      <c r="C57" s="7" t="s">
        <v>13</v>
      </c>
      <c r="D57" s="26" t="s">
        <v>47</v>
      </c>
      <c r="E57" s="26"/>
      <c r="F57" s="23" t="s">
        <v>225</v>
      </c>
      <c r="G57" s="26" t="s">
        <v>142</v>
      </c>
      <c r="H57" s="34">
        <v>0.45833333333333331</v>
      </c>
      <c r="I57" s="34">
        <v>0.70833333333333337</v>
      </c>
      <c r="J57" s="36">
        <f t="shared" si="1"/>
        <v>0.25000000000000006</v>
      </c>
    </row>
    <row r="58" spans="1:10" x14ac:dyDescent="0.2">
      <c r="A58" s="1">
        <v>2</v>
      </c>
      <c r="B58" s="6" t="s">
        <v>59</v>
      </c>
      <c r="C58" s="7" t="s">
        <v>5</v>
      </c>
      <c r="D58" s="26" t="s">
        <v>47</v>
      </c>
      <c r="E58" s="26"/>
      <c r="F58" s="23" t="s">
        <v>224</v>
      </c>
      <c r="G58" s="26" t="s">
        <v>142</v>
      </c>
      <c r="H58" s="34">
        <v>0.41666666666666669</v>
      </c>
      <c r="I58" s="34">
        <v>0.70833333333333337</v>
      </c>
      <c r="J58" s="36">
        <f t="shared" si="1"/>
        <v>0.29166666666666669</v>
      </c>
    </row>
    <row r="59" spans="1:10" x14ac:dyDescent="0.2">
      <c r="A59" s="1">
        <v>2</v>
      </c>
      <c r="B59" s="6" t="s">
        <v>60</v>
      </c>
      <c r="C59" s="7" t="s">
        <v>9</v>
      </c>
      <c r="D59" s="26" t="s">
        <v>62</v>
      </c>
      <c r="E59" s="26"/>
      <c r="F59" s="23" t="s">
        <v>221</v>
      </c>
      <c r="G59" s="26" t="s">
        <v>142</v>
      </c>
      <c r="H59" s="34">
        <v>0.4375</v>
      </c>
      <c r="I59" s="34">
        <v>0.66666666666666663</v>
      </c>
      <c r="J59" s="36">
        <f t="shared" si="1"/>
        <v>0.22916666666666663</v>
      </c>
    </row>
    <row r="60" spans="1:10" x14ac:dyDescent="0.2">
      <c r="A60" s="1">
        <v>2</v>
      </c>
      <c r="B60" s="6" t="s">
        <v>63</v>
      </c>
      <c r="C60" s="7" t="s">
        <v>10</v>
      </c>
      <c r="D60" s="26" t="s">
        <v>62</v>
      </c>
      <c r="E60" s="26"/>
      <c r="F60" s="23" t="s">
        <v>223</v>
      </c>
      <c r="G60" s="26" t="s">
        <v>142</v>
      </c>
      <c r="H60" s="34">
        <v>0.35416666666666669</v>
      </c>
      <c r="I60" s="34">
        <v>0.66666666666666663</v>
      </c>
      <c r="J60" s="36">
        <f t="shared" si="1"/>
        <v>0.31249999999999994</v>
      </c>
    </row>
    <row r="61" spans="1:10" x14ac:dyDescent="0.2">
      <c r="A61" s="1">
        <v>2</v>
      </c>
      <c r="B61" s="6" t="s">
        <v>64</v>
      </c>
      <c r="C61" s="7" t="s">
        <v>11</v>
      </c>
      <c r="D61" s="26" t="s">
        <v>62</v>
      </c>
      <c r="E61" s="26"/>
      <c r="F61" s="23" t="s">
        <v>222</v>
      </c>
      <c r="G61" s="26" t="s">
        <v>142</v>
      </c>
      <c r="H61" s="34">
        <v>0.35416666666666669</v>
      </c>
      <c r="I61" s="34">
        <v>0.70833333333333337</v>
      </c>
      <c r="J61" s="36">
        <f t="shared" si="1"/>
        <v>0.35416666666666669</v>
      </c>
    </row>
    <row r="62" spans="1:10" x14ac:dyDescent="0.2">
      <c r="A62" s="1">
        <v>2</v>
      </c>
      <c r="B62" s="6" t="s">
        <v>65</v>
      </c>
      <c r="C62" s="7" t="s">
        <v>12</v>
      </c>
      <c r="D62" s="26" t="s">
        <v>62</v>
      </c>
      <c r="E62" s="26"/>
      <c r="F62" s="23" t="s">
        <v>221</v>
      </c>
      <c r="G62" s="26" t="s">
        <v>142</v>
      </c>
      <c r="H62" s="34">
        <v>0.35416666666666669</v>
      </c>
      <c r="I62" s="34">
        <v>0.625</v>
      </c>
      <c r="J62" s="36">
        <f t="shared" si="1"/>
        <v>0.27083333333333331</v>
      </c>
    </row>
    <row r="63" spans="1:10" x14ac:dyDescent="0.2">
      <c r="A63" s="1">
        <v>2</v>
      </c>
      <c r="B63" s="6" t="s">
        <v>66</v>
      </c>
      <c r="C63" s="7" t="s">
        <v>13</v>
      </c>
      <c r="D63" s="26" t="s">
        <v>62</v>
      </c>
      <c r="E63" s="26"/>
      <c r="F63" s="23" t="s">
        <v>221</v>
      </c>
      <c r="G63" s="26" t="s">
        <v>142</v>
      </c>
      <c r="H63" s="34">
        <v>0.33333333333333331</v>
      </c>
      <c r="I63" s="34">
        <v>0.625</v>
      </c>
      <c r="J63" s="36">
        <f t="shared" si="1"/>
        <v>0.29166666666666669</v>
      </c>
    </row>
    <row r="64" spans="1:10" x14ac:dyDescent="0.2">
      <c r="A64" s="1">
        <v>3</v>
      </c>
      <c r="B64" s="6">
        <v>44929</v>
      </c>
      <c r="C64" s="7" t="s">
        <v>9</v>
      </c>
      <c r="D64" s="26" t="s">
        <v>62</v>
      </c>
      <c r="E64" s="26"/>
      <c r="F64" s="23" t="s">
        <v>242</v>
      </c>
      <c r="G64" s="26" t="s">
        <v>142</v>
      </c>
      <c r="H64" s="34">
        <v>0.33333333333333331</v>
      </c>
      <c r="I64" s="34">
        <v>0.70833333333333337</v>
      </c>
      <c r="J64" s="36">
        <f t="shared" si="1"/>
        <v>0.37500000000000006</v>
      </c>
    </row>
    <row r="65" spans="1:10" x14ac:dyDescent="0.2">
      <c r="A65" s="1">
        <v>3</v>
      </c>
      <c r="B65" s="6">
        <v>44960</v>
      </c>
      <c r="C65" s="7" t="s">
        <v>10</v>
      </c>
      <c r="D65" s="26" t="s">
        <v>7</v>
      </c>
      <c r="E65" s="26"/>
      <c r="F65" s="23" t="s">
        <v>249</v>
      </c>
      <c r="G65" s="26" t="s">
        <v>142</v>
      </c>
      <c r="H65" s="34">
        <v>0.39583333333333331</v>
      </c>
      <c r="I65" s="34">
        <v>0.70833333333333337</v>
      </c>
      <c r="J65" s="36">
        <f t="shared" si="1"/>
        <v>0.31250000000000006</v>
      </c>
    </row>
    <row r="66" spans="1:10" x14ac:dyDescent="0.2">
      <c r="A66" s="1">
        <v>3</v>
      </c>
      <c r="B66" s="6">
        <v>44960</v>
      </c>
      <c r="C66" s="7" t="s">
        <v>10</v>
      </c>
      <c r="D66" s="26" t="s">
        <v>62</v>
      </c>
      <c r="E66" s="26"/>
      <c r="F66" s="23" t="s">
        <v>248</v>
      </c>
      <c r="G66" s="26" t="s">
        <v>142</v>
      </c>
      <c r="H66" s="34">
        <v>0.33333333333333331</v>
      </c>
      <c r="I66" s="34">
        <v>0.70833333333333337</v>
      </c>
      <c r="J66" s="36">
        <f t="shared" si="1"/>
        <v>0.37500000000000006</v>
      </c>
    </row>
    <row r="67" spans="1:10" x14ac:dyDescent="0.2">
      <c r="A67" s="1">
        <v>3</v>
      </c>
      <c r="B67" s="6">
        <v>45019</v>
      </c>
      <c r="C67" s="7" t="s">
        <v>11</v>
      </c>
      <c r="D67" s="26" t="s">
        <v>62</v>
      </c>
      <c r="E67" s="26"/>
      <c r="F67" s="23" t="s">
        <v>247</v>
      </c>
      <c r="G67" s="26" t="s">
        <v>142</v>
      </c>
      <c r="H67" s="34">
        <v>0.375</v>
      </c>
      <c r="I67" s="34">
        <v>0.70833333333333337</v>
      </c>
      <c r="J67" s="36">
        <f t="shared" ref="J67:J130" si="2">I67-H67</f>
        <v>0.33333333333333337</v>
      </c>
    </row>
    <row r="68" spans="1:10" x14ac:dyDescent="0.2">
      <c r="A68" s="1">
        <v>3</v>
      </c>
      <c r="B68" s="6">
        <v>45019</v>
      </c>
      <c r="C68" s="7" t="s">
        <v>11</v>
      </c>
      <c r="D68" s="26" t="s">
        <v>7</v>
      </c>
      <c r="E68" s="26"/>
      <c r="F68" s="23" t="s">
        <v>246</v>
      </c>
      <c r="G68" s="26" t="s">
        <v>142</v>
      </c>
      <c r="H68" s="34">
        <v>0.375</v>
      </c>
      <c r="I68" s="34">
        <v>0.70833333333333337</v>
      </c>
      <c r="J68" s="36">
        <f t="shared" si="2"/>
        <v>0.33333333333333337</v>
      </c>
    </row>
    <row r="69" spans="1:10" x14ac:dyDescent="0.2">
      <c r="A69" s="1">
        <v>3</v>
      </c>
      <c r="B69" s="6">
        <v>45049</v>
      </c>
      <c r="C69" s="7" t="s">
        <v>12</v>
      </c>
      <c r="D69" s="26" t="s">
        <v>7</v>
      </c>
      <c r="E69" s="26"/>
      <c r="F69" s="23" t="s">
        <v>245</v>
      </c>
      <c r="G69" s="26" t="s">
        <v>142</v>
      </c>
      <c r="H69" s="34">
        <v>0.375</v>
      </c>
      <c r="I69" s="34">
        <v>0.64583333333333337</v>
      </c>
      <c r="J69" s="36">
        <f t="shared" si="2"/>
        <v>0.27083333333333337</v>
      </c>
    </row>
    <row r="70" spans="1:10" x14ac:dyDescent="0.2">
      <c r="A70" s="1">
        <v>3</v>
      </c>
      <c r="B70" s="6">
        <v>45049</v>
      </c>
      <c r="C70" s="7" t="s">
        <v>12</v>
      </c>
      <c r="D70" s="26" t="s">
        <v>62</v>
      </c>
      <c r="E70" s="26"/>
      <c r="F70" s="23" t="s">
        <v>244</v>
      </c>
      <c r="G70" s="26" t="s">
        <v>142</v>
      </c>
      <c r="H70" s="34">
        <v>0.375</v>
      </c>
      <c r="I70" s="34">
        <v>0.66666666666666663</v>
      </c>
      <c r="J70" s="36">
        <f t="shared" si="2"/>
        <v>0.29166666666666663</v>
      </c>
    </row>
    <row r="71" spans="1:10" x14ac:dyDescent="0.2">
      <c r="A71" s="1">
        <v>3</v>
      </c>
      <c r="B71" s="6">
        <v>45049</v>
      </c>
      <c r="C71" s="7" t="s">
        <v>12</v>
      </c>
      <c r="D71" s="26" t="s">
        <v>7</v>
      </c>
      <c r="E71" s="26"/>
      <c r="F71" s="23" t="s">
        <v>243</v>
      </c>
      <c r="G71" s="26" t="s">
        <v>142</v>
      </c>
      <c r="H71" s="34">
        <v>0.375</v>
      </c>
      <c r="I71" s="34">
        <v>0.70833333333333337</v>
      </c>
      <c r="J71" s="36">
        <f t="shared" si="2"/>
        <v>0.33333333333333337</v>
      </c>
    </row>
    <row r="72" spans="1:10" x14ac:dyDescent="0.2">
      <c r="A72" s="1">
        <v>3</v>
      </c>
      <c r="B72" s="6">
        <v>45080</v>
      </c>
      <c r="C72" s="7" t="s">
        <v>13</v>
      </c>
      <c r="D72" s="26" t="s">
        <v>62</v>
      </c>
      <c r="E72" s="26"/>
      <c r="F72" s="23" t="s">
        <v>242</v>
      </c>
      <c r="G72" s="26" t="s">
        <v>142</v>
      </c>
      <c r="H72" s="34">
        <v>0.33333333333333331</v>
      </c>
      <c r="I72" s="34">
        <v>0.64583333333333337</v>
      </c>
      <c r="J72" s="36">
        <f t="shared" si="2"/>
        <v>0.31250000000000006</v>
      </c>
    </row>
    <row r="73" spans="1:10" x14ac:dyDescent="0.2">
      <c r="A73" s="1">
        <v>3</v>
      </c>
      <c r="B73" s="6">
        <v>45110</v>
      </c>
      <c r="C73" s="6" t="s">
        <v>5</v>
      </c>
      <c r="D73" s="26" t="s">
        <v>62</v>
      </c>
      <c r="E73" s="26"/>
      <c r="F73" s="23" t="s">
        <v>242</v>
      </c>
      <c r="G73" s="26" t="s">
        <v>142</v>
      </c>
      <c r="H73" s="34">
        <v>0.375</v>
      </c>
      <c r="I73" s="34">
        <v>0.70833333333333337</v>
      </c>
      <c r="J73" s="36">
        <f t="shared" si="2"/>
        <v>0.33333333333333337</v>
      </c>
    </row>
    <row r="74" spans="1:10" x14ac:dyDescent="0.2">
      <c r="A74" s="1">
        <v>3</v>
      </c>
      <c r="B74" s="6">
        <v>45110</v>
      </c>
      <c r="C74" s="6" t="s">
        <v>5</v>
      </c>
      <c r="D74" s="26" t="s">
        <v>7</v>
      </c>
      <c r="E74" s="26"/>
      <c r="F74" s="23" t="s">
        <v>241</v>
      </c>
      <c r="G74" s="26" t="s">
        <v>142</v>
      </c>
      <c r="H74" s="34">
        <v>0.39583333333333331</v>
      </c>
      <c r="I74" s="34">
        <v>0.70833333333333337</v>
      </c>
      <c r="J74" s="36">
        <f t="shared" si="2"/>
        <v>0.31250000000000006</v>
      </c>
    </row>
    <row r="75" spans="1:10" x14ac:dyDescent="0.2">
      <c r="A75" s="1">
        <v>3</v>
      </c>
      <c r="B75" s="6">
        <v>45141</v>
      </c>
      <c r="C75" s="7" t="s">
        <v>9</v>
      </c>
      <c r="D75" s="26" t="s">
        <v>62</v>
      </c>
      <c r="E75" s="26"/>
      <c r="F75" s="23" t="s">
        <v>240</v>
      </c>
      <c r="G75" s="26" t="s">
        <v>142</v>
      </c>
      <c r="H75" s="34">
        <v>0.375</v>
      </c>
      <c r="I75" s="34">
        <v>0.70833333333333337</v>
      </c>
      <c r="J75" s="36">
        <f t="shared" si="2"/>
        <v>0.33333333333333337</v>
      </c>
    </row>
    <row r="76" spans="1:10" x14ac:dyDescent="0.2">
      <c r="A76" s="1">
        <v>3</v>
      </c>
      <c r="B76" s="6">
        <v>45172</v>
      </c>
      <c r="C76" s="7" t="s">
        <v>10</v>
      </c>
      <c r="D76" s="26" t="s">
        <v>62</v>
      </c>
      <c r="E76" s="26"/>
      <c r="F76" s="23" t="s">
        <v>235</v>
      </c>
      <c r="G76" s="26" t="s">
        <v>142</v>
      </c>
      <c r="H76" s="34">
        <v>0.33333333333333331</v>
      </c>
      <c r="I76" s="34">
        <v>0.60416666666666663</v>
      </c>
      <c r="J76" s="36">
        <f t="shared" si="2"/>
        <v>0.27083333333333331</v>
      </c>
    </row>
    <row r="77" spans="1:10" x14ac:dyDescent="0.2">
      <c r="A77" s="1">
        <v>3</v>
      </c>
      <c r="B77" s="6">
        <v>45263</v>
      </c>
      <c r="C77" s="7" t="s">
        <v>12</v>
      </c>
      <c r="D77" s="26" t="s">
        <v>62</v>
      </c>
      <c r="E77" s="26"/>
      <c r="F77" s="23" t="s">
        <v>238</v>
      </c>
      <c r="G77" s="26" t="s">
        <v>142</v>
      </c>
      <c r="H77" s="34">
        <v>0.33333333333333331</v>
      </c>
      <c r="I77" s="34">
        <v>0.625</v>
      </c>
      <c r="J77" s="36">
        <f t="shared" si="2"/>
        <v>0.29166666666666669</v>
      </c>
    </row>
    <row r="78" spans="1:10" x14ac:dyDescent="0.2">
      <c r="A78" s="1">
        <v>3</v>
      </c>
      <c r="B78" s="6" t="s">
        <v>71</v>
      </c>
      <c r="C78" s="7" t="s">
        <v>13</v>
      </c>
      <c r="D78" s="26" t="s">
        <v>62</v>
      </c>
      <c r="E78" s="26"/>
      <c r="F78" s="23" t="s">
        <v>238</v>
      </c>
      <c r="G78" s="26" t="s">
        <v>142</v>
      </c>
      <c r="H78" s="34">
        <v>0.33333333333333331</v>
      </c>
      <c r="I78" s="34">
        <v>0.70833333333333337</v>
      </c>
      <c r="J78" s="36">
        <f t="shared" si="2"/>
        <v>0.37500000000000006</v>
      </c>
    </row>
    <row r="79" spans="1:10" x14ac:dyDescent="0.2">
      <c r="A79" s="1">
        <v>3</v>
      </c>
      <c r="B79" s="6" t="s">
        <v>72</v>
      </c>
      <c r="C79" s="6" t="s">
        <v>5</v>
      </c>
      <c r="D79" s="26" t="s">
        <v>62</v>
      </c>
      <c r="E79" s="26"/>
      <c r="F79" s="23" t="s">
        <v>235</v>
      </c>
      <c r="G79" s="26" t="s">
        <v>142</v>
      </c>
      <c r="H79" s="34">
        <v>0.33333333333333331</v>
      </c>
      <c r="I79" s="34">
        <v>0.64583333333333337</v>
      </c>
      <c r="J79" s="36">
        <f t="shared" si="2"/>
        <v>0.31250000000000006</v>
      </c>
    </row>
    <row r="80" spans="1:10" x14ac:dyDescent="0.2">
      <c r="A80" s="1">
        <v>3</v>
      </c>
      <c r="B80" s="6" t="s">
        <v>73</v>
      </c>
      <c r="C80" s="7" t="s">
        <v>9</v>
      </c>
      <c r="D80" s="26" t="s">
        <v>62</v>
      </c>
      <c r="E80" s="26"/>
      <c r="F80" s="23" t="s">
        <v>238</v>
      </c>
      <c r="G80" s="26" t="s">
        <v>142</v>
      </c>
      <c r="H80" s="34">
        <v>0.33333333333333331</v>
      </c>
      <c r="I80" s="34">
        <v>0.625</v>
      </c>
      <c r="J80" s="36">
        <f t="shared" si="2"/>
        <v>0.29166666666666669</v>
      </c>
    </row>
    <row r="81" spans="1:10" x14ac:dyDescent="0.2">
      <c r="A81" s="1">
        <v>3</v>
      </c>
      <c r="B81" s="6" t="s">
        <v>74</v>
      </c>
      <c r="C81" s="7" t="s">
        <v>10</v>
      </c>
      <c r="D81" s="26" t="s">
        <v>62</v>
      </c>
      <c r="E81" s="26"/>
      <c r="F81" s="23" t="s">
        <v>238</v>
      </c>
      <c r="G81" s="26" t="s">
        <v>142</v>
      </c>
      <c r="H81" s="34">
        <v>0.33333333333333331</v>
      </c>
      <c r="I81" s="34">
        <v>0.625</v>
      </c>
      <c r="J81" s="36">
        <f t="shared" si="2"/>
        <v>0.29166666666666669</v>
      </c>
    </row>
    <row r="82" spans="1:10" x14ac:dyDescent="0.2">
      <c r="A82" s="1">
        <v>3</v>
      </c>
      <c r="B82" s="6" t="s">
        <v>75</v>
      </c>
      <c r="C82" s="7" t="s">
        <v>11</v>
      </c>
      <c r="D82" s="26" t="s">
        <v>62</v>
      </c>
      <c r="E82" s="26"/>
      <c r="F82" s="23" t="s">
        <v>239</v>
      </c>
      <c r="G82" s="26" t="s">
        <v>142</v>
      </c>
      <c r="H82" s="34">
        <v>0.41666666666666669</v>
      </c>
      <c r="I82" s="34">
        <v>0.70833333333333337</v>
      </c>
      <c r="J82" s="36">
        <f t="shared" si="2"/>
        <v>0.29166666666666669</v>
      </c>
    </row>
    <row r="83" spans="1:10" x14ac:dyDescent="0.2">
      <c r="A83" s="1">
        <v>3</v>
      </c>
      <c r="B83" s="6" t="s">
        <v>76</v>
      </c>
      <c r="C83" s="7" t="s">
        <v>12</v>
      </c>
      <c r="D83" s="26" t="s">
        <v>62</v>
      </c>
      <c r="E83" s="26"/>
      <c r="F83" s="23" t="s">
        <v>238</v>
      </c>
      <c r="G83" s="26" t="s">
        <v>142</v>
      </c>
      <c r="H83" s="34">
        <v>0.33333333333333331</v>
      </c>
      <c r="I83" s="34">
        <v>0.70833333333333337</v>
      </c>
      <c r="J83" s="36">
        <f t="shared" si="2"/>
        <v>0.37500000000000006</v>
      </c>
    </row>
    <row r="84" spans="1:10" x14ac:dyDescent="0.2">
      <c r="A84" s="1">
        <v>3</v>
      </c>
      <c r="B84" s="6" t="s">
        <v>77</v>
      </c>
      <c r="C84" s="7" t="s">
        <v>9</v>
      </c>
      <c r="D84" s="26" t="s">
        <v>62</v>
      </c>
      <c r="E84" s="26"/>
      <c r="F84" s="23" t="s">
        <v>236</v>
      </c>
      <c r="G84" s="26" t="s">
        <v>142</v>
      </c>
      <c r="H84" s="34">
        <v>0.375</v>
      </c>
      <c r="I84" s="34">
        <v>0.70833333333333337</v>
      </c>
      <c r="J84" s="36">
        <f t="shared" si="2"/>
        <v>0.33333333333333337</v>
      </c>
    </row>
    <row r="85" spans="1:10" x14ac:dyDescent="0.2">
      <c r="A85" s="1">
        <v>3</v>
      </c>
      <c r="B85" s="6" t="s">
        <v>78</v>
      </c>
      <c r="C85" s="7" t="s">
        <v>11</v>
      </c>
      <c r="D85" s="26" t="s">
        <v>62</v>
      </c>
      <c r="E85" s="26"/>
      <c r="F85" s="23" t="s">
        <v>237</v>
      </c>
      <c r="G85" s="26" t="s">
        <v>142</v>
      </c>
      <c r="H85" s="34">
        <v>0.29166666666666669</v>
      </c>
      <c r="I85" s="34">
        <v>0.70833333333333337</v>
      </c>
      <c r="J85" s="36">
        <f t="shared" si="2"/>
        <v>0.41666666666666669</v>
      </c>
    </row>
    <row r="86" spans="1:10" x14ac:dyDescent="0.2">
      <c r="A86" s="1">
        <v>3</v>
      </c>
      <c r="B86" s="6" t="s">
        <v>79</v>
      </c>
      <c r="C86" s="7" t="s">
        <v>12</v>
      </c>
      <c r="D86" s="26" t="s">
        <v>62</v>
      </c>
      <c r="E86" s="26"/>
      <c r="F86" s="23" t="s">
        <v>236</v>
      </c>
      <c r="G86" s="26" t="s">
        <v>142</v>
      </c>
      <c r="H86" s="34">
        <v>0.375</v>
      </c>
      <c r="I86" s="34">
        <v>0.70833333333333337</v>
      </c>
      <c r="J86" s="36">
        <f t="shared" si="2"/>
        <v>0.33333333333333337</v>
      </c>
    </row>
    <row r="87" spans="1:10" x14ac:dyDescent="0.2">
      <c r="A87" s="1">
        <v>3</v>
      </c>
      <c r="B87" s="6" t="s">
        <v>81</v>
      </c>
      <c r="C87" s="7" t="s">
        <v>13</v>
      </c>
      <c r="D87" s="26" t="s">
        <v>62</v>
      </c>
      <c r="F87" s="24" t="s">
        <v>235</v>
      </c>
      <c r="G87" s="26" t="s">
        <v>142</v>
      </c>
      <c r="H87" s="34">
        <v>0.28819444444444448</v>
      </c>
      <c r="I87" s="34">
        <v>0.54166666666666663</v>
      </c>
      <c r="J87" s="36">
        <f t="shared" si="2"/>
        <v>0.25347222222222215</v>
      </c>
    </row>
    <row r="88" spans="1:10" x14ac:dyDescent="0.2">
      <c r="A88" s="1">
        <v>3</v>
      </c>
      <c r="B88" s="6" t="s">
        <v>82</v>
      </c>
      <c r="C88" s="6" t="s">
        <v>5</v>
      </c>
      <c r="D88" s="26" t="s">
        <v>62</v>
      </c>
      <c r="F88" s="24" t="s">
        <v>235</v>
      </c>
      <c r="G88" s="26" t="s">
        <v>142</v>
      </c>
      <c r="H88" s="34">
        <v>0.29166666666666669</v>
      </c>
      <c r="I88" s="34">
        <v>0.64583333333333337</v>
      </c>
      <c r="J88" s="36">
        <f t="shared" si="2"/>
        <v>0.35416666666666669</v>
      </c>
    </row>
    <row r="89" spans="1:10" x14ac:dyDescent="0.2">
      <c r="A89" s="1">
        <v>3</v>
      </c>
      <c r="B89" s="6" t="s">
        <v>80</v>
      </c>
      <c r="C89" s="7" t="s">
        <v>9</v>
      </c>
      <c r="D89" s="26" t="s">
        <v>62</v>
      </c>
      <c r="E89" s="26"/>
      <c r="F89" s="23" t="s">
        <v>233</v>
      </c>
      <c r="G89" s="26" t="s">
        <v>142</v>
      </c>
      <c r="H89" s="34">
        <v>0.29166666666666669</v>
      </c>
      <c r="I89" s="34">
        <v>0.64583333333333337</v>
      </c>
      <c r="J89" s="36">
        <f t="shared" si="2"/>
        <v>0.35416666666666669</v>
      </c>
    </row>
    <row r="90" spans="1:10" x14ac:dyDescent="0.2">
      <c r="A90" s="1">
        <v>3</v>
      </c>
      <c r="B90" s="6" t="s">
        <v>80</v>
      </c>
      <c r="C90" s="7" t="s">
        <v>9</v>
      </c>
      <c r="D90" s="26" t="s">
        <v>47</v>
      </c>
      <c r="E90" s="26"/>
      <c r="F90" s="23" t="s">
        <v>234</v>
      </c>
      <c r="G90" s="26" t="s">
        <v>142</v>
      </c>
      <c r="H90" s="34">
        <v>0.33333333333333331</v>
      </c>
      <c r="I90" s="34">
        <v>0.64583333333333337</v>
      </c>
      <c r="J90" s="36">
        <f t="shared" si="2"/>
        <v>0.31250000000000006</v>
      </c>
    </row>
    <row r="91" spans="1:10" x14ac:dyDescent="0.2">
      <c r="A91" s="1">
        <v>4</v>
      </c>
      <c r="B91" s="6">
        <v>44989</v>
      </c>
      <c r="C91" s="7" t="s">
        <v>13</v>
      </c>
      <c r="D91" s="26" t="s">
        <v>47</v>
      </c>
      <c r="E91" s="26"/>
      <c r="F91" s="23" t="s">
        <v>252</v>
      </c>
      <c r="G91" s="26" t="s">
        <v>142</v>
      </c>
      <c r="H91" s="34">
        <v>0.41666666666666669</v>
      </c>
      <c r="I91" s="34">
        <v>0.70833333333333337</v>
      </c>
      <c r="J91" s="36">
        <f t="shared" si="2"/>
        <v>0.29166666666666669</v>
      </c>
    </row>
    <row r="92" spans="1:10" x14ac:dyDescent="0.2">
      <c r="A92" s="1">
        <v>4</v>
      </c>
      <c r="B92" s="6">
        <v>45173</v>
      </c>
      <c r="C92" s="7" t="s">
        <v>12</v>
      </c>
      <c r="D92" s="26" t="s">
        <v>86</v>
      </c>
      <c r="E92" s="26"/>
      <c r="F92" s="26" t="s">
        <v>251</v>
      </c>
      <c r="G92" s="26" t="s">
        <v>142</v>
      </c>
      <c r="H92" s="34">
        <v>0.375</v>
      </c>
      <c r="I92" s="34">
        <v>0.70833333333333337</v>
      </c>
      <c r="J92" s="36">
        <f t="shared" si="2"/>
        <v>0.33333333333333337</v>
      </c>
    </row>
    <row r="93" spans="1:10" x14ac:dyDescent="0.2">
      <c r="A93" s="1">
        <v>4</v>
      </c>
      <c r="B93" s="6">
        <v>45173</v>
      </c>
      <c r="C93" s="7" t="s">
        <v>12</v>
      </c>
      <c r="D93" s="26" t="s">
        <v>62</v>
      </c>
      <c r="E93" s="26"/>
      <c r="F93" s="23" t="s">
        <v>197</v>
      </c>
      <c r="G93" s="26" t="s">
        <v>142</v>
      </c>
      <c r="H93" s="34">
        <v>0.29166666666666669</v>
      </c>
      <c r="I93" s="34">
        <v>0.5625</v>
      </c>
      <c r="J93" s="36">
        <f t="shared" si="2"/>
        <v>0.27083333333333331</v>
      </c>
    </row>
    <row r="94" spans="1:10" x14ac:dyDescent="0.2">
      <c r="A94" s="1">
        <v>4</v>
      </c>
      <c r="B94" s="6">
        <v>45203</v>
      </c>
      <c r="C94" s="7" t="s">
        <v>13</v>
      </c>
      <c r="D94" s="26" t="s">
        <v>62</v>
      </c>
      <c r="E94" s="26"/>
      <c r="F94" s="23" t="s">
        <v>197</v>
      </c>
      <c r="G94" s="26" t="s">
        <v>142</v>
      </c>
      <c r="H94" s="34">
        <v>0.29166666666666669</v>
      </c>
      <c r="I94" s="34">
        <v>0.5625</v>
      </c>
      <c r="J94" s="36">
        <f t="shared" si="2"/>
        <v>0.27083333333333331</v>
      </c>
    </row>
    <row r="95" spans="1:10" x14ac:dyDescent="0.2">
      <c r="A95" s="1">
        <v>4</v>
      </c>
      <c r="B95" s="6">
        <v>45234</v>
      </c>
      <c r="C95" s="6" t="s">
        <v>5</v>
      </c>
      <c r="D95" s="26" t="s">
        <v>62</v>
      </c>
      <c r="E95" s="26"/>
      <c r="F95" s="23" t="s">
        <v>197</v>
      </c>
      <c r="G95" s="26" t="s">
        <v>142</v>
      </c>
      <c r="H95" s="34">
        <v>0.29166666666666669</v>
      </c>
      <c r="I95" s="34">
        <v>0.5625</v>
      </c>
      <c r="J95" s="36">
        <f t="shared" si="2"/>
        <v>0.27083333333333331</v>
      </c>
    </row>
    <row r="96" spans="1:10" x14ac:dyDescent="0.2">
      <c r="A96" s="1">
        <v>4</v>
      </c>
      <c r="B96" s="6">
        <v>45264</v>
      </c>
      <c r="C96" s="7" t="s">
        <v>9</v>
      </c>
      <c r="D96" s="26" t="s">
        <v>62</v>
      </c>
      <c r="E96" s="26"/>
      <c r="F96" s="23" t="s">
        <v>197</v>
      </c>
      <c r="G96" s="26" t="s">
        <v>142</v>
      </c>
      <c r="H96" s="34">
        <v>0.29166666666666669</v>
      </c>
      <c r="I96" s="34">
        <v>0.5625</v>
      </c>
      <c r="J96" s="36">
        <f t="shared" si="2"/>
        <v>0.27083333333333331</v>
      </c>
    </row>
    <row r="97" spans="1:10" x14ac:dyDescent="0.2">
      <c r="A97" s="1">
        <v>4</v>
      </c>
      <c r="B97" s="6" t="s">
        <v>87</v>
      </c>
      <c r="C97" s="6" t="s">
        <v>5</v>
      </c>
      <c r="D97" s="26" t="s">
        <v>47</v>
      </c>
      <c r="E97" s="26"/>
      <c r="F97" s="23" t="s">
        <v>250</v>
      </c>
      <c r="G97" s="26" t="s">
        <v>142</v>
      </c>
      <c r="H97" s="34">
        <v>0.39583333333333331</v>
      </c>
      <c r="I97" s="34">
        <v>0.52083333333333337</v>
      </c>
      <c r="J97" s="36">
        <f t="shared" si="2"/>
        <v>0.12500000000000006</v>
      </c>
    </row>
    <row r="98" spans="1:10" x14ac:dyDescent="0.2">
      <c r="A98" s="1">
        <v>5</v>
      </c>
      <c r="B98" s="6">
        <v>44990</v>
      </c>
      <c r="C98" s="7" t="s">
        <v>16</v>
      </c>
      <c r="D98" s="26" t="s">
        <v>47</v>
      </c>
      <c r="E98" s="26"/>
      <c r="F98" s="23" t="s">
        <v>199</v>
      </c>
      <c r="G98" s="26" t="s">
        <v>142</v>
      </c>
      <c r="H98" s="34">
        <v>0.33333333333333331</v>
      </c>
      <c r="I98" s="34">
        <v>0.64583333333333337</v>
      </c>
      <c r="J98" s="36">
        <f t="shared" si="2"/>
        <v>0.31250000000000006</v>
      </c>
    </row>
    <row r="99" spans="1:10" x14ac:dyDescent="0.2">
      <c r="A99" s="1">
        <v>5</v>
      </c>
      <c r="B99" s="6">
        <v>45021</v>
      </c>
      <c r="C99" s="7" t="s">
        <v>10</v>
      </c>
      <c r="D99" s="26" t="s">
        <v>62</v>
      </c>
      <c r="E99" s="26"/>
      <c r="F99" s="23" t="s">
        <v>197</v>
      </c>
      <c r="G99" s="26" t="s">
        <v>142</v>
      </c>
      <c r="H99" s="34">
        <v>0.33333333333333331</v>
      </c>
      <c r="I99" s="34">
        <v>0.64583333333333337</v>
      </c>
      <c r="J99" s="36">
        <f t="shared" si="2"/>
        <v>0.31250000000000006</v>
      </c>
    </row>
    <row r="100" spans="1:10" x14ac:dyDescent="0.2">
      <c r="A100" s="1">
        <v>5</v>
      </c>
      <c r="B100" s="6">
        <v>45112</v>
      </c>
      <c r="C100" s="7" t="s">
        <v>12</v>
      </c>
      <c r="D100" s="26" t="s">
        <v>62</v>
      </c>
      <c r="E100" s="26"/>
      <c r="F100" s="23" t="s">
        <v>198</v>
      </c>
      <c r="G100" s="26" t="s">
        <v>142</v>
      </c>
      <c r="H100" s="34">
        <v>0.39583333333333331</v>
      </c>
      <c r="I100" s="34">
        <v>0.64583333333333337</v>
      </c>
      <c r="J100" s="36">
        <f t="shared" si="2"/>
        <v>0.25000000000000006</v>
      </c>
    </row>
    <row r="101" spans="1:10" x14ac:dyDescent="0.2">
      <c r="A101" s="1">
        <v>5</v>
      </c>
      <c r="B101" s="6">
        <v>45143</v>
      </c>
      <c r="C101" s="7" t="s">
        <v>13</v>
      </c>
      <c r="D101" s="26" t="s">
        <v>47</v>
      </c>
      <c r="E101" s="26"/>
      <c r="F101" s="23" t="s">
        <v>197</v>
      </c>
      <c r="G101" s="26" t="s">
        <v>142</v>
      </c>
      <c r="H101" s="34">
        <v>0.41666666666666669</v>
      </c>
      <c r="I101" s="34">
        <v>0.66666666666666663</v>
      </c>
      <c r="J101" s="36">
        <f t="shared" si="2"/>
        <v>0.24999999999999994</v>
      </c>
    </row>
    <row r="102" spans="1:10" x14ac:dyDescent="0.2">
      <c r="A102" s="1">
        <v>5</v>
      </c>
      <c r="B102" s="6">
        <v>45235</v>
      </c>
      <c r="C102" s="7" t="s">
        <v>10</v>
      </c>
      <c r="D102" s="26" t="s">
        <v>47</v>
      </c>
      <c r="E102" s="26"/>
      <c r="F102" s="23" t="s">
        <v>196</v>
      </c>
      <c r="G102" s="26" t="s">
        <v>142</v>
      </c>
      <c r="H102" s="34">
        <v>0.39583333333333331</v>
      </c>
      <c r="I102" s="34">
        <v>0.70833333333333337</v>
      </c>
      <c r="J102" s="36">
        <f t="shared" si="2"/>
        <v>0.31250000000000006</v>
      </c>
    </row>
    <row r="103" spans="1:10" x14ac:dyDescent="0.2">
      <c r="A103" s="1">
        <v>5</v>
      </c>
      <c r="B103" s="6" t="s">
        <v>88</v>
      </c>
      <c r="C103" s="7" t="s">
        <v>13</v>
      </c>
      <c r="D103" s="26" t="s">
        <v>47</v>
      </c>
      <c r="E103" s="26"/>
      <c r="F103" s="23" t="s">
        <v>195</v>
      </c>
      <c r="G103" s="26" t="s">
        <v>142</v>
      </c>
      <c r="H103" s="34">
        <v>0.41666666666666669</v>
      </c>
      <c r="I103" s="34">
        <v>0.64583333333333337</v>
      </c>
      <c r="J103" s="36">
        <f t="shared" si="2"/>
        <v>0.22916666666666669</v>
      </c>
    </row>
    <row r="104" spans="1:10" x14ac:dyDescent="0.2">
      <c r="A104" s="1">
        <v>5</v>
      </c>
      <c r="B104" s="6" t="s">
        <v>89</v>
      </c>
      <c r="C104" s="7" t="s">
        <v>16</v>
      </c>
      <c r="D104" s="26" t="s">
        <v>47</v>
      </c>
      <c r="E104" s="26"/>
      <c r="F104" s="23" t="s">
        <v>189</v>
      </c>
      <c r="G104" s="26" t="s">
        <v>142</v>
      </c>
      <c r="H104" s="34">
        <v>0.5</v>
      </c>
      <c r="I104" s="34">
        <v>0.70833333333333337</v>
      </c>
      <c r="J104" s="36">
        <f t="shared" si="2"/>
        <v>0.20833333333333337</v>
      </c>
    </row>
    <row r="105" spans="1:10" x14ac:dyDescent="0.2">
      <c r="A105" s="1">
        <v>5</v>
      </c>
      <c r="B105" s="6" t="s">
        <v>90</v>
      </c>
      <c r="C105" s="7" t="s">
        <v>12</v>
      </c>
      <c r="D105" s="26" t="s">
        <v>46</v>
      </c>
      <c r="E105" s="26"/>
      <c r="F105" s="23" t="s">
        <v>194</v>
      </c>
      <c r="G105" s="26" t="s">
        <v>142</v>
      </c>
      <c r="H105" s="34">
        <v>0.41666666666666669</v>
      </c>
      <c r="I105" s="34">
        <v>0.64583333333333337</v>
      </c>
      <c r="J105" s="36">
        <f t="shared" si="2"/>
        <v>0.22916666666666669</v>
      </c>
    </row>
    <row r="106" spans="1:10" x14ac:dyDescent="0.2">
      <c r="A106" s="1">
        <v>5</v>
      </c>
      <c r="B106" s="6" t="s">
        <v>91</v>
      </c>
      <c r="C106" s="7" t="s">
        <v>13</v>
      </c>
      <c r="D106" s="26" t="s">
        <v>47</v>
      </c>
      <c r="E106" s="26"/>
      <c r="F106" s="23" t="s">
        <v>193</v>
      </c>
      <c r="G106" s="26" t="s">
        <v>142</v>
      </c>
      <c r="H106" s="34">
        <v>0.3125</v>
      </c>
      <c r="I106" s="34">
        <v>0.66666666666666663</v>
      </c>
      <c r="J106" s="36">
        <f t="shared" si="2"/>
        <v>0.35416666666666663</v>
      </c>
    </row>
    <row r="107" spans="1:10" x14ac:dyDescent="0.2">
      <c r="A107" s="1">
        <v>5</v>
      </c>
      <c r="B107" s="6" t="s">
        <v>92</v>
      </c>
      <c r="C107" s="6" t="s">
        <v>5</v>
      </c>
      <c r="D107" s="26" t="s">
        <v>47</v>
      </c>
      <c r="E107" s="26"/>
      <c r="F107" s="23" t="s">
        <v>192</v>
      </c>
      <c r="G107" s="26" t="s">
        <v>142</v>
      </c>
      <c r="H107" s="34">
        <v>0.39583333333333331</v>
      </c>
      <c r="I107" s="34">
        <v>0.6875</v>
      </c>
      <c r="J107" s="36">
        <f t="shared" si="2"/>
        <v>0.29166666666666669</v>
      </c>
    </row>
    <row r="108" spans="1:10" x14ac:dyDescent="0.2">
      <c r="A108" s="1">
        <v>5</v>
      </c>
      <c r="B108" s="6" t="s">
        <v>93</v>
      </c>
      <c r="C108" s="7" t="s">
        <v>16</v>
      </c>
      <c r="D108" s="26" t="s">
        <v>47</v>
      </c>
      <c r="E108" s="26"/>
      <c r="F108" s="23" t="s">
        <v>191</v>
      </c>
      <c r="G108" s="26" t="s">
        <v>142</v>
      </c>
      <c r="H108" s="34">
        <v>0.3125</v>
      </c>
      <c r="I108" s="34">
        <v>0.66666666666666663</v>
      </c>
      <c r="J108" s="36">
        <f t="shared" si="2"/>
        <v>0.35416666666666663</v>
      </c>
    </row>
    <row r="109" spans="1:10" x14ac:dyDescent="0.2">
      <c r="A109" s="1">
        <v>5</v>
      </c>
      <c r="B109" s="6" t="s">
        <v>94</v>
      </c>
      <c r="C109" s="7" t="s">
        <v>10</v>
      </c>
      <c r="D109" s="26" t="s">
        <v>47</v>
      </c>
      <c r="E109" s="26"/>
      <c r="F109" s="23" t="s">
        <v>188</v>
      </c>
      <c r="G109" s="26" t="s">
        <v>142</v>
      </c>
      <c r="H109" s="34">
        <v>0.4375</v>
      </c>
      <c r="I109" s="34">
        <v>0.66666666666666663</v>
      </c>
      <c r="J109" s="36">
        <f t="shared" si="2"/>
        <v>0.22916666666666663</v>
      </c>
    </row>
    <row r="110" spans="1:10" x14ac:dyDescent="0.2">
      <c r="A110" s="1">
        <v>5</v>
      </c>
      <c r="B110" s="6" t="s">
        <v>95</v>
      </c>
      <c r="C110" s="6" t="s">
        <v>5</v>
      </c>
      <c r="D110" s="26" t="s">
        <v>47</v>
      </c>
      <c r="E110" s="26"/>
      <c r="F110" s="23" t="s">
        <v>190</v>
      </c>
      <c r="G110" s="26" t="s">
        <v>142</v>
      </c>
      <c r="H110" s="34">
        <v>0.5</v>
      </c>
      <c r="I110" s="34">
        <v>0.64583333333333337</v>
      </c>
      <c r="J110" s="36">
        <f t="shared" si="2"/>
        <v>0.14583333333333337</v>
      </c>
    </row>
    <row r="111" spans="1:10" x14ac:dyDescent="0.2">
      <c r="A111" s="1">
        <v>6</v>
      </c>
      <c r="B111" s="6">
        <v>44991</v>
      </c>
      <c r="C111" s="7" t="s">
        <v>11</v>
      </c>
      <c r="D111" s="26" t="s">
        <v>47</v>
      </c>
      <c r="E111" s="26"/>
      <c r="F111" s="23" t="s">
        <v>178</v>
      </c>
      <c r="G111" s="26" t="s">
        <v>142</v>
      </c>
      <c r="H111" s="34">
        <v>0.45833333333333331</v>
      </c>
      <c r="I111" s="34">
        <v>0.64583333333333337</v>
      </c>
      <c r="J111" s="36">
        <f t="shared" si="2"/>
        <v>0.18750000000000006</v>
      </c>
    </row>
    <row r="112" spans="1:10" x14ac:dyDescent="0.2">
      <c r="A112" s="1">
        <v>6</v>
      </c>
      <c r="B112" s="6">
        <v>45022</v>
      </c>
      <c r="C112" s="7" t="s">
        <v>12</v>
      </c>
      <c r="D112" s="26" t="s">
        <v>47</v>
      </c>
      <c r="E112" s="26"/>
      <c r="F112" s="23" t="s">
        <v>177</v>
      </c>
      <c r="G112" s="26" t="s">
        <v>142</v>
      </c>
      <c r="H112" s="34">
        <v>0.39583333333333331</v>
      </c>
      <c r="I112" s="34">
        <v>0.6875</v>
      </c>
      <c r="J112" s="36">
        <f t="shared" si="2"/>
        <v>0.29166666666666669</v>
      </c>
    </row>
    <row r="113" spans="1:10" x14ac:dyDescent="0.2">
      <c r="A113" s="1">
        <v>6</v>
      </c>
      <c r="B113" s="6">
        <v>45236</v>
      </c>
      <c r="C113" s="7" t="s">
        <v>12</v>
      </c>
      <c r="D113" s="26" t="s">
        <v>47</v>
      </c>
      <c r="E113" s="26"/>
      <c r="F113" s="23" t="s">
        <v>174</v>
      </c>
      <c r="G113" s="26" t="s">
        <v>142</v>
      </c>
      <c r="H113" s="34">
        <v>0.39583333333333331</v>
      </c>
      <c r="I113" s="34">
        <v>0.6875</v>
      </c>
      <c r="J113" s="36">
        <f t="shared" si="2"/>
        <v>0.29166666666666669</v>
      </c>
    </row>
    <row r="114" spans="1:10" x14ac:dyDescent="0.2">
      <c r="A114" s="1">
        <v>6</v>
      </c>
      <c r="B114" s="6">
        <v>45266</v>
      </c>
      <c r="C114" s="7" t="s">
        <v>13</v>
      </c>
      <c r="D114" s="26" t="s">
        <v>47</v>
      </c>
      <c r="E114" s="26"/>
      <c r="F114" s="23" t="s">
        <v>174</v>
      </c>
      <c r="G114" s="26" t="s">
        <v>142</v>
      </c>
      <c r="H114" s="34">
        <v>0.35416666666666669</v>
      </c>
      <c r="I114" s="34">
        <v>0.70833333333333337</v>
      </c>
      <c r="J114" s="36">
        <f t="shared" si="2"/>
        <v>0.35416666666666669</v>
      </c>
    </row>
    <row r="115" spans="1:10" x14ac:dyDescent="0.2">
      <c r="A115" s="1">
        <v>6</v>
      </c>
      <c r="B115" s="6" t="s">
        <v>100</v>
      </c>
      <c r="C115" s="6" t="s">
        <v>5</v>
      </c>
      <c r="D115" s="26" t="s">
        <v>47</v>
      </c>
      <c r="E115" s="26"/>
      <c r="F115" s="23" t="s">
        <v>174</v>
      </c>
      <c r="G115" s="26" t="s">
        <v>142</v>
      </c>
      <c r="H115" s="34">
        <v>0.35416666666666669</v>
      </c>
      <c r="I115" s="34">
        <v>0.64583333333333337</v>
      </c>
      <c r="J115" s="36">
        <f t="shared" si="2"/>
        <v>0.29166666666666669</v>
      </c>
    </row>
    <row r="116" spans="1:10" x14ac:dyDescent="0.2">
      <c r="A116" s="1">
        <v>6</v>
      </c>
      <c r="B116" s="6" t="s">
        <v>101</v>
      </c>
      <c r="C116" s="7" t="s">
        <v>16</v>
      </c>
      <c r="D116" s="26" t="s">
        <v>47</v>
      </c>
      <c r="E116" s="26"/>
      <c r="F116" s="23" t="s">
        <v>176</v>
      </c>
      <c r="G116" s="26" t="s">
        <v>142</v>
      </c>
      <c r="H116" s="34">
        <v>0.52083333333333337</v>
      </c>
      <c r="I116" s="34">
        <v>0.64583333333333337</v>
      </c>
      <c r="J116" s="36">
        <f t="shared" si="2"/>
        <v>0.125</v>
      </c>
    </row>
    <row r="117" spans="1:10" x14ac:dyDescent="0.2">
      <c r="A117" s="1">
        <v>6</v>
      </c>
      <c r="B117" s="6" t="s">
        <v>102</v>
      </c>
      <c r="C117" s="7" t="s">
        <v>10</v>
      </c>
      <c r="D117" s="26" t="s">
        <v>47</v>
      </c>
      <c r="E117" s="26"/>
      <c r="F117" s="23" t="s">
        <v>174</v>
      </c>
      <c r="G117" s="26" t="s">
        <v>142</v>
      </c>
      <c r="H117" s="34">
        <v>0.35416666666666669</v>
      </c>
      <c r="I117" s="34">
        <v>0.64583333333333337</v>
      </c>
      <c r="J117" s="36">
        <f t="shared" si="2"/>
        <v>0.29166666666666669</v>
      </c>
    </row>
    <row r="118" spans="1:10" x14ac:dyDescent="0.2">
      <c r="A118" s="1">
        <v>6</v>
      </c>
      <c r="B118" s="6" t="s">
        <v>103</v>
      </c>
      <c r="C118" s="7" t="s">
        <v>11</v>
      </c>
      <c r="D118" s="26" t="s">
        <v>47</v>
      </c>
      <c r="E118" s="26"/>
      <c r="F118" s="23" t="s">
        <v>175</v>
      </c>
      <c r="G118" s="26" t="s">
        <v>142</v>
      </c>
      <c r="H118" s="34">
        <v>0.35416666666666669</v>
      </c>
      <c r="I118" s="34">
        <v>0.64583333333333337</v>
      </c>
      <c r="J118" s="36">
        <f t="shared" si="2"/>
        <v>0.29166666666666669</v>
      </c>
    </row>
    <row r="119" spans="1:10" x14ac:dyDescent="0.2">
      <c r="A119" s="1">
        <v>6</v>
      </c>
      <c r="B119" s="6" t="s">
        <v>104</v>
      </c>
      <c r="C119" s="7" t="s">
        <v>12</v>
      </c>
      <c r="D119" s="26" t="s">
        <v>47</v>
      </c>
      <c r="E119" s="26"/>
      <c r="F119" s="23" t="s">
        <v>174</v>
      </c>
      <c r="G119" s="26" t="s">
        <v>142</v>
      </c>
      <c r="H119" s="34">
        <v>0.375</v>
      </c>
      <c r="I119" s="34">
        <v>0.6875</v>
      </c>
      <c r="J119" s="36">
        <f t="shared" si="2"/>
        <v>0.3125</v>
      </c>
    </row>
    <row r="120" spans="1:10" x14ac:dyDescent="0.2">
      <c r="A120" s="1">
        <v>6</v>
      </c>
      <c r="B120" s="6" t="s">
        <v>116</v>
      </c>
      <c r="C120" s="7" t="s">
        <v>13</v>
      </c>
      <c r="D120" s="26" t="s">
        <v>47</v>
      </c>
      <c r="E120" s="26"/>
      <c r="F120" s="23" t="s">
        <v>182</v>
      </c>
      <c r="G120" s="26" t="s">
        <v>142</v>
      </c>
      <c r="H120" s="34">
        <v>0.41666666666666669</v>
      </c>
      <c r="I120" s="34">
        <v>0.75</v>
      </c>
      <c r="J120" s="36">
        <f t="shared" si="2"/>
        <v>0.33333333333333331</v>
      </c>
    </row>
    <row r="121" spans="1:10" x14ac:dyDescent="0.2">
      <c r="A121" s="1">
        <v>6</v>
      </c>
      <c r="B121" s="6" t="s">
        <v>117</v>
      </c>
      <c r="C121" s="6" t="s">
        <v>5</v>
      </c>
      <c r="D121" s="26" t="s">
        <v>47</v>
      </c>
      <c r="E121" s="26"/>
      <c r="F121" s="23" t="s">
        <v>174</v>
      </c>
      <c r="G121" s="26" t="s">
        <v>142</v>
      </c>
      <c r="H121" s="34">
        <v>0.35416666666666669</v>
      </c>
      <c r="I121" s="34">
        <v>0.72916666666666663</v>
      </c>
      <c r="J121" s="36">
        <f t="shared" si="2"/>
        <v>0.37499999999999994</v>
      </c>
    </row>
    <row r="122" spans="1:10" x14ac:dyDescent="0.2">
      <c r="A122" s="1">
        <v>6</v>
      </c>
      <c r="B122" s="6" t="s">
        <v>118</v>
      </c>
      <c r="C122" s="7" t="s">
        <v>10</v>
      </c>
      <c r="D122" s="26" t="s">
        <v>47</v>
      </c>
      <c r="E122" s="26"/>
      <c r="F122" s="23" t="s">
        <v>181</v>
      </c>
      <c r="G122" s="26" t="s">
        <v>142</v>
      </c>
      <c r="H122" s="34">
        <v>0.375</v>
      </c>
      <c r="I122" s="34">
        <v>0.70833333333333337</v>
      </c>
      <c r="J122" s="36">
        <f t="shared" si="2"/>
        <v>0.33333333333333337</v>
      </c>
    </row>
    <row r="123" spans="1:10" x14ac:dyDescent="0.2">
      <c r="A123" s="1">
        <v>6</v>
      </c>
      <c r="B123" s="6" t="s">
        <v>119</v>
      </c>
      <c r="C123" s="7" t="s">
        <v>11</v>
      </c>
      <c r="D123" s="26" t="s">
        <v>47</v>
      </c>
      <c r="E123" s="26"/>
      <c r="F123" s="23" t="s">
        <v>180</v>
      </c>
      <c r="G123" s="26" t="s">
        <v>142</v>
      </c>
      <c r="H123" s="34">
        <v>0.4375</v>
      </c>
      <c r="I123" s="34">
        <v>0.64583333333333337</v>
      </c>
      <c r="J123" s="36">
        <f t="shared" si="2"/>
        <v>0.20833333333333337</v>
      </c>
    </row>
    <row r="124" spans="1:10" x14ac:dyDescent="0.2">
      <c r="A124" s="1">
        <v>6</v>
      </c>
      <c r="B124" s="6" t="s">
        <v>120</v>
      </c>
      <c r="C124" s="7" t="s">
        <v>12</v>
      </c>
      <c r="D124" s="26" t="s">
        <v>47</v>
      </c>
      <c r="E124" s="26"/>
      <c r="F124" s="23" t="s">
        <v>179</v>
      </c>
      <c r="G124" s="26" t="s">
        <v>142</v>
      </c>
      <c r="H124" s="34">
        <v>0.41666666666666669</v>
      </c>
      <c r="I124" s="34">
        <v>0.6875</v>
      </c>
      <c r="J124" s="36">
        <f t="shared" si="2"/>
        <v>0.27083333333333331</v>
      </c>
    </row>
    <row r="125" spans="1:10" x14ac:dyDescent="0.2">
      <c r="A125" s="1">
        <v>6</v>
      </c>
      <c r="B125" s="6" t="s">
        <v>123</v>
      </c>
      <c r="C125" s="7" t="s">
        <v>13</v>
      </c>
      <c r="D125" s="26" t="s">
        <v>47</v>
      </c>
      <c r="E125" s="26"/>
      <c r="F125" s="23" t="s">
        <v>173</v>
      </c>
      <c r="G125" s="26" t="s">
        <v>142</v>
      </c>
      <c r="H125" s="34">
        <v>0.41666666666666669</v>
      </c>
      <c r="I125" s="34">
        <v>0.6875</v>
      </c>
      <c r="J125" s="36">
        <f t="shared" si="2"/>
        <v>0.27083333333333331</v>
      </c>
    </row>
    <row r="126" spans="1:10" x14ac:dyDescent="0.2">
      <c r="A126" s="1">
        <v>7</v>
      </c>
      <c r="B126" s="6">
        <v>45023</v>
      </c>
      <c r="C126" s="7" t="s">
        <v>13</v>
      </c>
      <c r="D126" s="26" t="s">
        <v>47</v>
      </c>
      <c r="E126" s="26"/>
      <c r="F126" s="23" t="s">
        <v>140</v>
      </c>
      <c r="G126" s="40" t="s">
        <v>203</v>
      </c>
      <c r="H126" s="34">
        <v>0.47916666666666669</v>
      </c>
      <c r="I126" s="34">
        <v>0.5</v>
      </c>
      <c r="J126" s="36">
        <f t="shared" si="2"/>
        <v>2.0833333333333315E-2</v>
      </c>
    </row>
    <row r="127" spans="1:10" x14ac:dyDescent="0.2">
      <c r="A127" s="1">
        <v>7</v>
      </c>
      <c r="B127" s="6">
        <v>45084</v>
      </c>
      <c r="C127" s="7" t="s">
        <v>10</v>
      </c>
      <c r="D127" s="26" t="s">
        <v>47</v>
      </c>
      <c r="E127" s="26"/>
      <c r="F127" s="23" t="s">
        <v>172</v>
      </c>
      <c r="G127" s="26" t="s">
        <v>142</v>
      </c>
      <c r="H127" s="34">
        <v>0.5</v>
      </c>
      <c r="I127" s="34">
        <v>0.625</v>
      </c>
      <c r="J127" s="36">
        <f t="shared" si="2"/>
        <v>0.125</v>
      </c>
    </row>
    <row r="128" spans="1:10" x14ac:dyDescent="0.2">
      <c r="A128" s="1">
        <v>7</v>
      </c>
      <c r="B128" s="6">
        <v>45145</v>
      </c>
      <c r="C128" s="7" t="s">
        <v>11</v>
      </c>
      <c r="D128" s="26" t="s">
        <v>47</v>
      </c>
      <c r="E128" s="26"/>
      <c r="F128" s="23" t="s">
        <v>171</v>
      </c>
      <c r="G128" s="26" t="s">
        <v>142</v>
      </c>
      <c r="H128" s="34">
        <v>0.41666666666666669</v>
      </c>
      <c r="I128" s="34">
        <v>0.6875</v>
      </c>
      <c r="J128" s="36">
        <f t="shared" si="2"/>
        <v>0.27083333333333331</v>
      </c>
    </row>
    <row r="129" spans="1:10" x14ac:dyDescent="0.2">
      <c r="A129" s="1">
        <v>7</v>
      </c>
      <c r="B129" s="6">
        <v>45176</v>
      </c>
      <c r="C129" s="7" t="s">
        <v>12</v>
      </c>
      <c r="D129" s="26" t="s">
        <v>47</v>
      </c>
      <c r="E129" s="26"/>
      <c r="F129" s="23" t="s">
        <v>171</v>
      </c>
      <c r="G129" s="26" t="s">
        <v>142</v>
      </c>
      <c r="H129" s="34">
        <v>0.39583333333333331</v>
      </c>
      <c r="I129" s="34">
        <v>0.72916666666666663</v>
      </c>
      <c r="J129" s="36">
        <f t="shared" si="2"/>
        <v>0.33333333333333331</v>
      </c>
    </row>
    <row r="130" spans="1:10" x14ac:dyDescent="0.2">
      <c r="A130" s="1">
        <v>7</v>
      </c>
      <c r="B130" s="6">
        <v>45206</v>
      </c>
      <c r="C130" s="7" t="s">
        <v>13</v>
      </c>
      <c r="D130" s="26" t="s">
        <v>47</v>
      </c>
      <c r="E130" s="26"/>
      <c r="F130" s="23" t="s">
        <v>134</v>
      </c>
      <c r="G130" s="26" t="s">
        <v>142</v>
      </c>
      <c r="H130" s="34">
        <v>0.4375</v>
      </c>
      <c r="I130" s="34">
        <v>0.70833333333333337</v>
      </c>
      <c r="J130" s="36">
        <f t="shared" si="2"/>
        <v>0.27083333333333337</v>
      </c>
    </row>
    <row r="131" spans="1:10" x14ac:dyDescent="0.2">
      <c r="A131" s="1">
        <v>7</v>
      </c>
      <c r="B131" s="6">
        <v>45267</v>
      </c>
      <c r="C131" s="7" t="s">
        <v>16</v>
      </c>
      <c r="D131" s="26" t="s">
        <v>47</v>
      </c>
      <c r="E131" s="26"/>
      <c r="F131" s="23" t="s">
        <v>134</v>
      </c>
      <c r="G131" s="26" t="s">
        <v>142</v>
      </c>
      <c r="H131" s="34">
        <v>0.41666666666666669</v>
      </c>
      <c r="I131" s="34">
        <v>0.70833333333333337</v>
      </c>
      <c r="J131" s="36">
        <f t="shared" ref="J131:J160" si="3">I131-H131</f>
        <v>0.29166666666666669</v>
      </c>
    </row>
    <row r="132" spans="1:10" x14ac:dyDescent="0.2">
      <c r="A132" s="1">
        <v>7</v>
      </c>
      <c r="B132" s="6" t="s">
        <v>130</v>
      </c>
      <c r="C132" s="7" t="s">
        <v>10</v>
      </c>
      <c r="D132" s="26" t="s">
        <v>47</v>
      </c>
      <c r="E132" s="26"/>
      <c r="F132" s="23" t="s">
        <v>135</v>
      </c>
      <c r="G132" s="26" t="s">
        <v>142</v>
      </c>
      <c r="H132" s="34">
        <v>0.39583333333333331</v>
      </c>
      <c r="I132" s="34">
        <v>0.70833333333333337</v>
      </c>
      <c r="J132" s="36">
        <f t="shared" si="3"/>
        <v>0.31250000000000006</v>
      </c>
    </row>
    <row r="133" spans="1:10" x14ac:dyDescent="0.2">
      <c r="A133" s="1">
        <v>7</v>
      </c>
      <c r="B133" s="6" t="s">
        <v>136</v>
      </c>
      <c r="C133" s="7" t="s">
        <v>11</v>
      </c>
      <c r="D133" s="26" t="s">
        <v>47</v>
      </c>
      <c r="E133" s="26"/>
      <c r="F133" s="23" t="s">
        <v>137</v>
      </c>
      <c r="G133" s="26" t="s">
        <v>142</v>
      </c>
      <c r="H133" s="34">
        <v>0.39583333333333331</v>
      </c>
      <c r="I133" s="34">
        <v>0.6875</v>
      </c>
      <c r="J133" s="36">
        <f t="shared" si="3"/>
        <v>0.29166666666666669</v>
      </c>
    </row>
    <row r="134" spans="1:10" x14ac:dyDescent="0.2">
      <c r="A134" s="1">
        <v>7</v>
      </c>
      <c r="B134" s="6" t="s">
        <v>138</v>
      </c>
      <c r="C134" s="7" t="s">
        <v>12</v>
      </c>
      <c r="D134" s="26" t="s">
        <v>47</v>
      </c>
      <c r="E134" s="26"/>
      <c r="F134" s="23" t="s">
        <v>137</v>
      </c>
      <c r="G134" s="26" t="s">
        <v>142</v>
      </c>
      <c r="H134" s="34">
        <v>0.39583333333333331</v>
      </c>
      <c r="I134" s="34">
        <v>0.70833333333333337</v>
      </c>
      <c r="J134" s="36">
        <f t="shared" si="3"/>
        <v>0.31250000000000006</v>
      </c>
    </row>
    <row r="135" spans="1:10" x14ac:dyDescent="0.2">
      <c r="A135" s="1">
        <v>7</v>
      </c>
      <c r="B135" s="6" t="s">
        <v>139</v>
      </c>
      <c r="C135" s="7" t="s">
        <v>13</v>
      </c>
      <c r="D135" s="26" t="s">
        <v>47</v>
      </c>
      <c r="E135" s="26"/>
      <c r="F135" s="23" t="s">
        <v>140</v>
      </c>
      <c r="G135" s="26" t="s">
        <v>142</v>
      </c>
      <c r="H135" s="34">
        <v>0.39583333333333331</v>
      </c>
      <c r="I135" s="34">
        <v>0.70833333333333337</v>
      </c>
      <c r="J135" s="36">
        <f t="shared" si="3"/>
        <v>0.31250000000000006</v>
      </c>
    </row>
    <row r="136" spans="1:10" x14ac:dyDescent="0.2">
      <c r="A136" s="1">
        <v>7</v>
      </c>
      <c r="B136" s="6" t="s">
        <v>139</v>
      </c>
      <c r="C136" s="7" t="s">
        <v>13</v>
      </c>
      <c r="D136" s="26" t="s">
        <v>47</v>
      </c>
      <c r="E136" s="26"/>
      <c r="F136" s="23" t="s">
        <v>141</v>
      </c>
      <c r="G136" s="26" t="s">
        <v>142</v>
      </c>
      <c r="H136" s="34">
        <v>0.39583333333333331</v>
      </c>
      <c r="I136" s="34">
        <v>0.64583333333333337</v>
      </c>
      <c r="J136" s="36">
        <f t="shared" si="3"/>
        <v>0.25000000000000006</v>
      </c>
    </row>
    <row r="137" spans="1:10" x14ac:dyDescent="0.2">
      <c r="A137" s="1">
        <v>7</v>
      </c>
      <c r="B137" s="6" t="s">
        <v>145</v>
      </c>
      <c r="C137" s="7" t="s">
        <v>16</v>
      </c>
      <c r="D137" s="26" t="s">
        <v>47</v>
      </c>
      <c r="E137" s="26"/>
      <c r="F137" s="23" t="s">
        <v>146</v>
      </c>
      <c r="G137" s="26" t="s">
        <v>142</v>
      </c>
      <c r="H137" s="34">
        <v>0.41666666666666669</v>
      </c>
      <c r="I137" s="34">
        <v>0.75</v>
      </c>
      <c r="J137" s="36">
        <f t="shared" si="3"/>
        <v>0.33333333333333331</v>
      </c>
    </row>
    <row r="138" spans="1:10" ht="15" customHeight="1" x14ac:dyDescent="0.2">
      <c r="A138" s="1">
        <v>7</v>
      </c>
      <c r="B138" s="6" t="s">
        <v>147</v>
      </c>
      <c r="C138" s="7" t="s">
        <v>10</v>
      </c>
      <c r="D138" s="26" t="s">
        <v>47</v>
      </c>
      <c r="E138" s="26"/>
      <c r="F138" s="23" t="s">
        <v>148</v>
      </c>
      <c r="G138" s="26" t="s">
        <v>142</v>
      </c>
      <c r="H138" s="34">
        <v>0.41666666666666669</v>
      </c>
      <c r="I138" s="34">
        <v>0.75</v>
      </c>
      <c r="J138" s="36">
        <f t="shared" si="3"/>
        <v>0.33333333333333331</v>
      </c>
    </row>
    <row r="139" spans="1:10" ht="15" customHeight="1" x14ac:dyDescent="0.2">
      <c r="A139" s="1">
        <v>7</v>
      </c>
      <c r="B139" s="6" t="s">
        <v>149</v>
      </c>
      <c r="C139" s="7" t="s">
        <v>11</v>
      </c>
      <c r="D139" s="26" t="s">
        <v>47</v>
      </c>
      <c r="E139" s="26"/>
      <c r="F139" s="23" t="s">
        <v>159</v>
      </c>
      <c r="G139" s="26" t="s">
        <v>142</v>
      </c>
      <c r="H139" s="34">
        <v>0.41666666666666669</v>
      </c>
      <c r="I139" s="34">
        <v>0.72916666666666663</v>
      </c>
      <c r="J139" s="36">
        <f t="shared" si="3"/>
        <v>0.31249999999999994</v>
      </c>
    </row>
    <row r="140" spans="1:10" x14ac:dyDescent="0.2">
      <c r="A140" s="1">
        <v>7</v>
      </c>
      <c r="B140" s="6" t="s">
        <v>149</v>
      </c>
      <c r="C140" s="7" t="s">
        <v>11</v>
      </c>
      <c r="D140" s="26" t="s">
        <v>47</v>
      </c>
      <c r="E140" s="26"/>
      <c r="F140" s="23" t="s">
        <v>160</v>
      </c>
      <c r="G140" s="26" t="s">
        <v>142</v>
      </c>
      <c r="H140" s="34">
        <v>0.45833333333333331</v>
      </c>
      <c r="I140" s="34">
        <v>0.72916666666666663</v>
      </c>
      <c r="J140" s="36">
        <f t="shared" si="3"/>
        <v>0.27083333333333331</v>
      </c>
    </row>
    <row r="141" spans="1:10" x14ac:dyDescent="0.2">
      <c r="A141" s="1">
        <v>7</v>
      </c>
      <c r="B141" s="6" t="s">
        <v>253</v>
      </c>
      <c r="C141" s="7" t="s">
        <v>12</v>
      </c>
      <c r="D141" s="26" t="s">
        <v>47</v>
      </c>
      <c r="E141" s="26"/>
      <c r="F141" s="23" t="s">
        <v>254</v>
      </c>
      <c r="G141" s="26" t="s">
        <v>142</v>
      </c>
      <c r="H141" s="34">
        <v>0.39583333333333331</v>
      </c>
      <c r="I141" s="34">
        <v>0.70833333333333337</v>
      </c>
      <c r="J141" s="36">
        <f t="shared" si="3"/>
        <v>0.31250000000000006</v>
      </c>
    </row>
    <row r="142" spans="1:10" x14ac:dyDescent="0.2">
      <c r="A142" s="1">
        <v>7</v>
      </c>
      <c r="B142" s="6" t="s">
        <v>253</v>
      </c>
      <c r="C142" s="7" t="s">
        <v>12</v>
      </c>
      <c r="D142" s="26" t="s">
        <v>47</v>
      </c>
      <c r="E142" s="26"/>
      <c r="F142" s="23" t="s">
        <v>255</v>
      </c>
      <c r="G142" s="26" t="s">
        <v>142</v>
      </c>
      <c r="H142" s="34">
        <v>0.39583333333333331</v>
      </c>
      <c r="I142" s="34">
        <v>0.70833333333333337</v>
      </c>
      <c r="J142" s="36">
        <f t="shared" si="3"/>
        <v>0.31250000000000006</v>
      </c>
    </row>
    <row r="143" spans="1:10" x14ac:dyDescent="0.2">
      <c r="A143" s="1">
        <v>7</v>
      </c>
      <c r="B143" s="6" t="s">
        <v>256</v>
      </c>
      <c r="C143" s="7" t="s">
        <v>13</v>
      </c>
      <c r="D143" s="26" t="s">
        <v>47</v>
      </c>
      <c r="E143" s="26"/>
      <c r="F143" s="23" t="s">
        <v>254</v>
      </c>
      <c r="G143" s="26" t="s">
        <v>142</v>
      </c>
      <c r="H143" s="34">
        <v>0.39583333333333331</v>
      </c>
      <c r="I143" s="34">
        <v>0.79166666666666663</v>
      </c>
      <c r="J143" s="36">
        <f t="shared" si="3"/>
        <v>0.39583333333333331</v>
      </c>
    </row>
    <row r="144" spans="1:10" x14ac:dyDescent="0.2">
      <c r="A144" s="1">
        <v>7</v>
      </c>
      <c r="B144" s="6" t="s">
        <v>256</v>
      </c>
      <c r="C144" s="7" t="s">
        <v>13</v>
      </c>
      <c r="D144" s="26" t="s">
        <v>47</v>
      </c>
      <c r="E144" s="26"/>
      <c r="F144" s="23" t="s">
        <v>255</v>
      </c>
      <c r="G144" s="26" t="s">
        <v>142</v>
      </c>
      <c r="H144" s="34">
        <v>0.39583333333333331</v>
      </c>
      <c r="I144" s="34">
        <v>0.6875</v>
      </c>
      <c r="J144" s="36">
        <f t="shared" si="3"/>
        <v>0.29166666666666669</v>
      </c>
    </row>
    <row r="145" spans="1:10" x14ac:dyDescent="0.2">
      <c r="A145" s="1">
        <v>7</v>
      </c>
      <c r="B145" s="6" t="s">
        <v>256</v>
      </c>
      <c r="C145" s="7" t="s">
        <v>13</v>
      </c>
      <c r="D145" s="26" t="s">
        <v>47</v>
      </c>
      <c r="E145" s="26"/>
      <c r="F145" s="23" t="s">
        <v>160</v>
      </c>
      <c r="G145" s="26" t="s">
        <v>142</v>
      </c>
      <c r="H145" s="34">
        <v>0.39583333333333331</v>
      </c>
      <c r="I145" s="34">
        <v>0.6875</v>
      </c>
      <c r="J145" s="36">
        <f t="shared" si="3"/>
        <v>0.29166666666666669</v>
      </c>
    </row>
    <row r="146" spans="1:10" x14ac:dyDescent="0.2">
      <c r="A146" s="1">
        <v>7</v>
      </c>
      <c r="B146" s="6" t="s">
        <v>259</v>
      </c>
      <c r="C146" s="6" t="s">
        <v>5</v>
      </c>
      <c r="D146" s="26" t="s">
        <v>47</v>
      </c>
      <c r="E146" s="26"/>
      <c r="F146" s="23" t="s">
        <v>260</v>
      </c>
      <c r="G146" s="26" t="s">
        <v>142</v>
      </c>
      <c r="H146" s="34">
        <v>0.54166666666666663</v>
      </c>
      <c r="I146" s="34">
        <v>0.70833333333333337</v>
      </c>
      <c r="J146" s="36">
        <f t="shared" si="3"/>
        <v>0.16666666666666674</v>
      </c>
    </row>
    <row r="147" spans="1:10" x14ac:dyDescent="0.2">
      <c r="A147" s="1">
        <v>7</v>
      </c>
      <c r="B147" s="6" t="s">
        <v>258</v>
      </c>
      <c r="C147" s="7" t="s">
        <v>16</v>
      </c>
      <c r="D147" s="26" t="s">
        <v>47</v>
      </c>
      <c r="E147" s="26"/>
      <c r="F147" s="23" t="s">
        <v>254</v>
      </c>
      <c r="G147" s="26" t="s">
        <v>142</v>
      </c>
      <c r="H147" s="34">
        <v>0.45833333333333331</v>
      </c>
      <c r="I147" s="34">
        <v>0.70833333333333337</v>
      </c>
      <c r="J147" s="36">
        <f t="shared" si="3"/>
        <v>0.25000000000000006</v>
      </c>
    </row>
    <row r="148" spans="1:10" x14ac:dyDescent="0.2">
      <c r="A148" s="1">
        <v>7</v>
      </c>
      <c r="B148" s="6" t="s">
        <v>262</v>
      </c>
      <c r="C148" s="7" t="s">
        <v>10</v>
      </c>
      <c r="D148" s="26" t="s">
        <v>47</v>
      </c>
      <c r="E148" s="26"/>
      <c r="F148" s="23" t="s">
        <v>254</v>
      </c>
      <c r="G148" s="26" t="s">
        <v>142</v>
      </c>
      <c r="H148" s="34">
        <v>0.39583333333333331</v>
      </c>
      <c r="I148" s="34">
        <v>0.79166666666666663</v>
      </c>
      <c r="J148" s="36">
        <f t="shared" si="3"/>
        <v>0.39583333333333331</v>
      </c>
    </row>
    <row r="149" spans="1:10" x14ac:dyDescent="0.2">
      <c r="A149" s="1">
        <v>7</v>
      </c>
      <c r="B149" s="6" t="s">
        <v>264</v>
      </c>
      <c r="C149" s="7" t="s">
        <v>11</v>
      </c>
      <c r="D149" s="26" t="s">
        <v>47</v>
      </c>
      <c r="E149" s="26"/>
      <c r="F149" s="23" t="s">
        <v>265</v>
      </c>
      <c r="G149" s="26" t="s">
        <v>142</v>
      </c>
      <c r="H149" s="34">
        <v>0.39583333333333331</v>
      </c>
      <c r="I149" s="34">
        <v>0.70833333333333337</v>
      </c>
      <c r="J149" s="36">
        <f t="shared" si="3"/>
        <v>0.31250000000000006</v>
      </c>
    </row>
    <row r="150" spans="1:10" x14ac:dyDescent="0.2">
      <c r="A150" s="1">
        <v>7</v>
      </c>
      <c r="B150" s="6" t="s">
        <v>264</v>
      </c>
      <c r="C150" s="7" t="s">
        <v>12</v>
      </c>
      <c r="D150" s="26" t="s">
        <v>47</v>
      </c>
      <c r="E150" s="26"/>
      <c r="F150" s="23" t="s">
        <v>254</v>
      </c>
      <c r="G150" s="26" t="s">
        <v>142</v>
      </c>
      <c r="H150" s="34">
        <v>0.4375</v>
      </c>
      <c r="I150" s="34">
        <v>0.72916666666666663</v>
      </c>
      <c r="J150" s="36">
        <f t="shared" si="3"/>
        <v>0.29166666666666663</v>
      </c>
    </row>
    <row r="151" spans="1:10" x14ac:dyDescent="0.2">
      <c r="A151" s="1">
        <v>7</v>
      </c>
      <c r="B151" s="6" t="s">
        <v>268</v>
      </c>
      <c r="C151" s="7" t="s">
        <v>13</v>
      </c>
      <c r="D151" s="26" t="s">
        <v>86</v>
      </c>
      <c r="E151" s="26"/>
      <c r="F151" s="23" t="s">
        <v>254</v>
      </c>
      <c r="G151" s="26" t="s">
        <v>142</v>
      </c>
      <c r="H151" s="34">
        <v>0.4375</v>
      </c>
      <c r="I151" s="34">
        <v>0.72916666666666663</v>
      </c>
      <c r="J151" s="36">
        <f t="shared" si="3"/>
        <v>0.29166666666666663</v>
      </c>
    </row>
    <row r="152" spans="1:10" x14ac:dyDescent="0.2">
      <c r="A152" s="1">
        <v>7</v>
      </c>
      <c r="B152" s="6" t="s">
        <v>268</v>
      </c>
      <c r="C152" s="7" t="s">
        <v>13</v>
      </c>
      <c r="D152" s="26" t="s">
        <v>257</v>
      </c>
      <c r="E152" s="26"/>
      <c r="F152" s="23" t="s">
        <v>160</v>
      </c>
      <c r="G152" s="26" t="s">
        <v>142</v>
      </c>
      <c r="H152" s="34">
        <v>0.45833333333333331</v>
      </c>
      <c r="I152" s="34">
        <v>0.64583333333333337</v>
      </c>
      <c r="J152" s="36">
        <f t="shared" si="3"/>
        <v>0.18750000000000006</v>
      </c>
    </row>
    <row r="153" spans="1:10" x14ac:dyDescent="0.2">
      <c r="A153" s="1">
        <v>8</v>
      </c>
      <c r="B153" s="6">
        <v>44934</v>
      </c>
      <c r="C153" s="6" t="s">
        <v>5</v>
      </c>
      <c r="D153" s="26" t="s">
        <v>86</v>
      </c>
      <c r="E153" s="26"/>
      <c r="F153" s="23" t="s">
        <v>254</v>
      </c>
      <c r="G153" s="26" t="s">
        <v>142</v>
      </c>
      <c r="H153" s="34">
        <v>0.5</v>
      </c>
      <c r="I153" s="34">
        <v>0.70833333333333337</v>
      </c>
      <c r="J153" s="36">
        <f t="shared" si="3"/>
        <v>0.20833333333333337</v>
      </c>
    </row>
    <row r="154" spans="1:10" x14ac:dyDescent="0.2">
      <c r="A154" s="1">
        <v>8</v>
      </c>
      <c r="B154" s="6">
        <v>44993</v>
      </c>
      <c r="C154" s="7" t="s">
        <v>10</v>
      </c>
      <c r="D154" s="26" t="s">
        <v>86</v>
      </c>
      <c r="E154" s="26"/>
      <c r="F154" s="23" t="s">
        <v>271</v>
      </c>
      <c r="G154" s="26" t="s">
        <v>142</v>
      </c>
      <c r="H154" s="34">
        <v>0.41666666666666669</v>
      </c>
      <c r="I154" s="34">
        <v>0.70833333333333337</v>
      </c>
      <c r="J154" s="36">
        <f t="shared" si="3"/>
        <v>0.29166666666666669</v>
      </c>
    </row>
    <row r="155" spans="1:10" x14ac:dyDescent="0.2">
      <c r="A155" s="1">
        <v>8</v>
      </c>
      <c r="B155" s="6">
        <v>45054</v>
      </c>
      <c r="C155" s="7" t="s">
        <v>11</v>
      </c>
      <c r="D155" s="26" t="s">
        <v>86</v>
      </c>
      <c r="E155" s="26"/>
      <c r="F155" s="23" t="s">
        <v>272</v>
      </c>
      <c r="G155" s="26" t="s">
        <v>142</v>
      </c>
      <c r="H155" s="34">
        <v>0.4375</v>
      </c>
      <c r="I155" s="34">
        <v>0.72916666666666663</v>
      </c>
      <c r="J155" s="36">
        <f t="shared" si="3"/>
        <v>0.29166666666666663</v>
      </c>
    </row>
    <row r="156" spans="1:10" x14ac:dyDescent="0.2">
      <c r="A156" s="1">
        <v>8</v>
      </c>
      <c r="B156" s="6">
        <v>45054</v>
      </c>
      <c r="C156" s="7" t="s">
        <v>11</v>
      </c>
      <c r="D156" s="26" t="s">
        <v>86</v>
      </c>
      <c r="E156" s="26"/>
      <c r="F156" s="23" t="s">
        <v>273</v>
      </c>
      <c r="G156" s="26" t="s">
        <v>142</v>
      </c>
      <c r="H156" s="34">
        <v>0.375</v>
      </c>
      <c r="I156" s="34">
        <v>0.72916666666666663</v>
      </c>
      <c r="J156" s="36">
        <f t="shared" si="3"/>
        <v>0.35416666666666663</v>
      </c>
    </row>
    <row r="157" spans="1:10" x14ac:dyDescent="0.2">
      <c r="A157" s="1">
        <v>8</v>
      </c>
      <c r="B157" s="6">
        <v>45085</v>
      </c>
      <c r="C157" s="7" t="s">
        <v>12</v>
      </c>
      <c r="D157" s="26" t="s">
        <v>86</v>
      </c>
      <c r="E157" s="26"/>
      <c r="F157" s="23" t="s">
        <v>275</v>
      </c>
      <c r="G157" s="26" t="s">
        <v>142</v>
      </c>
      <c r="H157" s="34">
        <v>0.39583333333333331</v>
      </c>
      <c r="I157" s="34">
        <v>0.70833333333333337</v>
      </c>
      <c r="J157" s="36">
        <f t="shared" si="3"/>
        <v>0.31250000000000006</v>
      </c>
    </row>
    <row r="158" spans="1:10" x14ac:dyDescent="0.2">
      <c r="A158" s="1">
        <v>8</v>
      </c>
      <c r="B158" s="6">
        <v>45115</v>
      </c>
      <c r="C158" s="7" t="s">
        <v>13</v>
      </c>
      <c r="D158" s="26" t="s">
        <v>86</v>
      </c>
      <c r="E158" s="26"/>
      <c r="F158" s="23" t="s">
        <v>276</v>
      </c>
      <c r="G158" s="26" t="s">
        <v>142</v>
      </c>
      <c r="H158" s="34">
        <v>0.4375</v>
      </c>
      <c r="I158" s="34">
        <v>0.79166666666666663</v>
      </c>
      <c r="J158" s="36">
        <f t="shared" si="3"/>
        <v>0.35416666666666663</v>
      </c>
    </row>
    <row r="159" spans="1:10" x14ac:dyDescent="0.2">
      <c r="A159" s="1">
        <v>8</v>
      </c>
      <c r="B159" s="6">
        <v>45115</v>
      </c>
      <c r="C159" s="7" t="s">
        <v>13</v>
      </c>
      <c r="D159" s="26" t="s">
        <v>277</v>
      </c>
      <c r="E159" s="26"/>
      <c r="F159" s="23" t="s">
        <v>278</v>
      </c>
      <c r="G159" s="26" t="s">
        <v>142</v>
      </c>
      <c r="H159" s="34">
        <v>0.5</v>
      </c>
      <c r="I159" s="34">
        <v>0.625</v>
      </c>
      <c r="J159" s="36">
        <f t="shared" si="3"/>
        <v>0.125</v>
      </c>
    </row>
    <row r="160" spans="1:10" x14ac:dyDescent="0.2">
      <c r="A160" s="1">
        <v>8</v>
      </c>
      <c r="B160" s="6">
        <v>45146</v>
      </c>
      <c r="C160" s="6" t="s">
        <v>5</v>
      </c>
      <c r="D160" s="26" t="s">
        <v>86</v>
      </c>
      <c r="E160" s="26"/>
      <c r="F160" s="23" t="s">
        <v>275</v>
      </c>
      <c r="G160" s="26" t="s">
        <v>142</v>
      </c>
      <c r="H160" s="34">
        <v>0.41666666666666669</v>
      </c>
      <c r="I160" s="34">
        <v>0.83333333333333337</v>
      </c>
      <c r="J160" s="36">
        <f t="shared" si="3"/>
        <v>0.41666666666666669</v>
      </c>
    </row>
    <row r="161" spans="1:10" x14ac:dyDescent="0.2">
      <c r="A161" s="1">
        <v>8</v>
      </c>
      <c r="B161" s="6">
        <v>45146</v>
      </c>
      <c r="C161" s="6" t="s">
        <v>5</v>
      </c>
      <c r="D161" s="26" t="s">
        <v>257</v>
      </c>
      <c r="E161" s="26"/>
      <c r="F161" s="23" t="s">
        <v>160</v>
      </c>
      <c r="G161" s="26" t="s">
        <v>142</v>
      </c>
      <c r="H161" s="34">
        <v>0.64583333333333337</v>
      </c>
      <c r="I161" s="34">
        <v>0.6875</v>
      </c>
      <c r="J161" s="36">
        <f>I161-H161</f>
        <v>4.166666666666663E-2</v>
      </c>
    </row>
    <row r="162" spans="1:10" x14ac:dyDescent="0.2">
      <c r="A162" s="1">
        <v>8</v>
      </c>
      <c r="B162" s="6">
        <v>45146</v>
      </c>
      <c r="C162" s="7" t="s">
        <v>16</v>
      </c>
      <c r="D162" s="26" t="s">
        <v>86</v>
      </c>
      <c r="E162" s="26"/>
      <c r="F162" s="23" t="s">
        <v>275</v>
      </c>
      <c r="G162" s="26" t="s">
        <v>142</v>
      </c>
      <c r="H162" s="34">
        <v>0.41666666666666669</v>
      </c>
      <c r="I162" s="34">
        <v>0.83333333333333337</v>
      </c>
      <c r="J162" s="36">
        <f t="shared" ref="J162" si="4">I162-H162</f>
        <v>0.41666666666666669</v>
      </c>
    </row>
    <row r="163" spans="1:10" x14ac:dyDescent="0.2">
      <c r="A163" s="1">
        <v>8</v>
      </c>
      <c r="B163" s="6">
        <v>45146</v>
      </c>
      <c r="C163" s="7" t="s">
        <v>16</v>
      </c>
      <c r="D163" s="23" t="s">
        <v>280</v>
      </c>
      <c r="E163" s="23"/>
      <c r="F163" s="23" t="s">
        <v>281</v>
      </c>
      <c r="G163" s="26" t="s">
        <v>142</v>
      </c>
      <c r="H163" s="34">
        <v>0.72916666666666663</v>
      </c>
      <c r="I163" s="34">
        <v>0.9375</v>
      </c>
      <c r="J163" s="36">
        <f t="shared" ref="J163:J164" si="5">I163-H163</f>
        <v>0.20833333333333337</v>
      </c>
    </row>
    <row r="164" spans="1:10" x14ac:dyDescent="0.2">
      <c r="A164" s="1">
        <v>8</v>
      </c>
      <c r="B164" s="6">
        <v>45207</v>
      </c>
      <c r="C164" s="7" t="s">
        <v>10</v>
      </c>
      <c r="D164" s="26" t="s">
        <v>86</v>
      </c>
      <c r="E164" s="26"/>
      <c r="F164" s="23" t="s">
        <v>285</v>
      </c>
      <c r="G164" s="26" t="s">
        <v>142</v>
      </c>
      <c r="H164" s="34">
        <v>0.41666666666666669</v>
      </c>
      <c r="I164" s="34">
        <v>0.70833333333333337</v>
      </c>
      <c r="J164" s="36">
        <f t="shared" si="5"/>
        <v>0.29166666666666669</v>
      </c>
    </row>
    <row r="165" spans="1:10" x14ac:dyDescent="0.2">
      <c r="A165" s="1">
        <v>8</v>
      </c>
      <c r="B165" s="6">
        <v>45207</v>
      </c>
      <c r="C165" s="7" t="s">
        <v>10</v>
      </c>
      <c r="D165" s="26" t="s">
        <v>47</v>
      </c>
      <c r="E165" s="26"/>
      <c r="F165" s="23" t="s">
        <v>282</v>
      </c>
      <c r="G165" s="26" t="s">
        <v>142</v>
      </c>
      <c r="H165" s="34">
        <v>0.41666666666666669</v>
      </c>
      <c r="I165" s="34">
        <v>0.70833333333333337</v>
      </c>
      <c r="J165" s="36">
        <f t="shared" ref="J165" si="6">I165-H165</f>
        <v>0.29166666666666669</v>
      </c>
    </row>
    <row r="166" spans="1:10" x14ac:dyDescent="0.2">
      <c r="A166" s="1">
        <v>8</v>
      </c>
      <c r="B166" s="6">
        <v>45207</v>
      </c>
      <c r="C166" s="7" t="s">
        <v>10</v>
      </c>
      <c r="D166" s="23" t="s">
        <v>280</v>
      </c>
      <c r="E166" s="23"/>
      <c r="F166" s="23" t="s">
        <v>283</v>
      </c>
      <c r="G166" s="26" t="s">
        <v>142</v>
      </c>
      <c r="H166" s="34">
        <v>0.64583333333333337</v>
      </c>
      <c r="I166" s="34">
        <v>0.83333333333333337</v>
      </c>
      <c r="J166" s="36">
        <f t="shared" ref="J166" si="7">I166-H166</f>
        <v>0.1875</v>
      </c>
    </row>
    <row r="167" spans="1:10" x14ac:dyDescent="0.2">
      <c r="A167" s="1">
        <v>8</v>
      </c>
      <c r="B167" s="6">
        <v>45207</v>
      </c>
      <c r="C167" s="7" t="s">
        <v>10</v>
      </c>
      <c r="D167" s="26" t="s">
        <v>86</v>
      </c>
      <c r="E167" s="26"/>
      <c r="F167" s="23" t="s">
        <v>284</v>
      </c>
      <c r="G167" s="26" t="s">
        <v>142</v>
      </c>
      <c r="H167" s="34">
        <v>0.4375</v>
      </c>
      <c r="I167" s="34">
        <v>0.70833333333333337</v>
      </c>
      <c r="J167" s="36">
        <f t="shared" ref="J167:J168" si="8">I167-H167</f>
        <v>0.27083333333333337</v>
      </c>
    </row>
    <row r="168" spans="1:10" x14ac:dyDescent="0.2">
      <c r="A168" s="1">
        <v>8</v>
      </c>
      <c r="B168" s="6">
        <v>45238</v>
      </c>
      <c r="C168" s="7" t="s">
        <v>286</v>
      </c>
      <c r="D168" s="23" t="s">
        <v>280</v>
      </c>
      <c r="E168" s="23"/>
      <c r="F168" s="23" t="s">
        <v>287</v>
      </c>
      <c r="G168" s="26" t="s">
        <v>142</v>
      </c>
      <c r="H168" s="34">
        <v>0.39583333333333331</v>
      </c>
      <c r="I168" s="34">
        <v>0.52083333333333337</v>
      </c>
      <c r="J168" s="36">
        <f t="shared" si="8"/>
        <v>0.12500000000000006</v>
      </c>
    </row>
    <row r="169" spans="1:10" x14ac:dyDescent="0.2">
      <c r="A169" s="1">
        <v>8</v>
      </c>
      <c r="B169" s="6">
        <v>45268</v>
      </c>
      <c r="C169" s="7" t="s">
        <v>11</v>
      </c>
      <c r="D169" s="26" t="s">
        <v>86</v>
      </c>
      <c r="E169" s="26"/>
      <c r="F169" s="23" t="s">
        <v>285</v>
      </c>
      <c r="G169" s="26" t="s">
        <v>142</v>
      </c>
      <c r="H169" s="34">
        <v>0.39583333333333331</v>
      </c>
      <c r="I169" s="34">
        <v>0.79166666666666663</v>
      </c>
      <c r="J169" s="36">
        <f t="shared" ref="J169" si="9">I169-H169</f>
        <v>0.39583333333333331</v>
      </c>
    </row>
    <row r="170" spans="1:10" x14ac:dyDescent="0.2">
      <c r="A170" s="1">
        <v>8</v>
      </c>
      <c r="B170" s="6">
        <v>45268</v>
      </c>
      <c r="C170" s="7" t="s">
        <v>11</v>
      </c>
      <c r="D170" s="26" t="s">
        <v>280</v>
      </c>
      <c r="E170" s="26"/>
      <c r="F170" s="23" t="s">
        <v>290</v>
      </c>
      <c r="G170" s="26" t="s">
        <v>142</v>
      </c>
      <c r="H170" s="34">
        <v>0.39583333333333331</v>
      </c>
      <c r="I170" s="34">
        <v>0.66666666666666663</v>
      </c>
      <c r="J170" s="36">
        <f t="shared" ref="J170:J233" si="10">I170-H170</f>
        <v>0.27083333333333331</v>
      </c>
    </row>
    <row r="171" spans="1:10" x14ac:dyDescent="0.2">
      <c r="A171" s="1">
        <v>8</v>
      </c>
      <c r="B171" s="6"/>
      <c r="C171" s="7"/>
      <c r="D171" s="26"/>
      <c r="E171" s="26"/>
      <c r="F171" s="23"/>
      <c r="G171" s="26"/>
      <c r="H171" s="34"/>
      <c r="I171" s="34"/>
      <c r="J171" s="36">
        <f t="shared" si="10"/>
        <v>0</v>
      </c>
    </row>
    <row r="172" spans="1:10" x14ac:dyDescent="0.2">
      <c r="A172" s="1">
        <v>8</v>
      </c>
      <c r="B172" s="6"/>
      <c r="C172" s="7"/>
      <c r="D172" s="26"/>
      <c r="E172" s="26"/>
      <c r="F172" s="23"/>
      <c r="G172" s="26"/>
      <c r="H172" s="34"/>
      <c r="I172" s="34"/>
      <c r="J172" s="36">
        <f t="shared" si="10"/>
        <v>0</v>
      </c>
    </row>
    <row r="173" spans="1:10" x14ac:dyDescent="0.2">
      <c r="A173" s="1">
        <v>8</v>
      </c>
      <c r="B173" s="6"/>
      <c r="C173" s="7"/>
      <c r="D173" s="26"/>
      <c r="E173" s="26"/>
      <c r="F173" s="23"/>
      <c r="G173" s="26"/>
      <c r="H173" s="34"/>
      <c r="I173" s="34"/>
      <c r="J173" s="36">
        <f t="shared" si="10"/>
        <v>0</v>
      </c>
    </row>
    <row r="174" spans="1:10" x14ac:dyDescent="0.2">
      <c r="A174" s="1">
        <v>8</v>
      </c>
      <c r="B174" s="6"/>
      <c r="C174" s="7"/>
      <c r="D174" s="26"/>
      <c r="E174" s="26"/>
      <c r="F174" s="23"/>
      <c r="G174" s="26"/>
      <c r="H174" s="34"/>
      <c r="I174" s="34"/>
      <c r="J174" s="36">
        <f t="shared" si="10"/>
        <v>0</v>
      </c>
    </row>
    <row r="175" spans="1:10" x14ac:dyDescent="0.2">
      <c r="A175" s="1">
        <v>8</v>
      </c>
      <c r="B175" s="6"/>
      <c r="C175" s="7"/>
      <c r="D175" s="26"/>
      <c r="E175" s="26"/>
      <c r="F175" s="23"/>
      <c r="G175" s="26"/>
      <c r="H175" s="34"/>
      <c r="I175" s="34"/>
      <c r="J175" s="36">
        <f t="shared" si="10"/>
        <v>0</v>
      </c>
    </row>
    <row r="176" spans="1:10" x14ac:dyDescent="0.2">
      <c r="A176" s="1">
        <v>8</v>
      </c>
      <c r="B176" s="6"/>
      <c r="C176" s="7"/>
      <c r="D176" s="26"/>
      <c r="E176" s="26"/>
      <c r="F176" s="23"/>
      <c r="G176" s="26"/>
      <c r="H176" s="34"/>
      <c r="I176" s="34"/>
      <c r="J176" s="36">
        <f t="shared" si="10"/>
        <v>0</v>
      </c>
    </row>
    <row r="177" spans="1:10" x14ac:dyDescent="0.2">
      <c r="A177" s="1">
        <v>8</v>
      </c>
      <c r="B177" s="6"/>
      <c r="C177" s="7"/>
      <c r="D177" s="26"/>
      <c r="E177" s="26"/>
      <c r="F177" s="23"/>
      <c r="G177" s="26"/>
      <c r="H177" s="34"/>
      <c r="I177" s="34"/>
      <c r="J177" s="36">
        <f t="shared" si="10"/>
        <v>0</v>
      </c>
    </row>
    <row r="178" spans="1:10" x14ac:dyDescent="0.2">
      <c r="A178" s="1">
        <v>8</v>
      </c>
      <c r="B178" s="6"/>
      <c r="C178" s="7"/>
      <c r="D178" s="26"/>
      <c r="E178" s="26"/>
      <c r="F178" s="23"/>
      <c r="G178" s="26"/>
      <c r="H178" s="34"/>
      <c r="I178" s="34"/>
      <c r="J178" s="36">
        <f t="shared" si="10"/>
        <v>0</v>
      </c>
    </row>
    <row r="179" spans="1:10" x14ac:dyDescent="0.2">
      <c r="A179" s="1">
        <v>8</v>
      </c>
      <c r="B179" s="6"/>
      <c r="C179" s="7"/>
      <c r="D179" s="26"/>
      <c r="E179" s="26"/>
      <c r="F179" s="23"/>
      <c r="G179" s="26"/>
      <c r="H179" s="34"/>
      <c r="I179" s="34"/>
      <c r="J179" s="36">
        <f t="shared" si="10"/>
        <v>0</v>
      </c>
    </row>
    <row r="180" spans="1:10" x14ac:dyDescent="0.2">
      <c r="A180" s="1">
        <v>8</v>
      </c>
      <c r="B180" s="6"/>
      <c r="C180" s="7"/>
      <c r="D180" s="26"/>
      <c r="E180" s="26"/>
      <c r="F180" s="23"/>
      <c r="G180" s="26"/>
      <c r="H180" s="34"/>
      <c r="I180" s="34"/>
      <c r="J180" s="36">
        <f t="shared" si="10"/>
        <v>0</v>
      </c>
    </row>
    <row r="181" spans="1:10" x14ac:dyDescent="0.2">
      <c r="A181" s="1">
        <v>8</v>
      </c>
      <c r="B181" s="6"/>
      <c r="C181" s="7"/>
      <c r="D181" s="26"/>
      <c r="E181" s="26"/>
      <c r="F181" s="23"/>
      <c r="G181" s="26"/>
      <c r="H181" s="34"/>
      <c r="I181" s="34"/>
      <c r="J181" s="36">
        <f t="shared" si="10"/>
        <v>0</v>
      </c>
    </row>
    <row r="182" spans="1:10" x14ac:dyDescent="0.2">
      <c r="A182" s="1">
        <v>8</v>
      </c>
      <c r="B182" s="6"/>
      <c r="C182" s="7"/>
      <c r="D182" s="26"/>
      <c r="E182" s="26"/>
      <c r="F182" s="23"/>
      <c r="G182" s="26"/>
      <c r="H182" s="34"/>
      <c r="I182" s="34"/>
      <c r="J182" s="36">
        <f t="shared" si="10"/>
        <v>0</v>
      </c>
    </row>
    <row r="183" spans="1:10" x14ac:dyDescent="0.2">
      <c r="A183" s="1">
        <v>8</v>
      </c>
      <c r="B183" s="6"/>
      <c r="C183" s="7"/>
      <c r="D183" s="26"/>
      <c r="E183" s="26"/>
      <c r="F183" s="23"/>
      <c r="G183" s="26"/>
      <c r="H183" s="34"/>
      <c r="I183" s="34"/>
      <c r="J183" s="36">
        <f t="shared" si="10"/>
        <v>0</v>
      </c>
    </row>
    <row r="184" spans="1:10" x14ac:dyDescent="0.2">
      <c r="A184" s="1">
        <v>8</v>
      </c>
      <c r="B184" s="6"/>
      <c r="C184" s="7"/>
      <c r="D184" s="26"/>
      <c r="E184" s="26"/>
      <c r="F184" s="23"/>
      <c r="G184" s="26"/>
      <c r="H184" s="34"/>
      <c r="I184" s="34"/>
      <c r="J184" s="36">
        <f t="shared" si="10"/>
        <v>0</v>
      </c>
    </row>
    <row r="185" spans="1:10" x14ac:dyDescent="0.2">
      <c r="A185" s="1">
        <v>8</v>
      </c>
      <c r="B185" s="6"/>
      <c r="C185" s="7"/>
      <c r="D185" s="26"/>
      <c r="E185" s="26"/>
      <c r="F185" s="23"/>
      <c r="G185" s="26"/>
      <c r="H185" s="34"/>
      <c r="I185" s="34"/>
      <c r="J185" s="36">
        <f t="shared" si="10"/>
        <v>0</v>
      </c>
    </row>
    <row r="186" spans="1:10" x14ac:dyDescent="0.2">
      <c r="A186" s="1">
        <v>8</v>
      </c>
      <c r="B186" s="6"/>
      <c r="C186" s="7"/>
      <c r="D186" s="26"/>
      <c r="E186" s="26"/>
      <c r="F186" s="23"/>
      <c r="G186" s="26"/>
      <c r="H186" s="34"/>
      <c r="I186" s="34"/>
      <c r="J186" s="36">
        <f t="shared" si="10"/>
        <v>0</v>
      </c>
    </row>
    <row r="187" spans="1:10" x14ac:dyDescent="0.2">
      <c r="A187" s="1">
        <v>8</v>
      </c>
      <c r="B187" s="6"/>
      <c r="C187" s="7"/>
      <c r="D187" s="26"/>
      <c r="E187" s="26"/>
      <c r="F187" s="23"/>
      <c r="G187" s="26"/>
      <c r="H187" s="34"/>
      <c r="I187" s="34"/>
      <c r="J187" s="36">
        <f t="shared" si="10"/>
        <v>0</v>
      </c>
    </row>
    <row r="188" spans="1:10" x14ac:dyDescent="0.2">
      <c r="A188" s="1">
        <v>8</v>
      </c>
      <c r="B188" s="6"/>
      <c r="C188" s="7"/>
      <c r="D188" s="26"/>
      <c r="E188" s="26"/>
      <c r="F188" s="23"/>
      <c r="G188" s="26"/>
      <c r="H188" s="34"/>
      <c r="I188" s="34"/>
      <c r="J188" s="36">
        <f t="shared" si="10"/>
        <v>0</v>
      </c>
    </row>
    <row r="189" spans="1:10" x14ac:dyDescent="0.2">
      <c r="A189" s="1">
        <v>8</v>
      </c>
      <c r="B189" s="6"/>
      <c r="C189" s="7"/>
      <c r="D189" s="26"/>
      <c r="E189" s="26"/>
      <c r="F189" s="23"/>
      <c r="G189" s="26"/>
      <c r="H189" s="34"/>
      <c r="I189" s="34"/>
      <c r="J189" s="36">
        <f t="shared" si="10"/>
        <v>0</v>
      </c>
    </row>
    <row r="190" spans="1:10" x14ac:dyDescent="0.2">
      <c r="A190" s="1">
        <v>8</v>
      </c>
      <c r="B190" s="6"/>
      <c r="C190" s="7"/>
      <c r="D190" s="26"/>
      <c r="E190" s="26"/>
      <c r="F190" s="23"/>
      <c r="G190" s="26"/>
      <c r="H190" s="34"/>
      <c r="I190" s="34"/>
      <c r="J190" s="36">
        <f t="shared" si="10"/>
        <v>0</v>
      </c>
    </row>
    <row r="191" spans="1:10" x14ac:dyDescent="0.2">
      <c r="A191" s="1">
        <v>8</v>
      </c>
      <c r="B191" s="6"/>
      <c r="C191" s="7"/>
      <c r="D191" s="26"/>
      <c r="E191" s="26"/>
      <c r="F191" s="23"/>
      <c r="G191" s="26"/>
      <c r="H191" s="34"/>
      <c r="I191" s="34"/>
      <c r="J191" s="36">
        <f t="shared" si="10"/>
        <v>0</v>
      </c>
    </row>
    <row r="192" spans="1:10" x14ac:dyDescent="0.2">
      <c r="A192" s="1">
        <v>8</v>
      </c>
      <c r="B192" s="6"/>
      <c r="C192" s="7"/>
      <c r="D192" s="26"/>
      <c r="E192" s="26"/>
      <c r="F192" s="23"/>
      <c r="G192" s="26"/>
      <c r="H192" s="34"/>
      <c r="I192" s="34"/>
      <c r="J192" s="36">
        <f t="shared" si="10"/>
        <v>0</v>
      </c>
    </row>
    <row r="193" spans="1:10" x14ac:dyDescent="0.2">
      <c r="A193" s="1">
        <v>8</v>
      </c>
      <c r="B193" s="6"/>
      <c r="C193" s="7"/>
      <c r="D193" s="26"/>
      <c r="E193" s="26"/>
      <c r="F193" s="23"/>
      <c r="G193" s="26"/>
      <c r="H193" s="34"/>
      <c r="I193" s="34"/>
      <c r="J193" s="36">
        <f t="shared" si="10"/>
        <v>0</v>
      </c>
    </row>
    <row r="194" spans="1:10" x14ac:dyDescent="0.2">
      <c r="A194" s="1">
        <v>8</v>
      </c>
      <c r="B194" s="6"/>
      <c r="C194" s="7"/>
      <c r="D194" s="26"/>
      <c r="E194" s="26"/>
      <c r="F194" s="23"/>
      <c r="G194" s="26"/>
      <c r="H194" s="34"/>
      <c r="I194" s="34"/>
      <c r="J194" s="36">
        <f t="shared" si="10"/>
        <v>0</v>
      </c>
    </row>
    <row r="195" spans="1:10" x14ac:dyDescent="0.2">
      <c r="A195" s="1">
        <v>8</v>
      </c>
      <c r="B195" s="6"/>
      <c r="C195" s="7"/>
      <c r="D195" s="26"/>
      <c r="E195" s="26"/>
      <c r="F195" s="23"/>
      <c r="G195" s="26"/>
      <c r="H195" s="34"/>
      <c r="I195" s="34"/>
      <c r="J195" s="36">
        <f t="shared" si="10"/>
        <v>0</v>
      </c>
    </row>
    <row r="196" spans="1:10" x14ac:dyDescent="0.2">
      <c r="A196" s="1">
        <v>8</v>
      </c>
      <c r="B196" s="6"/>
      <c r="C196" s="7"/>
      <c r="D196" s="26"/>
      <c r="E196" s="26"/>
      <c r="F196" s="23"/>
      <c r="G196" s="26"/>
      <c r="H196" s="34"/>
      <c r="I196" s="34"/>
      <c r="J196" s="36">
        <f t="shared" si="10"/>
        <v>0</v>
      </c>
    </row>
    <row r="197" spans="1:10" x14ac:dyDescent="0.2">
      <c r="A197" s="1">
        <v>8</v>
      </c>
      <c r="B197" s="6"/>
      <c r="C197" s="7"/>
      <c r="D197" s="26"/>
      <c r="E197" s="26"/>
      <c r="F197" s="23"/>
      <c r="G197" s="26"/>
      <c r="H197" s="34"/>
      <c r="I197" s="34"/>
      <c r="J197" s="36">
        <f t="shared" si="10"/>
        <v>0</v>
      </c>
    </row>
    <row r="198" spans="1:10" x14ac:dyDescent="0.2">
      <c r="A198" s="1">
        <v>8</v>
      </c>
      <c r="B198" s="6"/>
      <c r="C198" s="7"/>
      <c r="D198" s="26"/>
      <c r="E198" s="26"/>
      <c r="F198" s="23"/>
      <c r="G198" s="26"/>
      <c r="H198" s="34"/>
      <c r="I198" s="34"/>
      <c r="J198" s="36">
        <f t="shared" si="10"/>
        <v>0</v>
      </c>
    </row>
    <row r="199" spans="1:10" x14ac:dyDescent="0.2">
      <c r="A199" s="1">
        <v>8</v>
      </c>
      <c r="B199" s="6"/>
      <c r="C199" s="7"/>
      <c r="D199" s="26"/>
      <c r="E199" s="26"/>
      <c r="F199" s="23"/>
      <c r="G199" s="26"/>
      <c r="H199" s="34"/>
      <c r="I199" s="34"/>
      <c r="J199" s="36">
        <f t="shared" si="10"/>
        <v>0</v>
      </c>
    </row>
    <row r="200" spans="1:10" x14ac:dyDescent="0.2">
      <c r="A200" s="1">
        <v>8</v>
      </c>
      <c r="B200" s="6"/>
      <c r="C200" s="7"/>
      <c r="D200" s="26"/>
      <c r="E200" s="26"/>
      <c r="F200" s="23"/>
      <c r="G200" s="26"/>
      <c r="H200" s="34"/>
      <c r="I200" s="34"/>
      <c r="J200" s="36">
        <f t="shared" si="10"/>
        <v>0</v>
      </c>
    </row>
    <row r="201" spans="1:10" x14ac:dyDescent="0.2">
      <c r="A201" s="1">
        <v>8</v>
      </c>
      <c r="B201" s="6"/>
      <c r="C201" s="7"/>
      <c r="D201" s="26"/>
      <c r="E201" s="26"/>
      <c r="F201" s="23"/>
      <c r="G201" s="26"/>
      <c r="H201" s="34"/>
      <c r="I201" s="34"/>
      <c r="J201" s="36">
        <f t="shared" si="10"/>
        <v>0</v>
      </c>
    </row>
    <row r="202" spans="1:10" x14ac:dyDescent="0.2">
      <c r="A202" s="1">
        <v>8</v>
      </c>
      <c r="B202" s="6"/>
      <c r="C202" s="7"/>
      <c r="D202" s="26"/>
      <c r="E202" s="26"/>
      <c r="F202" s="23"/>
      <c r="G202" s="26"/>
      <c r="H202" s="34"/>
      <c r="I202" s="34"/>
      <c r="J202" s="36">
        <f t="shared" si="10"/>
        <v>0</v>
      </c>
    </row>
    <row r="203" spans="1:10" x14ac:dyDescent="0.2">
      <c r="A203" s="1">
        <v>8</v>
      </c>
      <c r="B203" s="6"/>
      <c r="C203" s="7"/>
      <c r="D203" s="26"/>
      <c r="E203" s="26"/>
      <c r="F203" s="23"/>
      <c r="G203" s="26"/>
      <c r="H203" s="34"/>
      <c r="I203" s="34"/>
      <c r="J203" s="36">
        <f t="shared" si="10"/>
        <v>0</v>
      </c>
    </row>
    <row r="204" spans="1:10" x14ac:dyDescent="0.2">
      <c r="A204" s="1">
        <v>8</v>
      </c>
      <c r="B204" s="6"/>
      <c r="C204" s="7"/>
      <c r="D204" s="26"/>
      <c r="E204" s="26"/>
      <c r="F204" s="23"/>
      <c r="G204" s="26"/>
      <c r="H204" s="34"/>
      <c r="I204" s="34"/>
      <c r="J204" s="36">
        <f t="shared" si="10"/>
        <v>0</v>
      </c>
    </row>
    <row r="205" spans="1:10" x14ac:dyDescent="0.2">
      <c r="A205" s="1">
        <v>8</v>
      </c>
      <c r="B205" s="6"/>
      <c r="C205" s="7"/>
      <c r="D205" s="26"/>
      <c r="E205" s="26"/>
      <c r="F205" s="23"/>
      <c r="G205" s="26"/>
      <c r="H205" s="34"/>
      <c r="I205" s="34"/>
      <c r="J205" s="36">
        <f t="shared" si="10"/>
        <v>0</v>
      </c>
    </row>
    <row r="206" spans="1:10" x14ac:dyDescent="0.2">
      <c r="B206" s="6"/>
      <c r="C206" s="7"/>
      <c r="D206" s="26"/>
      <c r="E206" s="26"/>
      <c r="F206" s="23"/>
      <c r="G206" s="26"/>
      <c r="H206" s="34"/>
      <c r="I206" s="34"/>
      <c r="J206" s="36">
        <f t="shared" si="10"/>
        <v>0</v>
      </c>
    </row>
    <row r="207" spans="1:10" x14ac:dyDescent="0.2">
      <c r="B207" s="6"/>
      <c r="C207" s="7"/>
      <c r="D207" s="26"/>
      <c r="E207" s="26"/>
      <c r="F207" s="23"/>
      <c r="G207" s="26"/>
      <c r="H207" s="34"/>
      <c r="I207" s="34"/>
      <c r="J207" s="36">
        <f t="shared" si="10"/>
        <v>0</v>
      </c>
    </row>
    <row r="208" spans="1:10" x14ac:dyDescent="0.2">
      <c r="B208" s="6"/>
      <c r="C208" s="7"/>
      <c r="D208" s="26"/>
      <c r="E208" s="26"/>
      <c r="F208" s="23"/>
      <c r="G208" s="26"/>
      <c r="H208" s="34"/>
      <c r="I208" s="34"/>
      <c r="J208" s="36">
        <f t="shared" si="10"/>
        <v>0</v>
      </c>
    </row>
    <row r="209" spans="2:10" x14ac:dyDescent="0.2">
      <c r="B209" s="6"/>
      <c r="C209" s="7"/>
      <c r="D209" s="26"/>
      <c r="E209" s="26"/>
      <c r="F209" s="23"/>
      <c r="G209" s="26"/>
      <c r="H209" s="34"/>
      <c r="I209" s="34"/>
      <c r="J209" s="36">
        <f t="shared" si="10"/>
        <v>0</v>
      </c>
    </row>
    <row r="210" spans="2:10" x14ac:dyDescent="0.2">
      <c r="B210" s="6"/>
      <c r="C210" s="7"/>
      <c r="D210" s="26"/>
      <c r="E210" s="26"/>
      <c r="F210" s="23"/>
      <c r="G210" s="26"/>
      <c r="H210" s="34"/>
      <c r="I210" s="34"/>
      <c r="J210" s="36">
        <f t="shared" si="10"/>
        <v>0</v>
      </c>
    </row>
    <row r="211" spans="2:10" x14ac:dyDescent="0.2">
      <c r="B211" s="6"/>
      <c r="C211" s="7"/>
      <c r="D211" s="26"/>
      <c r="E211" s="26"/>
      <c r="F211" s="23"/>
      <c r="G211" s="26"/>
      <c r="H211" s="34"/>
      <c r="I211" s="34"/>
      <c r="J211" s="36">
        <f t="shared" si="10"/>
        <v>0</v>
      </c>
    </row>
    <row r="212" spans="2:10" x14ac:dyDescent="0.2">
      <c r="B212" s="6"/>
      <c r="C212" s="7"/>
      <c r="D212" s="26"/>
      <c r="E212" s="26"/>
      <c r="F212" s="23"/>
      <c r="G212" s="26"/>
      <c r="H212" s="34"/>
      <c r="I212" s="34"/>
      <c r="J212" s="36">
        <f t="shared" si="10"/>
        <v>0</v>
      </c>
    </row>
    <row r="213" spans="2:10" x14ac:dyDescent="0.2">
      <c r="B213" s="6"/>
      <c r="C213" s="7"/>
      <c r="D213" s="26"/>
      <c r="E213" s="26"/>
      <c r="F213" s="23"/>
      <c r="G213" s="26"/>
      <c r="H213" s="34"/>
      <c r="I213" s="34"/>
      <c r="J213" s="36">
        <f t="shared" si="10"/>
        <v>0</v>
      </c>
    </row>
    <row r="214" spans="2:10" x14ac:dyDescent="0.2">
      <c r="B214" s="6"/>
      <c r="C214" s="7"/>
      <c r="D214" s="26"/>
      <c r="E214" s="26"/>
      <c r="F214" s="23"/>
      <c r="G214" s="26"/>
      <c r="H214" s="34"/>
      <c r="I214" s="34"/>
      <c r="J214" s="36">
        <f t="shared" si="10"/>
        <v>0</v>
      </c>
    </row>
    <row r="215" spans="2:10" x14ac:dyDescent="0.2">
      <c r="B215" s="6"/>
      <c r="C215" s="7"/>
      <c r="D215" s="26"/>
      <c r="E215" s="26"/>
      <c r="F215" s="23"/>
      <c r="G215" s="26"/>
      <c r="H215" s="34"/>
      <c r="I215" s="34"/>
      <c r="J215" s="36">
        <f t="shared" si="10"/>
        <v>0</v>
      </c>
    </row>
    <row r="216" spans="2:10" x14ac:dyDescent="0.2">
      <c r="B216" s="6"/>
      <c r="C216" s="7"/>
      <c r="D216" s="26"/>
      <c r="E216" s="26"/>
      <c r="F216" s="23"/>
      <c r="G216" s="26"/>
      <c r="H216" s="34"/>
      <c r="I216" s="34"/>
      <c r="J216" s="36">
        <f t="shared" si="10"/>
        <v>0</v>
      </c>
    </row>
    <row r="217" spans="2:10" x14ac:dyDescent="0.2">
      <c r="B217" s="6"/>
      <c r="C217" s="7"/>
      <c r="D217" s="26"/>
      <c r="E217" s="26"/>
      <c r="F217" s="23"/>
      <c r="G217" s="26"/>
      <c r="H217" s="34"/>
      <c r="I217" s="34"/>
      <c r="J217" s="36">
        <f t="shared" si="10"/>
        <v>0</v>
      </c>
    </row>
    <row r="218" spans="2:10" x14ac:dyDescent="0.2">
      <c r="B218" s="6"/>
      <c r="C218" s="7"/>
      <c r="D218" s="26"/>
      <c r="E218" s="26"/>
      <c r="F218" s="23"/>
      <c r="G218" s="26"/>
      <c r="H218" s="34"/>
      <c r="I218" s="34"/>
      <c r="J218" s="36">
        <f t="shared" si="10"/>
        <v>0</v>
      </c>
    </row>
    <row r="219" spans="2:10" x14ac:dyDescent="0.2">
      <c r="B219" s="6"/>
      <c r="C219" s="7"/>
      <c r="D219" s="26"/>
      <c r="E219" s="26"/>
      <c r="F219" s="23"/>
      <c r="G219" s="26"/>
      <c r="H219" s="34"/>
      <c r="I219" s="34"/>
      <c r="J219" s="36">
        <f t="shared" si="10"/>
        <v>0</v>
      </c>
    </row>
    <row r="220" spans="2:10" x14ac:dyDescent="0.2">
      <c r="B220" s="6"/>
      <c r="C220" s="7"/>
      <c r="D220" s="26"/>
      <c r="E220" s="26"/>
      <c r="F220" s="23"/>
      <c r="G220" s="26"/>
      <c r="H220" s="34"/>
      <c r="I220" s="34"/>
      <c r="J220" s="36">
        <f t="shared" si="10"/>
        <v>0</v>
      </c>
    </row>
    <row r="221" spans="2:10" x14ac:dyDescent="0.2">
      <c r="B221" s="6"/>
      <c r="C221" s="7"/>
      <c r="D221" s="26"/>
      <c r="E221" s="26"/>
      <c r="F221" s="23"/>
      <c r="G221" s="26"/>
      <c r="H221" s="34"/>
      <c r="I221" s="34"/>
      <c r="J221" s="36">
        <f t="shared" si="10"/>
        <v>0</v>
      </c>
    </row>
    <row r="222" spans="2:10" x14ac:dyDescent="0.2">
      <c r="B222" s="6"/>
      <c r="C222" s="7"/>
      <c r="D222" s="26"/>
      <c r="E222" s="26"/>
      <c r="F222" s="23"/>
      <c r="G222" s="26"/>
      <c r="H222" s="34"/>
      <c r="I222" s="34"/>
      <c r="J222" s="36">
        <f t="shared" si="10"/>
        <v>0</v>
      </c>
    </row>
    <row r="223" spans="2:10" x14ac:dyDescent="0.2">
      <c r="B223" s="6"/>
      <c r="C223" s="7"/>
      <c r="D223" s="26"/>
      <c r="E223" s="26"/>
      <c r="F223" s="23"/>
      <c r="G223" s="26"/>
      <c r="H223" s="34"/>
      <c r="I223" s="34"/>
      <c r="J223" s="36">
        <f t="shared" si="10"/>
        <v>0</v>
      </c>
    </row>
    <row r="224" spans="2:10" x14ac:dyDescent="0.2">
      <c r="B224" s="6"/>
      <c r="C224" s="7"/>
      <c r="D224" s="26"/>
      <c r="E224" s="26"/>
      <c r="F224" s="23"/>
      <c r="G224" s="26"/>
      <c r="H224" s="34"/>
      <c r="I224" s="34"/>
      <c r="J224" s="36">
        <f t="shared" si="10"/>
        <v>0</v>
      </c>
    </row>
    <row r="225" spans="2:10" x14ac:dyDescent="0.2">
      <c r="B225" s="6"/>
      <c r="C225" s="7"/>
      <c r="D225" s="26"/>
      <c r="E225" s="26"/>
      <c r="F225" s="23"/>
      <c r="G225" s="26"/>
      <c r="H225" s="34"/>
      <c r="I225" s="34"/>
      <c r="J225" s="36">
        <f t="shared" si="10"/>
        <v>0</v>
      </c>
    </row>
    <row r="226" spans="2:10" x14ac:dyDescent="0.2">
      <c r="B226" s="6"/>
      <c r="C226" s="7"/>
      <c r="D226" s="26"/>
      <c r="E226" s="26"/>
      <c r="F226" s="23"/>
      <c r="G226" s="26"/>
      <c r="H226" s="34"/>
      <c r="I226" s="34"/>
      <c r="J226" s="36">
        <f t="shared" si="10"/>
        <v>0</v>
      </c>
    </row>
    <row r="227" spans="2:10" x14ac:dyDescent="0.2">
      <c r="B227" s="6"/>
      <c r="C227" s="7"/>
      <c r="D227" s="26"/>
      <c r="E227" s="26"/>
      <c r="F227" s="23"/>
      <c r="G227" s="26"/>
      <c r="H227" s="34"/>
      <c r="I227" s="34"/>
      <c r="J227" s="36">
        <f t="shared" si="10"/>
        <v>0</v>
      </c>
    </row>
    <row r="228" spans="2:10" x14ac:dyDescent="0.2">
      <c r="B228" s="6"/>
      <c r="C228" s="7"/>
      <c r="D228" s="26"/>
      <c r="E228" s="26"/>
      <c r="F228" s="23"/>
      <c r="G228" s="26"/>
      <c r="H228" s="34"/>
      <c r="I228" s="34"/>
      <c r="J228" s="36">
        <f t="shared" si="10"/>
        <v>0</v>
      </c>
    </row>
    <row r="229" spans="2:10" x14ac:dyDescent="0.2">
      <c r="B229" s="6"/>
      <c r="C229" s="7"/>
      <c r="D229" s="26"/>
      <c r="E229" s="26"/>
      <c r="F229" s="23"/>
      <c r="G229" s="26"/>
      <c r="H229" s="34"/>
      <c r="I229" s="34"/>
      <c r="J229" s="36">
        <f t="shared" si="10"/>
        <v>0</v>
      </c>
    </row>
    <row r="230" spans="2:10" x14ac:dyDescent="0.2">
      <c r="B230" s="6"/>
      <c r="C230" s="7"/>
      <c r="D230" s="26"/>
      <c r="E230" s="26"/>
      <c r="F230" s="23"/>
      <c r="G230" s="26"/>
      <c r="H230" s="34"/>
      <c r="I230" s="34"/>
      <c r="J230" s="36">
        <f t="shared" si="10"/>
        <v>0</v>
      </c>
    </row>
    <row r="231" spans="2:10" x14ac:dyDescent="0.2">
      <c r="B231" s="6"/>
      <c r="C231" s="7"/>
      <c r="D231" s="26"/>
      <c r="E231" s="26"/>
      <c r="F231" s="23"/>
      <c r="G231" s="26"/>
      <c r="H231" s="34"/>
      <c r="I231" s="34"/>
      <c r="J231" s="36">
        <f t="shared" si="10"/>
        <v>0</v>
      </c>
    </row>
    <row r="232" spans="2:10" x14ac:dyDescent="0.2">
      <c r="B232" s="6"/>
      <c r="C232" s="7"/>
      <c r="D232" s="26"/>
      <c r="E232" s="26"/>
      <c r="F232" s="23"/>
      <c r="G232" s="26"/>
      <c r="H232" s="34"/>
      <c r="I232" s="34"/>
      <c r="J232" s="36">
        <f t="shared" si="10"/>
        <v>0</v>
      </c>
    </row>
    <row r="233" spans="2:10" x14ac:dyDescent="0.2">
      <c r="B233" s="6"/>
      <c r="C233" s="7"/>
      <c r="D233" s="26"/>
      <c r="E233" s="26"/>
      <c r="F233" s="23"/>
      <c r="G233" s="26"/>
      <c r="H233" s="34"/>
      <c r="I233" s="34"/>
      <c r="J233" s="36">
        <f t="shared" si="10"/>
        <v>0</v>
      </c>
    </row>
    <row r="234" spans="2:10" x14ac:dyDescent="0.2">
      <c r="B234" s="6"/>
      <c r="C234" s="7"/>
      <c r="D234" s="26"/>
      <c r="E234" s="26"/>
      <c r="F234" s="23"/>
      <c r="G234" s="26"/>
      <c r="H234" s="34"/>
      <c r="I234" s="34"/>
      <c r="J234" s="36">
        <f t="shared" ref="J234:J297" si="11">I234-H234</f>
        <v>0</v>
      </c>
    </row>
    <row r="235" spans="2:10" x14ac:dyDescent="0.2">
      <c r="B235" s="6"/>
      <c r="C235" s="7"/>
      <c r="D235" s="26"/>
      <c r="E235" s="26"/>
      <c r="F235" s="23"/>
      <c r="G235" s="26"/>
      <c r="H235" s="34"/>
      <c r="I235" s="34"/>
      <c r="J235" s="36">
        <f t="shared" si="11"/>
        <v>0</v>
      </c>
    </row>
    <row r="236" spans="2:10" x14ac:dyDescent="0.2">
      <c r="B236" s="6"/>
      <c r="C236" s="7"/>
      <c r="D236" s="26"/>
      <c r="E236" s="26"/>
      <c r="F236" s="23"/>
      <c r="G236" s="26"/>
      <c r="H236" s="34"/>
      <c r="I236" s="34"/>
      <c r="J236" s="36">
        <f t="shared" si="11"/>
        <v>0</v>
      </c>
    </row>
    <row r="237" spans="2:10" x14ac:dyDescent="0.2">
      <c r="B237" s="6"/>
      <c r="C237" s="7"/>
      <c r="D237" s="26"/>
      <c r="E237" s="26"/>
      <c r="F237" s="23"/>
      <c r="G237" s="26"/>
      <c r="H237" s="34"/>
      <c r="I237" s="34"/>
      <c r="J237" s="36">
        <f t="shared" si="11"/>
        <v>0</v>
      </c>
    </row>
    <row r="238" spans="2:10" x14ac:dyDescent="0.2">
      <c r="B238" s="6"/>
      <c r="C238" s="7"/>
      <c r="D238" s="26"/>
      <c r="E238" s="26"/>
      <c r="F238" s="23"/>
      <c r="G238" s="26"/>
      <c r="H238" s="34"/>
      <c r="I238" s="34"/>
      <c r="J238" s="36">
        <f t="shared" si="11"/>
        <v>0</v>
      </c>
    </row>
    <row r="239" spans="2:10" x14ac:dyDescent="0.2">
      <c r="B239" s="6"/>
      <c r="C239" s="7"/>
      <c r="D239" s="26"/>
      <c r="E239" s="26"/>
      <c r="F239" s="23"/>
      <c r="G239" s="26"/>
      <c r="H239" s="34"/>
      <c r="I239" s="34"/>
      <c r="J239" s="36">
        <f t="shared" si="11"/>
        <v>0</v>
      </c>
    </row>
    <row r="240" spans="2:10" x14ac:dyDescent="0.2">
      <c r="B240" s="6"/>
      <c r="C240" s="7"/>
      <c r="D240" s="26"/>
      <c r="E240" s="26"/>
      <c r="F240" s="23"/>
      <c r="G240" s="26"/>
      <c r="H240" s="34"/>
      <c r="I240" s="34"/>
      <c r="J240" s="36">
        <f t="shared" si="11"/>
        <v>0</v>
      </c>
    </row>
    <row r="241" spans="2:10" x14ac:dyDescent="0.2">
      <c r="B241" s="6"/>
      <c r="C241" s="7"/>
      <c r="D241" s="26"/>
      <c r="E241" s="26"/>
      <c r="F241" s="23"/>
      <c r="G241" s="26"/>
      <c r="H241" s="34"/>
      <c r="I241" s="34"/>
      <c r="J241" s="36">
        <f t="shared" si="11"/>
        <v>0</v>
      </c>
    </row>
    <row r="242" spans="2:10" x14ac:dyDescent="0.2">
      <c r="B242" s="6"/>
      <c r="C242" s="7"/>
      <c r="D242" s="26"/>
      <c r="E242" s="26"/>
      <c r="F242" s="23"/>
      <c r="G242" s="26"/>
      <c r="H242" s="34"/>
      <c r="I242" s="34"/>
      <c r="J242" s="36">
        <f t="shared" si="11"/>
        <v>0</v>
      </c>
    </row>
    <row r="243" spans="2:10" x14ac:dyDescent="0.2">
      <c r="B243" s="6"/>
      <c r="C243" s="7"/>
      <c r="D243" s="26"/>
      <c r="E243" s="26"/>
      <c r="F243" s="23"/>
      <c r="G243" s="26"/>
      <c r="H243" s="34"/>
      <c r="I243" s="34"/>
      <c r="J243" s="36">
        <f t="shared" si="11"/>
        <v>0</v>
      </c>
    </row>
    <row r="244" spans="2:10" x14ac:dyDescent="0.2">
      <c r="B244" s="6"/>
      <c r="C244" s="7"/>
      <c r="D244" s="26"/>
      <c r="E244" s="26"/>
      <c r="F244" s="23"/>
      <c r="G244" s="26"/>
      <c r="H244" s="34"/>
      <c r="I244" s="34"/>
      <c r="J244" s="36">
        <f t="shared" si="11"/>
        <v>0</v>
      </c>
    </row>
    <row r="245" spans="2:10" x14ac:dyDescent="0.2">
      <c r="B245" s="6"/>
      <c r="C245" s="7"/>
      <c r="D245" s="26"/>
      <c r="E245" s="26"/>
      <c r="F245" s="23"/>
      <c r="G245" s="26"/>
      <c r="H245" s="34"/>
      <c r="I245" s="34"/>
      <c r="J245" s="36">
        <f t="shared" si="11"/>
        <v>0</v>
      </c>
    </row>
    <row r="246" spans="2:10" x14ac:dyDescent="0.2">
      <c r="B246" s="6"/>
      <c r="C246" s="7"/>
      <c r="D246" s="26"/>
      <c r="E246" s="26"/>
      <c r="F246" s="23"/>
      <c r="G246" s="26"/>
      <c r="H246" s="34"/>
      <c r="I246" s="34"/>
      <c r="J246" s="36">
        <f t="shared" si="11"/>
        <v>0</v>
      </c>
    </row>
    <row r="247" spans="2:10" x14ac:dyDescent="0.2">
      <c r="B247" s="6"/>
      <c r="C247" s="7"/>
      <c r="D247" s="26"/>
      <c r="E247" s="26"/>
      <c r="F247" s="23"/>
      <c r="G247" s="26"/>
      <c r="H247" s="34"/>
      <c r="I247" s="34"/>
      <c r="J247" s="36">
        <f t="shared" si="11"/>
        <v>0</v>
      </c>
    </row>
    <row r="248" spans="2:10" x14ac:dyDescent="0.2">
      <c r="B248" s="6"/>
      <c r="C248" s="7"/>
      <c r="D248" s="26"/>
      <c r="E248" s="26"/>
      <c r="F248" s="23"/>
      <c r="G248" s="26"/>
      <c r="H248" s="34"/>
      <c r="I248" s="34"/>
      <c r="J248" s="36">
        <f t="shared" si="11"/>
        <v>0</v>
      </c>
    </row>
    <row r="249" spans="2:10" x14ac:dyDescent="0.2">
      <c r="B249" s="6"/>
      <c r="C249" s="7"/>
      <c r="D249" s="26"/>
      <c r="E249" s="26"/>
      <c r="F249" s="23"/>
      <c r="G249" s="26"/>
      <c r="H249" s="34"/>
      <c r="I249" s="34"/>
      <c r="J249" s="36">
        <f t="shared" si="11"/>
        <v>0</v>
      </c>
    </row>
    <row r="250" spans="2:10" x14ac:dyDescent="0.2">
      <c r="B250" s="6"/>
      <c r="C250" s="7"/>
      <c r="D250" s="26"/>
      <c r="E250" s="26"/>
      <c r="F250" s="23"/>
      <c r="G250" s="26"/>
      <c r="H250" s="34"/>
      <c r="I250" s="34"/>
      <c r="J250" s="36">
        <f t="shared" si="11"/>
        <v>0</v>
      </c>
    </row>
    <row r="251" spans="2:10" x14ac:dyDescent="0.2">
      <c r="B251" s="6"/>
      <c r="C251" s="7"/>
      <c r="D251" s="26"/>
      <c r="E251" s="26"/>
      <c r="F251" s="23"/>
      <c r="G251" s="26"/>
      <c r="H251" s="34"/>
      <c r="I251" s="34"/>
      <c r="J251" s="36">
        <f t="shared" si="11"/>
        <v>0</v>
      </c>
    </row>
    <row r="252" spans="2:10" x14ac:dyDescent="0.2">
      <c r="B252" s="6"/>
      <c r="C252" s="7"/>
      <c r="D252" s="26"/>
      <c r="E252" s="26"/>
      <c r="F252" s="23"/>
      <c r="G252" s="26"/>
      <c r="H252" s="34"/>
      <c r="I252" s="34"/>
      <c r="J252" s="36">
        <f t="shared" si="11"/>
        <v>0</v>
      </c>
    </row>
    <row r="253" spans="2:10" x14ac:dyDescent="0.2">
      <c r="B253" s="6"/>
      <c r="C253" s="7"/>
      <c r="D253" s="26"/>
      <c r="E253" s="26"/>
      <c r="F253" s="23"/>
      <c r="G253" s="26"/>
      <c r="H253" s="34"/>
      <c r="I253" s="34"/>
      <c r="J253" s="36">
        <f t="shared" si="11"/>
        <v>0</v>
      </c>
    </row>
    <row r="254" spans="2:10" x14ac:dyDescent="0.2">
      <c r="B254" s="6"/>
      <c r="C254" s="7"/>
      <c r="D254" s="26"/>
      <c r="E254" s="26"/>
      <c r="F254" s="23"/>
      <c r="G254" s="26"/>
      <c r="H254" s="34"/>
      <c r="I254" s="34"/>
      <c r="J254" s="36">
        <f t="shared" si="11"/>
        <v>0</v>
      </c>
    </row>
    <row r="255" spans="2:10" x14ac:dyDescent="0.2">
      <c r="B255" s="6"/>
      <c r="C255" s="7"/>
      <c r="D255" s="26"/>
      <c r="E255" s="26"/>
      <c r="F255" s="23"/>
      <c r="G255" s="26"/>
      <c r="H255" s="34"/>
      <c r="I255" s="34"/>
      <c r="J255" s="36">
        <f t="shared" si="11"/>
        <v>0</v>
      </c>
    </row>
    <row r="256" spans="2:10" x14ac:dyDescent="0.2">
      <c r="B256" s="6"/>
      <c r="C256" s="7"/>
      <c r="D256" s="26"/>
      <c r="E256" s="26"/>
      <c r="F256" s="23"/>
      <c r="G256" s="26"/>
      <c r="H256" s="34"/>
      <c r="I256" s="34"/>
      <c r="J256" s="36">
        <f t="shared" si="11"/>
        <v>0</v>
      </c>
    </row>
    <row r="257" spans="2:10" x14ac:dyDescent="0.2">
      <c r="B257" s="6"/>
      <c r="C257" s="7"/>
      <c r="D257" s="26"/>
      <c r="E257" s="26"/>
      <c r="F257" s="23"/>
      <c r="G257" s="26"/>
      <c r="H257" s="34"/>
      <c r="I257" s="34"/>
      <c r="J257" s="36">
        <f t="shared" si="11"/>
        <v>0</v>
      </c>
    </row>
    <row r="258" spans="2:10" x14ac:dyDescent="0.2">
      <c r="B258" s="6"/>
      <c r="C258" s="7"/>
      <c r="D258" s="26"/>
      <c r="E258" s="26"/>
      <c r="F258" s="23"/>
      <c r="G258" s="26"/>
      <c r="H258" s="34"/>
      <c r="I258" s="34"/>
      <c r="J258" s="36">
        <f t="shared" si="11"/>
        <v>0</v>
      </c>
    </row>
    <row r="259" spans="2:10" x14ac:dyDescent="0.2">
      <c r="B259" s="6"/>
      <c r="C259" s="7"/>
      <c r="D259" s="26"/>
      <c r="E259" s="26"/>
      <c r="F259" s="23"/>
      <c r="G259" s="26"/>
      <c r="H259" s="34"/>
      <c r="I259" s="34"/>
      <c r="J259" s="36">
        <f t="shared" si="11"/>
        <v>0</v>
      </c>
    </row>
    <row r="260" spans="2:10" x14ac:dyDescent="0.2">
      <c r="B260" s="6"/>
      <c r="C260" s="7"/>
      <c r="D260" s="26"/>
      <c r="E260" s="26"/>
      <c r="F260" s="23"/>
      <c r="G260" s="26"/>
      <c r="H260" s="34"/>
      <c r="I260" s="34"/>
      <c r="J260" s="36">
        <f t="shared" si="11"/>
        <v>0</v>
      </c>
    </row>
    <row r="261" spans="2:10" x14ac:dyDescent="0.2">
      <c r="B261" s="6"/>
      <c r="C261" s="7"/>
      <c r="D261" s="26"/>
      <c r="E261" s="26"/>
      <c r="F261" s="23"/>
      <c r="G261" s="26"/>
      <c r="H261" s="34"/>
      <c r="I261" s="34"/>
      <c r="J261" s="36">
        <f t="shared" si="11"/>
        <v>0</v>
      </c>
    </row>
    <row r="262" spans="2:10" x14ac:dyDescent="0.2">
      <c r="B262" s="6"/>
      <c r="C262" s="7"/>
      <c r="D262" s="26"/>
      <c r="E262" s="26"/>
      <c r="F262" s="23"/>
      <c r="G262" s="26"/>
      <c r="H262" s="34"/>
      <c r="I262" s="34"/>
      <c r="J262" s="36">
        <f t="shared" si="11"/>
        <v>0</v>
      </c>
    </row>
    <row r="263" spans="2:10" x14ac:dyDescent="0.2">
      <c r="B263" s="6"/>
      <c r="C263" s="7"/>
      <c r="D263" s="26"/>
      <c r="E263" s="26"/>
      <c r="F263" s="23"/>
      <c r="G263" s="26"/>
      <c r="H263" s="34"/>
      <c r="I263" s="34"/>
      <c r="J263" s="36">
        <f t="shared" si="11"/>
        <v>0</v>
      </c>
    </row>
    <row r="264" spans="2:10" x14ac:dyDescent="0.2">
      <c r="B264" s="6"/>
      <c r="C264" s="7"/>
      <c r="D264" s="26"/>
      <c r="E264" s="26"/>
      <c r="F264" s="23"/>
      <c r="G264" s="26"/>
      <c r="H264" s="34"/>
      <c r="I264" s="34"/>
      <c r="J264" s="36">
        <f t="shared" si="11"/>
        <v>0</v>
      </c>
    </row>
    <row r="265" spans="2:10" x14ac:dyDescent="0.2">
      <c r="B265" s="6"/>
      <c r="C265" s="7"/>
      <c r="D265" s="26"/>
      <c r="E265" s="26"/>
      <c r="F265" s="23"/>
      <c r="G265" s="26"/>
      <c r="H265" s="34"/>
      <c r="I265" s="34"/>
      <c r="J265" s="36">
        <f t="shared" si="11"/>
        <v>0</v>
      </c>
    </row>
    <row r="266" spans="2:10" x14ac:dyDescent="0.2">
      <c r="B266" s="6"/>
      <c r="C266" s="7"/>
      <c r="D266" s="26"/>
      <c r="E266" s="26"/>
      <c r="F266" s="23"/>
      <c r="G266" s="26"/>
      <c r="H266" s="34"/>
      <c r="I266" s="34"/>
      <c r="J266" s="36">
        <f t="shared" si="11"/>
        <v>0</v>
      </c>
    </row>
    <row r="267" spans="2:10" x14ac:dyDescent="0.2">
      <c r="B267" s="6"/>
      <c r="C267" s="7"/>
      <c r="D267" s="26"/>
      <c r="E267" s="26"/>
      <c r="F267" s="23"/>
      <c r="G267" s="26"/>
      <c r="H267" s="34"/>
      <c r="I267" s="34"/>
      <c r="J267" s="36">
        <f t="shared" si="11"/>
        <v>0</v>
      </c>
    </row>
    <row r="268" spans="2:10" x14ac:dyDescent="0.2">
      <c r="B268" s="6"/>
      <c r="C268" s="7"/>
      <c r="D268" s="26"/>
      <c r="E268" s="26"/>
      <c r="F268" s="23"/>
      <c r="G268" s="26"/>
      <c r="H268" s="34"/>
      <c r="I268" s="34"/>
      <c r="J268" s="36">
        <f t="shared" si="11"/>
        <v>0</v>
      </c>
    </row>
    <row r="269" spans="2:10" x14ac:dyDescent="0.2">
      <c r="B269" s="6"/>
      <c r="C269" s="7"/>
      <c r="D269" s="26"/>
      <c r="E269" s="26"/>
      <c r="F269" s="23"/>
      <c r="G269" s="26"/>
      <c r="H269" s="34"/>
      <c r="I269" s="34"/>
      <c r="J269" s="36">
        <f t="shared" si="11"/>
        <v>0</v>
      </c>
    </row>
    <row r="270" spans="2:10" x14ac:dyDescent="0.2">
      <c r="B270" s="6"/>
      <c r="C270" s="7"/>
      <c r="D270" s="26"/>
      <c r="E270" s="26"/>
      <c r="F270" s="23"/>
      <c r="G270" s="26"/>
      <c r="H270" s="34"/>
      <c r="I270" s="34"/>
      <c r="J270" s="36">
        <f t="shared" si="11"/>
        <v>0</v>
      </c>
    </row>
    <row r="271" spans="2:10" x14ac:dyDescent="0.2">
      <c r="B271" s="6"/>
      <c r="C271" s="7"/>
      <c r="D271" s="26"/>
      <c r="E271" s="26"/>
      <c r="F271" s="23"/>
      <c r="G271" s="26"/>
      <c r="H271" s="34"/>
      <c r="I271" s="34"/>
      <c r="J271" s="36">
        <f t="shared" si="11"/>
        <v>0</v>
      </c>
    </row>
    <row r="272" spans="2:10" x14ac:dyDescent="0.2">
      <c r="B272" s="6"/>
      <c r="C272" s="7"/>
      <c r="D272" s="26"/>
      <c r="E272" s="26"/>
      <c r="F272" s="23"/>
      <c r="G272" s="26"/>
      <c r="H272" s="34"/>
      <c r="I272" s="34"/>
      <c r="J272" s="36">
        <f t="shared" si="11"/>
        <v>0</v>
      </c>
    </row>
    <row r="273" spans="2:10" x14ac:dyDescent="0.2">
      <c r="B273" s="6"/>
      <c r="C273" s="7"/>
      <c r="D273" s="26"/>
      <c r="E273" s="26"/>
      <c r="F273" s="23"/>
      <c r="G273" s="26"/>
      <c r="H273" s="34"/>
      <c r="I273" s="34"/>
      <c r="J273" s="36">
        <f t="shared" si="11"/>
        <v>0</v>
      </c>
    </row>
    <row r="274" spans="2:10" x14ac:dyDescent="0.2">
      <c r="B274" s="6"/>
      <c r="C274" s="7"/>
      <c r="D274" s="26"/>
      <c r="E274" s="26"/>
      <c r="F274" s="23"/>
      <c r="G274" s="26"/>
      <c r="H274" s="34"/>
      <c r="I274" s="34"/>
      <c r="J274" s="36">
        <f t="shared" si="11"/>
        <v>0</v>
      </c>
    </row>
    <row r="275" spans="2:10" x14ac:dyDescent="0.2">
      <c r="B275" s="6"/>
      <c r="C275" s="7"/>
      <c r="D275" s="26"/>
      <c r="E275" s="26"/>
      <c r="F275" s="23"/>
      <c r="G275" s="26"/>
      <c r="H275" s="34"/>
      <c r="I275" s="34"/>
      <c r="J275" s="36">
        <f t="shared" si="11"/>
        <v>0</v>
      </c>
    </row>
    <row r="276" spans="2:10" x14ac:dyDescent="0.2">
      <c r="B276" s="6"/>
      <c r="C276" s="7"/>
      <c r="D276" s="26"/>
      <c r="E276" s="26"/>
      <c r="F276" s="23"/>
      <c r="G276" s="26"/>
      <c r="H276" s="34"/>
      <c r="I276" s="34"/>
      <c r="J276" s="36">
        <f t="shared" si="11"/>
        <v>0</v>
      </c>
    </row>
    <row r="277" spans="2:10" x14ac:dyDescent="0.2">
      <c r="B277" s="6"/>
      <c r="C277" s="7"/>
      <c r="D277" s="26"/>
      <c r="E277" s="26"/>
      <c r="F277" s="23"/>
      <c r="G277" s="26"/>
      <c r="H277" s="34"/>
      <c r="I277" s="34"/>
      <c r="J277" s="36">
        <f t="shared" si="11"/>
        <v>0</v>
      </c>
    </row>
    <row r="278" spans="2:10" x14ac:dyDescent="0.2">
      <c r="B278" s="6"/>
      <c r="C278" s="7"/>
      <c r="D278" s="26"/>
      <c r="E278" s="26"/>
      <c r="F278" s="23"/>
      <c r="G278" s="26"/>
      <c r="H278" s="34"/>
      <c r="I278" s="34"/>
      <c r="J278" s="36">
        <f t="shared" si="11"/>
        <v>0</v>
      </c>
    </row>
    <row r="279" spans="2:10" x14ac:dyDescent="0.2">
      <c r="B279" s="6"/>
      <c r="C279" s="7"/>
      <c r="D279" s="26"/>
      <c r="E279" s="26"/>
      <c r="F279" s="23"/>
      <c r="G279" s="26"/>
      <c r="H279" s="34"/>
      <c r="I279" s="34"/>
      <c r="J279" s="36">
        <f t="shared" si="11"/>
        <v>0</v>
      </c>
    </row>
    <row r="280" spans="2:10" x14ac:dyDescent="0.2">
      <c r="B280" s="6"/>
      <c r="C280" s="7"/>
      <c r="D280" s="26"/>
      <c r="E280" s="26"/>
      <c r="F280" s="23"/>
      <c r="G280" s="26"/>
      <c r="H280" s="34"/>
      <c r="I280" s="34"/>
      <c r="J280" s="36">
        <f t="shared" si="11"/>
        <v>0</v>
      </c>
    </row>
    <row r="281" spans="2:10" x14ac:dyDescent="0.2">
      <c r="B281" s="6"/>
      <c r="C281" s="7"/>
      <c r="D281" s="26"/>
      <c r="E281" s="26"/>
      <c r="F281" s="23"/>
      <c r="G281" s="26"/>
      <c r="H281" s="34"/>
      <c r="I281" s="34"/>
      <c r="J281" s="36">
        <f t="shared" si="11"/>
        <v>0</v>
      </c>
    </row>
    <row r="282" spans="2:10" x14ac:dyDescent="0.2">
      <c r="B282" s="6"/>
      <c r="C282" s="7"/>
      <c r="D282" s="26"/>
      <c r="E282" s="26"/>
      <c r="F282" s="23"/>
      <c r="G282" s="26"/>
      <c r="H282" s="34"/>
      <c r="I282" s="34"/>
      <c r="J282" s="36">
        <f t="shared" si="11"/>
        <v>0</v>
      </c>
    </row>
    <row r="283" spans="2:10" x14ac:dyDescent="0.2">
      <c r="B283" s="6"/>
      <c r="C283" s="7"/>
      <c r="D283" s="26"/>
      <c r="E283" s="26"/>
      <c r="F283" s="23"/>
      <c r="G283" s="26"/>
      <c r="H283" s="34"/>
      <c r="I283" s="34"/>
      <c r="J283" s="36">
        <f t="shared" si="11"/>
        <v>0</v>
      </c>
    </row>
    <row r="284" spans="2:10" x14ac:dyDescent="0.2">
      <c r="B284" s="6"/>
      <c r="C284" s="7"/>
      <c r="D284" s="26"/>
      <c r="E284" s="26"/>
      <c r="F284" s="23"/>
      <c r="G284" s="26"/>
      <c r="H284" s="34"/>
      <c r="I284" s="34"/>
      <c r="J284" s="36">
        <f t="shared" si="11"/>
        <v>0</v>
      </c>
    </row>
    <row r="285" spans="2:10" x14ac:dyDescent="0.2">
      <c r="B285" s="6"/>
      <c r="C285" s="7"/>
      <c r="D285" s="26"/>
      <c r="E285" s="26"/>
      <c r="F285" s="23"/>
      <c r="G285" s="26"/>
      <c r="H285" s="34"/>
      <c r="I285" s="34"/>
      <c r="J285" s="36">
        <f t="shared" si="11"/>
        <v>0</v>
      </c>
    </row>
    <row r="286" spans="2:10" x14ac:dyDescent="0.2">
      <c r="B286" s="6"/>
      <c r="C286" s="7"/>
      <c r="D286" s="26"/>
      <c r="E286" s="26"/>
      <c r="F286" s="23"/>
      <c r="G286" s="26"/>
      <c r="H286" s="34"/>
      <c r="I286" s="34"/>
      <c r="J286" s="36">
        <f t="shared" si="11"/>
        <v>0</v>
      </c>
    </row>
    <row r="287" spans="2:10" x14ac:dyDescent="0.2">
      <c r="B287" s="6"/>
      <c r="C287" s="7"/>
      <c r="D287" s="26"/>
      <c r="E287" s="26"/>
      <c r="F287" s="23"/>
      <c r="G287" s="26"/>
      <c r="H287" s="34"/>
      <c r="I287" s="34"/>
      <c r="J287" s="36">
        <f t="shared" si="11"/>
        <v>0</v>
      </c>
    </row>
    <row r="288" spans="2:10" x14ac:dyDescent="0.2">
      <c r="B288" s="6"/>
      <c r="C288" s="7"/>
      <c r="D288" s="26"/>
      <c r="E288" s="26"/>
      <c r="F288" s="23"/>
      <c r="G288" s="26"/>
      <c r="H288" s="34"/>
      <c r="I288" s="34"/>
      <c r="J288" s="36">
        <f t="shared" si="11"/>
        <v>0</v>
      </c>
    </row>
    <row r="289" spans="2:10" x14ac:dyDescent="0.2">
      <c r="B289" s="6"/>
      <c r="C289" s="7"/>
      <c r="D289" s="26"/>
      <c r="E289" s="26"/>
      <c r="F289" s="23"/>
      <c r="G289" s="26"/>
      <c r="H289" s="34"/>
      <c r="I289" s="34"/>
      <c r="J289" s="36">
        <f t="shared" si="11"/>
        <v>0</v>
      </c>
    </row>
    <row r="290" spans="2:10" x14ac:dyDescent="0.2">
      <c r="B290" s="6"/>
      <c r="C290" s="7"/>
      <c r="D290" s="26"/>
      <c r="E290" s="26"/>
      <c r="F290" s="23"/>
      <c r="G290" s="26"/>
      <c r="H290" s="34"/>
      <c r="I290" s="34"/>
      <c r="J290" s="36">
        <f t="shared" si="11"/>
        <v>0</v>
      </c>
    </row>
    <row r="291" spans="2:10" x14ac:dyDescent="0.2">
      <c r="B291" s="6"/>
      <c r="C291" s="7"/>
      <c r="D291" s="26"/>
      <c r="E291" s="26"/>
      <c r="F291" s="23"/>
      <c r="G291" s="26"/>
      <c r="H291" s="34"/>
      <c r="I291" s="34"/>
      <c r="J291" s="36">
        <f t="shared" si="11"/>
        <v>0</v>
      </c>
    </row>
    <row r="292" spans="2:10" x14ac:dyDescent="0.2">
      <c r="B292" s="6"/>
      <c r="C292" s="7"/>
      <c r="D292" s="26"/>
      <c r="E292" s="26"/>
      <c r="F292" s="23"/>
      <c r="G292" s="26"/>
      <c r="H292" s="34"/>
      <c r="I292" s="34"/>
      <c r="J292" s="36">
        <f t="shared" si="11"/>
        <v>0</v>
      </c>
    </row>
    <row r="293" spans="2:10" x14ac:dyDescent="0.2">
      <c r="B293" s="6"/>
      <c r="C293" s="7"/>
      <c r="D293" s="26"/>
      <c r="E293" s="26"/>
      <c r="F293" s="23"/>
      <c r="G293" s="26"/>
      <c r="H293" s="34"/>
      <c r="I293" s="34"/>
      <c r="J293" s="36">
        <f t="shared" si="11"/>
        <v>0</v>
      </c>
    </row>
    <row r="294" spans="2:10" x14ac:dyDescent="0.2">
      <c r="B294" s="6"/>
      <c r="C294" s="7"/>
      <c r="D294" s="26"/>
      <c r="E294" s="26"/>
      <c r="F294" s="23"/>
      <c r="G294" s="26"/>
      <c r="H294" s="34"/>
      <c r="I294" s="34"/>
      <c r="J294" s="36">
        <f t="shared" si="11"/>
        <v>0</v>
      </c>
    </row>
    <row r="295" spans="2:10" x14ac:dyDescent="0.2">
      <c r="B295" s="6"/>
      <c r="C295" s="7"/>
      <c r="D295" s="26"/>
      <c r="E295" s="26"/>
      <c r="F295" s="23"/>
      <c r="G295" s="26"/>
      <c r="H295" s="34"/>
      <c r="I295" s="34"/>
      <c r="J295" s="36">
        <f t="shared" si="11"/>
        <v>0</v>
      </c>
    </row>
    <row r="296" spans="2:10" x14ac:dyDescent="0.2">
      <c r="B296" s="6"/>
      <c r="C296" s="7"/>
      <c r="D296" s="26"/>
      <c r="E296" s="26"/>
      <c r="F296" s="23"/>
      <c r="G296" s="26"/>
      <c r="H296" s="34"/>
      <c r="I296" s="34"/>
      <c r="J296" s="36">
        <f t="shared" si="11"/>
        <v>0</v>
      </c>
    </row>
    <row r="297" spans="2:10" x14ac:dyDescent="0.2">
      <c r="B297" s="6"/>
      <c r="C297" s="7"/>
      <c r="D297" s="26"/>
      <c r="E297" s="26"/>
      <c r="F297" s="23"/>
      <c r="G297" s="26"/>
      <c r="H297" s="34"/>
      <c r="I297" s="34"/>
      <c r="J297" s="36">
        <f t="shared" si="11"/>
        <v>0</v>
      </c>
    </row>
    <row r="298" spans="2:10" x14ac:dyDescent="0.2">
      <c r="B298" s="6"/>
      <c r="C298" s="7"/>
      <c r="D298" s="26"/>
      <c r="E298" s="26"/>
      <c r="F298" s="23"/>
      <c r="G298" s="26"/>
      <c r="H298" s="34"/>
      <c r="I298" s="34"/>
      <c r="J298" s="36">
        <f t="shared" ref="J298:J361" si="12">I298-H298</f>
        <v>0</v>
      </c>
    </row>
    <row r="299" spans="2:10" x14ac:dyDescent="0.2">
      <c r="B299" s="6"/>
      <c r="C299" s="7"/>
      <c r="D299" s="26"/>
      <c r="E299" s="26"/>
      <c r="F299" s="23"/>
      <c r="G299" s="26"/>
      <c r="H299" s="34"/>
      <c r="I299" s="34"/>
      <c r="J299" s="36">
        <f t="shared" si="12"/>
        <v>0</v>
      </c>
    </row>
    <row r="300" spans="2:10" x14ac:dyDescent="0.2">
      <c r="B300" s="6"/>
      <c r="C300" s="7"/>
      <c r="D300" s="26"/>
      <c r="E300" s="26"/>
      <c r="F300" s="23"/>
      <c r="G300" s="26"/>
      <c r="H300" s="34"/>
      <c r="I300" s="34"/>
      <c r="J300" s="36">
        <f t="shared" si="12"/>
        <v>0</v>
      </c>
    </row>
    <row r="301" spans="2:10" x14ac:dyDescent="0.2">
      <c r="B301" s="6"/>
      <c r="C301" s="7"/>
      <c r="D301" s="26"/>
      <c r="E301" s="26"/>
      <c r="F301" s="23"/>
      <c r="G301" s="26"/>
      <c r="H301" s="34"/>
      <c r="I301" s="34"/>
      <c r="J301" s="36">
        <f t="shared" si="12"/>
        <v>0</v>
      </c>
    </row>
    <row r="302" spans="2:10" x14ac:dyDescent="0.2">
      <c r="B302" s="6"/>
      <c r="C302" s="7"/>
      <c r="D302" s="26"/>
      <c r="E302" s="26"/>
      <c r="F302" s="23"/>
      <c r="G302" s="26"/>
      <c r="H302" s="34"/>
      <c r="I302" s="34"/>
      <c r="J302" s="36">
        <f t="shared" si="12"/>
        <v>0</v>
      </c>
    </row>
    <row r="303" spans="2:10" x14ac:dyDescent="0.2">
      <c r="B303" s="6"/>
      <c r="C303" s="7"/>
      <c r="D303" s="26"/>
      <c r="E303" s="26"/>
      <c r="F303" s="23"/>
      <c r="G303" s="26"/>
      <c r="H303" s="34"/>
      <c r="I303" s="34"/>
      <c r="J303" s="36">
        <f t="shared" si="12"/>
        <v>0</v>
      </c>
    </row>
    <row r="304" spans="2:10" x14ac:dyDescent="0.2">
      <c r="B304" s="6"/>
      <c r="C304" s="7"/>
      <c r="D304" s="26"/>
      <c r="E304" s="26"/>
      <c r="F304" s="23"/>
      <c r="G304" s="26"/>
      <c r="H304" s="34"/>
      <c r="I304" s="34"/>
      <c r="J304" s="36">
        <f t="shared" si="12"/>
        <v>0</v>
      </c>
    </row>
    <row r="305" spans="2:10" x14ac:dyDescent="0.2">
      <c r="B305" s="6"/>
      <c r="C305" s="7"/>
      <c r="D305" s="26"/>
      <c r="E305" s="26"/>
      <c r="F305" s="23"/>
      <c r="G305" s="26"/>
      <c r="H305" s="34"/>
      <c r="I305" s="34"/>
      <c r="J305" s="36">
        <f t="shared" si="12"/>
        <v>0</v>
      </c>
    </row>
    <row r="306" spans="2:10" x14ac:dyDescent="0.2">
      <c r="B306" s="6"/>
      <c r="C306" s="7"/>
      <c r="D306" s="26"/>
      <c r="E306" s="26"/>
      <c r="F306" s="23"/>
      <c r="G306" s="26"/>
      <c r="H306" s="34"/>
      <c r="I306" s="34"/>
      <c r="J306" s="36">
        <f t="shared" si="12"/>
        <v>0</v>
      </c>
    </row>
    <row r="307" spans="2:10" x14ac:dyDescent="0.2">
      <c r="B307" s="6"/>
      <c r="C307" s="7"/>
      <c r="D307" s="26"/>
      <c r="E307" s="26"/>
      <c r="F307" s="23"/>
      <c r="G307" s="26"/>
      <c r="H307" s="34"/>
      <c r="I307" s="34"/>
      <c r="J307" s="36">
        <f t="shared" si="12"/>
        <v>0</v>
      </c>
    </row>
    <row r="308" spans="2:10" x14ac:dyDescent="0.2">
      <c r="B308" s="6"/>
      <c r="C308" s="7"/>
      <c r="D308" s="26"/>
      <c r="E308" s="26"/>
      <c r="F308" s="23"/>
      <c r="G308" s="26"/>
      <c r="H308" s="34"/>
      <c r="I308" s="34"/>
      <c r="J308" s="36">
        <f t="shared" si="12"/>
        <v>0</v>
      </c>
    </row>
    <row r="309" spans="2:10" x14ac:dyDescent="0.2">
      <c r="B309" s="6"/>
      <c r="C309" s="7"/>
      <c r="D309" s="26"/>
      <c r="E309" s="26"/>
      <c r="F309" s="23"/>
      <c r="G309" s="26"/>
      <c r="H309" s="34"/>
      <c r="I309" s="34"/>
      <c r="J309" s="36">
        <f t="shared" si="12"/>
        <v>0</v>
      </c>
    </row>
    <row r="310" spans="2:10" x14ac:dyDescent="0.2">
      <c r="B310" s="6"/>
      <c r="C310" s="7"/>
      <c r="D310" s="26"/>
      <c r="E310" s="26"/>
      <c r="F310" s="23"/>
      <c r="G310" s="26"/>
      <c r="H310" s="34"/>
      <c r="I310" s="34"/>
      <c r="J310" s="36">
        <f t="shared" si="12"/>
        <v>0</v>
      </c>
    </row>
    <row r="311" spans="2:10" x14ac:dyDescent="0.2">
      <c r="B311" s="6"/>
      <c r="C311" s="7"/>
      <c r="D311" s="26"/>
      <c r="E311" s="26"/>
      <c r="F311" s="23"/>
      <c r="G311" s="26"/>
      <c r="H311" s="34"/>
      <c r="I311" s="34"/>
      <c r="J311" s="36">
        <f t="shared" si="12"/>
        <v>0</v>
      </c>
    </row>
    <row r="312" spans="2:10" x14ac:dyDescent="0.2">
      <c r="B312" s="6"/>
      <c r="C312" s="7"/>
      <c r="D312" s="26"/>
      <c r="E312" s="26"/>
      <c r="F312" s="23"/>
      <c r="G312" s="26"/>
      <c r="H312" s="34"/>
      <c r="I312" s="34"/>
      <c r="J312" s="36">
        <f t="shared" si="12"/>
        <v>0</v>
      </c>
    </row>
    <row r="313" spans="2:10" x14ac:dyDescent="0.2">
      <c r="B313" s="6"/>
      <c r="C313" s="7"/>
      <c r="D313" s="26"/>
      <c r="E313" s="26"/>
      <c r="F313" s="23"/>
      <c r="G313" s="26"/>
      <c r="H313" s="34"/>
      <c r="I313" s="34"/>
      <c r="J313" s="36">
        <f t="shared" si="12"/>
        <v>0</v>
      </c>
    </row>
    <row r="314" spans="2:10" x14ac:dyDescent="0.2">
      <c r="B314" s="6"/>
      <c r="C314" s="7"/>
      <c r="D314" s="26"/>
      <c r="E314" s="26"/>
      <c r="F314" s="23"/>
      <c r="G314" s="26"/>
      <c r="H314" s="34"/>
      <c r="I314" s="34"/>
      <c r="J314" s="36">
        <f t="shared" si="12"/>
        <v>0</v>
      </c>
    </row>
    <row r="315" spans="2:10" x14ac:dyDescent="0.2">
      <c r="B315" s="6"/>
      <c r="C315" s="7"/>
      <c r="D315" s="26"/>
      <c r="E315" s="26"/>
      <c r="F315" s="23"/>
      <c r="G315" s="26"/>
      <c r="H315" s="34"/>
      <c r="I315" s="34"/>
      <c r="J315" s="36">
        <f t="shared" si="12"/>
        <v>0</v>
      </c>
    </row>
    <row r="316" spans="2:10" x14ac:dyDescent="0.2">
      <c r="B316" s="6"/>
      <c r="C316" s="7"/>
      <c r="D316" s="26"/>
      <c r="E316" s="26"/>
      <c r="F316" s="23"/>
      <c r="G316" s="26"/>
      <c r="H316" s="34"/>
      <c r="I316" s="34"/>
      <c r="J316" s="36">
        <f t="shared" si="12"/>
        <v>0</v>
      </c>
    </row>
    <row r="317" spans="2:10" x14ac:dyDescent="0.2">
      <c r="B317" s="6"/>
      <c r="C317" s="7"/>
      <c r="D317" s="26"/>
      <c r="E317" s="26"/>
      <c r="F317" s="23"/>
      <c r="G317" s="26"/>
      <c r="H317" s="34"/>
      <c r="I317" s="34"/>
      <c r="J317" s="36">
        <f t="shared" si="12"/>
        <v>0</v>
      </c>
    </row>
    <row r="318" spans="2:10" x14ac:dyDescent="0.2">
      <c r="B318" s="6"/>
      <c r="C318" s="7"/>
      <c r="D318" s="26"/>
      <c r="E318" s="26"/>
      <c r="F318" s="23"/>
      <c r="G318" s="26"/>
      <c r="H318" s="34"/>
      <c r="I318" s="34"/>
      <c r="J318" s="36">
        <f t="shared" si="12"/>
        <v>0</v>
      </c>
    </row>
    <row r="319" spans="2:10" x14ac:dyDescent="0.2">
      <c r="B319" s="6"/>
      <c r="C319" s="7"/>
      <c r="D319" s="26"/>
      <c r="E319" s="26"/>
      <c r="F319" s="23"/>
      <c r="G319" s="26"/>
      <c r="H319" s="34"/>
      <c r="I319" s="34"/>
      <c r="J319" s="36">
        <f t="shared" si="12"/>
        <v>0</v>
      </c>
    </row>
    <row r="320" spans="2:10" x14ac:dyDescent="0.2">
      <c r="B320" s="6"/>
      <c r="C320" s="7"/>
      <c r="D320" s="26"/>
      <c r="E320" s="26"/>
      <c r="F320" s="23"/>
      <c r="G320" s="26"/>
      <c r="H320" s="34"/>
      <c r="I320" s="34"/>
      <c r="J320" s="36">
        <f t="shared" si="12"/>
        <v>0</v>
      </c>
    </row>
    <row r="321" spans="2:10" x14ac:dyDescent="0.2">
      <c r="B321" s="6"/>
      <c r="C321" s="7"/>
      <c r="D321" s="26"/>
      <c r="E321" s="26"/>
      <c r="F321" s="23"/>
      <c r="G321" s="26"/>
      <c r="H321" s="34"/>
      <c r="I321" s="34"/>
      <c r="J321" s="36">
        <f t="shared" si="12"/>
        <v>0</v>
      </c>
    </row>
    <row r="322" spans="2:10" x14ac:dyDescent="0.2">
      <c r="B322" s="6"/>
      <c r="C322" s="7"/>
      <c r="D322" s="26"/>
      <c r="E322" s="26"/>
      <c r="F322" s="23"/>
      <c r="G322" s="26"/>
      <c r="H322" s="34"/>
      <c r="I322" s="34"/>
      <c r="J322" s="36">
        <f t="shared" si="12"/>
        <v>0</v>
      </c>
    </row>
    <row r="323" spans="2:10" x14ac:dyDescent="0.2">
      <c r="B323" s="6"/>
      <c r="C323" s="7"/>
      <c r="D323" s="26"/>
      <c r="E323" s="26"/>
      <c r="F323" s="23"/>
      <c r="G323" s="26"/>
      <c r="H323" s="34"/>
      <c r="I323" s="34"/>
      <c r="J323" s="36">
        <f t="shared" si="12"/>
        <v>0</v>
      </c>
    </row>
    <row r="324" spans="2:10" x14ac:dyDescent="0.2">
      <c r="B324" s="6"/>
      <c r="C324" s="7"/>
      <c r="D324" s="26"/>
      <c r="E324" s="26"/>
      <c r="F324" s="23"/>
      <c r="G324" s="26"/>
      <c r="H324" s="34"/>
      <c r="I324" s="34"/>
      <c r="J324" s="36">
        <f t="shared" si="12"/>
        <v>0</v>
      </c>
    </row>
    <row r="325" spans="2:10" x14ac:dyDescent="0.2">
      <c r="B325" s="6"/>
      <c r="C325" s="7"/>
      <c r="D325" s="26"/>
      <c r="E325" s="26"/>
      <c r="F325" s="23"/>
      <c r="G325" s="26"/>
      <c r="H325" s="34"/>
      <c r="I325" s="34"/>
      <c r="J325" s="36">
        <f t="shared" si="12"/>
        <v>0</v>
      </c>
    </row>
    <row r="326" spans="2:10" x14ac:dyDescent="0.2">
      <c r="B326" s="6"/>
      <c r="C326" s="7"/>
      <c r="D326" s="26"/>
      <c r="E326" s="26"/>
      <c r="F326" s="23"/>
      <c r="G326" s="26"/>
      <c r="H326" s="34"/>
      <c r="I326" s="34"/>
      <c r="J326" s="36">
        <f t="shared" si="12"/>
        <v>0</v>
      </c>
    </row>
    <row r="327" spans="2:10" x14ac:dyDescent="0.2">
      <c r="B327" s="6"/>
      <c r="C327" s="7"/>
      <c r="D327" s="26"/>
      <c r="E327" s="26"/>
      <c r="F327" s="23"/>
      <c r="G327" s="26"/>
      <c r="H327" s="34"/>
      <c r="I327" s="34"/>
      <c r="J327" s="36">
        <f t="shared" si="12"/>
        <v>0</v>
      </c>
    </row>
    <row r="328" spans="2:10" x14ac:dyDescent="0.2">
      <c r="B328" s="6"/>
      <c r="C328" s="7"/>
      <c r="D328" s="26"/>
      <c r="E328" s="26"/>
      <c r="F328" s="23"/>
      <c r="G328" s="26"/>
      <c r="H328" s="34"/>
      <c r="I328" s="34"/>
      <c r="J328" s="36">
        <f t="shared" si="12"/>
        <v>0</v>
      </c>
    </row>
    <row r="329" spans="2:10" x14ac:dyDescent="0.2">
      <c r="B329" s="6"/>
      <c r="C329" s="7"/>
      <c r="D329" s="26"/>
      <c r="E329" s="26"/>
      <c r="F329" s="23"/>
      <c r="G329" s="26"/>
      <c r="H329" s="34"/>
      <c r="I329" s="34"/>
      <c r="J329" s="36">
        <f t="shared" si="12"/>
        <v>0</v>
      </c>
    </row>
    <row r="330" spans="2:10" x14ac:dyDescent="0.2">
      <c r="B330" s="6"/>
      <c r="C330" s="7"/>
      <c r="D330" s="26"/>
      <c r="E330" s="26"/>
      <c r="F330" s="23"/>
      <c r="G330" s="26"/>
      <c r="H330" s="34"/>
      <c r="I330" s="34"/>
      <c r="J330" s="36">
        <f t="shared" si="12"/>
        <v>0</v>
      </c>
    </row>
    <row r="331" spans="2:10" x14ac:dyDescent="0.2">
      <c r="B331" s="6"/>
      <c r="C331" s="7"/>
      <c r="D331" s="26"/>
      <c r="E331" s="26"/>
      <c r="F331" s="23"/>
      <c r="G331" s="26"/>
      <c r="H331" s="34"/>
      <c r="I331" s="34"/>
      <c r="J331" s="36">
        <f t="shared" si="12"/>
        <v>0</v>
      </c>
    </row>
    <row r="332" spans="2:10" x14ac:dyDescent="0.2">
      <c r="B332" s="6"/>
      <c r="C332" s="7"/>
      <c r="D332" s="26"/>
      <c r="E332" s="26"/>
      <c r="F332" s="23"/>
      <c r="G332" s="26"/>
      <c r="H332" s="34"/>
      <c r="I332" s="34"/>
      <c r="J332" s="36">
        <f t="shared" si="12"/>
        <v>0</v>
      </c>
    </row>
    <row r="333" spans="2:10" x14ac:dyDescent="0.2">
      <c r="B333" s="6"/>
      <c r="C333" s="7"/>
      <c r="D333" s="26"/>
      <c r="E333" s="26"/>
      <c r="F333" s="23"/>
      <c r="G333" s="26"/>
      <c r="H333" s="34"/>
      <c r="I333" s="34"/>
      <c r="J333" s="36">
        <f t="shared" si="12"/>
        <v>0</v>
      </c>
    </row>
    <row r="334" spans="2:10" x14ac:dyDescent="0.2">
      <c r="B334" s="6"/>
      <c r="C334" s="7"/>
      <c r="D334" s="26"/>
      <c r="E334" s="26"/>
      <c r="F334" s="23"/>
      <c r="G334" s="26"/>
      <c r="H334" s="34"/>
      <c r="I334" s="34"/>
      <c r="J334" s="36">
        <f t="shared" si="12"/>
        <v>0</v>
      </c>
    </row>
    <row r="335" spans="2:10" x14ac:dyDescent="0.2">
      <c r="B335" s="6"/>
      <c r="C335" s="7"/>
      <c r="D335" s="26"/>
      <c r="E335" s="26"/>
      <c r="F335" s="23"/>
      <c r="G335" s="26"/>
      <c r="H335" s="34"/>
      <c r="I335" s="34"/>
      <c r="J335" s="36">
        <f t="shared" si="12"/>
        <v>0</v>
      </c>
    </row>
    <row r="336" spans="2:10" x14ac:dyDescent="0.2">
      <c r="B336" s="6"/>
      <c r="C336" s="7"/>
      <c r="D336" s="26"/>
      <c r="E336" s="26"/>
      <c r="F336" s="23"/>
      <c r="G336" s="26"/>
      <c r="H336" s="34"/>
      <c r="I336" s="34"/>
      <c r="J336" s="36">
        <f t="shared" si="12"/>
        <v>0</v>
      </c>
    </row>
    <row r="337" spans="2:10" x14ac:dyDescent="0.2">
      <c r="B337" s="6"/>
      <c r="C337" s="7"/>
      <c r="D337" s="26"/>
      <c r="E337" s="26"/>
      <c r="F337" s="23"/>
      <c r="G337" s="26"/>
      <c r="H337" s="34"/>
      <c r="I337" s="34"/>
      <c r="J337" s="36">
        <f t="shared" si="12"/>
        <v>0</v>
      </c>
    </row>
    <row r="338" spans="2:10" x14ac:dyDescent="0.2">
      <c r="B338" s="6"/>
      <c r="C338" s="7"/>
      <c r="D338" s="26"/>
      <c r="E338" s="26"/>
      <c r="F338" s="23"/>
      <c r="G338" s="26"/>
      <c r="H338" s="34"/>
      <c r="I338" s="34"/>
      <c r="J338" s="36">
        <f t="shared" si="12"/>
        <v>0</v>
      </c>
    </row>
    <row r="339" spans="2:10" x14ac:dyDescent="0.2">
      <c r="B339" s="6"/>
      <c r="C339" s="7"/>
      <c r="D339" s="26"/>
      <c r="E339" s="26"/>
      <c r="F339" s="23"/>
      <c r="G339" s="26"/>
      <c r="H339" s="34"/>
      <c r="I339" s="34"/>
      <c r="J339" s="36">
        <f t="shared" si="12"/>
        <v>0</v>
      </c>
    </row>
    <row r="340" spans="2:10" x14ac:dyDescent="0.2">
      <c r="B340" s="6"/>
      <c r="C340" s="7"/>
      <c r="D340" s="26"/>
      <c r="E340" s="26"/>
      <c r="F340" s="23"/>
      <c r="G340" s="26"/>
      <c r="H340" s="34"/>
      <c r="I340" s="34"/>
      <c r="J340" s="36">
        <f t="shared" si="12"/>
        <v>0</v>
      </c>
    </row>
    <row r="341" spans="2:10" x14ac:dyDescent="0.2">
      <c r="B341" s="6"/>
      <c r="C341" s="7"/>
      <c r="D341" s="26"/>
      <c r="E341" s="26"/>
      <c r="F341" s="23"/>
      <c r="G341" s="26"/>
      <c r="H341" s="34"/>
      <c r="I341" s="34"/>
      <c r="J341" s="36">
        <f t="shared" si="12"/>
        <v>0</v>
      </c>
    </row>
    <row r="342" spans="2:10" x14ac:dyDescent="0.2">
      <c r="B342" s="6"/>
      <c r="C342" s="7"/>
      <c r="D342" s="26"/>
      <c r="E342" s="26"/>
      <c r="F342" s="23"/>
      <c r="G342" s="26"/>
      <c r="H342" s="34"/>
      <c r="I342" s="34"/>
      <c r="J342" s="36">
        <f t="shared" si="12"/>
        <v>0</v>
      </c>
    </row>
    <row r="343" spans="2:10" x14ac:dyDescent="0.2">
      <c r="B343" s="6"/>
      <c r="C343" s="7"/>
      <c r="D343" s="26"/>
      <c r="E343" s="26"/>
      <c r="F343" s="23"/>
      <c r="G343" s="26"/>
      <c r="H343" s="34"/>
      <c r="I343" s="34"/>
      <c r="J343" s="36">
        <f t="shared" si="12"/>
        <v>0</v>
      </c>
    </row>
    <row r="344" spans="2:10" x14ac:dyDescent="0.2">
      <c r="B344" s="6"/>
      <c r="C344" s="7"/>
      <c r="D344" s="26"/>
      <c r="E344" s="26"/>
      <c r="F344" s="23"/>
      <c r="G344" s="26"/>
      <c r="H344" s="34"/>
      <c r="I344" s="34"/>
      <c r="J344" s="36">
        <f t="shared" si="12"/>
        <v>0</v>
      </c>
    </row>
    <row r="345" spans="2:10" x14ac:dyDescent="0.2">
      <c r="B345" s="6"/>
      <c r="C345" s="7"/>
      <c r="D345" s="26"/>
      <c r="E345" s="26"/>
      <c r="F345" s="23"/>
      <c r="G345" s="26"/>
      <c r="H345" s="34"/>
      <c r="I345" s="34"/>
      <c r="J345" s="36">
        <f t="shared" si="12"/>
        <v>0</v>
      </c>
    </row>
    <row r="346" spans="2:10" x14ac:dyDescent="0.2">
      <c r="B346" s="6"/>
      <c r="C346" s="7"/>
      <c r="D346" s="26"/>
      <c r="E346" s="26"/>
      <c r="F346" s="23"/>
      <c r="G346" s="26"/>
      <c r="H346" s="34"/>
      <c r="I346" s="34"/>
      <c r="J346" s="36">
        <f t="shared" si="12"/>
        <v>0</v>
      </c>
    </row>
    <row r="347" spans="2:10" x14ac:dyDescent="0.2">
      <c r="B347" s="6"/>
      <c r="C347" s="7"/>
      <c r="D347" s="26"/>
      <c r="E347" s="26"/>
      <c r="F347" s="23"/>
      <c r="G347" s="26"/>
      <c r="H347" s="34"/>
      <c r="I347" s="34"/>
      <c r="J347" s="36">
        <f t="shared" si="12"/>
        <v>0</v>
      </c>
    </row>
    <row r="348" spans="2:10" x14ac:dyDescent="0.2">
      <c r="B348" s="6"/>
      <c r="C348" s="7"/>
      <c r="D348" s="26"/>
      <c r="E348" s="26"/>
      <c r="F348" s="23"/>
      <c r="G348" s="26"/>
      <c r="H348" s="34"/>
      <c r="I348" s="34"/>
      <c r="J348" s="36">
        <f t="shared" si="12"/>
        <v>0</v>
      </c>
    </row>
    <row r="349" spans="2:10" x14ac:dyDescent="0.2">
      <c r="B349" s="6"/>
      <c r="C349" s="7"/>
      <c r="D349" s="26"/>
      <c r="E349" s="26"/>
      <c r="F349" s="23"/>
      <c r="G349" s="26"/>
      <c r="H349" s="34"/>
      <c r="I349" s="34"/>
      <c r="J349" s="36">
        <f t="shared" si="12"/>
        <v>0</v>
      </c>
    </row>
    <row r="350" spans="2:10" x14ac:dyDescent="0.2">
      <c r="B350" s="6"/>
      <c r="C350" s="7"/>
      <c r="D350" s="26"/>
      <c r="E350" s="26"/>
      <c r="F350" s="23"/>
      <c r="G350" s="26"/>
      <c r="H350" s="34"/>
      <c r="I350" s="34"/>
      <c r="J350" s="36">
        <f t="shared" si="12"/>
        <v>0</v>
      </c>
    </row>
    <row r="351" spans="2:10" x14ac:dyDescent="0.2">
      <c r="B351" s="6"/>
      <c r="C351" s="7"/>
      <c r="D351" s="26"/>
      <c r="E351" s="26"/>
      <c r="F351" s="23"/>
      <c r="G351" s="26"/>
      <c r="H351" s="34"/>
      <c r="I351" s="34"/>
      <c r="J351" s="36">
        <f t="shared" si="12"/>
        <v>0</v>
      </c>
    </row>
    <row r="352" spans="2:10" x14ac:dyDescent="0.2">
      <c r="B352" s="6"/>
      <c r="C352" s="7"/>
      <c r="D352" s="26"/>
      <c r="E352" s="26"/>
      <c r="F352" s="23"/>
      <c r="G352" s="26"/>
      <c r="H352" s="34"/>
      <c r="I352" s="34"/>
      <c r="J352" s="36">
        <f t="shared" si="12"/>
        <v>0</v>
      </c>
    </row>
    <row r="353" spans="2:10" x14ac:dyDescent="0.2">
      <c r="B353" s="6"/>
      <c r="C353" s="7"/>
      <c r="D353" s="26"/>
      <c r="E353" s="26"/>
      <c r="F353" s="23"/>
      <c r="G353" s="26"/>
      <c r="H353" s="34"/>
      <c r="I353" s="34"/>
      <c r="J353" s="36">
        <f t="shared" si="12"/>
        <v>0</v>
      </c>
    </row>
    <row r="354" spans="2:10" x14ac:dyDescent="0.2">
      <c r="B354" s="6"/>
      <c r="C354" s="7"/>
      <c r="D354" s="26"/>
      <c r="E354" s="26"/>
      <c r="F354" s="23"/>
      <c r="G354" s="26"/>
      <c r="H354" s="34"/>
      <c r="I354" s="34"/>
      <c r="J354" s="36">
        <f t="shared" si="12"/>
        <v>0</v>
      </c>
    </row>
    <row r="355" spans="2:10" x14ac:dyDescent="0.2">
      <c r="B355" s="6"/>
      <c r="C355" s="7"/>
      <c r="D355" s="26"/>
      <c r="E355" s="26"/>
      <c r="F355" s="23"/>
      <c r="G355" s="26"/>
      <c r="H355" s="34"/>
      <c r="I355" s="34"/>
      <c r="J355" s="36">
        <f t="shared" si="12"/>
        <v>0</v>
      </c>
    </row>
    <row r="356" spans="2:10" x14ac:dyDescent="0.2">
      <c r="B356" s="6"/>
      <c r="C356" s="7"/>
      <c r="D356" s="26"/>
      <c r="E356" s="26"/>
      <c r="F356" s="23"/>
      <c r="G356" s="26"/>
      <c r="H356" s="34"/>
      <c r="I356" s="34"/>
      <c r="J356" s="36">
        <f t="shared" si="12"/>
        <v>0</v>
      </c>
    </row>
    <row r="357" spans="2:10" x14ac:dyDescent="0.2">
      <c r="B357" s="6"/>
      <c r="C357" s="7"/>
      <c r="D357" s="26"/>
      <c r="E357" s="26"/>
      <c r="F357" s="23"/>
      <c r="G357" s="26"/>
      <c r="H357" s="34"/>
      <c r="I357" s="34"/>
      <c r="J357" s="36">
        <f t="shared" si="12"/>
        <v>0</v>
      </c>
    </row>
    <row r="358" spans="2:10" x14ac:dyDescent="0.2">
      <c r="B358" s="6"/>
      <c r="C358" s="7"/>
      <c r="D358" s="26"/>
      <c r="E358" s="26"/>
      <c r="F358" s="23"/>
      <c r="G358" s="26"/>
      <c r="H358" s="34"/>
      <c r="I358" s="34"/>
      <c r="J358" s="36">
        <f t="shared" si="12"/>
        <v>0</v>
      </c>
    </row>
    <row r="359" spans="2:10" x14ac:dyDescent="0.2">
      <c r="B359" s="6"/>
      <c r="C359" s="7"/>
      <c r="D359" s="26"/>
      <c r="E359" s="26"/>
      <c r="F359" s="23"/>
      <c r="G359" s="26"/>
      <c r="H359" s="34"/>
      <c r="I359" s="34"/>
      <c r="J359" s="36">
        <f t="shared" si="12"/>
        <v>0</v>
      </c>
    </row>
    <row r="360" spans="2:10" x14ac:dyDescent="0.2">
      <c r="B360" s="6"/>
      <c r="C360" s="7"/>
      <c r="D360" s="26"/>
      <c r="E360" s="26"/>
      <c r="F360" s="23"/>
      <c r="G360" s="26"/>
      <c r="H360" s="34"/>
      <c r="I360" s="34"/>
      <c r="J360" s="36">
        <f t="shared" si="12"/>
        <v>0</v>
      </c>
    </row>
    <row r="361" spans="2:10" x14ac:dyDescent="0.2">
      <c r="B361" s="6"/>
      <c r="C361" s="7"/>
      <c r="D361" s="26"/>
      <c r="E361" s="26"/>
      <c r="F361" s="23"/>
      <c r="G361" s="26"/>
      <c r="H361" s="34"/>
      <c r="I361" s="34"/>
      <c r="J361" s="36">
        <f t="shared" si="12"/>
        <v>0</v>
      </c>
    </row>
    <row r="362" spans="2:10" x14ac:dyDescent="0.2">
      <c r="B362" s="6"/>
      <c r="C362" s="7"/>
      <c r="D362" s="26"/>
      <c r="E362" s="26"/>
      <c r="F362" s="23"/>
      <c r="G362" s="26"/>
      <c r="H362" s="34"/>
      <c r="I362" s="34"/>
      <c r="J362" s="36">
        <f t="shared" ref="J362:J417" si="13">I362-H362</f>
        <v>0</v>
      </c>
    </row>
    <row r="363" spans="2:10" x14ac:dyDescent="0.2">
      <c r="B363" s="6"/>
      <c r="C363" s="7"/>
      <c r="D363" s="26"/>
      <c r="E363" s="26"/>
      <c r="F363" s="23"/>
      <c r="G363" s="26"/>
      <c r="H363" s="34"/>
      <c r="I363" s="34"/>
      <c r="J363" s="36">
        <f t="shared" si="13"/>
        <v>0</v>
      </c>
    </row>
    <row r="364" spans="2:10" x14ac:dyDescent="0.2">
      <c r="B364" s="6"/>
      <c r="C364" s="7"/>
      <c r="D364" s="26"/>
      <c r="E364" s="26"/>
      <c r="F364" s="23"/>
      <c r="G364" s="26"/>
      <c r="H364" s="34"/>
      <c r="I364" s="34"/>
      <c r="J364" s="36">
        <f t="shared" si="13"/>
        <v>0</v>
      </c>
    </row>
    <row r="365" spans="2:10" x14ac:dyDescent="0.2">
      <c r="B365" s="6"/>
      <c r="C365" s="7"/>
      <c r="D365" s="26"/>
      <c r="E365" s="26"/>
      <c r="F365" s="23"/>
      <c r="G365" s="26"/>
      <c r="H365" s="34"/>
      <c r="I365" s="34"/>
      <c r="J365" s="36">
        <f t="shared" si="13"/>
        <v>0</v>
      </c>
    </row>
    <row r="366" spans="2:10" x14ac:dyDescent="0.2">
      <c r="B366" s="6"/>
      <c r="C366" s="7"/>
      <c r="D366" s="26"/>
      <c r="E366" s="26"/>
      <c r="F366" s="23"/>
      <c r="G366" s="26"/>
      <c r="H366" s="34"/>
      <c r="I366" s="34"/>
      <c r="J366" s="36">
        <f t="shared" si="13"/>
        <v>0</v>
      </c>
    </row>
    <row r="367" spans="2:10" x14ac:dyDescent="0.2">
      <c r="B367" s="6"/>
      <c r="C367" s="7"/>
      <c r="D367" s="26"/>
      <c r="E367" s="26"/>
      <c r="F367" s="23"/>
      <c r="G367" s="26"/>
      <c r="H367" s="34"/>
      <c r="I367" s="34"/>
      <c r="J367" s="36">
        <f t="shared" si="13"/>
        <v>0</v>
      </c>
    </row>
    <row r="368" spans="2:10" x14ac:dyDescent="0.2">
      <c r="B368" s="6"/>
      <c r="C368" s="7"/>
      <c r="D368" s="26"/>
      <c r="E368" s="26"/>
      <c r="F368" s="23"/>
      <c r="G368" s="26"/>
      <c r="H368" s="34"/>
      <c r="I368" s="34"/>
      <c r="J368" s="36">
        <f t="shared" si="13"/>
        <v>0</v>
      </c>
    </row>
    <row r="369" spans="2:10" x14ac:dyDescent="0.2">
      <c r="B369" s="6"/>
      <c r="C369" s="7"/>
      <c r="D369" s="26"/>
      <c r="E369" s="26"/>
      <c r="F369" s="23"/>
      <c r="G369" s="26"/>
      <c r="H369" s="34"/>
      <c r="I369" s="34"/>
      <c r="J369" s="36">
        <f t="shared" si="13"/>
        <v>0</v>
      </c>
    </row>
    <row r="370" spans="2:10" x14ac:dyDescent="0.2">
      <c r="B370" s="6"/>
      <c r="C370" s="7"/>
      <c r="D370" s="26"/>
      <c r="E370" s="26"/>
      <c r="F370" s="23"/>
      <c r="G370" s="26"/>
      <c r="H370" s="34"/>
      <c r="I370" s="34"/>
      <c r="J370" s="36">
        <f t="shared" si="13"/>
        <v>0</v>
      </c>
    </row>
    <row r="371" spans="2:10" x14ac:dyDescent="0.2">
      <c r="B371" s="6"/>
      <c r="C371" s="7"/>
      <c r="D371" s="26"/>
      <c r="E371" s="26"/>
      <c r="F371" s="23"/>
      <c r="G371" s="26"/>
      <c r="H371" s="34"/>
      <c r="I371" s="34"/>
      <c r="J371" s="36">
        <f t="shared" si="13"/>
        <v>0</v>
      </c>
    </row>
    <row r="372" spans="2:10" x14ac:dyDescent="0.2">
      <c r="B372" s="6"/>
      <c r="C372" s="7"/>
      <c r="D372" s="26"/>
      <c r="E372" s="26"/>
      <c r="F372" s="23"/>
      <c r="G372" s="26"/>
      <c r="H372" s="34"/>
      <c r="I372" s="34"/>
      <c r="J372" s="36">
        <f t="shared" si="13"/>
        <v>0</v>
      </c>
    </row>
    <row r="373" spans="2:10" x14ac:dyDescent="0.2">
      <c r="B373" s="6"/>
      <c r="C373" s="7"/>
      <c r="D373" s="26"/>
      <c r="E373" s="26"/>
      <c r="F373" s="23"/>
      <c r="G373" s="26"/>
      <c r="H373" s="34"/>
      <c r="I373" s="34"/>
      <c r="J373" s="36">
        <f t="shared" si="13"/>
        <v>0</v>
      </c>
    </row>
    <row r="374" spans="2:10" x14ac:dyDescent="0.2">
      <c r="B374" s="6"/>
      <c r="C374" s="7"/>
      <c r="D374" s="26"/>
      <c r="E374" s="26"/>
      <c r="F374" s="23"/>
      <c r="G374" s="26"/>
      <c r="H374" s="34"/>
      <c r="I374" s="34"/>
      <c r="J374" s="36">
        <f t="shared" si="13"/>
        <v>0</v>
      </c>
    </row>
    <row r="375" spans="2:10" x14ac:dyDescent="0.2">
      <c r="B375" s="6"/>
      <c r="C375" s="7"/>
      <c r="D375" s="26"/>
      <c r="E375" s="26"/>
      <c r="F375" s="23"/>
      <c r="G375" s="26"/>
      <c r="H375" s="34"/>
      <c r="I375" s="34"/>
      <c r="J375" s="36">
        <f t="shared" si="13"/>
        <v>0</v>
      </c>
    </row>
    <row r="376" spans="2:10" x14ac:dyDescent="0.2">
      <c r="B376" s="6"/>
      <c r="C376" s="7"/>
      <c r="D376" s="26"/>
      <c r="E376" s="26"/>
      <c r="F376" s="23"/>
      <c r="G376" s="26"/>
      <c r="H376" s="34"/>
      <c r="I376" s="34"/>
      <c r="J376" s="36">
        <f t="shared" si="13"/>
        <v>0</v>
      </c>
    </row>
    <row r="377" spans="2:10" x14ac:dyDescent="0.2">
      <c r="B377" s="6"/>
      <c r="C377" s="7"/>
      <c r="D377" s="26"/>
      <c r="E377" s="26"/>
      <c r="F377" s="23"/>
      <c r="G377" s="26"/>
      <c r="H377" s="34"/>
      <c r="I377" s="34"/>
      <c r="J377" s="36">
        <f t="shared" si="13"/>
        <v>0</v>
      </c>
    </row>
    <row r="378" spans="2:10" x14ac:dyDescent="0.2">
      <c r="B378" s="6"/>
      <c r="C378" s="7"/>
      <c r="D378" s="26"/>
      <c r="E378" s="26"/>
      <c r="F378" s="23"/>
      <c r="G378" s="26"/>
      <c r="H378" s="34"/>
      <c r="I378" s="34"/>
      <c r="J378" s="36">
        <f t="shared" si="13"/>
        <v>0</v>
      </c>
    </row>
    <row r="379" spans="2:10" x14ac:dyDescent="0.2">
      <c r="B379" s="6"/>
      <c r="C379" s="7"/>
      <c r="D379" s="26"/>
      <c r="E379" s="26"/>
      <c r="F379" s="23"/>
      <c r="G379" s="26"/>
      <c r="H379" s="34"/>
      <c r="I379" s="34"/>
      <c r="J379" s="36">
        <f t="shared" si="13"/>
        <v>0</v>
      </c>
    </row>
    <row r="380" spans="2:10" x14ac:dyDescent="0.2">
      <c r="B380" s="6"/>
      <c r="C380" s="7"/>
      <c r="D380" s="26"/>
      <c r="E380" s="26"/>
      <c r="F380" s="23"/>
      <c r="G380" s="26"/>
      <c r="H380" s="34"/>
      <c r="I380" s="34"/>
      <c r="J380" s="36">
        <f t="shared" si="13"/>
        <v>0</v>
      </c>
    </row>
    <row r="381" spans="2:10" x14ac:dyDescent="0.2">
      <c r="B381" s="6"/>
      <c r="C381" s="7"/>
      <c r="D381" s="26"/>
      <c r="E381" s="26"/>
      <c r="F381" s="23"/>
      <c r="G381" s="26"/>
      <c r="H381" s="34"/>
      <c r="I381" s="34"/>
      <c r="J381" s="36">
        <f t="shared" si="13"/>
        <v>0</v>
      </c>
    </row>
    <row r="382" spans="2:10" x14ac:dyDescent="0.2">
      <c r="B382" s="6"/>
      <c r="C382" s="7"/>
      <c r="D382" s="26"/>
      <c r="E382" s="26"/>
      <c r="F382" s="23"/>
      <c r="G382" s="26"/>
      <c r="H382" s="34"/>
      <c r="I382" s="34"/>
      <c r="J382" s="36">
        <f t="shared" si="13"/>
        <v>0</v>
      </c>
    </row>
    <row r="383" spans="2:10" x14ac:dyDescent="0.2">
      <c r="B383" s="6"/>
      <c r="C383" s="7"/>
      <c r="D383" s="26"/>
      <c r="E383" s="26"/>
      <c r="F383" s="23"/>
      <c r="G383" s="26"/>
      <c r="H383" s="34"/>
      <c r="I383" s="34"/>
      <c r="J383" s="36">
        <f t="shared" si="13"/>
        <v>0</v>
      </c>
    </row>
    <row r="384" spans="2:10" x14ac:dyDescent="0.2">
      <c r="B384" s="6"/>
      <c r="C384" s="7"/>
      <c r="D384" s="26"/>
      <c r="E384" s="26"/>
      <c r="F384" s="23"/>
      <c r="G384" s="26"/>
      <c r="H384" s="34"/>
      <c r="I384" s="34"/>
      <c r="J384" s="36">
        <f t="shared" si="13"/>
        <v>0</v>
      </c>
    </row>
    <row r="385" spans="2:10" x14ac:dyDescent="0.2">
      <c r="B385" s="6"/>
      <c r="C385" s="7"/>
      <c r="D385" s="26"/>
      <c r="E385" s="26"/>
      <c r="F385" s="23"/>
      <c r="G385" s="26"/>
      <c r="H385" s="34"/>
      <c r="I385" s="34"/>
      <c r="J385" s="36">
        <f t="shared" si="13"/>
        <v>0</v>
      </c>
    </row>
    <row r="386" spans="2:10" x14ac:dyDescent="0.2">
      <c r="B386" s="6"/>
      <c r="C386" s="7"/>
      <c r="D386" s="26"/>
      <c r="E386" s="26"/>
      <c r="F386" s="23"/>
      <c r="G386" s="26"/>
      <c r="H386" s="34"/>
      <c r="I386" s="34"/>
      <c r="J386" s="36">
        <f t="shared" si="13"/>
        <v>0</v>
      </c>
    </row>
    <row r="387" spans="2:10" x14ac:dyDescent="0.2">
      <c r="B387" s="6"/>
      <c r="C387" s="7"/>
      <c r="D387" s="26"/>
      <c r="E387" s="26"/>
      <c r="F387" s="23"/>
      <c r="G387" s="26"/>
      <c r="H387" s="34"/>
      <c r="I387" s="34"/>
      <c r="J387" s="36">
        <f t="shared" si="13"/>
        <v>0</v>
      </c>
    </row>
    <row r="388" spans="2:10" x14ac:dyDescent="0.2">
      <c r="B388" s="6"/>
      <c r="C388" s="7"/>
      <c r="D388" s="26"/>
      <c r="E388" s="26"/>
      <c r="F388" s="23"/>
      <c r="G388" s="26"/>
      <c r="H388" s="34"/>
      <c r="I388" s="34"/>
      <c r="J388" s="36">
        <f t="shared" si="13"/>
        <v>0</v>
      </c>
    </row>
    <row r="389" spans="2:10" x14ac:dyDescent="0.2">
      <c r="B389" s="6"/>
      <c r="C389" s="7"/>
      <c r="D389" s="26"/>
      <c r="E389" s="26"/>
      <c r="F389" s="23"/>
      <c r="G389" s="26"/>
      <c r="H389" s="34"/>
      <c r="I389" s="34"/>
      <c r="J389" s="36">
        <f t="shared" si="13"/>
        <v>0</v>
      </c>
    </row>
    <row r="390" spans="2:10" x14ac:dyDescent="0.2">
      <c r="B390" s="6"/>
      <c r="C390" s="7"/>
      <c r="D390" s="26"/>
      <c r="E390" s="26"/>
      <c r="F390" s="23"/>
      <c r="G390" s="26"/>
      <c r="H390" s="34"/>
      <c r="I390" s="34"/>
      <c r="J390" s="36">
        <f t="shared" si="13"/>
        <v>0</v>
      </c>
    </row>
    <row r="391" spans="2:10" x14ac:dyDescent="0.2">
      <c r="B391" s="6"/>
      <c r="C391" s="7"/>
      <c r="D391" s="26"/>
      <c r="E391" s="26"/>
      <c r="F391" s="23"/>
      <c r="G391" s="26"/>
      <c r="H391" s="34"/>
      <c r="I391" s="34"/>
      <c r="J391" s="36">
        <f t="shared" si="13"/>
        <v>0</v>
      </c>
    </row>
    <row r="392" spans="2:10" x14ac:dyDescent="0.2">
      <c r="B392" s="6"/>
      <c r="C392" s="7"/>
      <c r="D392" s="26"/>
      <c r="E392" s="26"/>
      <c r="F392" s="23"/>
      <c r="G392" s="26"/>
      <c r="H392" s="34"/>
      <c r="I392" s="34"/>
      <c r="J392" s="36">
        <f t="shared" si="13"/>
        <v>0</v>
      </c>
    </row>
    <row r="393" spans="2:10" x14ac:dyDescent="0.2">
      <c r="B393" s="6"/>
      <c r="C393" s="7"/>
      <c r="D393" s="26"/>
      <c r="E393" s="26"/>
      <c r="F393" s="23"/>
      <c r="G393" s="26"/>
      <c r="H393" s="34"/>
      <c r="I393" s="34"/>
      <c r="J393" s="36">
        <f t="shared" si="13"/>
        <v>0</v>
      </c>
    </row>
    <row r="394" spans="2:10" x14ac:dyDescent="0.2">
      <c r="B394" s="6"/>
      <c r="C394" s="7"/>
      <c r="D394" s="26"/>
      <c r="E394" s="26"/>
      <c r="F394" s="23"/>
      <c r="G394" s="26"/>
      <c r="H394" s="34"/>
      <c r="I394" s="34"/>
      <c r="J394" s="36">
        <f t="shared" si="13"/>
        <v>0</v>
      </c>
    </row>
    <row r="395" spans="2:10" x14ac:dyDescent="0.2">
      <c r="B395" s="6"/>
      <c r="C395" s="7"/>
      <c r="D395" s="26"/>
      <c r="E395" s="26"/>
      <c r="F395" s="23"/>
      <c r="G395" s="26"/>
      <c r="H395" s="34"/>
      <c r="I395" s="34"/>
      <c r="J395" s="36">
        <f t="shared" si="13"/>
        <v>0</v>
      </c>
    </row>
    <row r="396" spans="2:10" x14ac:dyDescent="0.2">
      <c r="B396" s="6"/>
      <c r="C396" s="7"/>
      <c r="D396" s="26"/>
      <c r="E396" s="26"/>
      <c r="F396" s="23"/>
      <c r="G396" s="26"/>
      <c r="H396" s="34"/>
      <c r="I396" s="34"/>
      <c r="J396" s="36">
        <f t="shared" si="13"/>
        <v>0</v>
      </c>
    </row>
    <row r="397" spans="2:10" x14ac:dyDescent="0.2">
      <c r="B397" s="6"/>
      <c r="C397" s="7"/>
      <c r="D397" s="26"/>
      <c r="E397" s="26"/>
      <c r="F397" s="23"/>
      <c r="G397" s="26"/>
      <c r="H397" s="34"/>
      <c r="I397" s="34"/>
      <c r="J397" s="36">
        <f t="shared" si="13"/>
        <v>0</v>
      </c>
    </row>
    <row r="398" spans="2:10" x14ac:dyDescent="0.2">
      <c r="B398" s="6"/>
      <c r="C398" s="7"/>
      <c r="D398" s="26"/>
      <c r="E398" s="26"/>
      <c r="F398" s="23"/>
      <c r="G398" s="26"/>
      <c r="H398" s="34"/>
      <c r="I398" s="34"/>
      <c r="J398" s="36">
        <f t="shared" si="13"/>
        <v>0</v>
      </c>
    </row>
    <row r="399" spans="2:10" x14ac:dyDescent="0.2">
      <c r="B399" s="6"/>
      <c r="C399" s="7"/>
      <c r="D399" s="26"/>
      <c r="E399" s="26"/>
      <c r="F399" s="23"/>
      <c r="G399" s="26"/>
      <c r="H399" s="34"/>
      <c r="I399" s="34"/>
      <c r="J399" s="36">
        <f t="shared" si="13"/>
        <v>0</v>
      </c>
    </row>
    <row r="400" spans="2:10" x14ac:dyDescent="0.2">
      <c r="B400" s="6"/>
      <c r="C400" s="7"/>
      <c r="D400" s="26"/>
      <c r="E400" s="26"/>
      <c r="F400" s="23"/>
      <c r="G400" s="26"/>
      <c r="H400" s="34"/>
      <c r="I400" s="34"/>
      <c r="J400" s="36">
        <f t="shared" si="13"/>
        <v>0</v>
      </c>
    </row>
    <row r="401" spans="2:10" x14ac:dyDescent="0.2">
      <c r="B401" s="6"/>
      <c r="C401" s="7"/>
      <c r="D401" s="26"/>
      <c r="E401" s="26"/>
      <c r="F401" s="23"/>
      <c r="G401" s="26"/>
      <c r="H401" s="34"/>
      <c r="I401" s="34"/>
      <c r="J401" s="36">
        <f t="shared" si="13"/>
        <v>0</v>
      </c>
    </row>
    <row r="402" spans="2:10" x14ac:dyDescent="0.2">
      <c r="B402" s="6"/>
      <c r="C402" s="7"/>
      <c r="D402" s="26"/>
      <c r="E402" s="26"/>
      <c r="F402" s="23"/>
      <c r="G402" s="26"/>
      <c r="H402" s="34"/>
      <c r="I402" s="34"/>
      <c r="J402" s="36">
        <f t="shared" si="13"/>
        <v>0</v>
      </c>
    </row>
    <row r="403" spans="2:10" x14ac:dyDescent="0.2">
      <c r="B403" s="6"/>
      <c r="C403" s="7"/>
      <c r="D403" s="26"/>
      <c r="E403" s="26"/>
      <c r="F403" s="23"/>
      <c r="G403" s="26"/>
      <c r="H403" s="34"/>
      <c r="I403" s="34"/>
      <c r="J403" s="36">
        <f t="shared" si="13"/>
        <v>0</v>
      </c>
    </row>
    <row r="404" spans="2:10" x14ac:dyDescent="0.2">
      <c r="B404" s="6"/>
      <c r="C404" s="7"/>
      <c r="D404" s="26"/>
      <c r="E404" s="26"/>
      <c r="F404" s="23"/>
      <c r="G404" s="26"/>
      <c r="H404" s="34"/>
      <c r="I404" s="34"/>
      <c r="J404" s="36">
        <f t="shared" si="13"/>
        <v>0</v>
      </c>
    </row>
    <row r="405" spans="2:10" x14ac:dyDescent="0.2">
      <c r="B405" s="6"/>
      <c r="C405" s="7"/>
      <c r="D405" s="26"/>
      <c r="E405" s="26"/>
      <c r="F405" s="23"/>
      <c r="G405" s="26"/>
      <c r="H405" s="34"/>
      <c r="I405" s="34"/>
      <c r="J405" s="36">
        <f t="shared" si="13"/>
        <v>0</v>
      </c>
    </row>
    <row r="406" spans="2:10" x14ac:dyDescent="0.2">
      <c r="B406" s="6"/>
      <c r="C406" s="7"/>
      <c r="D406" s="26"/>
      <c r="E406" s="26"/>
      <c r="F406" s="23"/>
      <c r="G406" s="26"/>
      <c r="H406" s="34"/>
      <c r="I406" s="34"/>
      <c r="J406" s="36">
        <f t="shared" si="13"/>
        <v>0</v>
      </c>
    </row>
    <row r="407" spans="2:10" x14ac:dyDescent="0.2">
      <c r="B407" s="6"/>
      <c r="C407" s="7"/>
      <c r="D407" s="26"/>
      <c r="E407" s="26"/>
      <c r="F407" s="23"/>
      <c r="G407" s="26"/>
      <c r="H407" s="34"/>
      <c r="I407" s="34"/>
      <c r="J407" s="36">
        <f t="shared" si="13"/>
        <v>0</v>
      </c>
    </row>
    <row r="408" spans="2:10" x14ac:dyDescent="0.2">
      <c r="B408" s="6"/>
      <c r="C408" s="7"/>
      <c r="D408" s="26"/>
      <c r="E408" s="26"/>
      <c r="F408" s="23"/>
      <c r="G408" s="26"/>
      <c r="H408" s="34"/>
      <c r="I408" s="34"/>
      <c r="J408" s="36">
        <f t="shared" si="13"/>
        <v>0</v>
      </c>
    </row>
    <row r="409" spans="2:10" x14ac:dyDescent="0.2">
      <c r="B409" s="6"/>
      <c r="C409" s="7"/>
      <c r="D409" s="26"/>
      <c r="E409" s="26"/>
      <c r="F409" s="23"/>
      <c r="G409" s="26"/>
      <c r="H409" s="34"/>
      <c r="I409" s="34"/>
      <c r="J409" s="36">
        <f t="shared" si="13"/>
        <v>0</v>
      </c>
    </row>
    <row r="410" spans="2:10" x14ac:dyDescent="0.2">
      <c r="B410" s="6"/>
      <c r="C410" s="7"/>
      <c r="D410" s="26"/>
      <c r="E410" s="26"/>
      <c r="F410" s="23"/>
      <c r="G410" s="26"/>
      <c r="H410" s="34"/>
      <c r="I410" s="34"/>
      <c r="J410" s="36">
        <f t="shared" si="13"/>
        <v>0</v>
      </c>
    </row>
    <row r="411" spans="2:10" x14ac:dyDescent="0.2">
      <c r="B411" s="6"/>
      <c r="C411" s="7"/>
      <c r="D411" s="26"/>
      <c r="E411" s="26"/>
      <c r="F411" s="23"/>
      <c r="G411" s="26"/>
      <c r="H411" s="34"/>
      <c r="I411" s="34"/>
      <c r="J411" s="36">
        <f t="shared" si="13"/>
        <v>0</v>
      </c>
    </row>
    <row r="412" spans="2:10" x14ac:dyDescent="0.2">
      <c r="B412" s="6"/>
      <c r="C412" s="7"/>
      <c r="D412" s="26"/>
      <c r="E412" s="26"/>
      <c r="F412" s="23"/>
      <c r="G412" s="26"/>
      <c r="H412" s="34"/>
      <c r="I412" s="34"/>
      <c r="J412" s="36">
        <f t="shared" si="13"/>
        <v>0</v>
      </c>
    </row>
    <row r="413" spans="2:10" x14ac:dyDescent="0.2">
      <c r="B413" s="6"/>
      <c r="C413" s="7"/>
      <c r="D413" s="26"/>
      <c r="E413" s="26"/>
      <c r="F413" s="23"/>
      <c r="G413" s="26"/>
      <c r="H413" s="34"/>
      <c r="I413" s="34"/>
      <c r="J413" s="36">
        <f t="shared" si="13"/>
        <v>0</v>
      </c>
    </row>
    <row r="414" spans="2:10" x14ac:dyDescent="0.2">
      <c r="B414" s="6"/>
      <c r="C414" s="7"/>
      <c r="D414" s="26"/>
      <c r="E414" s="26"/>
      <c r="F414" s="23"/>
      <c r="G414" s="26"/>
      <c r="H414" s="34"/>
      <c r="I414" s="34"/>
      <c r="J414" s="36">
        <f t="shared" si="13"/>
        <v>0</v>
      </c>
    </row>
    <row r="415" spans="2:10" x14ac:dyDescent="0.2">
      <c r="B415" s="6"/>
      <c r="C415" s="7"/>
      <c r="D415" s="26"/>
      <c r="E415" s="26"/>
      <c r="F415" s="23"/>
      <c r="G415" s="26"/>
      <c r="H415" s="34"/>
      <c r="I415" s="34"/>
      <c r="J415" s="36">
        <f t="shared" si="13"/>
        <v>0</v>
      </c>
    </row>
    <row r="416" spans="2:10" x14ac:dyDescent="0.2">
      <c r="B416" s="6"/>
      <c r="C416" s="7"/>
      <c r="D416" s="26"/>
      <c r="E416" s="26"/>
      <c r="F416" s="23"/>
      <c r="G416" s="26"/>
      <c r="H416" s="34"/>
      <c r="I416" s="34"/>
      <c r="J416" s="36">
        <f t="shared" si="13"/>
        <v>0</v>
      </c>
    </row>
    <row r="417" spans="2:10" x14ac:dyDescent="0.2">
      <c r="B417" s="6"/>
      <c r="C417" s="7"/>
      <c r="D417" s="26"/>
      <c r="E417" s="26"/>
      <c r="F417" s="23"/>
      <c r="G417" s="26"/>
      <c r="H417" s="34"/>
      <c r="I417" s="34"/>
      <c r="J417" s="36">
        <f t="shared" si="13"/>
        <v>0</v>
      </c>
    </row>
  </sheetData>
  <autoFilter ref="M1:N1" xr:uid="{00000000-0001-0000-0000-000000000000}">
    <sortState xmlns:xlrd2="http://schemas.microsoft.com/office/spreadsheetml/2017/richdata2" ref="M2:N10">
      <sortCondition ref="M1"/>
    </sortState>
  </autoFilter>
  <pageMargins left="0.7" right="0.7" top="0.75" bottom="0.75" header="0.3" footer="0.3"/>
  <pageSetup paperSize="9" scale="54" orientation="portrait" r:id="rId1"/>
  <rowBreaks count="1" manualBreakCount="1">
    <brk id="81" max="13" man="1"/>
  </rowBreaks>
  <extLst>
    <ext xmlns:x14="http://schemas.microsoft.com/office/spreadsheetml/2009/9/main" uri="{CCE6A557-97BC-4b89-ADB6-D9C93CAAB3DF}">
      <x14:dataValidations xmlns:xm="http://schemas.microsoft.com/office/excel/2006/main" count="1">
        <x14:dataValidation type="list" allowBlank="1" showInputMessage="1" showErrorMessage="1" xr:uid="{6D50BF82-A03A-40DC-A73F-9D8B8325924D}">
          <x14:formula1>
            <xm:f>Sheet2!$A$1:$A$3</xm:f>
          </x14:formula1>
          <xm:sqref>G2:G149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50A98-7AE9-4105-867C-100618EC1F4C}">
  <dimension ref="A1:C12"/>
  <sheetViews>
    <sheetView zoomScaleNormal="100" workbookViewId="0">
      <selection activeCell="B11" sqref="B11"/>
    </sheetView>
  </sheetViews>
  <sheetFormatPr defaultRowHeight="14.25" x14ac:dyDescent="0.2"/>
  <cols>
    <col min="1" max="1" width="10.375" bestFit="1" customWidth="1"/>
  </cols>
  <sheetData>
    <row r="1" spans="1:3" x14ac:dyDescent="0.2">
      <c r="A1" t="s">
        <v>142</v>
      </c>
      <c r="C1" s="58">
        <v>45292</v>
      </c>
    </row>
    <row r="2" spans="1:3" x14ac:dyDescent="0.2">
      <c r="A2" s="29" t="s">
        <v>203</v>
      </c>
      <c r="C2" s="58">
        <v>45323</v>
      </c>
    </row>
    <row r="3" spans="1:3" x14ac:dyDescent="0.2">
      <c r="C3" s="58">
        <v>45352</v>
      </c>
    </row>
    <row r="4" spans="1:3" x14ac:dyDescent="0.2">
      <c r="C4" s="58">
        <v>45383</v>
      </c>
    </row>
    <row r="5" spans="1:3" x14ac:dyDescent="0.2">
      <c r="C5" s="58">
        <v>45413</v>
      </c>
    </row>
    <row r="6" spans="1:3" x14ac:dyDescent="0.2">
      <c r="C6" s="58">
        <v>45444</v>
      </c>
    </row>
    <row r="7" spans="1:3" x14ac:dyDescent="0.2">
      <c r="C7" s="58">
        <v>45474</v>
      </c>
    </row>
    <row r="8" spans="1:3" x14ac:dyDescent="0.2">
      <c r="C8" s="58">
        <v>45505</v>
      </c>
    </row>
    <row r="9" spans="1:3" x14ac:dyDescent="0.2">
      <c r="C9" s="58">
        <v>45536</v>
      </c>
    </row>
    <row r="10" spans="1:3" x14ac:dyDescent="0.2">
      <c r="C10" s="58">
        <v>45566</v>
      </c>
    </row>
    <row r="11" spans="1:3" x14ac:dyDescent="0.2">
      <c r="C11" s="58">
        <v>45597</v>
      </c>
    </row>
    <row r="12" spans="1:3" x14ac:dyDescent="0.2">
      <c r="C12" s="58">
        <v>45627</v>
      </c>
    </row>
  </sheetData>
  <dataValidations count="1">
    <dataValidation type="list" allowBlank="1" showInputMessage="1" showErrorMessage="1" sqref="A2" xr:uid="{14E9A08E-1D9A-4EA0-8DD6-4521EB783D86}">
      <formula1>$A$1:$A$3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057FC-DF44-4EDE-812F-4715C3B7AD7B}">
  <sheetPr>
    <tabColor rgb="FF00B0F0"/>
  </sheetPr>
  <dimension ref="A1:B43"/>
  <sheetViews>
    <sheetView rightToLeft="1" topLeftCell="A7" workbookViewId="0">
      <selection activeCell="B6" sqref="B6"/>
    </sheetView>
  </sheetViews>
  <sheetFormatPr defaultRowHeight="14.25" x14ac:dyDescent="0.2"/>
  <cols>
    <col min="1" max="1" width="22.875" bestFit="1" customWidth="1"/>
    <col min="2" max="2" width="22.75" bestFit="1" customWidth="1"/>
    <col min="3" max="3" width="11.875" bestFit="1" customWidth="1"/>
    <col min="4" max="4" width="9.375" bestFit="1" customWidth="1"/>
    <col min="5" max="5" width="11.875" bestFit="1" customWidth="1"/>
    <col min="6" max="6" width="9.375" bestFit="1" customWidth="1"/>
    <col min="7" max="7" width="5" bestFit="1" customWidth="1"/>
    <col min="8" max="8" width="9.875" bestFit="1" customWidth="1"/>
  </cols>
  <sheetData>
    <row r="1" spans="1:2" x14ac:dyDescent="0.2">
      <c r="A1" s="65" t="s">
        <v>294</v>
      </c>
      <c r="B1" s="64" t="s">
        <v>1595</v>
      </c>
    </row>
    <row r="3" spans="1:2" x14ac:dyDescent="0.2">
      <c r="A3" s="15" t="s">
        <v>823</v>
      </c>
      <c r="B3" s="65" t="s">
        <v>298</v>
      </c>
    </row>
    <row r="4" spans="1:2" x14ac:dyDescent="0.2">
      <c r="A4" s="64" t="s">
        <v>126</v>
      </c>
      <c r="B4">
        <v>75</v>
      </c>
    </row>
    <row r="5" spans="1:2" x14ac:dyDescent="0.2">
      <c r="A5" s="64" t="s">
        <v>98</v>
      </c>
      <c r="B5">
        <v>158</v>
      </c>
    </row>
    <row r="6" spans="1:2" x14ac:dyDescent="0.2">
      <c r="A6" s="64" t="s">
        <v>32</v>
      </c>
      <c r="B6">
        <v>149.7492</v>
      </c>
    </row>
    <row r="7" spans="1:2" x14ac:dyDescent="0.2">
      <c r="A7" s="64" t="s">
        <v>46</v>
      </c>
      <c r="B7">
        <v>78</v>
      </c>
    </row>
    <row r="8" spans="1:2" x14ac:dyDescent="0.2">
      <c r="A8" s="64" t="s">
        <v>86</v>
      </c>
      <c r="B8">
        <v>435</v>
      </c>
    </row>
    <row r="9" spans="1:2" x14ac:dyDescent="0.2">
      <c r="A9" s="64" t="s">
        <v>122</v>
      </c>
      <c r="B9">
        <v>19.999999999999996</v>
      </c>
    </row>
    <row r="10" spans="1:2" x14ac:dyDescent="0.2">
      <c r="A10" s="64" t="s">
        <v>302</v>
      </c>
    </row>
    <row r="11" spans="1:2" x14ac:dyDescent="0.2">
      <c r="A11" s="64" t="s">
        <v>303</v>
      </c>
    </row>
    <row r="12" spans="1:2" x14ac:dyDescent="0.2">
      <c r="A12" s="64" t="s">
        <v>308</v>
      </c>
      <c r="B12">
        <v>33</v>
      </c>
    </row>
    <row r="13" spans="1:2" x14ac:dyDescent="0.2">
      <c r="A13" s="64" t="s">
        <v>311</v>
      </c>
      <c r="B13">
        <v>3</v>
      </c>
    </row>
    <row r="14" spans="1:2" x14ac:dyDescent="0.2">
      <c r="A14" s="64" t="s">
        <v>313</v>
      </c>
      <c r="B14">
        <v>61</v>
      </c>
    </row>
    <row r="15" spans="1:2" x14ac:dyDescent="0.2">
      <c r="A15" s="64" t="s">
        <v>317</v>
      </c>
      <c r="B15">
        <v>25</v>
      </c>
    </row>
    <row r="16" spans="1:2" x14ac:dyDescent="0.2">
      <c r="A16" s="64" t="s">
        <v>319</v>
      </c>
      <c r="B16">
        <v>8.4999999999999982</v>
      </c>
    </row>
    <row r="17" spans="1:2" x14ac:dyDescent="0.2">
      <c r="A17" s="64" t="s">
        <v>322</v>
      </c>
      <c r="B17">
        <v>0.99999999999999911</v>
      </c>
    </row>
    <row r="18" spans="1:2" x14ac:dyDescent="0.2">
      <c r="A18" s="64" t="s">
        <v>406</v>
      </c>
      <c r="B18">
        <v>34</v>
      </c>
    </row>
    <row r="19" spans="1:2" x14ac:dyDescent="0.2">
      <c r="A19" s="64" t="s">
        <v>438</v>
      </c>
      <c r="B19">
        <v>3.4999999999999996</v>
      </c>
    </row>
    <row r="20" spans="1:2" x14ac:dyDescent="0.2">
      <c r="A20" s="64" t="s">
        <v>445</v>
      </c>
      <c r="B20">
        <v>24.499200000000002</v>
      </c>
    </row>
    <row r="21" spans="1:2" x14ac:dyDescent="0.2">
      <c r="A21" s="64" t="s">
        <v>461</v>
      </c>
      <c r="B21">
        <v>382.99839999999995</v>
      </c>
    </row>
    <row r="22" spans="1:2" x14ac:dyDescent="0.2">
      <c r="A22" s="64" t="s">
        <v>500</v>
      </c>
      <c r="B22">
        <v>4.0000000000000018</v>
      </c>
    </row>
    <row r="23" spans="1:2" x14ac:dyDescent="0.2">
      <c r="A23" s="64" t="s">
        <v>499</v>
      </c>
      <c r="B23">
        <v>27</v>
      </c>
    </row>
    <row r="24" spans="1:2" x14ac:dyDescent="0.2">
      <c r="A24" s="64" t="s">
        <v>476</v>
      </c>
      <c r="B24">
        <v>104</v>
      </c>
    </row>
    <row r="25" spans="1:2" x14ac:dyDescent="0.2">
      <c r="A25" s="64" t="s">
        <v>481</v>
      </c>
      <c r="B25">
        <v>280.99839999999995</v>
      </c>
    </row>
    <row r="26" spans="1:2" x14ac:dyDescent="0.2">
      <c r="A26" s="64" t="s">
        <v>483</v>
      </c>
      <c r="B26">
        <v>42.5</v>
      </c>
    </row>
    <row r="27" spans="1:2" x14ac:dyDescent="0.2">
      <c r="A27" s="64" t="s">
        <v>486</v>
      </c>
      <c r="B27">
        <v>6.5</v>
      </c>
    </row>
    <row r="28" spans="1:2" x14ac:dyDescent="0.2">
      <c r="A28" s="64" t="s">
        <v>492</v>
      </c>
      <c r="B28">
        <v>0.99999999999999911</v>
      </c>
    </row>
    <row r="29" spans="1:2" x14ac:dyDescent="0.2">
      <c r="A29" s="64" t="s">
        <v>498</v>
      </c>
      <c r="B29">
        <v>125.98480000000002</v>
      </c>
    </row>
    <row r="30" spans="1:2" x14ac:dyDescent="0.2">
      <c r="A30" s="64" t="s">
        <v>517</v>
      </c>
      <c r="B30">
        <v>4.5</v>
      </c>
    </row>
    <row r="31" spans="1:2" x14ac:dyDescent="0.2">
      <c r="A31" s="64" t="s">
        <v>599</v>
      </c>
      <c r="B31">
        <v>10.499999999999998</v>
      </c>
    </row>
    <row r="32" spans="1:2" x14ac:dyDescent="0.2">
      <c r="A32" s="64" t="s">
        <v>609</v>
      </c>
      <c r="B32">
        <v>6.9999999999999991</v>
      </c>
    </row>
    <row r="33" spans="1:2" x14ac:dyDescent="0.2">
      <c r="A33" s="64" t="s">
        <v>632</v>
      </c>
      <c r="B33">
        <v>0.99999999999999911</v>
      </c>
    </row>
    <row r="34" spans="1:2" x14ac:dyDescent="0.2">
      <c r="A34" s="64" t="s">
        <v>639</v>
      </c>
      <c r="B34">
        <v>9.4992000000000019</v>
      </c>
    </row>
    <row r="35" spans="1:2" x14ac:dyDescent="0.2">
      <c r="A35" s="64" t="s">
        <v>658</v>
      </c>
      <c r="B35">
        <v>22.999200000000002</v>
      </c>
    </row>
    <row r="36" spans="1:2" x14ac:dyDescent="0.2">
      <c r="A36" s="64" t="s">
        <v>662</v>
      </c>
      <c r="B36">
        <v>1.9999999999999996</v>
      </c>
    </row>
    <row r="37" spans="1:2" x14ac:dyDescent="0.2">
      <c r="A37" s="64" t="s">
        <v>672</v>
      </c>
      <c r="B37">
        <v>5.0000000000000009</v>
      </c>
    </row>
    <row r="38" spans="1:2" x14ac:dyDescent="0.2">
      <c r="A38" s="64" t="s">
        <v>702</v>
      </c>
      <c r="B38">
        <v>11</v>
      </c>
    </row>
    <row r="39" spans="1:2" x14ac:dyDescent="0.2">
      <c r="A39" s="64" t="s">
        <v>325</v>
      </c>
      <c r="B39">
        <v>38.5</v>
      </c>
    </row>
    <row r="40" spans="1:2" x14ac:dyDescent="0.2">
      <c r="A40" s="64" t="s">
        <v>720</v>
      </c>
      <c r="B40">
        <v>8.5</v>
      </c>
    </row>
    <row r="41" spans="1:2" x14ac:dyDescent="0.2">
      <c r="A41" s="64" t="s">
        <v>830</v>
      </c>
      <c r="B41">
        <v>194.49520000000001</v>
      </c>
    </row>
    <row r="42" spans="1:2" x14ac:dyDescent="0.2">
      <c r="A42" s="64" t="s">
        <v>740</v>
      </c>
      <c r="B42">
        <v>2</v>
      </c>
    </row>
    <row r="43" spans="1:2" x14ac:dyDescent="0.2">
      <c r="A43" s="66" t="s">
        <v>825</v>
      </c>
      <c r="B43" s="29">
        <v>2401.2236000000003</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B067A-7B1C-44ED-AA9F-4B7FBE77DDB9}">
  <sheetPr>
    <tabColor rgb="FF00B0F0"/>
  </sheetPr>
  <dimension ref="A1:B6"/>
  <sheetViews>
    <sheetView rightToLeft="1" workbookViewId="0">
      <selection activeCell="A22" sqref="A22"/>
    </sheetView>
  </sheetViews>
  <sheetFormatPr defaultRowHeight="14.25" x14ac:dyDescent="0.2"/>
  <cols>
    <col min="1" max="1" width="12.5" bestFit="1" customWidth="1"/>
    <col min="2" max="2" width="22.75" bestFit="1" customWidth="1"/>
    <col min="3" max="3" width="11.875" bestFit="1" customWidth="1"/>
    <col min="4" max="4" width="9.375" bestFit="1" customWidth="1"/>
    <col min="5" max="5" width="11.875" bestFit="1" customWidth="1"/>
    <col min="6" max="6" width="9.375" bestFit="1" customWidth="1"/>
    <col min="7" max="7" width="5" bestFit="1" customWidth="1"/>
    <col min="8" max="8" width="11.875" bestFit="1" customWidth="1"/>
  </cols>
  <sheetData>
    <row r="1" spans="1:2" x14ac:dyDescent="0.2">
      <c r="A1" s="68" t="s">
        <v>69</v>
      </c>
      <c r="B1" s="69" t="s">
        <v>1596</v>
      </c>
    </row>
    <row r="3" spans="1:2" x14ac:dyDescent="0.2">
      <c r="A3" s="68" t="s">
        <v>823</v>
      </c>
      <c r="B3" s="70" t="s">
        <v>298</v>
      </c>
    </row>
    <row r="4" spans="1:2" x14ac:dyDescent="0.2">
      <c r="A4" s="69" t="s">
        <v>302</v>
      </c>
      <c r="B4" s="43"/>
    </row>
    <row r="5" spans="1:2" x14ac:dyDescent="0.2">
      <c r="A5" s="69" t="s">
        <v>303</v>
      </c>
      <c r="B5" s="43"/>
    </row>
    <row r="6" spans="1:2" x14ac:dyDescent="0.2">
      <c r="A6" s="71" t="s">
        <v>825</v>
      </c>
      <c r="B6" s="128"/>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8A43E-6DE1-4B12-A52A-D8A472206FA9}">
  <sheetPr>
    <tabColor rgb="FF00B0F0"/>
  </sheetPr>
  <dimension ref="A1:H53"/>
  <sheetViews>
    <sheetView rightToLeft="1" workbookViewId="0">
      <selection activeCell="R8" sqref="R8"/>
    </sheetView>
  </sheetViews>
  <sheetFormatPr defaultRowHeight="14.25" x14ac:dyDescent="0.2"/>
  <cols>
    <col min="1" max="1" width="22.75" bestFit="1" customWidth="1"/>
    <col min="2" max="2" width="16.125" style="77" bestFit="1" customWidth="1"/>
    <col min="3" max="3" width="9.375" style="76" bestFit="1" customWidth="1"/>
    <col min="4" max="4" width="4" style="75" bestFit="1" customWidth="1"/>
    <col min="5" max="5" width="6.5" style="67" bestFit="1" customWidth="1"/>
    <col min="6" max="6" width="7.375" style="78" hidden="1" customWidth="1"/>
    <col min="7" max="7" width="11.375" bestFit="1" customWidth="1"/>
    <col min="8" max="8" width="10.75" style="79" bestFit="1" customWidth="1"/>
    <col min="9" max="9" width="4.375" bestFit="1" customWidth="1"/>
    <col min="10" max="10" width="11.875" bestFit="1" customWidth="1"/>
  </cols>
  <sheetData>
    <row r="1" spans="1:8" x14ac:dyDescent="0.2">
      <c r="A1" s="68" t="s">
        <v>69</v>
      </c>
      <c r="B1" s="69" t="s">
        <v>1596</v>
      </c>
      <c r="C1"/>
      <c r="D1"/>
      <c r="E1"/>
      <c r="F1"/>
      <c r="H1"/>
    </row>
    <row r="2" spans="1:8" x14ac:dyDescent="0.2">
      <c r="B2"/>
      <c r="C2"/>
      <c r="D2"/>
      <c r="E2"/>
      <c r="F2"/>
      <c r="H2"/>
    </row>
    <row r="3" spans="1:8" x14ac:dyDescent="0.2">
      <c r="A3" s="70" t="s">
        <v>298</v>
      </c>
      <c r="B3" s="70" t="s">
        <v>826</v>
      </c>
      <c r="C3" s="70"/>
      <c r="D3" s="70"/>
      <c r="E3" s="70"/>
      <c r="F3" s="70"/>
      <c r="G3" s="70"/>
      <c r="H3" s="70"/>
    </row>
    <row r="4" spans="1:8" x14ac:dyDescent="0.2">
      <c r="A4" s="70" t="s">
        <v>823</v>
      </c>
      <c r="B4" s="70" t="s">
        <v>296</v>
      </c>
      <c r="C4" s="70" t="s">
        <v>295</v>
      </c>
      <c r="D4" s="70" t="s">
        <v>300</v>
      </c>
      <c r="E4" s="70" t="s">
        <v>365</v>
      </c>
      <c r="F4" s="70" t="s">
        <v>113</v>
      </c>
      <c r="G4" s="70" t="s">
        <v>110</v>
      </c>
      <c r="H4" s="70" t="s">
        <v>825</v>
      </c>
    </row>
    <row r="5" spans="1:8" ht="15" x14ac:dyDescent="0.2">
      <c r="A5" s="80" t="s">
        <v>126</v>
      </c>
      <c r="B5" s="129">
        <v>1.0000000000000004</v>
      </c>
      <c r="C5" s="130">
        <v>1.5000000000000013</v>
      </c>
      <c r="D5" s="43"/>
      <c r="E5" s="43">
        <v>24.5</v>
      </c>
      <c r="F5" s="43">
        <v>5.0000000000000009</v>
      </c>
      <c r="G5" s="43">
        <v>4.0000000000000036</v>
      </c>
      <c r="H5" s="131">
        <v>36</v>
      </c>
    </row>
    <row r="6" spans="1:8" ht="15" x14ac:dyDescent="0.2">
      <c r="A6" s="80" t="s">
        <v>98</v>
      </c>
      <c r="B6" s="129">
        <v>16.5</v>
      </c>
      <c r="C6" s="130"/>
      <c r="D6" s="43"/>
      <c r="E6" s="43">
        <v>62.999999999999993</v>
      </c>
      <c r="F6" s="43">
        <v>15.5</v>
      </c>
      <c r="G6" s="43">
        <v>21.000000000000007</v>
      </c>
      <c r="H6" s="131">
        <v>116</v>
      </c>
    </row>
    <row r="7" spans="1:8" ht="15" x14ac:dyDescent="0.2">
      <c r="A7" s="80" t="s">
        <v>32</v>
      </c>
      <c r="B7" s="129"/>
      <c r="C7" s="130"/>
      <c r="D7" s="43"/>
      <c r="E7" s="43">
        <v>23.5</v>
      </c>
      <c r="F7" s="43">
        <v>17</v>
      </c>
      <c r="G7" s="43">
        <v>20.5</v>
      </c>
      <c r="H7" s="131">
        <v>61</v>
      </c>
    </row>
    <row r="8" spans="1:8" ht="15" x14ac:dyDescent="0.2">
      <c r="A8" s="80" t="s">
        <v>86</v>
      </c>
      <c r="B8" s="129"/>
      <c r="C8" s="130"/>
      <c r="D8" s="43"/>
      <c r="E8" s="43">
        <v>13</v>
      </c>
      <c r="F8" s="43"/>
      <c r="G8" s="43">
        <v>229.5</v>
      </c>
      <c r="H8" s="131">
        <v>242.5</v>
      </c>
    </row>
    <row r="9" spans="1:8" ht="15" x14ac:dyDescent="0.2">
      <c r="A9" s="80" t="s">
        <v>308</v>
      </c>
      <c r="B9" s="129"/>
      <c r="C9" s="130"/>
      <c r="D9" s="43"/>
      <c r="E9" s="43">
        <v>15.499999999999998</v>
      </c>
      <c r="F9" s="43"/>
      <c r="G9" s="43"/>
      <c r="H9" s="131">
        <v>15.499999999999998</v>
      </c>
    </row>
    <row r="10" spans="1:8" ht="15" x14ac:dyDescent="0.2">
      <c r="A10" s="80" t="s">
        <v>310</v>
      </c>
      <c r="B10" s="129"/>
      <c r="C10" s="130"/>
      <c r="D10" s="43"/>
      <c r="E10" s="43"/>
      <c r="F10" s="43"/>
      <c r="G10" s="43">
        <v>3.9999999999999991</v>
      </c>
      <c r="H10" s="131">
        <v>3.9999999999999991</v>
      </c>
    </row>
    <row r="11" spans="1:8" ht="15" x14ac:dyDescent="0.2">
      <c r="A11" s="80" t="s">
        <v>313</v>
      </c>
      <c r="B11" s="129"/>
      <c r="C11" s="130"/>
      <c r="D11" s="43"/>
      <c r="E11" s="43">
        <v>13.500000000000004</v>
      </c>
      <c r="F11" s="43">
        <v>5.9999999999999982</v>
      </c>
      <c r="G11" s="43"/>
      <c r="H11" s="131">
        <v>19.5</v>
      </c>
    </row>
    <row r="12" spans="1:8" ht="15" x14ac:dyDescent="0.2">
      <c r="A12" s="80" t="s">
        <v>317</v>
      </c>
      <c r="B12" s="129"/>
      <c r="C12" s="130"/>
      <c r="D12" s="43">
        <v>9</v>
      </c>
      <c r="E12" s="43"/>
      <c r="F12" s="43"/>
      <c r="G12" s="43"/>
      <c r="H12" s="131">
        <v>9</v>
      </c>
    </row>
    <row r="13" spans="1:8" ht="15" x14ac:dyDescent="0.2">
      <c r="A13" s="80" t="s">
        <v>319</v>
      </c>
      <c r="B13" s="129"/>
      <c r="C13" s="130"/>
      <c r="D13" s="43"/>
      <c r="E13" s="43">
        <v>2.4999999999999991</v>
      </c>
      <c r="F13" s="43">
        <v>6.5</v>
      </c>
      <c r="G13" s="43"/>
      <c r="H13" s="131">
        <v>9</v>
      </c>
    </row>
    <row r="14" spans="1:8" ht="15" x14ac:dyDescent="0.2">
      <c r="A14" s="80" t="s">
        <v>406</v>
      </c>
      <c r="B14" s="129"/>
      <c r="C14" s="130"/>
      <c r="D14" s="43"/>
      <c r="E14" s="43">
        <v>8.0000000000000036</v>
      </c>
      <c r="F14" s="43">
        <v>57.5</v>
      </c>
      <c r="G14" s="43"/>
      <c r="H14" s="131">
        <v>65.5</v>
      </c>
    </row>
    <row r="15" spans="1:8" ht="15" x14ac:dyDescent="0.2">
      <c r="A15" s="80" t="s">
        <v>438</v>
      </c>
      <c r="B15" s="129"/>
      <c r="C15" s="130"/>
      <c r="D15" s="43"/>
      <c r="E15" s="43">
        <v>3.4999999999999996</v>
      </c>
      <c r="F15" s="43"/>
      <c r="G15" s="43"/>
      <c r="H15" s="131">
        <v>3.4999999999999996</v>
      </c>
    </row>
    <row r="16" spans="1:8" ht="15" x14ac:dyDescent="0.2">
      <c r="A16" s="71" t="s">
        <v>825</v>
      </c>
      <c r="B16" s="129">
        <v>17.5</v>
      </c>
      <c r="C16" s="130">
        <v>1.5000000000000013</v>
      </c>
      <c r="D16" s="128">
        <v>9</v>
      </c>
      <c r="E16" s="128">
        <v>167</v>
      </c>
      <c r="F16" s="128">
        <v>107.5</v>
      </c>
      <c r="G16" s="128">
        <v>279</v>
      </c>
      <c r="H16" s="131">
        <v>581.5</v>
      </c>
    </row>
    <row r="17" customFormat="1" x14ac:dyDescent="0.2"/>
    <row r="18" customFormat="1" x14ac:dyDescent="0.2"/>
    <row r="19" customFormat="1" x14ac:dyDescent="0.2"/>
    <row r="20" customFormat="1" x14ac:dyDescent="0.2"/>
    <row r="21" customFormat="1" x14ac:dyDescent="0.2"/>
    <row r="22" customFormat="1" x14ac:dyDescent="0.2"/>
    <row r="23" customFormat="1" x14ac:dyDescent="0.2"/>
    <row r="24" customFormat="1" x14ac:dyDescent="0.2"/>
    <row r="25" customFormat="1" x14ac:dyDescent="0.2"/>
    <row r="26" customFormat="1" x14ac:dyDescent="0.2"/>
    <row r="27" customFormat="1" x14ac:dyDescent="0.2"/>
    <row r="28" customFormat="1" x14ac:dyDescent="0.2"/>
    <row r="29" customFormat="1" x14ac:dyDescent="0.2"/>
    <row r="30" customFormat="1" x14ac:dyDescent="0.2"/>
    <row r="31" customFormat="1" x14ac:dyDescent="0.2"/>
    <row r="32" customFormat="1" x14ac:dyDescent="0.2"/>
    <row r="33" customFormat="1" x14ac:dyDescent="0.2"/>
    <row r="34" customFormat="1" x14ac:dyDescent="0.2"/>
    <row r="35" customFormat="1" x14ac:dyDescent="0.2"/>
    <row r="36" customFormat="1" x14ac:dyDescent="0.2"/>
    <row r="37" customFormat="1" x14ac:dyDescent="0.2"/>
    <row r="38" customFormat="1" x14ac:dyDescent="0.2"/>
    <row r="39" customFormat="1" x14ac:dyDescent="0.2"/>
    <row r="40" customFormat="1" x14ac:dyDescent="0.2"/>
    <row r="41" customFormat="1" x14ac:dyDescent="0.2"/>
    <row r="42" customFormat="1" x14ac:dyDescent="0.2"/>
    <row r="43" customFormat="1" x14ac:dyDescent="0.2"/>
    <row r="44" customFormat="1" x14ac:dyDescent="0.2"/>
    <row r="45" customFormat="1" x14ac:dyDescent="0.2"/>
    <row r="46" customFormat="1" x14ac:dyDescent="0.2"/>
    <row r="47" customFormat="1" x14ac:dyDescent="0.2"/>
    <row r="48" customFormat="1" x14ac:dyDescent="0.2"/>
    <row r="49" customFormat="1" x14ac:dyDescent="0.2"/>
    <row r="50" customFormat="1" x14ac:dyDescent="0.2"/>
    <row r="51" customFormat="1" x14ac:dyDescent="0.2"/>
    <row r="52" customFormat="1" x14ac:dyDescent="0.2"/>
    <row r="53" customFormat="1" x14ac:dyDescent="0.2"/>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2C790-85A0-4BE8-BF29-1CE3C6FCB7B6}">
  <sheetPr>
    <tabColor rgb="FF00B0F0"/>
  </sheetPr>
  <dimension ref="A1:B9"/>
  <sheetViews>
    <sheetView rightToLeft="1" workbookViewId="0">
      <selection activeCell="I4" sqref="I4"/>
    </sheetView>
  </sheetViews>
  <sheetFormatPr defaultRowHeight="14.25" x14ac:dyDescent="0.2"/>
  <cols>
    <col min="1" max="1" width="10.125" bestFit="1" customWidth="1"/>
    <col min="2" max="2" width="15" bestFit="1" customWidth="1"/>
    <col min="3" max="3" width="11.875" bestFit="1" customWidth="1"/>
    <col min="4" max="4" width="9.375" bestFit="1" customWidth="1"/>
    <col min="5" max="5" width="11.875" bestFit="1" customWidth="1"/>
    <col min="6" max="6" width="9.375" bestFit="1" customWidth="1"/>
    <col min="7" max="7" width="5" bestFit="1" customWidth="1"/>
    <col min="8" max="8" width="9.875" bestFit="1" customWidth="1"/>
  </cols>
  <sheetData>
    <row r="1" spans="1:2" ht="15" x14ac:dyDescent="0.25">
      <c r="A1" s="123" t="s">
        <v>69</v>
      </c>
      <c r="B1" s="121" t="s">
        <v>1761</v>
      </c>
    </row>
    <row r="3" spans="1:2" ht="15" x14ac:dyDescent="0.25">
      <c r="A3" s="120" t="s">
        <v>294</v>
      </c>
      <c r="B3" s="120" t="s">
        <v>320</v>
      </c>
    </row>
    <row r="4" spans="1:2" ht="15" x14ac:dyDescent="0.25">
      <c r="A4" s="121" t="s">
        <v>296</v>
      </c>
      <c r="B4" s="132">
        <v>36.5</v>
      </c>
    </row>
    <row r="5" spans="1:2" ht="15" x14ac:dyDescent="0.25">
      <c r="A5" s="121" t="s">
        <v>300</v>
      </c>
      <c r="B5" s="132">
        <v>112.75</v>
      </c>
    </row>
    <row r="6" spans="1:2" ht="15" x14ac:dyDescent="0.25">
      <c r="A6" s="121" t="s">
        <v>365</v>
      </c>
      <c r="B6" s="125">
        <v>217.25</v>
      </c>
    </row>
    <row r="7" spans="1:2" ht="15" x14ac:dyDescent="0.25">
      <c r="A7" s="121" t="s">
        <v>113</v>
      </c>
      <c r="B7" s="132">
        <v>241.50000000000003</v>
      </c>
    </row>
    <row r="8" spans="1:2" ht="15" x14ac:dyDescent="0.25">
      <c r="A8" s="121" t="s">
        <v>110</v>
      </c>
      <c r="B8" s="125">
        <v>66</v>
      </c>
    </row>
    <row r="9" spans="1:2" ht="15" x14ac:dyDescent="0.25">
      <c r="A9" s="122" t="s">
        <v>1760</v>
      </c>
      <c r="B9" s="124">
        <v>674</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6D1EE-B455-4C95-AE6B-1B09402B93FD}">
  <dimension ref="A1:EG2090"/>
  <sheetViews>
    <sheetView rightToLeft="1" tabSelected="1" topLeftCell="E1" zoomScaleNormal="100" zoomScaleSheetLayoutView="100" workbookViewId="0">
      <pane ySplit="1" topLeftCell="A1793" activePane="bottomLeft" state="frozen"/>
      <selection activeCell="E1" sqref="E1"/>
      <selection pane="bottomLeft" activeCell="J1333" sqref="J1333:J1336"/>
    </sheetView>
  </sheetViews>
  <sheetFormatPr defaultColWidth="8.875" defaultRowHeight="15" x14ac:dyDescent="0.25"/>
  <cols>
    <col min="1" max="1" width="10.625" style="61" bestFit="1" customWidth="1"/>
    <col min="2" max="2" width="11.125" style="74" customWidth="1"/>
    <col min="3" max="3" width="9.125" style="61" customWidth="1"/>
    <col min="4" max="4" width="22" style="60" customWidth="1"/>
    <col min="5" max="5" width="13.125" style="62" customWidth="1"/>
    <col min="6" max="6" width="30.5" style="73" customWidth="1"/>
    <col min="7" max="7" width="11.875" style="59" customWidth="1"/>
    <col min="8" max="8" width="14.5" style="60" customWidth="1"/>
    <col min="9" max="9" width="11.375" style="60" bestFit="1" customWidth="1"/>
    <col min="10" max="10" width="15.5" style="60" customWidth="1"/>
    <col min="11" max="11" width="13.5" style="61" customWidth="1"/>
    <col min="12" max="12" width="15.875" style="134" customWidth="1"/>
    <col min="13" max="14" width="6.875" style="61" customWidth="1"/>
    <col min="15" max="15" width="28.625" style="81" customWidth="1"/>
    <col min="16" max="16" width="9.875" style="61" customWidth="1"/>
    <col min="17" max="17" width="33.375" style="61" customWidth="1"/>
    <col min="18" max="20" width="8.875" style="61"/>
    <col min="21" max="21" width="12.375" style="61" customWidth="1"/>
    <col min="22" max="22" width="23.375" style="93" customWidth="1"/>
    <col min="23" max="23" width="9.875" style="61" customWidth="1"/>
    <col min="24" max="24" width="28.375" style="89" customWidth="1"/>
    <col min="25" max="25" width="8.875" style="61"/>
    <col min="26" max="26" width="9.375" style="61" customWidth="1"/>
    <col min="27" max="16384" width="8.875" style="61"/>
  </cols>
  <sheetData>
    <row r="1" spans="1:26" s="87" customFormat="1" ht="39" customHeight="1" x14ac:dyDescent="0.2">
      <c r="A1" s="102" t="s">
        <v>69</v>
      </c>
      <c r="B1" s="103" t="s">
        <v>3</v>
      </c>
      <c r="C1" s="103" t="s">
        <v>4</v>
      </c>
      <c r="D1" s="103" t="s">
        <v>6</v>
      </c>
      <c r="E1" s="114" t="s">
        <v>291</v>
      </c>
      <c r="F1" s="103" t="s">
        <v>127</v>
      </c>
      <c r="G1" s="104" t="s">
        <v>144</v>
      </c>
      <c r="H1" s="105" t="s">
        <v>0</v>
      </c>
      <c r="I1" s="105" t="s">
        <v>1</v>
      </c>
      <c r="J1" s="106" t="s">
        <v>2</v>
      </c>
      <c r="K1" s="106" t="s">
        <v>294</v>
      </c>
      <c r="L1" s="133" t="s">
        <v>297</v>
      </c>
      <c r="M1" s="106" t="s">
        <v>301</v>
      </c>
      <c r="N1" s="106" t="s">
        <v>810</v>
      </c>
      <c r="O1" s="106" t="s">
        <v>305</v>
      </c>
      <c r="P1" s="106" t="s">
        <v>306</v>
      </c>
      <c r="Q1" s="107" t="s">
        <v>811</v>
      </c>
      <c r="R1" s="107" t="s">
        <v>812</v>
      </c>
      <c r="S1" s="107" t="s">
        <v>813</v>
      </c>
      <c r="T1" s="107" t="s">
        <v>814</v>
      </c>
      <c r="U1" s="108" t="s">
        <v>815</v>
      </c>
      <c r="V1" s="107" t="s">
        <v>816</v>
      </c>
      <c r="W1" s="108" t="s">
        <v>817</v>
      </c>
      <c r="X1" s="107" t="s">
        <v>818</v>
      </c>
      <c r="Y1" s="108" t="s">
        <v>819</v>
      </c>
      <c r="Z1" s="108" t="s">
        <v>1065</v>
      </c>
    </row>
    <row r="2" spans="1:26" ht="14.45" customHeight="1" x14ac:dyDescent="0.2">
      <c r="A2" s="99">
        <v>45292</v>
      </c>
      <c r="B2" s="82">
        <v>45292</v>
      </c>
      <c r="C2" s="88" t="s">
        <v>45</v>
      </c>
      <c r="D2" s="60" t="s">
        <v>481</v>
      </c>
      <c r="E2" s="60" t="s">
        <v>329</v>
      </c>
      <c r="F2" s="60" t="s">
        <v>330</v>
      </c>
      <c r="G2" s="72" t="s">
        <v>142</v>
      </c>
      <c r="H2" s="83">
        <v>0.4375</v>
      </c>
      <c r="I2" s="83">
        <v>0.70833333333333337</v>
      </c>
      <c r="J2" s="63">
        <f t="shared" ref="J2:J20" si="0">I2-H2</f>
        <v>0.27083333333333337</v>
      </c>
      <c r="K2" s="60" t="s">
        <v>113</v>
      </c>
      <c r="L2" s="134">
        <f t="shared" ref="L2:L13" si="1">24*J2</f>
        <v>6.5000000000000009</v>
      </c>
      <c r="O2" s="91" t="s">
        <v>359</v>
      </c>
      <c r="P2" s="88">
        <v>5</v>
      </c>
      <c r="Q2" s="60"/>
      <c r="R2" s="88">
        <v>1</v>
      </c>
      <c r="U2" s="60" t="s">
        <v>33</v>
      </c>
      <c r="V2" s="86" t="s">
        <v>62</v>
      </c>
      <c r="W2" s="60" t="s">
        <v>295</v>
      </c>
      <c r="X2" s="89" t="s">
        <v>821</v>
      </c>
      <c r="Y2" s="60"/>
      <c r="Z2" s="100" t="s">
        <v>142</v>
      </c>
    </row>
    <row r="3" spans="1:26" ht="14.45" customHeight="1" x14ac:dyDescent="0.2">
      <c r="A3" s="99">
        <v>45292</v>
      </c>
      <c r="B3" s="82">
        <v>45292</v>
      </c>
      <c r="C3" s="88" t="s">
        <v>45</v>
      </c>
      <c r="D3" s="60" t="s">
        <v>86</v>
      </c>
      <c r="E3" s="60" t="s">
        <v>328</v>
      </c>
      <c r="F3" s="60" t="s">
        <v>331</v>
      </c>
      <c r="G3" s="59" t="s">
        <v>142</v>
      </c>
      <c r="H3" s="83">
        <v>0.41666666666666669</v>
      </c>
      <c r="I3" s="95">
        <v>0.66666666666666663</v>
      </c>
      <c r="J3" s="63">
        <f t="shared" si="0"/>
        <v>0.24999999999999994</v>
      </c>
      <c r="K3" s="88" t="s">
        <v>110</v>
      </c>
      <c r="L3" s="135">
        <f t="shared" si="1"/>
        <v>5.9999999999999982</v>
      </c>
      <c r="O3" s="91" t="s">
        <v>363</v>
      </c>
      <c r="P3" s="88">
        <v>5</v>
      </c>
      <c r="Q3" s="60"/>
      <c r="R3" s="88">
        <v>2</v>
      </c>
      <c r="U3" s="60" t="s">
        <v>34</v>
      </c>
      <c r="V3" s="86" t="s">
        <v>126</v>
      </c>
      <c r="W3" s="60" t="s">
        <v>296</v>
      </c>
      <c r="X3" s="89" t="s">
        <v>357</v>
      </c>
      <c r="Y3" s="60"/>
      <c r="Z3" s="113" t="s">
        <v>822</v>
      </c>
    </row>
    <row r="4" spans="1:26" ht="14.45" customHeight="1" x14ac:dyDescent="0.2">
      <c r="A4" s="99">
        <v>45292</v>
      </c>
      <c r="B4" s="82">
        <v>45292</v>
      </c>
      <c r="C4" s="88" t="s">
        <v>45</v>
      </c>
      <c r="D4" s="60" t="s">
        <v>481</v>
      </c>
      <c r="E4" s="60" t="s">
        <v>299</v>
      </c>
      <c r="F4" s="60" t="s">
        <v>316</v>
      </c>
      <c r="G4" s="72" t="s">
        <v>142</v>
      </c>
      <c r="H4" s="83">
        <v>0.41666666666666669</v>
      </c>
      <c r="I4" s="83">
        <v>0.70833333333333337</v>
      </c>
      <c r="J4" s="63">
        <f t="shared" si="0"/>
        <v>0.29166666666666669</v>
      </c>
      <c r="K4" s="60" t="s">
        <v>113</v>
      </c>
      <c r="L4" s="134">
        <f t="shared" si="1"/>
        <v>7</v>
      </c>
      <c r="O4" s="91" t="s">
        <v>361</v>
      </c>
      <c r="P4" s="88">
        <v>5</v>
      </c>
      <c r="Q4" s="60"/>
      <c r="R4" s="88">
        <v>3</v>
      </c>
      <c r="U4" s="61" t="s">
        <v>31</v>
      </c>
      <c r="V4" s="86" t="s">
        <v>98</v>
      </c>
      <c r="W4" s="60" t="s">
        <v>300</v>
      </c>
      <c r="X4" s="89" t="s">
        <v>820</v>
      </c>
      <c r="Z4" s="100"/>
    </row>
    <row r="5" spans="1:26" x14ac:dyDescent="0.2">
      <c r="A5" s="99">
        <v>45292</v>
      </c>
      <c r="B5" s="82">
        <v>45293</v>
      </c>
      <c r="C5" s="88" t="s">
        <v>106</v>
      </c>
      <c r="D5" s="60" t="s">
        <v>720</v>
      </c>
      <c r="E5" s="60" t="s">
        <v>381</v>
      </c>
      <c r="F5" s="60" t="s">
        <v>393</v>
      </c>
      <c r="G5" s="59" t="s">
        <v>142</v>
      </c>
      <c r="H5" s="83">
        <v>0.39583333333333331</v>
      </c>
      <c r="I5" s="95">
        <v>0.75</v>
      </c>
      <c r="J5" s="63">
        <f t="shared" si="0"/>
        <v>0.35416666666666669</v>
      </c>
      <c r="K5" s="88" t="s">
        <v>300</v>
      </c>
      <c r="L5" s="135">
        <f t="shared" si="1"/>
        <v>8.5</v>
      </c>
      <c r="O5" s="91" t="s">
        <v>362</v>
      </c>
      <c r="P5" s="88">
        <v>5</v>
      </c>
      <c r="R5" s="88">
        <v>4</v>
      </c>
      <c r="U5" s="60" t="s">
        <v>45</v>
      </c>
      <c r="V5" s="93" t="s">
        <v>481</v>
      </c>
      <c r="W5" s="60" t="s">
        <v>365</v>
      </c>
      <c r="X5" s="89" t="s">
        <v>358</v>
      </c>
      <c r="Z5" s="100"/>
    </row>
    <row r="6" spans="1:26" ht="14.45" customHeight="1" x14ac:dyDescent="0.2">
      <c r="A6" s="99">
        <v>45292</v>
      </c>
      <c r="B6" s="82">
        <v>45293</v>
      </c>
      <c r="C6" s="88" t="s">
        <v>106</v>
      </c>
      <c r="D6" s="60" t="s">
        <v>499</v>
      </c>
      <c r="E6" s="60" t="s">
        <v>378</v>
      </c>
      <c r="F6" s="60" t="s">
        <v>393</v>
      </c>
      <c r="G6" s="59" t="s">
        <v>142</v>
      </c>
      <c r="H6" s="83">
        <v>0.41666666666666669</v>
      </c>
      <c r="I6" s="83">
        <v>0.70833333333333337</v>
      </c>
      <c r="J6" s="63">
        <f t="shared" si="0"/>
        <v>0.29166666666666669</v>
      </c>
      <c r="K6" s="88" t="s">
        <v>300</v>
      </c>
      <c r="L6" s="135">
        <f t="shared" si="1"/>
        <v>7</v>
      </c>
      <c r="O6" s="91" t="s">
        <v>362</v>
      </c>
      <c r="P6" s="88">
        <v>5</v>
      </c>
      <c r="R6" s="88">
        <v>5</v>
      </c>
      <c r="U6" s="61" t="s">
        <v>106</v>
      </c>
      <c r="V6" s="86" t="s">
        <v>367</v>
      </c>
      <c r="W6" s="60" t="s">
        <v>110</v>
      </c>
      <c r="X6" s="89" t="s">
        <v>359</v>
      </c>
      <c r="Z6" s="100"/>
    </row>
    <row r="7" spans="1:26" x14ac:dyDescent="0.2">
      <c r="A7" s="99">
        <v>45292</v>
      </c>
      <c r="B7" s="82">
        <v>45293</v>
      </c>
      <c r="C7" s="88" t="s">
        <v>106</v>
      </c>
      <c r="D7" s="60" t="s">
        <v>481</v>
      </c>
      <c r="E7" s="60" t="s">
        <v>299</v>
      </c>
      <c r="F7" s="60" t="s">
        <v>332</v>
      </c>
      <c r="G7" s="72" t="s">
        <v>142</v>
      </c>
      <c r="H7" s="83">
        <v>0.375</v>
      </c>
      <c r="I7" s="83">
        <v>0.625</v>
      </c>
      <c r="J7" s="63">
        <f t="shared" si="0"/>
        <v>0.25</v>
      </c>
      <c r="K7" s="60" t="s">
        <v>113</v>
      </c>
      <c r="L7" s="134">
        <f t="shared" si="1"/>
        <v>6</v>
      </c>
      <c r="O7" s="91" t="s">
        <v>358</v>
      </c>
      <c r="P7" s="88">
        <v>5</v>
      </c>
      <c r="Q7" s="60"/>
      <c r="R7" s="88"/>
      <c r="U7" s="61" t="s">
        <v>398</v>
      </c>
      <c r="V7" s="93" t="s">
        <v>307</v>
      </c>
      <c r="W7" s="60" t="s">
        <v>113</v>
      </c>
      <c r="X7" s="89" t="s">
        <v>360</v>
      </c>
      <c r="Y7" s="60"/>
      <c r="Z7" s="100"/>
    </row>
    <row r="8" spans="1:26" x14ac:dyDescent="0.2">
      <c r="A8" s="99">
        <v>45292</v>
      </c>
      <c r="B8" s="82">
        <v>45293</v>
      </c>
      <c r="C8" s="88" t="s">
        <v>106</v>
      </c>
      <c r="D8" s="60" t="s">
        <v>86</v>
      </c>
      <c r="E8" s="60" t="s">
        <v>333</v>
      </c>
      <c r="F8" s="60" t="s">
        <v>335</v>
      </c>
      <c r="G8" s="59" t="s">
        <v>142</v>
      </c>
      <c r="H8" s="83">
        <v>0.41666666666666669</v>
      </c>
      <c r="I8" s="83">
        <v>0.70833333333333337</v>
      </c>
      <c r="J8" s="63">
        <f t="shared" si="0"/>
        <v>0.29166666666666669</v>
      </c>
      <c r="K8" s="88" t="s">
        <v>110</v>
      </c>
      <c r="L8" s="135">
        <f t="shared" si="1"/>
        <v>7</v>
      </c>
      <c r="O8" s="91" t="s">
        <v>358</v>
      </c>
      <c r="P8" s="88">
        <v>4</v>
      </c>
      <c r="Q8" s="60" t="s">
        <v>334</v>
      </c>
      <c r="U8" s="61" t="s">
        <v>124</v>
      </c>
      <c r="V8" s="93" t="s">
        <v>327</v>
      </c>
      <c r="W8" s="60" t="s">
        <v>366</v>
      </c>
      <c r="X8" s="89" t="s">
        <v>361</v>
      </c>
      <c r="Y8" s="60"/>
      <c r="Z8" s="100"/>
    </row>
    <row r="9" spans="1:26" x14ac:dyDescent="0.2">
      <c r="A9" s="99">
        <v>45292</v>
      </c>
      <c r="B9" s="82">
        <v>45293</v>
      </c>
      <c r="C9" s="88" t="s">
        <v>106</v>
      </c>
      <c r="D9" s="60" t="s">
        <v>481</v>
      </c>
      <c r="E9" s="60" t="s">
        <v>329</v>
      </c>
      <c r="F9" s="60" t="s">
        <v>330</v>
      </c>
      <c r="G9" s="72" t="s">
        <v>142</v>
      </c>
      <c r="H9" s="83">
        <v>0.52083333333333337</v>
      </c>
      <c r="I9" s="83">
        <v>0.70833333333333337</v>
      </c>
      <c r="J9" s="63">
        <f t="shared" si="0"/>
        <v>0.1875</v>
      </c>
      <c r="K9" s="60" t="s">
        <v>113</v>
      </c>
      <c r="L9" s="134">
        <f t="shared" si="1"/>
        <v>4.5</v>
      </c>
      <c r="O9" s="91" t="s">
        <v>359</v>
      </c>
      <c r="P9" s="88">
        <v>5</v>
      </c>
      <c r="Q9" s="60"/>
      <c r="U9" s="60" t="s">
        <v>33</v>
      </c>
      <c r="V9" s="93" t="s">
        <v>309</v>
      </c>
      <c r="X9" s="89" t="s">
        <v>362</v>
      </c>
      <c r="Y9" s="60"/>
      <c r="Z9" s="100"/>
    </row>
    <row r="10" spans="1:26" x14ac:dyDescent="0.2">
      <c r="A10" s="99">
        <v>45292</v>
      </c>
      <c r="B10" s="82">
        <v>45294</v>
      </c>
      <c r="C10" s="60" t="s">
        <v>398</v>
      </c>
      <c r="D10" s="60" t="s">
        <v>481</v>
      </c>
      <c r="E10" s="60" t="s">
        <v>299</v>
      </c>
      <c r="F10" s="60" t="s">
        <v>332</v>
      </c>
      <c r="G10" s="72" t="s">
        <v>142</v>
      </c>
      <c r="H10" s="83">
        <v>0.45833333333333331</v>
      </c>
      <c r="I10" s="95">
        <v>0.66666666666666663</v>
      </c>
      <c r="J10" s="63">
        <f t="shared" si="0"/>
        <v>0.20833333333333331</v>
      </c>
      <c r="K10" s="60" t="s">
        <v>113</v>
      </c>
      <c r="L10" s="134">
        <f t="shared" si="1"/>
        <v>5</v>
      </c>
      <c r="O10" s="91" t="s">
        <v>363</v>
      </c>
      <c r="P10" s="88">
        <v>5</v>
      </c>
      <c r="Q10" s="60"/>
      <c r="V10" s="93" t="s">
        <v>308</v>
      </c>
      <c r="X10" s="89" t="s">
        <v>314</v>
      </c>
      <c r="Y10" s="60"/>
      <c r="Z10" s="100"/>
    </row>
    <row r="11" spans="1:26" x14ac:dyDescent="0.2">
      <c r="A11" s="99">
        <v>45292</v>
      </c>
      <c r="B11" s="82">
        <v>45294</v>
      </c>
      <c r="C11" s="60" t="s">
        <v>398</v>
      </c>
      <c r="D11" s="60" t="s">
        <v>317</v>
      </c>
      <c r="E11" s="60" t="s">
        <v>380</v>
      </c>
      <c r="F11" s="60" t="s">
        <v>393</v>
      </c>
      <c r="G11" s="59" t="s">
        <v>142</v>
      </c>
      <c r="H11" s="83">
        <v>0.375</v>
      </c>
      <c r="I11" s="95">
        <v>0.75</v>
      </c>
      <c r="J11" s="63">
        <f t="shared" si="0"/>
        <v>0.375</v>
      </c>
      <c r="K11" s="88" t="s">
        <v>300</v>
      </c>
      <c r="L11" s="135">
        <f t="shared" si="1"/>
        <v>9</v>
      </c>
      <c r="O11" s="91" t="s">
        <v>362</v>
      </c>
      <c r="P11" s="88">
        <v>5</v>
      </c>
      <c r="V11" s="93" t="s">
        <v>310</v>
      </c>
      <c r="X11" s="89" t="s">
        <v>363</v>
      </c>
      <c r="Z11" s="100"/>
    </row>
    <row r="12" spans="1:26" ht="14.45" customHeight="1" x14ac:dyDescent="0.2">
      <c r="A12" s="99">
        <v>45292</v>
      </c>
      <c r="B12" s="82">
        <v>45294</v>
      </c>
      <c r="C12" s="60" t="s">
        <v>398</v>
      </c>
      <c r="D12" s="60" t="s">
        <v>499</v>
      </c>
      <c r="E12" s="60" t="s">
        <v>378</v>
      </c>
      <c r="F12" s="60" t="s">
        <v>393</v>
      </c>
      <c r="G12" s="59" t="s">
        <v>142</v>
      </c>
      <c r="H12" s="83">
        <v>0.375</v>
      </c>
      <c r="I12" s="95">
        <v>0.75</v>
      </c>
      <c r="J12" s="63">
        <f t="shared" si="0"/>
        <v>0.375</v>
      </c>
      <c r="K12" s="88" t="s">
        <v>300</v>
      </c>
      <c r="L12" s="135">
        <f t="shared" si="1"/>
        <v>9</v>
      </c>
      <c r="O12" s="91" t="s">
        <v>362</v>
      </c>
      <c r="P12" s="88">
        <v>5</v>
      </c>
      <c r="V12" s="92" t="s">
        <v>311</v>
      </c>
      <c r="X12" s="89" t="s">
        <v>364</v>
      </c>
      <c r="Z12" s="100"/>
    </row>
    <row r="13" spans="1:26" ht="14.45" customHeight="1" x14ac:dyDescent="0.2">
      <c r="A13" s="99">
        <v>45292</v>
      </c>
      <c r="B13" s="82">
        <v>45294</v>
      </c>
      <c r="C13" s="60" t="s">
        <v>398</v>
      </c>
      <c r="D13" s="60" t="s">
        <v>86</v>
      </c>
      <c r="E13" s="60" t="s">
        <v>328</v>
      </c>
      <c r="F13" s="60" t="s">
        <v>336</v>
      </c>
      <c r="G13" s="59" t="s">
        <v>142</v>
      </c>
      <c r="H13" s="83">
        <v>0.41666666666666669</v>
      </c>
      <c r="I13" s="95">
        <v>0.66666666666666663</v>
      </c>
      <c r="J13" s="63">
        <f t="shared" si="0"/>
        <v>0.24999999999999994</v>
      </c>
      <c r="K13" s="88" t="s">
        <v>110</v>
      </c>
      <c r="L13" s="135">
        <f t="shared" si="1"/>
        <v>5.9999999999999982</v>
      </c>
      <c r="O13" s="91" t="s">
        <v>363</v>
      </c>
      <c r="P13" s="88">
        <v>5</v>
      </c>
      <c r="Q13" s="60" t="s">
        <v>334</v>
      </c>
      <c r="U13" s="60"/>
      <c r="V13" s="92" t="s">
        <v>312</v>
      </c>
      <c r="X13" s="89" t="s">
        <v>304</v>
      </c>
      <c r="Y13" s="60"/>
      <c r="Z13" s="100"/>
    </row>
    <row r="14" spans="1:26" x14ac:dyDescent="0.2">
      <c r="A14" s="99">
        <v>45292</v>
      </c>
      <c r="B14" s="82">
        <v>45294</v>
      </c>
      <c r="C14" s="60" t="s">
        <v>398</v>
      </c>
      <c r="D14" s="60" t="s">
        <v>98</v>
      </c>
      <c r="E14" s="60" t="s">
        <v>337</v>
      </c>
      <c r="F14" s="60" t="s">
        <v>338</v>
      </c>
      <c r="G14" s="59" t="s">
        <v>142</v>
      </c>
      <c r="H14" s="83">
        <v>0.39583333333333331</v>
      </c>
      <c r="I14" s="83">
        <v>0.5</v>
      </c>
      <c r="J14" s="63">
        <f t="shared" si="0"/>
        <v>0.10416666666666669</v>
      </c>
      <c r="K14" s="60" t="s">
        <v>113</v>
      </c>
      <c r="L14" s="134">
        <v>0.99999999999999911</v>
      </c>
      <c r="O14" s="91" t="s">
        <v>359</v>
      </c>
      <c r="P14" s="88">
        <v>5</v>
      </c>
      <c r="V14" s="93" t="s">
        <v>313</v>
      </c>
      <c r="X14" s="89" t="s">
        <v>539</v>
      </c>
      <c r="Z14" s="100"/>
    </row>
    <row r="15" spans="1:26" ht="14.45" customHeight="1" x14ac:dyDescent="0.2">
      <c r="A15" s="99">
        <v>45292</v>
      </c>
      <c r="B15" s="82">
        <v>45294</v>
      </c>
      <c r="C15" s="60" t="s">
        <v>398</v>
      </c>
      <c r="D15" s="60" t="s">
        <v>481</v>
      </c>
      <c r="E15" s="60" t="s">
        <v>329</v>
      </c>
      <c r="F15" s="60" t="s">
        <v>330</v>
      </c>
      <c r="G15" s="72" t="s">
        <v>142</v>
      </c>
      <c r="H15" s="83">
        <v>0.41666666666666669</v>
      </c>
      <c r="I15" s="83">
        <v>0.70833333333333337</v>
      </c>
      <c r="J15" s="63">
        <f t="shared" si="0"/>
        <v>0.29166666666666669</v>
      </c>
      <c r="K15" s="60" t="s">
        <v>113</v>
      </c>
      <c r="L15" s="134">
        <f t="shared" ref="L15:L20" si="2">24*J15</f>
        <v>7</v>
      </c>
      <c r="O15" s="91" t="s">
        <v>359</v>
      </c>
      <c r="P15" s="88">
        <v>4</v>
      </c>
      <c r="Q15" s="60" t="s">
        <v>334</v>
      </c>
      <c r="U15" s="60"/>
      <c r="V15" s="93" t="s">
        <v>326</v>
      </c>
      <c r="W15" s="60"/>
      <c r="X15" s="89" t="s">
        <v>576</v>
      </c>
      <c r="Y15" s="60"/>
      <c r="Z15" s="100"/>
    </row>
    <row r="16" spans="1:26" x14ac:dyDescent="0.2">
      <c r="A16" s="99">
        <v>45292</v>
      </c>
      <c r="B16" s="82">
        <v>45295</v>
      </c>
      <c r="C16" s="82" t="s">
        <v>124</v>
      </c>
      <c r="D16" s="60" t="s">
        <v>32</v>
      </c>
      <c r="E16" s="60" t="s">
        <v>340</v>
      </c>
      <c r="F16" s="60" t="s">
        <v>341</v>
      </c>
      <c r="G16" s="59" t="s">
        <v>142</v>
      </c>
      <c r="H16" s="83">
        <v>0.45833333333333331</v>
      </c>
      <c r="I16" s="83">
        <v>0.54166666666666663</v>
      </c>
      <c r="J16" s="63">
        <f t="shared" si="0"/>
        <v>8.3333333333333315E-2</v>
      </c>
      <c r="K16" s="88" t="s">
        <v>365</v>
      </c>
      <c r="L16" s="135">
        <f t="shared" si="2"/>
        <v>1.9999999999999996</v>
      </c>
      <c r="O16" s="91" t="s">
        <v>358</v>
      </c>
      <c r="P16" s="88">
        <v>5</v>
      </c>
      <c r="V16" s="93" t="s">
        <v>325</v>
      </c>
      <c r="X16" s="89" t="s">
        <v>1214</v>
      </c>
      <c r="Z16" s="100"/>
    </row>
    <row r="17" spans="1:26" x14ac:dyDescent="0.2">
      <c r="A17" s="99">
        <v>45292</v>
      </c>
      <c r="B17" s="82">
        <v>45295</v>
      </c>
      <c r="C17" s="82" t="s">
        <v>124</v>
      </c>
      <c r="D17" s="60" t="s">
        <v>126</v>
      </c>
      <c r="E17" s="60" t="s">
        <v>343</v>
      </c>
      <c r="F17" s="60" t="s">
        <v>920</v>
      </c>
      <c r="G17" s="59" t="s">
        <v>142</v>
      </c>
      <c r="H17" s="83">
        <v>0.45833333333333331</v>
      </c>
      <c r="I17" s="95">
        <v>0.66666666666666663</v>
      </c>
      <c r="J17" s="63">
        <f t="shared" si="0"/>
        <v>0.20833333333333331</v>
      </c>
      <c r="K17" s="88" t="s">
        <v>365</v>
      </c>
      <c r="L17" s="135">
        <f t="shared" si="2"/>
        <v>5</v>
      </c>
      <c r="O17" s="91" t="s">
        <v>361</v>
      </c>
      <c r="P17" s="88">
        <v>4</v>
      </c>
      <c r="Q17" s="60" t="s">
        <v>334</v>
      </c>
      <c r="V17" s="93" t="s">
        <v>317</v>
      </c>
      <c r="Z17" s="100"/>
    </row>
    <row r="18" spans="1:26" x14ac:dyDescent="0.2">
      <c r="A18" s="99">
        <v>45292</v>
      </c>
      <c r="B18" s="82">
        <v>45295</v>
      </c>
      <c r="C18" s="82" t="s">
        <v>124</v>
      </c>
      <c r="D18" s="60" t="s">
        <v>830</v>
      </c>
      <c r="E18" s="60" t="s">
        <v>315</v>
      </c>
      <c r="F18" s="60" t="s">
        <v>932</v>
      </c>
      <c r="G18" s="59" t="s">
        <v>142</v>
      </c>
      <c r="H18" s="83">
        <v>0.4375</v>
      </c>
      <c r="I18" s="83">
        <v>0.58333333333333337</v>
      </c>
      <c r="J18" s="63">
        <f t="shared" si="0"/>
        <v>0.14583333333333337</v>
      </c>
      <c r="K18" s="88" t="s">
        <v>365</v>
      </c>
      <c r="L18" s="135">
        <f t="shared" si="2"/>
        <v>3.5000000000000009</v>
      </c>
      <c r="O18" s="91" t="s">
        <v>820</v>
      </c>
      <c r="P18" s="88">
        <v>5</v>
      </c>
      <c r="V18" s="93" t="s">
        <v>318</v>
      </c>
      <c r="Z18" s="100"/>
    </row>
    <row r="19" spans="1:26" x14ac:dyDescent="0.2">
      <c r="A19" s="99">
        <v>45292</v>
      </c>
      <c r="B19" s="82">
        <v>45295</v>
      </c>
      <c r="C19" s="82" t="s">
        <v>124</v>
      </c>
      <c r="D19" s="60" t="s">
        <v>86</v>
      </c>
      <c r="E19" s="60" t="s">
        <v>328</v>
      </c>
      <c r="F19" s="60" t="s">
        <v>345</v>
      </c>
      <c r="G19" s="59" t="s">
        <v>142</v>
      </c>
      <c r="H19" s="83">
        <v>0.41666666666666669</v>
      </c>
      <c r="I19" s="95">
        <v>0.6875</v>
      </c>
      <c r="J19" s="63">
        <f t="shared" si="0"/>
        <v>0.27083333333333331</v>
      </c>
      <c r="K19" s="88" t="s">
        <v>110</v>
      </c>
      <c r="L19" s="135">
        <f t="shared" si="2"/>
        <v>6.5</v>
      </c>
      <c r="O19" s="91" t="s">
        <v>363</v>
      </c>
      <c r="P19" s="88">
        <v>4</v>
      </c>
      <c r="Q19" s="60" t="s">
        <v>334</v>
      </c>
      <c r="U19" s="60"/>
      <c r="V19" s="93" t="s">
        <v>310</v>
      </c>
      <c r="W19" s="60"/>
      <c r="X19" s="86"/>
      <c r="Y19" s="60"/>
      <c r="Z19" s="100"/>
    </row>
    <row r="20" spans="1:26" x14ac:dyDescent="0.2">
      <c r="A20" s="99">
        <v>45292</v>
      </c>
      <c r="B20" s="82">
        <v>45295</v>
      </c>
      <c r="C20" s="82" t="s">
        <v>124</v>
      </c>
      <c r="D20" s="72" t="s">
        <v>481</v>
      </c>
      <c r="E20" s="60" t="s">
        <v>329</v>
      </c>
      <c r="F20" s="60" t="s">
        <v>346</v>
      </c>
      <c r="G20" s="72" t="s">
        <v>142</v>
      </c>
      <c r="H20" s="83">
        <v>0.41666666666666669</v>
      </c>
      <c r="I20" s="83">
        <v>0.70833333333333337</v>
      </c>
      <c r="J20" s="63">
        <f t="shared" si="0"/>
        <v>0.29166666666666669</v>
      </c>
      <c r="K20" s="60" t="s">
        <v>113</v>
      </c>
      <c r="L20" s="134">
        <f t="shared" si="2"/>
        <v>7</v>
      </c>
      <c r="O20" s="91" t="s">
        <v>359</v>
      </c>
      <c r="P20" s="88">
        <v>5</v>
      </c>
      <c r="Q20" s="60"/>
      <c r="U20" s="60"/>
      <c r="V20" s="93" t="s">
        <v>319</v>
      </c>
      <c r="W20" s="60"/>
      <c r="X20" s="86"/>
      <c r="Y20" s="60"/>
      <c r="Z20" s="100"/>
    </row>
    <row r="21" spans="1:26" ht="14.25" x14ac:dyDescent="0.2">
      <c r="A21" s="99">
        <v>45292</v>
      </c>
      <c r="B21" s="82">
        <v>45295</v>
      </c>
      <c r="C21" s="82" t="s">
        <v>124</v>
      </c>
      <c r="D21" s="72" t="s">
        <v>481</v>
      </c>
      <c r="E21" s="72" t="s">
        <v>329</v>
      </c>
      <c r="F21" s="72" t="s">
        <v>347</v>
      </c>
      <c r="G21" s="72" t="s">
        <v>142</v>
      </c>
      <c r="H21" s="83">
        <v>0.4375</v>
      </c>
      <c r="I21" s="83">
        <v>0.70833333333333337</v>
      </c>
      <c r="J21" s="63">
        <v>0.29166666666666669</v>
      </c>
      <c r="K21" s="60" t="s">
        <v>113</v>
      </c>
      <c r="L21" s="135">
        <v>7</v>
      </c>
      <c r="O21" s="85" t="s">
        <v>359</v>
      </c>
      <c r="P21" s="60">
        <v>5</v>
      </c>
      <c r="Q21" s="60"/>
      <c r="V21" s="93" t="s">
        <v>321</v>
      </c>
      <c r="Y21" s="85"/>
      <c r="Z21" s="100"/>
    </row>
    <row r="22" spans="1:26" x14ac:dyDescent="0.2">
      <c r="A22" s="99">
        <v>45292</v>
      </c>
      <c r="B22" s="82">
        <v>45296</v>
      </c>
      <c r="C22" s="60" t="s">
        <v>33</v>
      </c>
      <c r="D22" s="60" t="s">
        <v>86</v>
      </c>
      <c r="E22" s="60" t="s">
        <v>348</v>
      </c>
      <c r="F22" s="60" t="s">
        <v>349</v>
      </c>
      <c r="G22" s="59" t="s">
        <v>142</v>
      </c>
      <c r="H22" s="83">
        <v>0.41666666666666669</v>
      </c>
      <c r="I22" s="83">
        <v>0.72916666666666663</v>
      </c>
      <c r="J22" s="63">
        <f t="shared" ref="J22:J30" si="3">I22-H22</f>
        <v>0.31249999999999994</v>
      </c>
      <c r="K22" s="88" t="s">
        <v>110</v>
      </c>
      <c r="L22" s="135">
        <f t="shared" ref="L22:L28" si="4">24*J22</f>
        <v>7.4999999999999982</v>
      </c>
      <c r="O22" s="91" t="s">
        <v>359</v>
      </c>
      <c r="P22" s="88">
        <v>5</v>
      </c>
      <c r="Q22" s="60"/>
      <c r="U22" s="60"/>
      <c r="V22" s="93" t="s">
        <v>322</v>
      </c>
      <c r="W22" s="60"/>
      <c r="X22" s="86"/>
      <c r="Y22" s="60"/>
      <c r="Z22" s="100"/>
    </row>
    <row r="23" spans="1:26" x14ac:dyDescent="0.2">
      <c r="A23" s="99">
        <v>45292</v>
      </c>
      <c r="B23" s="82">
        <v>45297</v>
      </c>
      <c r="C23" s="88" t="s">
        <v>34</v>
      </c>
      <c r="D23" s="72" t="s">
        <v>481</v>
      </c>
      <c r="E23" s="60" t="s">
        <v>368</v>
      </c>
      <c r="F23" s="60" t="s">
        <v>369</v>
      </c>
      <c r="G23" s="72" t="s">
        <v>142</v>
      </c>
      <c r="H23" s="83">
        <v>0.47916666666666669</v>
      </c>
      <c r="I23" s="83">
        <v>0.70833333333333337</v>
      </c>
      <c r="J23" s="63">
        <f t="shared" si="3"/>
        <v>0.22916666666666669</v>
      </c>
      <c r="K23" s="60" t="s">
        <v>113</v>
      </c>
      <c r="L23" s="134">
        <f t="shared" si="4"/>
        <v>5.5</v>
      </c>
      <c r="O23" s="91" t="s">
        <v>359</v>
      </c>
      <c r="P23" s="88">
        <v>5</v>
      </c>
      <c r="Q23" s="88"/>
      <c r="U23" s="60"/>
      <c r="V23" s="93" t="s">
        <v>323</v>
      </c>
      <c r="W23" s="60"/>
      <c r="X23" s="86"/>
      <c r="Y23" s="60"/>
      <c r="Z23" s="100"/>
    </row>
    <row r="24" spans="1:26" x14ac:dyDescent="0.2">
      <c r="A24" s="99">
        <v>45292</v>
      </c>
      <c r="B24" s="82">
        <v>45297</v>
      </c>
      <c r="C24" s="88" t="s">
        <v>34</v>
      </c>
      <c r="D24" s="60" t="s">
        <v>86</v>
      </c>
      <c r="E24" s="60" t="s">
        <v>348</v>
      </c>
      <c r="F24" s="60" t="s">
        <v>349</v>
      </c>
      <c r="G24" s="59" t="s">
        <v>142</v>
      </c>
      <c r="H24" s="83">
        <v>0.41666666666666669</v>
      </c>
      <c r="I24" s="95">
        <v>0.66666666666666663</v>
      </c>
      <c r="J24" s="63">
        <f t="shared" si="3"/>
        <v>0.24999999999999994</v>
      </c>
      <c r="K24" s="88" t="s">
        <v>110</v>
      </c>
      <c r="L24" s="135">
        <f t="shared" si="4"/>
        <v>5.9999999999999982</v>
      </c>
      <c r="O24" s="91" t="s">
        <v>314</v>
      </c>
      <c r="P24" s="88">
        <v>5</v>
      </c>
      <c r="Q24" s="60"/>
      <c r="U24" s="60"/>
      <c r="V24" s="93" t="s">
        <v>324</v>
      </c>
      <c r="W24" s="60"/>
      <c r="X24" s="86"/>
      <c r="Y24" s="60"/>
      <c r="Z24" s="100"/>
    </row>
    <row r="25" spans="1:26" x14ac:dyDescent="0.2">
      <c r="A25" s="99">
        <v>45292</v>
      </c>
      <c r="B25" s="82">
        <v>45297</v>
      </c>
      <c r="C25" s="88" t="s">
        <v>34</v>
      </c>
      <c r="D25" s="60" t="s">
        <v>86</v>
      </c>
      <c r="E25" s="60" t="s">
        <v>348</v>
      </c>
      <c r="F25" s="60" t="s">
        <v>356</v>
      </c>
      <c r="G25" s="59" t="s">
        <v>142</v>
      </c>
      <c r="H25" s="83">
        <v>0.39583333333333331</v>
      </c>
      <c r="I25" s="95">
        <v>0.66666666666666663</v>
      </c>
      <c r="J25" s="63">
        <f t="shared" si="3"/>
        <v>0.27083333333333331</v>
      </c>
      <c r="K25" s="88" t="s">
        <v>110</v>
      </c>
      <c r="L25" s="135">
        <f t="shared" si="4"/>
        <v>6.5</v>
      </c>
      <c r="O25" s="91" t="s">
        <v>314</v>
      </c>
      <c r="P25" s="88">
        <v>5</v>
      </c>
      <c r="Q25" s="60"/>
      <c r="U25" s="60"/>
      <c r="V25" s="93" t="s">
        <v>406</v>
      </c>
      <c r="W25" s="60"/>
      <c r="X25" s="86"/>
      <c r="Y25" s="60"/>
      <c r="Z25" s="100"/>
    </row>
    <row r="26" spans="1:26" x14ac:dyDescent="0.2">
      <c r="A26" s="99">
        <v>45292</v>
      </c>
      <c r="B26" s="82">
        <v>45297</v>
      </c>
      <c r="C26" s="88" t="s">
        <v>34</v>
      </c>
      <c r="D26" s="60" t="s">
        <v>313</v>
      </c>
      <c r="E26" s="60" t="s">
        <v>350</v>
      </c>
      <c r="F26" s="60" t="s">
        <v>351</v>
      </c>
      <c r="G26" s="72" t="s">
        <v>142</v>
      </c>
      <c r="H26" s="83">
        <v>0.41666666666666669</v>
      </c>
      <c r="I26" s="83">
        <v>0.58333333333333337</v>
      </c>
      <c r="J26" s="63">
        <f t="shared" si="3"/>
        <v>0.16666666666666669</v>
      </c>
      <c r="K26" s="60" t="s">
        <v>113</v>
      </c>
      <c r="L26" s="135">
        <f t="shared" si="4"/>
        <v>4</v>
      </c>
      <c r="M26" s="60"/>
      <c r="N26" s="60"/>
      <c r="O26" s="91" t="s">
        <v>821</v>
      </c>
      <c r="P26" s="88">
        <v>5</v>
      </c>
      <c r="Q26" s="88"/>
      <c r="V26" s="93" t="s">
        <v>438</v>
      </c>
      <c r="Z26" s="100"/>
    </row>
    <row r="27" spans="1:26" x14ac:dyDescent="0.2">
      <c r="A27" s="99">
        <v>45292</v>
      </c>
      <c r="B27" s="82">
        <v>45298</v>
      </c>
      <c r="C27" s="60" t="s">
        <v>31</v>
      </c>
      <c r="D27" s="60" t="s">
        <v>126</v>
      </c>
      <c r="E27" s="60" t="s">
        <v>352</v>
      </c>
      <c r="F27" s="60" t="s">
        <v>342</v>
      </c>
      <c r="G27" s="59" t="s">
        <v>142</v>
      </c>
      <c r="H27" s="83">
        <v>0.41666666666666669</v>
      </c>
      <c r="I27" s="83">
        <v>0.58333333333333337</v>
      </c>
      <c r="J27" s="63">
        <f t="shared" si="3"/>
        <v>0.16666666666666669</v>
      </c>
      <c r="K27" s="88" t="s">
        <v>365</v>
      </c>
      <c r="L27" s="135">
        <f t="shared" si="4"/>
        <v>4</v>
      </c>
      <c r="O27" s="91" t="s">
        <v>362</v>
      </c>
      <c r="P27" s="88">
        <v>5</v>
      </c>
      <c r="Q27" s="60"/>
      <c r="V27" s="93" t="s">
        <v>445</v>
      </c>
      <c r="Z27" s="100"/>
    </row>
    <row r="28" spans="1:26" x14ac:dyDescent="0.2">
      <c r="A28" s="99">
        <v>45292</v>
      </c>
      <c r="B28" s="82">
        <v>45298</v>
      </c>
      <c r="C28" s="60" t="s">
        <v>31</v>
      </c>
      <c r="D28" s="60" t="s">
        <v>32</v>
      </c>
      <c r="E28" s="60" t="s">
        <v>340</v>
      </c>
      <c r="F28" s="60" t="s">
        <v>341</v>
      </c>
      <c r="G28" s="59" t="s">
        <v>142</v>
      </c>
      <c r="H28" s="83">
        <v>0.39583333333333331</v>
      </c>
      <c r="I28" s="83">
        <v>0.45833333333333331</v>
      </c>
      <c r="J28" s="63">
        <f t="shared" si="3"/>
        <v>6.25E-2</v>
      </c>
      <c r="K28" s="88" t="s">
        <v>365</v>
      </c>
      <c r="L28" s="135">
        <f t="shared" si="4"/>
        <v>1.5</v>
      </c>
      <c r="O28" s="91" t="s">
        <v>362</v>
      </c>
      <c r="P28" s="88">
        <v>5</v>
      </c>
      <c r="V28" s="93" t="s">
        <v>46</v>
      </c>
      <c r="Z28" s="100"/>
    </row>
    <row r="29" spans="1:26" x14ac:dyDescent="0.2">
      <c r="A29" s="99">
        <v>45292</v>
      </c>
      <c r="B29" s="82">
        <v>45298</v>
      </c>
      <c r="C29" s="60" t="s">
        <v>31</v>
      </c>
      <c r="D29" s="60" t="s">
        <v>98</v>
      </c>
      <c r="E29" s="60" t="s">
        <v>353</v>
      </c>
      <c r="F29" s="60" t="s">
        <v>354</v>
      </c>
      <c r="G29" s="59" t="s">
        <v>142</v>
      </c>
      <c r="H29" s="83">
        <v>0.5</v>
      </c>
      <c r="I29" s="83">
        <v>0.70833333333333337</v>
      </c>
      <c r="J29" s="63">
        <f t="shared" si="3"/>
        <v>0.20833333333333337</v>
      </c>
      <c r="K29" s="88" t="s">
        <v>365</v>
      </c>
      <c r="L29" s="134">
        <v>0.99999999999999911</v>
      </c>
      <c r="O29" s="91" t="s">
        <v>362</v>
      </c>
      <c r="P29" s="88">
        <v>5</v>
      </c>
      <c r="V29" s="93" t="s">
        <v>461</v>
      </c>
      <c r="Z29" s="100"/>
    </row>
    <row r="30" spans="1:26" x14ac:dyDescent="0.2">
      <c r="A30" s="99">
        <v>45292</v>
      </c>
      <c r="B30" s="82">
        <v>45298</v>
      </c>
      <c r="C30" s="60" t="s">
        <v>31</v>
      </c>
      <c r="D30" s="60" t="s">
        <v>86</v>
      </c>
      <c r="E30" s="60" t="s">
        <v>355</v>
      </c>
      <c r="F30" s="60" t="s">
        <v>349</v>
      </c>
      <c r="G30" s="59" t="s">
        <v>142</v>
      </c>
      <c r="H30" s="83">
        <v>0.41666666666666669</v>
      </c>
      <c r="I30" s="83">
        <v>0.72916666666666663</v>
      </c>
      <c r="J30" s="63">
        <f t="shared" si="3"/>
        <v>0.31249999999999994</v>
      </c>
      <c r="K30" s="88" t="s">
        <v>110</v>
      </c>
      <c r="L30" s="135">
        <f>24*J30</f>
        <v>7.4999999999999982</v>
      </c>
      <c r="O30" s="91" t="s">
        <v>820</v>
      </c>
      <c r="P30" s="88">
        <v>5</v>
      </c>
      <c r="Q30" s="60"/>
      <c r="U30" s="60"/>
      <c r="V30" s="93" t="s">
        <v>476</v>
      </c>
      <c r="W30" s="60"/>
      <c r="X30" s="86"/>
      <c r="Y30" s="60"/>
      <c r="Z30" s="100"/>
    </row>
    <row r="31" spans="1:26" x14ac:dyDescent="0.2">
      <c r="A31" s="99">
        <v>45292</v>
      </c>
      <c r="B31" s="82">
        <v>45298</v>
      </c>
      <c r="C31" s="60" t="s">
        <v>31</v>
      </c>
      <c r="D31" s="72" t="s">
        <v>325</v>
      </c>
      <c r="E31" s="72" t="s">
        <v>370</v>
      </c>
      <c r="F31" s="72" t="s">
        <v>371</v>
      </c>
      <c r="G31" s="72" t="s">
        <v>142</v>
      </c>
      <c r="H31" s="83">
        <v>0.41666666666666669</v>
      </c>
      <c r="I31" s="83">
        <v>0.70833333333333337</v>
      </c>
      <c r="J31" s="63">
        <v>0.27079999999999999</v>
      </c>
      <c r="K31" s="60" t="s">
        <v>113</v>
      </c>
      <c r="L31" s="135">
        <v>6.5</v>
      </c>
      <c r="N31" s="60"/>
      <c r="O31" s="91" t="s">
        <v>359</v>
      </c>
      <c r="P31" s="60">
        <v>5</v>
      </c>
      <c r="Q31" s="60"/>
      <c r="V31" s="93" t="s">
        <v>481</v>
      </c>
      <c r="Z31" s="100"/>
    </row>
    <row r="32" spans="1:26" x14ac:dyDescent="0.2">
      <c r="A32" s="99">
        <v>45292</v>
      </c>
      <c r="B32" s="82">
        <v>45298</v>
      </c>
      <c r="C32" s="60" t="s">
        <v>31</v>
      </c>
      <c r="D32" s="60" t="s">
        <v>98</v>
      </c>
      <c r="E32" s="60" t="s">
        <v>372</v>
      </c>
      <c r="F32" s="60" t="s">
        <v>373</v>
      </c>
      <c r="G32" s="59" t="s">
        <v>142</v>
      </c>
      <c r="H32" s="83">
        <v>0.625</v>
      </c>
      <c r="I32" s="95">
        <v>0.66666666666666663</v>
      </c>
      <c r="J32" s="63">
        <f>I32-H32</f>
        <v>4.166666666666663E-2</v>
      </c>
      <c r="K32" s="60" t="s">
        <v>113</v>
      </c>
      <c r="L32" s="134">
        <v>0.99999999999999911</v>
      </c>
      <c r="O32" s="91" t="s">
        <v>359</v>
      </c>
      <c r="P32" s="88">
        <v>4</v>
      </c>
      <c r="Q32" s="88" t="s">
        <v>374</v>
      </c>
      <c r="V32" s="93" t="s">
        <v>483</v>
      </c>
      <c r="Z32" s="100"/>
    </row>
    <row r="33" spans="1:26" x14ac:dyDescent="0.2">
      <c r="A33" s="99">
        <v>45292</v>
      </c>
      <c r="B33" s="82">
        <v>45299</v>
      </c>
      <c r="C33" s="88" t="s">
        <v>45</v>
      </c>
      <c r="D33" s="60" t="s">
        <v>86</v>
      </c>
      <c r="E33" s="60" t="s">
        <v>375</v>
      </c>
      <c r="F33" s="60" t="s">
        <v>349</v>
      </c>
      <c r="G33" s="59" t="s">
        <v>142</v>
      </c>
      <c r="H33" s="83">
        <v>0.39583333333333331</v>
      </c>
      <c r="I33" s="83">
        <v>0.70833333333333337</v>
      </c>
      <c r="J33" s="63">
        <f>I33-H33</f>
        <v>0.31250000000000006</v>
      </c>
      <c r="K33" s="88" t="s">
        <v>110</v>
      </c>
      <c r="L33" s="135">
        <f>24*J33</f>
        <v>7.5000000000000018</v>
      </c>
      <c r="O33" s="91" t="s">
        <v>820</v>
      </c>
      <c r="P33" s="88">
        <v>5</v>
      </c>
      <c r="Q33" s="60"/>
      <c r="U33" s="60"/>
      <c r="V33" s="93" t="s">
        <v>486</v>
      </c>
      <c r="W33" s="60"/>
      <c r="X33" s="86"/>
      <c r="Y33" s="60"/>
      <c r="Z33" s="100"/>
    </row>
    <row r="34" spans="1:26" ht="14.45" customHeight="1" x14ac:dyDescent="0.2">
      <c r="A34" s="99">
        <v>45292</v>
      </c>
      <c r="B34" s="82">
        <v>45299</v>
      </c>
      <c r="C34" s="88" t="s">
        <v>45</v>
      </c>
      <c r="D34" s="72" t="s">
        <v>325</v>
      </c>
      <c r="E34" s="72" t="s">
        <v>370</v>
      </c>
      <c r="F34" s="72" t="s">
        <v>371</v>
      </c>
      <c r="G34" s="72" t="s">
        <v>142</v>
      </c>
      <c r="H34" s="83">
        <v>0.4375</v>
      </c>
      <c r="I34" s="83">
        <v>0.70833333333333337</v>
      </c>
      <c r="J34" s="63">
        <v>0.27079999999999999</v>
      </c>
      <c r="K34" s="60" t="s">
        <v>113</v>
      </c>
      <c r="L34" s="135">
        <v>6.5</v>
      </c>
      <c r="N34" s="60"/>
      <c r="O34" s="91" t="s">
        <v>359</v>
      </c>
      <c r="P34" s="60">
        <v>5</v>
      </c>
      <c r="Q34" s="60"/>
      <c r="V34" s="86" t="s">
        <v>492</v>
      </c>
      <c r="Z34" s="100"/>
    </row>
    <row r="35" spans="1:26" x14ac:dyDescent="0.2">
      <c r="A35" s="99">
        <v>45292</v>
      </c>
      <c r="B35" s="82">
        <v>45299</v>
      </c>
      <c r="C35" s="88" t="s">
        <v>45</v>
      </c>
      <c r="D35" s="60" t="s">
        <v>481</v>
      </c>
      <c r="E35" s="60" t="s">
        <v>329</v>
      </c>
      <c r="F35" s="60" t="s">
        <v>346</v>
      </c>
      <c r="G35" s="72" t="s">
        <v>142</v>
      </c>
      <c r="H35" s="83">
        <v>0.41666666666666669</v>
      </c>
      <c r="I35" s="83">
        <v>0.70833333333333337</v>
      </c>
      <c r="J35" s="63">
        <f t="shared" ref="J35:J40" si="5">I35-H35</f>
        <v>0.29166666666666669</v>
      </c>
      <c r="K35" s="60" t="s">
        <v>113</v>
      </c>
      <c r="L35" s="134">
        <f t="shared" ref="L35:L40" si="6">24*J35</f>
        <v>7</v>
      </c>
      <c r="O35" s="91" t="s">
        <v>359</v>
      </c>
      <c r="P35" s="88">
        <v>5</v>
      </c>
      <c r="Q35" s="60"/>
      <c r="U35" s="60"/>
      <c r="V35" s="93" t="s">
        <v>498</v>
      </c>
      <c r="W35" s="60"/>
      <c r="X35" s="86"/>
      <c r="Y35" s="60"/>
      <c r="Z35" s="100"/>
    </row>
    <row r="36" spans="1:26" x14ac:dyDescent="0.2">
      <c r="A36" s="99">
        <v>45292</v>
      </c>
      <c r="B36" s="82">
        <v>45299</v>
      </c>
      <c r="C36" s="88" t="s">
        <v>45</v>
      </c>
      <c r="D36" s="60" t="s">
        <v>32</v>
      </c>
      <c r="E36" s="60" t="s">
        <v>340</v>
      </c>
      <c r="F36" s="60" t="s">
        <v>376</v>
      </c>
      <c r="G36" s="59" t="s">
        <v>142</v>
      </c>
      <c r="H36" s="83">
        <v>0.5</v>
      </c>
      <c r="I36" s="83">
        <v>0.70833333333333337</v>
      </c>
      <c r="J36" s="63">
        <f t="shared" si="5"/>
        <v>0.20833333333333337</v>
      </c>
      <c r="K36" s="88" t="s">
        <v>365</v>
      </c>
      <c r="L36" s="135">
        <f t="shared" si="6"/>
        <v>5.0000000000000009</v>
      </c>
      <c r="O36" s="91" t="s">
        <v>359</v>
      </c>
      <c r="P36" s="88">
        <v>5</v>
      </c>
      <c r="V36" s="93" t="s">
        <v>317</v>
      </c>
      <c r="Z36" s="100"/>
    </row>
    <row r="37" spans="1:26" x14ac:dyDescent="0.2">
      <c r="A37" s="99">
        <v>45292</v>
      </c>
      <c r="B37" s="82">
        <v>45299</v>
      </c>
      <c r="C37" s="88" t="s">
        <v>45</v>
      </c>
      <c r="D37" s="60" t="s">
        <v>308</v>
      </c>
      <c r="E37" s="60" t="s">
        <v>377</v>
      </c>
      <c r="F37" s="60" t="s">
        <v>351</v>
      </c>
      <c r="G37" s="72" t="s">
        <v>142</v>
      </c>
      <c r="H37" s="83">
        <v>0.41666666666666669</v>
      </c>
      <c r="I37" s="83">
        <v>0.58333333333333337</v>
      </c>
      <c r="J37" s="63">
        <f t="shared" si="5"/>
        <v>0.16666666666666669</v>
      </c>
      <c r="K37" s="88" t="s">
        <v>365</v>
      </c>
      <c r="L37" s="135">
        <f t="shared" si="6"/>
        <v>4</v>
      </c>
      <c r="M37" s="60"/>
      <c r="N37" s="60"/>
      <c r="O37" s="91" t="s">
        <v>314</v>
      </c>
      <c r="P37" s="88">
        <v>5</v>
      </c>
      <c r="Q37" s="88"/>
      <c r="V37" s="93" t="s">
        <v>499</v>
      </c>
      <c r="Z37" s="100"/>
    </row>
    <row r="38" spans="1:26" ht="15.75" x14ac:dyDescent="0.2">
      <c r="A38" s="99">
        <v>45292</v>
      </c>
      <c r="B38" s="82">
        <v>45299</v>
      </c>
      <c r="C38" s="88" t="s">
        <v>45</v>
      </c>
      <c r="D38" s="60" t="s">
        <v>481</v>
      </c>
      <c r="E38" s="60" t="s">
        <v>378</v>
      </c>
      <c r="F38" s="117" t="s">
        <v>393</v>
      </c>
      <c r="G38" s="59" t="s">
        <v>142</v>
      </c>
      <c r="H38" s="83">
        <v>0.39583333333333331</v>
      </c>
      <c r="I38" s="95">
        <v>0.75</v>
      </c>
      <c r="J38" s="63">
        <f t="shared" si="5"/>
        <v>0.35416666666666669</v>
      </c>
      <c r="K38" s="88" t="s">
        <v>300</v>
      </c>
      <c r="L38" s="135">
        <f t="shared" si="6"/>
        <v>8.5</v>
      </c>
      <c r="O38" s="91" t="s">
        <v>362</v>
      </c>
      <c r="P38" s="88">
        <v>5</v>
      </c>
      <c r="V38" s="93" t="s">
        <v>500</v>
      </c>
      <c r="Z38" s="100"/>
    </row>
    <row r="39" spans="1:26" x14ac:dyDescent="0.2">
      <c r="A39" s="99">
        <v>45292</v>
      </c>
      <c r="B39" s="82">
        <v>45300</v>
      </c>
      <c r="C39" s="88" t="s">
        <v>106</v>
      </c>
      <c r="D39" s="60" t="s">
        <v>308</v>
      </c>
      <c r="E39" s="60" t="s">
        <v>377</v>
      </c>
      <c r="F39" s="60" t="s">
        <v>379</v>
      </c>
      <c r="G39" s="72" t="s">
        <v>142</v>
      </c>
      <c r="H39" s="83">
        <v>0.41666666666666669</v>
      </c>
      <c r="I39" s="95">
        <v>0.66666666666666663</v>
      </c>
      <c r="J39" s="63">
        <f t="shared" si="5"/>
        <v>0.24999999999999994</v>
      </c>
      <c r="K39" s="88" t="s">
        <v>365</v>
      </c>
      <c r="L39" s="135">
        <f t="shared" si="6"/>
        <v>5.9999999999999982</v>
      </c>
      <c r="M39" s="60"/>
      <c r="N39" s="60"/>
      <c r="O39" s="91" t="s">
        <v>314</v>
      </c>
      <c r="P39" s="88">
        <v>5</v>
      </c>
      <c r="Q39" s="88"/>
      <c r="V39" s="93" t="s">
        <v>517</v>
      </c>
      <c r="Z39" s="100"/>
    </row>
    <row r="40" spans="1:26" x14ac:dyDescent="0.2">
      <c r="A40" s="99">
        <v>45292</v>
      </c>
      <c r="B40" s="82">
        <v>45300</v>
      </c>
      <c r="C40" s="88" t="s">
        <v>106</v>
      </c>
      <c r="D40" s="60" t="s">
        <v>86</v>
      </c>
      <c r="E40" s="60" t="s">
        <v>375</v>
      </c>
      <c r="F40" s="60" t="s">
        <v>349</v>
      </c>
      <c r="G40" s="59" t="s">
        <v>142</v>
      </c>
      <c r="H40" s="83">
        <v>0.39583333333333331</v>
      </c>
      <c r="I40" s="83">
        <v>0.52083333333333337</v>
      </c>
      <c r="J40" s="63">
        <f t="shared" si="5"/>
        <v>0.12500000000000006</v>
      </c>
      <c r="K40" s="88" t="s">
        <v>110</v>
      </c>
      <c r="L40" s="135">
        <f t="shared" si="6"/>
        <v>3.0000000000000013</v>
      </c>
      <c r="O40" s="91" t="s">
        <v>820</v>
      </c>
      <c r="P40" s="88">
        <v>5</v>
      </c>
      <c r="Q40" s="60"/>
      <c r="U40" s="60"/>
      <c r="V40" s="93" t="s">
        <v>599</v>
      </c>
      <c r="W40" s="60"/>
      <c r="X40" s="86"/>
      <c r="Y40" s="60"/>
      <c r="Z40" s="100"/>
    </row>
    <row r="41" spans="1:26" ht="14.45" customHeight="1" x14ac:dyDescent="0.2">
      <c r="A41" s="99">
        <v>45292</v>
      </c>
      <c r="B41" s="82">
        <v>45300</v>
      </c>
      <c r="C41" s="88" t="s">
        <v>106</v>
      </c>
      <c r="D41" s="72" t="s">
        <v>325</v>
      </c>
      <c r="E41" s="72" t="s">
        <v>370</v>
      </c>
      <c r="F41" s="72" t="s">
        <v>371</v>
      </c>
      <c r="G41" s="72" t="s">
        <v>142</v>
      </c>
      <c r="H41" s="83">
        <v>0.41666666666666669</v>
      </c>
      <c r="I41" s="83">
        <v>0.70833333333333337</v>
      </c>
      <c r="J41" s="63">
        <v>0.27079999999999999</v>
      </c>
      <c r="K41" s="60" t="s">
        <v>113</v>
      </c>
      <c r="L41" s="135">
        <v>6.5</v>
      </c>
      <c r="N41" s="60"/>
      <c r="O41" s="91" t="s">
        <v>359</v>
      </c>
      <c r="P41" s="60">
        <v>5</v>
      </c>
      <c r="Q41" s="60"/>
      <c r="V41" s="86" t="s">
        <v>609</v>
      </c>
      <c r="Z41" s="100"/>
    </row>
    <row r="42" spans="1:26" ht="14.45" customHeight="1" x14ac:dyDescent="0.2">
      <c r="A42" s="99">
        <v>45292</v>
      </c>
      <c r="B42" s="82">
        <v>45300</v>
      </c>
      <c r="C42" s="88" t="s">
        <v>106</v>
      </c>
      <c r="D42" s="60" t="s">
        <v>481</v>
      </c>
      <c r="E42" s="60" t="s">
        <v>368</v>
      </c>
      <c r="F42" s="60" t="s">
        <v>382</v>
      </c>
      <c r="G42" s="72" t="s">
        <v>142</v>
      </c>
      <c r="H42" s="83">
        <v>0.45833333333333331</v>
      </c>
      <c r="I42" s="83">
        <v>0.70833333333333337</v>
      </c>
      <c r="J42" s="63">
        <v>0.27079999999999999</v>
      </c>
      <c r="K42" s="60" t="s">
        <v>365</v>
      </c>
      <c r="L42" s="135">
        <v>6.5</v>
      </c>
      <c r="N42" s="60"/>
      <c r="O42" s="91" t="s">
        <v>359</v>
      </c>
      <c r="P42" s="60">
        <v>5</v>
      </c>
      <c r="Q42" s="60"/>
      <c r="V42" s="86" t="s">
        <v>632</v>
      </c>
      <c r="Z42" s="100"/>
    </row>
    <row r="43" spans="1:26" ht="14.45" customHeight="1" x14ac:dyDescent="0.2">
      <c r="A43" s="99">
        <v>45292</v>
      </c>
      <c r="B43" s="82">
        <v>45300</v>
      </c>
      <c r="C43" s="88" t="s">
        <v>106</v>
      </c>
      <c r="D43" s="60" t="s">
        <v>481</v>
      </c>
      <c r="E43" s="60" t="s">
        <v>368</v>
      </c>
      <c r="F43" s="60" t="s">
        <v>383</v>
      </c>
      <c r="G43" s="72" t="s">
        <v>142</v>
      </c>
      <c r="H43" s="83">
        <v>0.45833333333333331</v>
      </c>
      <c r="I43" s="83">
        <v>0.70833333333333337</v>
      </c>
      <c r="J43" s="63">
        <v>0.27079999999999999</v>
      </c>
      <c r="K43" s="60" t="s">
        <v>113</v>
      </c>
      <c r="L43" s="135">
        <v>6.5</v>
      </c>
      <c r="N43" s="60"/>
      <c r="O43" s="91" t="s">
        <v>359</v>
      </c>
      <c r="P43" s="60">
        <v>5</v>
      </c>
      <c r="Q43" s="60"/>
      <c r="V43" s="86" t="s">
        <v>639</v>
      </c>
      <c r="Z43" s="100"/>
    </row>
    <row r="44" spans="1:26" ht="14.45" customHeight="1" x14ac:dyDescent="0.2">
      <c r="A44" s="99">
        <v>45292</v>
      </c>
      <c r="B44" s="82">
        <v>45300</v>
      </c>
      <c r="C44" s="88" t="s">
        <v>106</v>
      </c>
      <c r="D44" s="60" t="s">
        <v>319</v>
      </c>
      <c r="E44" s="60" t="s">
        <v>384</v>
      </c>
      <c r="F44" s="60" t="s">
        <v>385</v>
      </c>
      <c r="G44" s="72" t="s">
        <v>142</v>
      </c>
      <c r="H44" s="95">
        <v>0.6875</v>
      </c>
      <c r="I44" s="83">
        <v>0.70833333333333337</v>
      </c>
      <c r="J44" s="63">
        <v>0.27079999999999999</v>
      </c>
      <c r="K44" s="60" t="s">
        <v>113</v>
      </c>
      <c r="L44" s="135">
        <v>6.5</v>
      </c>
      <c r="N44" s="60"/>
      <c r="O44" s="91" t="s">
        <v>359</v>
      </c>
      <c r="P44" s="60">
        <v>5</v>
      </c>
      <c r="Q44" s="60"/>
      <c r="V44" s="86" t="s">
        <v>658</v>
      </c>
      <c r="Z44" s="100"/>
    </row>
    <row r="45" spans="1:26" ht="15.75" x14ac:dyDescent="0.2">
      <c r="A45" s="99">
        <v>45292</v>
      </c>
      <c r="B45" s="82">
        <v>45301</v>
      </c>
      <c r="C45" s="60" t="s">
        <v>398</v>
      </c>
      <c r="D45" s="60" t="s">
        <v>481</v>
      </c>
      <c r="E45" s="60" t="s">
        <v>421</v>
      </c>
      <c r="F45" s="117" t="s">
        <v>940</v>
      </c>
      <c r="G45" s="59" t="s">
        <v>142</v>
      </c>
      <c r="H45" s="83">
        <v>0.375</v>
      </c>
      <c r="I45" s="95">
        <v>0.75</v>
      </c>
      <c r="J45" s="63">
        <f t="shared" ref="J45:J54" si="7">I45-H45</f>
        <v>0.375</v>
      </c>
      <c r="K45" s="88" t="s">
        <v>300</v>
      </c>
      <c r="L45" s="135">
        <f>24*J45</f>
        <v>9</v>
      </c>
      <c r="O45" s="91" t="s">
        <v>362</v>
      </c>
      <c r="P45" s="88">
        <v>5</v>
      </c>
      <c r="R45" s="88"/>
      <c r="U45" s="60"/>
      <c r="V45" s="93" t="s">
        <v>662</v>
      </c>
      <c r="W45" s="60"/>
      <c r="X45" s="86"/>
      <c r="Z45" s="100"/>
    </row>
    <row r="46" spans="1:26" x14ac:dyDescent="0.2">
      <c r="A46" s="99">
        <v>45292</v>
      </c>
      <c r="B46" s="82">
        <v>45301</v>
      </c>
      <c r="C46" s="60" t="s">
        <v>398</v>
      </c>
      <c r="D46" s="60" t="s">
        <v>126</v>
      </c>
      <c r="E46" s="60" t="s">
        <v>352</v>
      </c>
      <c r="F46" s="60" t="s">
        <v>921</v>
      </c>
      <c r="G46" s="59" t="s">
        <v>142</v>
      </c>
      <c r="H46" s="83">
        <v>0.45833333333333331</v>
      </c>
      <c r="I46" s="83">
        <v>0.52083333333333337</v>
      </c>
      <c r="J46" s="63">
        <f t="shared" si="7"/>
        <v>6.2500000000000056E-2</v>
      </c>
      <c r="K46" s="88" t="s">
        <v>110</v>
      </c>
      <c r="L46" s="135">
        <f>24*J46</f>
        <v>1.5000000000000013</v>
      </c>
      <c r="O46" s="91" t="s">
        <v>359</v>
      </c>
      <c r="P46" s="88">
        <v>5</v>
      </c>
      <c r="Q46" s="60"/>
      <c r="V46" s="93" t="s">
        <v>672</v>
      </c>
      <c r="Z46" s="100"/>
    </row>
    <row r="47" spans="1:26" ht="15.75" x14ac:dyDescent="0.2">
      <c r="A47" s="99">
        <v>45292</v>
      </c>
      <c r="B47" s="82">
        <v>45301</v>
      </c>
      <c r="C47" s="60" t="s">
        <v>398</v>
      </c>
      <c r="D47" s="60" t="s">
        <v>481</v>
      </c>
      <c r="E47" s="60" t="s">
        <v>421</v>
      </c>
      <c r="F47" s="117" t="s">
        <v>940</v>
      </c>
      <c r="G47" s="59" t="s">
        <v>142</v>
      </c>
      <c r="H47" s="83">
        <v>0.375</v>
      </c>
      <c r="I47" s="83">
        <v>0.64583333333333337</v>
      </c>
      <c r="J47" s="63">
        <f t="shared" si="7"/>
        <v>0.27083333333333337</v>
      </c>
      <c r="K47" s="88" t="s">
        <v>300</v>
      </c>
      <c r="L47" s="135">
        <f>24*J47</f>
        <v>6.5000000000000009</v>
      </c>
      <c r="O47" s="91" t="s">
        <v>362</v>
      </c>
      <c r="P47" s="88">
        <v>5</v>
      </c>
      <c r="R47" s="88"/>
      <c r="U47" s="60"/>
      <c r="V47" s="93" t="s">
        <v>702</v>
      </c>
      <c r="W47" s="60"/>
      <c r="X47" s="86"/>
      <c r="Z47" s="100"/>
    </row>
    <row r="48" spans="1:26" x14ac:dyDescent="0.2">
      <c r="A48" s="99">
        <v>45292</v>
      </c>
      <c r="B48" s="82">
        <v>45301</v>
      </c>
      <c r="C48" s="60" t="s">
        <v>398</v>
      </c>
      <c r="D48" s="60" t="s">
        <v>98</v>
      </c>
      <c r="E48" s="60" t="s">
        <v>656</v>
      </c>
      <c r="F48" s="60" t="s">
        <v>657</v>
      </c>
      <c r="G48" s="59" t="s">
        <v>142</v>
      </c>
      <c r="H48" s="83">
        <v>0.41666666666666669</v>
      </c>
      <c r="I48" s="83">
        <v>0.70833333333333337</v>
      </c>
      <c r="J48" s="63">
        <f t="shared" si="7"/>
        <v>0.29166666666666669</v>
      </c>
      <c r="K48" s="88" t="s">
        <v>365</v>
      </c>
      <c r="L48" s="134">
        <v>0.99999999999999911</v>
      </c>
      <c r="O48" s="91" t="s">
        <v>314</v>
      </c>
      <c r="P48" s="88">
        <v>5</v>
      </c>
      <c r="Q48" s="88"/>
      <c r="V48" s="93" t="s">
        <v>719</v>
      </c>
      <c r="Z48" s="100"/>
    </row>
    <row r="49" spans="1:26" ht="15.75" x14ac:dyDescent="0.2">
      <c r="A49" s="99">
        <v>45292</v>
      </c>
      <c r="B49" s="82">
        <v>45301</v>
      </c>
      <c r="C49" s="60" t="s">
        <v>398</v>
      </c>
      <c r="D49" s="60" t="s">
        <v>481</v>
      </c>
      <c r="E49" s="60" t="s">
        <v>423</v>
      </c>
      <c r="F49" s="117" t="s">
        <v>940</v>
      </c>
      <c r="G49" s="59" t="s">
        <v>142</v>
      </c>
      <c r="H49" s="83">
        <v>0.375</v>
      </c>
      <c r="I49" s="95">
        <v>0.75</v>
      </c>
      <c r="J49" s="63">
        <f t="shared" si="7"/>
        <v>0.375</v>
      </c>
      <c r="K49" s="88" t="s">
        <v>365</v>
      </c>
      <c r="L49" s="135">
        <f>24*J49</f>
        <v>9</v>
      </c>
      <c r="O49" s="91" t="s">
        <v>362</v>
      </c>
      <c r="P49" s="88">
        <v>5</v>
      </c>
      <c r="R49" s="88"/>
      <c r="U49" s="60"/>
      <c r="V49" s="93" t="s">
        <v>720</v>
      </c>
      <c r="W49" s="60"/>
      <c r="X49" s="86"/>
      <c r="Z49" s="100"/>
    </row>
    <row r="50" spans="1:26" x14ac:dyDescent="0.2">
      <c r="A50" s="99">
        <v>45292</v>
      </c>
      <c r="B50" s="82">
        <v>45301</v>
      </c>
      <c r="C50" s="60" t="s">
        <v>398</v>
      </c>
      <c r="D50" s="60" t="s">
        <v>126</v>
      </c>
      <c r="E50" s="60" t="s">
        <v>352</v>
      </c>
      <c r="F50" s="60" t="s">
        <v>920</v>
      </c>
      <c r="G50" s="59" t="s">
        <v>142</v>
      </c>
      <c r="H50" s="83">
        <v>0.58333333333333337</v>
      </c>
      <c r="I50" s="83">
        <v>0.625</v>
      </c>
      <c r="J50" s="63">
        <f t="shared" si="7"/>
        <v>4.166666666666663E-2</v>
      </c>
      <c r="K50" s="60" t="s">
        <v>113</v>
      </c>
      <c r="L50" s="135">
        <f>24*J50</f>
        <v>0.99999999999999911</v>
      </c>
      <c r="O50" s="91" t="s">
        <v>359</v>
      </c>
      <c r="P50" s="88">
        <v>5</v>
      </c>
      <c r="Q50" s="60"/>
      <c r="V50" s="93" t="s">
        <v>740</v>
      </c>
      <c r="Z50" s="100"/>
    </row>
    <row r="51" spans="1:26" x14ac:dyDescent="0.2">
      <c r="A51" s="99">
        <v>45292</v>
      </c>
      <c r="B51" s="82">
        <v>45301</v>
      </c>
      <c r="C51" s="60" t="s">
        <v>398</v>
      </c>
      <c r="D51" s="60" t="s">
        <v>98</v>
      </c>
      <c r="E51" s="60" t="s">
        <v>386</v>
      </c>
      <c r="F51" s="60" t="s">
        <v>387</v>
      </c>
      <c r="G51" s="59" t="s">
        <v>142</v>
      </c>
      <c r="H51" s="83">
        <v>0.45833333333333331</v>
      </c>
      <c r="I51" s="83">
        <v>0.70833333333333337</v>
      </c>
      <c r="J51" s="63">
        <f t="shared" si="7"/>
        <v>0.25000000000000006</v>
      </c>
      <c r="K51" s="60" t="s">
        <v>365</v>
      </c>
      <c r="L51" s="134">
        <v>0.99999999999999911</v>
      </c>
      <c r="O51" s="91" t="s">
        <v>359</v>
      </c>
      <c r="P51" s="88">
        <v>5</v>
      </c>
      <c r="Q51" s="88"/>
      <c r="V51" s="93" t="s">
        <v>765</v>
      </c>
      <c r="Z51" s="100"/>
    </row>
    <row r="52" spans="1:26" x14ac:dyDescent="0.2">
      <c r="A52" s="99">
        <v>45292</v>
      </c>
      <c r="B52" s="82">
        <v>45301</v>
      </c>
      <c r="C52" s="60" t="s">
        <v>398</v>
      </c>
      <c r="D52" s="60" t="s">
        <v>86</v>
      </c>
      <c r="E52" s="60" t="s">
        <v>375</v>
      </c>
      <c r="F52" s="60" t="s">
        <v>349</v>
      </c>
      <c r="G52" s="59" t="s">
        <v>142</v>
      </c>
      <c r="H52" s="83">
        <v>0.39583333333333331</v>
      </c>
      <c r="I52" s="83">
        <v>0.47916666666666669</v>
      </c>
      <c r="J52" s="63">
        <f t="shared" si="7"/>
        <v>8.333333333333337E-2</v>
      </c>
      <c r="K52" s="88" t="s">
        <v>110</v>
      </c>
      <c r="L52" s="135">
        <f>24*J52</f>
        <v>2.0000000000000009</v>
      </c>
      <c r="O52" s="91" t="s">
        <v>820</v>
      </c>
      <c r="P52" s="88">
        <v>5</v>
      </c>
      <c r="Q52" s="60"/>
      <c r="U52" s="60"/>
      <c r="V52" s="93" t="s">
        <v>32</v>
      </c>
      <c r="W52" s="60"/>
      <c r="X52" s="86"/>
      <c r="Y52" s="60"/>
      <c r="Z52" s="100"/>
    </row>
    <row r="53" spans="1:26" x14ac:dyDescent="0.2">
      <c r="A53" s="99">
        <v>45292</v>
      </c>
      <c r="B53" s="82">
        <v>45301</v>
      </c>
      <c r="C53" s="60" t="s">
        <v>398</v>
      </c>
      <c r="D53" s="60" t="s">
        <v>32</v>
      </c>
      <c r="E53" s="60" t="s">
        <v>388</v>
      </c>
      <c r="F53" s="60" t="s">
        <v>389</v>
      </c>
      <c r="G53" s="59" t="s">
        <v>142</v>
      </c>
      <c r="H53" s="83">
        <v>0.47916666666666669</v>
      </c>
      <c r="I53" s="95">
        <v>0.6875</v>
      </c>
      <c r="J53" s="63">
        <f t="shared" si="7"/>
        <v>0.20833333333333331</v>
      </c>
      <c r="K53" s="88" t="s">
        <v>110</v>
      </c>
      <c r="L53" s="135">
        <f>24*J53</f>
        <v>5</v>
      </c>
      <c r="O53" s="91" t="s">
        <v>820</v>
      </c>
      <c r="P53" s="88">
        <v>5</v>
      </c>
      <c r="Q53" s="60"/>
      <c r="U53" s="60"/>
      <c r="V53" s="93" t="s">
        <v>830</v>
      </c>
      <c r="W53" s="60"/>
      <c r="X53" s="86"/>
      <c r="Y53" s="60"/>
      <c r="Z53" s="100"/>
    </row>
    <row r="54" spans="1:26" x14ac:dyDescent="0.2">
      <c r="A54" s="99">
        <v>45292</v>
      </c>
      <c r="B54" s="82">
        <v>45301</v>
      </c>
      <c r="C54" s="60" t="s">
        <v>398</v>
      </c>
      <c r="D54" s="60" t="s">
        <v>126</v>
      </c>
      <c r="E54" s="60" t="s">
        <v>352</v>
      </c>
      <c r="F54" s="60" t="s">
        <v>920</v>
      </c>
      <c r="G54" s="59" t="s">
        <v>142</v>
      </c>
      <c r="H54" s="83">
        <v>0.45833333333333331</v>
      </c>
      <c r="I54" s="83">
        <v>0.52083333333333337</v>
      </c>
      <c r="J54" s="63">
        <f t="shared" si="7"/>
        <v>6.2500000000000056E-2</v>
      </c>
      <c r="K54" s="88" t="s">
        <v>295</v>
      </c>
      <c r="L54" s="135">
        <f>24*J54</f>
        <v>1.5000000000000013</v>
      </c>
      <c r="O54" s="91" t="s">
        <v>820</v>
      </c>
      <c r="P54" s="88">
        <v>5</v>
      </c>
      <c r="Q54" s="60"/>
      <c r="V54" s="93" t="s">
        <v>86</v>
      </c>
      <c r="Z54" s="100"/>
    </row>
    <row r="55" spans="1:26" ht="14.45" customHeight="1" x14ac:dyDescent="0.2">
      <c r="A55" s="99">
        <v>45292</v>
      </c>
      <c r="B55" s="82">
        <v>45301</v>
      </c>
      <c r="C55" s="60" t="s">
        <v>398</v>
      </c>
      <c r="D55" s="72" t="s">
        <v>325</v>
      </c>
      <c r="E55" s="72" t="s">
        <v>370</v>
      </c>
      <c r="F55" s="72" t="s">
        <v>371</v>
      </c>
      <c r="G55" s="72" t="s">
        <v>142</v>
      </c>
      <c r="H55" s="83">
        <v>0.41666666666666669</v>
      </c>
      <c r="I55" s="83">
        <v>0.70833333333333337</v>
      </c>
      <c r="J55" s="63">
        <v>0.27079999999999999</v>
      </c>
      <c r="K55" s="60" t="s">
        <v>113</v>
      </c>
      <c r="L55" s="135">
        <v>6.5</v>
      </c>
      <c r="N55" s="60"/>
      <c r="O55" s="91" t="s">
        <v>359</v>
      </c>
      <c r="P55" s="60">
        <v>5</v>
      </c>
      <c r="Q55" s="60"/>
      <c r="V55" s="86" t="s">
        <v>840</v>
      </c>
      <c r="Z55" s="100"/>
    </row>
    <row r="56" spans="1:26" ht="14.45" customHeight="1" x14ac:dyDescent="0.2">
      <c r="A56" s="99">
        <v>45292</v>
      </c>
      <c r="B56" s="82">
        <v>45302</v>
      </c>
      <c r="C56" s="82" t="s">
        <v>124</v>
      </c>
      <c r="D56" s="72" t="s">
        <v>325</v>
      </c>
      <c r="E56" s="72" t="s">
        <v>370</v>
      </c>
      <c r="F56" s="72" t="s">
        <v>371</v>
      </c>
      <c r="G56" s="72" t="s">
        <v>142</v>
      </c>
      <c r="H56" s="83">
        <v>0.39583333333333331</v>
      </c>
      <c r="I56" s="83">
        <v>0.70833333333333337</v>
      </c>
      <c r="J56" s="63">
        <v>0.27079999999999999</v>
      </c>
      <c r="K56" s="60" t="s">
        <v>113</v>
      </c>
      <c r="L56" s="135">
        <v>6.5</v>
      </c>
      <c r="N56" s="60"/>
      <c r="O56" s="91" t="s">
        <v>359</v>
      </c>
      <c r="P56" s="88">
        <v>4</v>
      </c>
      <c r="Q56" s="60" t="s">
        <v>390</v>
      </c>
      <c r="V56" s="86" t="s">
        <v>122</v>
      </c>
      <c r="Z56" s="100"/>
    </row>
    <row r="57" spans="1:26" x14ac:dyDescent="0.2">
      <c r="A57" s="99">
        <v>45292</v>
      </c>
      <c r="B57" s="82">
        <v>45302</v>
      </c>
      <c r="C57" s="82" t="s">
        <v>124</v>
      </c>
      <c r="D57" s="60" t="s">
        <v>481</v>
      </c>
      <c r="E57" s="60" t="s">
        <v>329</v>
      </c>
      <c r="F57" s="60" t="s">
        <v>391</v>
      </c>
      <c r="G57" s="72" t="s">
        <v>142</v>
      </c>
      <c r="H57" s="83">
        <v>0.45833333333333331</v>
      </c>
      <c r="I57" s="83">
        <v>0.70833333333333337</v>
      </c>
      <c r="J57" s="63">
        <f t="shared" ref="J57:J63" si="8">I57-H57</f>
        <v>0.25000000000000006</v>
      </c>
      <c r="K57" s="60" t="s">
        <v>113</v>
      </c>
      <c r="L57" s="134">
        <f t="shared" ref="L57:L63" si="9">24*J57</f>
        <v>6.0000000000000018</v>
      </c>
      <c r="O57" s="91" t="s">
        <v>359</v>
      </c>
      <c r="P57" s="88">
        <v>5</v>
      </c>
      <c r="Q57" s="60"/>
      <c r="U57" s="60"/>
      <c r="V57" s="93" t="s">
        <v>874</v>
      </c>
      <c r="W57" s="60"/>
      <c r="X57" s="86"/>
      <c r="Y57" s="60"/>
      <c r="Z57" s="100"/>
    </row>
    <row r="58" spans="1:26" x14ac:dyDescent="0.2">
      <c r="A58" s="99">
        <v>45292</v>
      </c>
      <c r="B58" s="82">
        <v>45302</v>
      </c>
      <c r="C58" s="82" t="s">
        <v>124</v>
      </c>
      <c r="D58" s="60" t="s">
        <v>32</v>
      </c>
      <c r="E58" s="60" t="s">
        <v>388</v>
      </c>
      <c r="F58" s="60" t="s">
        <v>389</v>
      </c>
      <c r="G58" s="59" t="s">
        <v>142</v>
      </c>
      <c r="H58" s="83">
        <v>0.47916666666666669</v>
      </c>
      <c r="I58" s="83">
        <v>0.70833333333333337</v>
      </c>
      <c r="J58" s="63">
        <f t="shared" si="8"/>
        <v>0.22916666666666669</v>
      </c>
      <c r="K58" s="88" t="s">
        <v>110</v>
      </c>
      <c r="L58" s="135">
        <f t="shared" si="9"/>
        <v>5.5</v>
      </c>
      <c r="O58" s="91" t="s">
        <v>820</v>
      </c>
      <c r="P58" s="88">
        <v>5</v>
      </c>
      <c r="Q58" s="60"/>
      <c r="U58" s="60"/>
      <c r="V58" s="93" t="s">
        <v>931</v>
      </c>
      <c r="W58" s="60"/>
      <c r="X58" s="86"/>
      <c r="Y58" s="60"/>
      <c r="Z58" s="100"/>
    </row>
    <row r="59" spans="1:26" x14ac:dyDescent="0.2">
      <c r="A59" s="99">
        <v>45292</v>
      </c>
      <c r="B59" s="82">
        <v>45303</v>
      </c>
      <c r="C59" s="60" t="s">
        <v>33</v>
      </c>
      <c r="D59" s="60" t="s">
        <v>86</v>
      </c>
      <c r="E59" s="60" t="s">
        <v>345</v>
      </c>
      <c r="F59" s="60" t="s">
        <v>392</v>
      </c>
      <c r="G59" s="59" t="s">
        <v>142</v>
      </c>
      <c r="H59" s="83">
        <v>0.39583333333333331</v>
      </c>
      <c r="I59" s="83">
        <v>0.72916666666666663</v>
      </c>
      <c r="J59" s="63">
        <f t="shared" si="8"/>
        <v>0.33333333333333331</v>
      </c>
      <c r="K59" s="88" t="s">
        <v>110</v>
      </c>
      <c r="L59" s="135">
        <f t="shared" si="9"/>
        <v>8</v>
      </c>
      <c r="O59" s="91" t="s">
        <v>820</v>
      </c>
      <c r="P59" s="88">
        <v>5</v>
      </c>
      <c r="Q59" s="60"/>
      <c r="U59" s="60"/>
      <c r="V59" s="93" t="s">
        <v>954</v>
      </c>
      <c r="W59" s="60"/>
      <c r="X59" s="86"/>
      <c r="Y59" s="60"/>
      <c r="Z59" s="100"/>
    </row>
    <row r="60" spans="1:26" x14ac:dyDescent="0.2">
      <c r="A60" s="99">
        <v>45292</v>
      </c>
      <c r="B60" s="82">
        <v>45303</v>
      </c>
      <c r="C60" s="60" t="s">
        <v>33</v>
      </c>
      <c r="D60" s="60" t="s">
        <v>86</v>
      </c>
      <c r="E60" s="60" t="s">
        <v>345</v>
      </c>
      <c r="F60" s="60" t="s">
        <v>393</v>
      </c>
      <c r="G60" s="59" t="s">
        <v>142</v>
      </c>
      <c r="H60" s="83">
        <v>0.39583333333333331</v>
      </c>
      <c r="I60" s="83">
        <v>0.72916666666666663</v>
      </c>
      <c r="J60" s="63">
        <f t="shared" si="8"/>
        <v>0.33333333333333331</v>
      </c>
      <c r="K60" s="88" t="s">
        <v>110</v>
      </c>
      <c r="L60" s="135">
        <f t="shared" si="9"/>
        <v>8</v>
      </c>
      <c r="O60" s="91" t="s">
        <v>362</v>
      </c>
      <c r="P60" s="88">
        <v>5</v>
      </c>
      <c r="Q60" s="60"/>
      <c r="U60" s="60"/>
      <c r="V60" s="93" t="s">
        <v>983</v>
      </c>
      <c r="W60" s="60"/>
      <c r="X60" s="86"/>
      <c r="Y60" s="60"/>
      <c r="Z60" s="100"/>
    </row>
    <row r="61" spans="1:26" ht="14.45" customHeight="1" x14ac:dyDescent="0.2">
      <c r="A61" s="99">
        <v>45292</v>
      </c>
      <c r="B61" s="82">
        <v>45304</v>
      </c>
      <c r="C61" s="88" t="s">
        <v>34</v>
      </c>
      <c r="D61" s="60" t="s">
        <v>830</v>
      </c>
      <c r="E61" s="60" t="s">
        <v>901</v>
      </c>
      <c r="F61" s="60" t="s">
        <v>924</v>
      </c>
      <c r="G61" s="59" t="s">
        <v>142</v>
      </c>
      <c r="H61" s="83">
        <v>0.33333333333333331</v>
      </c>
      <c r="I61" s="83">
        <v>0.39583333333333331</v>
      </c>
      <c r="J61" s="63">
        <f t="shared" si="8"/>
        <v>6.25E-2</v>
      </c>
      <c r="K61" s="60" t="s">
        <v>365</v>
      </c>
      <c r="L61" s="135">
        <f t="shared" si="9"/>
        <v>1.5</v>
      </c>
      <c r="O61" s="91" t="s">
        <v>363</v>
      </c>
      <c r="P61" s="88">
        <v>4</v>
      </c>
      <c r="Q61" s="60" t="s">
        <v>390</v>
      </c>
      <c r="V61" s="92" t="s">
        <v>1060</v>
      </c>
      <c r="Z61" s="100"/>
    </row>
    <row r="62" spans="1:26" x14ac:dyDescent="0.2">
      <c r="A62" s="99">
        <v>45292</v>
      </c>
      <c r="B62" s="82">
        <v>45304</v>
      </c>
      <c r="C62" s="88" t="s">
        <v>34</v>
      </c>
      <c r="D62" s="60" t="s">
        <v>86</v>
      </c>
      <c r="E62" s="60" t="s">
        <v>345</v>
      </c>
      <c r="F62" s="60" t="s">
        <v>392</v>
      </c>
      <c r="G62" s="59" t="s">
        <v>142</v>
      </c>
      <c r="H62" s="83">
        <v>0.39583333333333331</v>
      </c>
      <c r="I62" s="83">
        <v>0.875</v>
      </c>
      <c r="J62" s="63">
        <f t="shared" si="8"/>
        <v>0.47916666666666669</v>
      </c>
      <c r="K62" s="88" t="s">
        <v>110</v>
      </c>
      <c r="L62" s="135">
        <f t="shared" si="9"/>
        <v>11.5</v>
      </c>
      <c r="O62" s="91" t="s">
        <v>820</v>
      </c>
      <c r="P62" s="88">
        <v>5</v>
      </c>
      <c r="Q62" s="60"/>
      <c r="U62" s="60"/>
      <c r="V62" s="93" t="s">
        <v>1064</v>
      </c>
      <c r="W62" s="60"/>
      <c r="X62" s="86"/>
      <c r="Y62" s="60"/>
      <c r="Z62" s="100"/>
    </row>
    <row r="63" spans="1:26" x14ac:dyDescent="0.2">
      <c r="A63" s="99">
        <v>45292</v>
      </c>
      <c r="B63" s="82">
        <v>45305</v>
      </c>
      <c r="C63" s="60" t="s">
        <v>31</v>
      </c>
      <c r="D63" s="60" t="s">
        <v>86</v>
      </c>
      <c r="E63" s="60" t="s">
        <v>345</v>
      </c>
      <c r="F63" s="60" t="s">
        <v>392</v>
      </c>
      <c r="G63" s="59" t="s">
        <v>142</v>
      </c>
      <c r="H63" s="83">
        <v>0.39583333333333331</v>
      </c>
      <c r="I63" s="83">
        <v>0.72916666666666663</v>
      </c>
      <c r="J63" s="63">
        <f t="shared" si="8"/>
        <v>0.33333333333333331</v>
      </c>
      <c r="K63" s="88" t="s">
        <v>110</v>
      </c>
      <c r="L63" s="135">
        <f t="shared" si="9"/>
        <v>8</v>
      </c>
      <c r="O63" s="91" t="s">
        <v>820</v>
      </c>
      <c r="P63" s="88">
        <v>5</v>
      </c>
      <c r="Q63" s="60"/>
      <c r="U63" s="60"/>
      <c r="V63" s="93" t="s">
        <v>1067</v>
      </c>
      <c r="W63" s="60"/>
      <c r="X63" s="86"/>
      <c r="Y63" s="60"/>
      <c r="Z63" s="100"/>
    </row>
    <row r="64" spans="1:26" ht="14.45" customHeight="1" x14ac:dyDescent="0.2">
      <c r="A64" s="99">
        <v>45292</v>
      </c>
      <c r="B64" s="82">
        <v>45305</v>
      </c>
      <c r="C64" s="60" t="s">
        <v>31</v>
      </c>
      <c r="D64" s="60" t="s">
        <v>481</v>
      </c>
      <c r="E64" s="60" t="s">
        <v>368</v>
      </c>
      <c r="F64" s="60" t="s">
        <v>395</v>
      </c>
      <c r="G64" s="72" t="s">
        <v>142</v>
      </c>
      <c r="H64" s="83">
        <v>0.41666666666666669</v>
      </c>
      <c r="I64" s="83">
        <v>0.70833333333333337</v>
      </c>
      <c r="J64" s="63">
        <v>0.27079999999999999</v>
      </c>
      <c r="K64" s="60" t="s">
        <v>365</v>
      </c>
      <c r="L64" s="135">
        <v>6.5</v>
      </c>
      <c r="N64" s="60"/>
      <c r="O64" s="91" t="s">
        <v>359</v>
      </c>
      <c r="P64" s="60">
        <v>5</v>
      </c>
      <c r="Q64" s="60"/>
      <c r="V64" s="86" t="s">
        <v>1152</v>
      </c>
      <c r="Z64" s="100"/>
    </row>
    <row r="65" spans="1:26" ht="14.45" customHeight="1" x14ac:dyDescent="0.2">
      <c r="A65" s="99">
        <v>45292</v>
      </c>
      <c r="B65" s="82">
        <v>45305</v>
      </c>
      <c r="C65" s="60" t="s">
        <v>31</v>
      </c>
      <c r="D65" s="60" t="s">
        <v>830</v>
      </c>
      <c r="E65" s="60" t="s">
        <v>396</v>
      </c>
      <c r="F65" s="60" t="s">
        <v>397</v>
      </c>
      <c r="G65" s="59" t="s">
        <v>142</v>
      </c>
      <c r="H65" s="83">
        <v>0.54166666666666663</v>
      </c>
      <c r="I65" s="83">
        <v>0.70833333333333337</v>
      </c>
      <c r="J65" s="63">
        <f>I65-H65</f>
        <v>0.16666666666666674</v>
      </c>
      <c r="K65" s="60" t="s">
        <v>113</v>
      </c>
      <c r="L65" s="135">
        <f>24*J65</f>
        <v>4.0000000000000018</v>
      </c>
      <c r="O65" s="91" t="s">
        <v>359</v>
      </c>
      <c r="P65" s="60">
        <v>5</v>
      </c>
      <c r="Q65" s="60"/>
      <c r="V65" s="92" t="s">
        <v>1180</v>
      </c>
      <c r="Z65" s="100"/>
    </row>
    <row r="66" spans="1:26" x14ac:dyDescent="0.2">
      <c r="A66" s="99">
        <v>45292</v>
      </c>
      <c r="B66" s="82">
        <v>45306</v>
      </c>
      <c r="C66" s="88" t="s">
        <v>45</v>
      </c>
      <c r="D66" s="60" t="s">
        <v>32</v>
      </c>
      <c r="E66" s="60" t="s">
        <v>388</v>
      </c>
      <c r="F66" s="60" t="s">
        <v>399</v>
      </c>
      <c r="G66" s="59" t="s">
        <v>142</v>
      </c>
      <c r="H66" s="83">
        <v>0.47916666666666669</v>
      </c>
      <c r="I66" s="83">
        <v>0.70833333333333337</v>
      </c>
      <c r="J66" s="63">
        <f>I66-H66</f>
        <v>0.22916666666666669</v>
      </c>
      <c r="K66" s="60" t="s">
        <v>113</v>
      </c>
      <c r="L66" s="135">
        <f>24*J66</f>
        <v>5.5</v>
      </c>
      <c r="O66" s="91" t="s">
        <v>359</v>
      </c>
      <c r="P66" s="88">
        <v>4</v>
      </c>
      <c r="Q66" s="60" t="s">
        <v>390</v>
      </c>
      <c r="U66" s="60"/>
      <c r="V66" s="93" t="s">
        <v>1198</v>
      </c>
      <c r="W66" s="60"/>
      <c r="X66" s="86"/>
      <c r="Y66" s="60"/>
      <c r="Z66" s="100"/>
    </row>
    <row r="67" spans="1:26" ht="14.45" customHeight="1" x14ac:dyDescent="0.2">
      <c r="A67" s="99">
        <v>45292</v>
      </c>
      <c r="B67" s="82">
        <v>45306</v>
      </c>
      <c r="C67" s="88" t="s">
        <v>45</v>
      </c>
      <c r="D67" s="60" t="s">
        <v>481</v>
      </c>
      <c r="E67" s="60" t="s">
        <v>368</v>
      </c>
      <c r="F67" s="60" t="s">
        <v>395</v>
      </c>
      <c r="G67" s="72" t="s">
        <v>142</v>
      </c>
      <c r="H67" s="83">
        <v>0.41666666666666669</v>
      </c>
      <c r="I67" s="83">
        <v>0.70833333333333337</v>
      </c>
      <c r="J67" s="63">
        <v>0.27079999999999999</v>
      </c>
      <c r="K67" s="60" t="s">
        <v>113</v>
      </c>
      <c r="L67" s="135">
        <v>6.5</v>
      </c>
      <c r="N67" s="60"/>
      <c r="O67" s="91" t="s">
        <v>359</v>
      </c>
      <c r="P67" s="88">
        <v>4</v>
      </c>
      <c r="Q67" s="60" t="s">
        <v>390</v>
      </c>
      <c r="V67" s="86" t="s">
        <v>1220</v>
      </c>
      <c r="Z67" s="100"/>
    </row>
    <row r="68" spans="1:26" x14ac:dyDescent="0.2">
      <c r="A68" s="99">
        <v>45292</v>
      </c>
      <c r="B68" s="82">
        <v>45306</v>
      </c>
      <c r="C68" s="88" t="s">
        <v>45</v>
      </c>
      <c r="D68" s="60" t="s">
        <v>313</v>
      </c>
      <c r="E68" s="60" t="s">
        <v>350</v>
      </c>
      <c r="F68" s="60" t="s">
        <v>400</v>
      </c>
      <c r="G68" s="72" t="s">
        <v>142</v>
      </c>
      <c r="H68" s="83">
        <v>0.54166666666666663</v>
      </c>
      <c r="I68" s="95">
        <v>0.66666666666666663</v>
      </c>
      <c r="J68" s="63">
        <f>I68-H68</f>
        <v>0.125</v>
      </c>
      <c r="K68" s="88" t="s">
        <v>365</v>
      </c>
      <c r="L68" s="135">
        <f>24*J68</f>
        <v>3</v>
      </c>
      <c r="M68" s="60"/>
      <c r="N68" s="60"/>
      <c r="O68" s="91" t="s">
        <v>361</v>
      </c>
      <c r="P68" s="88">
        <v>5</v>
      </c>
      <c r="Q68" s="88"/>
      <c r="V68" s="93" t="s">
        <v>1232</v>
      </c>
      <c r="Z68" s="100"/>
    </row>
    <row r="69" spans="1:26" x14ac:dyDescent="0.2">
      <c r="A69" s="99">
        <v>45292</v>
      </c>
      <c r="B69" s="82">
        <v>45307</v>
      </c>
      <c r="C69" s="88" t="s">
        <v>106</v>
      </c>
      <c r="D69" s="60" t="s">
        <v>313</v>
      </c>
      <c r="E69" s="60" t="s">
        <v>350</v>
      </c>
      <c r="F69" s="60" t="s">
        <v>400</v>
      </c>
      <c r="G69" s="72" t="s">
        <v>142</v>
      </c>
      <c r="H69" s="83">
        <v>0.58333333333333337</v>
      </c>
      <c r="I69" s="95">
        <v>0.66666666666666663</v>
      </c>
      <c r="J69" s="63">
        <f>I69-H69</f>
        <v>8.3333333333333259E-2</v>
      </c>
      <c r="K69" s="60" t="s">
        <v>113</v>
      </c>
      <c r="L69" s="135">
        <f>24*J69</f>
        <v>1.9999999999999982</v>
      </c>
      <c r="M69" s="60"/>
      <c r="N69" s="60"/>
      <c r="O69" s="91" t="s">
        <v>361</v>
      </c>
      <c r="P69" s="88">
        <v>5</v>
      </c>
      <c r="Q69" s="88"/>
      <c r="V69" s="93" t="s">
        <v>1249</v>
      </c>
      <c r="Z69" s="100"/>
    </row>
    <row r="70" spans="1:26" ht="14.45" customHeight="1" x14ac:dyDescent="0.2">
      <c r="A70" s="99">
        <v>45292</v>
      </c>
      <c r="B70" s="82">
        <v>45307</v>
      </c>
      <c r="C70" s="88" t="s">
        <v>106</v>
      </c>
      <c r="D70" s="60" t="s">
        <v>86</v>
      </c>
      <c r="E70" s="60" t="s">
        <v>345</v>
      </c>
      <c r="F70" s="60" t="s">
        <v>392</v>
      </c>
      <c r="G70" s="59" t="s">
        <v>142</v>
      </c>
      <c r="H70" s="83">
        <v>0.39583333333333331</v>
      </c>
      <c r="I70" s="83">
        <v>0.47916666666666669</v>
      </c>
      <c r="J70" s="63">
        <f>I70-H70</f>
        <v>8.333333333333337E-2</v>
      </c>
      <c r="K70" s="88" t="s">
        <v>110</v>
      </c>
      <c r="L70" s="135">
        <f>24*J70</f>
        <v>2.0000000000000009</v>
      </c>
      <c r="O70" s="91" t="s">
        <v>820</v>
      </c>
      <c r="P70" s="88">
        <v>5</v>
      </c>
      <c r="Q70" s="60"/>
      <c r="U70" s="60"/>
      <c r="V70" s="93" t="s">
        <v>1250</v>
      </c>
      <c r="W70" s="60"/>
      <c r="X70" s="86"/>
      <c r="Y70" s="60"/>
      <c r="Z70" s="100"/>
    </row>
    <row r="71" spans="1:26" ht="14.45" customHeight="1" x14ac:dyDescent="0.2">
      <c r="A71" s="99">
        <v>45292</v>
      </c>
      <c r="B71" s="82">
        <v>45307</v>
      </c>
      <c r="C71" s="88" t="s">
        <v>106</v>
      </c>
      <c r="D71" s="60" t="s">
        <v>86</v>
      </c>
      <c r="E71" s="60" t="s">
        <v>345</v>
      </c>
      <c r="F71" s="60" t="s">
        <v>392</v>
      </c>
      <c r="G71" s="59" t="s">
        <v>142</v>
      </c>
      <c r="H71" s="83">
        <v>0.39583333333333331</v>
      </c>
      <c r="I71" s="83">
        <v>0.625</v>
      </c>
      <c r="J71" s="63">
        <f>I71-H71</f>
        <v>0.22916666666666669</v>
      </c>
      <c r="K71" s="88" t="s">
        <v>110</v>
      </c>
      <c r="L71" s="135">
        <f>24*J71</f>
        <v>5.5</v>
      </c>
      <c r="O71" s="91" t="s">
        <v>820</v>
      </c>
      <c r="P71" s="88">
        <v>5</v>
      </c>
      <c r="Q71" s="60"/>
      <c r="U71" s="60"/>
      <c r="V71" s="93" t="s">
        <v>1253</v>
      </c>
      <c r="W71" s="60"/>
      <c r="X71" s="86"/>
      <c r="Y71" s="60"/>
      <c r="Z71" s="100"/>
    </row>
    <row r="72" spans="1:26" x14ac:dyDescent="0.2">
      <c r="A72" s="99">
        <v>45292</v>
      </c>
      <c r="B72" s="82">
        <v>45307</v>
      </c>
      <c r="C72" s="88" t="s">
        <v>106</v>
      </c>
      <c r="D72" s="60" t="s">
        <v>98</v>
      </c>
      <c r="E72" s="60" t="s">
        <v>337</v>
      </c>
      <c r="F72" s="60" t="s">
        <v>401</v>
      </c>
      <c r="G72" s="59" t="s">
        <v>142</v>
      </c>
      <c r="H72" s="83">
        <v>0.60416666666666663</v>
      </c>
      <c r="I72" s="83">
        <v>0.70833333333333337</v>
      </c>
      <c r="J72" s="63">
        <f>I72-H72</f>
        <v>0.10416666666666674</v>
      </c>
      <c r="K72" s="60" t="s">
        <v>113</v>
      </c>
      <c r="L72" s="134">
        <v>0.99999999999999911</v>
      </c>
      <c r="O72" s="91" t="s">
        <v>359</v>
      </c>
      <c r="P72" s="88">
        <v>5</v>
      </c>
      <c r="Q72" s="88"/>
      <c r="V72" s="93" t="s">
        <v>1279</v>
      </c>
      <c r="Z72" s="100"/>
    </row>
    <row r="73" spans="1:26" ht="14.45" customHeight="1" x14ac:dyDescent="0.2">
      <c r="A73" s="99">
        <v>45292</v>
      </c>
      <c r="B73" s="82">
        <v>45307</v>
      </c>
      <c r="C73" s="88" t="s">
        <v>106</v>
      </c>
      <c r="D73" s="60" t="s">
        <v>481</v>
      </c>
      <c r="E73" s="60" t="s">
        <v>368</v>
      </c>
      <c r="F73" s="60" t="s">
        <v>402</v>
      </c>
      <c r="G73" s="72" t="s">
        <v>142</v>
      </c>
      <c r="H73" s="83">
        <v>0.41666666666666669</v>
      </c>
      <c r="I73" s="83">
        <v>0.70833333333333337</v>
      </c>
      <c r="J73" s="63">
        <v>0.27079999999999999</v>
      </c>
      <c r="K73" s="60" t="s">
        <v>113</v>
      </c>
      <c r="L73" s="135">
        <v>6.5</v>
      </c>
      <c r="N73" s="60"/>
      <c r="O73" s="91" t="s">
        <v>359</v>
      </c>
      <c r="P73" s="88">
        <v>5</v>
      </c>
      <c r="Q73" s="60"/>
      <c r="V73" s="86" t="s">
        <v>1288</v>
      </c>
      <c r="Z73" s="100"/>
    </row>
    <row r="74" spans="1:26" x14ac:dyDescent="0.2">
      <c r="A74" s="99">
        <v>45292</v>
      </c>
      <c r="B74" s="82">
        <v>45307</v>
      </c>
      <c r="C74" s="88" t="s">
        <v>106</v>
      </c>
      <c r="D74" s="60" t="s">
        <v>830</v>
      </c>
      <c r="E74" s="60" t="s">
        <v>403</v>
      </c>
      <c r="F74" s="60" t="s">
        <v>934</v>
      </c>
      <c r="G74" s="59" t="s">
        <v>142</v>
      </c>
      <c r="H74" s="83">
        <v>0.52083333333333337</v>
      </c>
      <c r="I74" s="83">
        <v>0.5625</v>
      </c>
      <c r="J74" s="63">
        <f>I74-H74</f>
        <v>4.166666666666663E-2</v>
      </c>
      <c r="K74" s="88" t="s">
        <v>110</v>
      </c>
      <c r="L74" s="135">
        <f>24*J74</f>
        <v>0.99999999999999911</v>
      </c>
      <c r="O74" s="91" t="s">
        <v>820</v>
      </c>
      <c r="P74" s="88">
        <v>5</v>
      </c>
      <c r="V74" s="93" t="s">
        <v>1322</v>
      </c>
      <c r="Z74" s="100"/>
    </row>
    <row r="75" spans="1:26" x14ac:dyDescent="0.2">
      <c r="A75" s="99">
        <v>45292</v>
      </c>
      <c r="B75" s="82">
        <v>45307</v>
      </c>
      <c r="C75" s="88" t="s">
        <v>106</v>
      </c>
      <c r="D75" s="60" t="s">
        <v>830</v>
      </c>
      <c r="E75" s="60" t="s">
        <v>403</v>
      </c>
      <c r="F75" s="60" t="s">
        <v>344</v>
      </c>
      <c r="G75" s="59" t="s">
        <v>142</v>
      </c>
      <c r="H75" s="83">
        <v>0.5</v>
      </c>
      <c r="I75" s="83">
        <v>0.54166666666666663</v>
      </c>
      <c r="J75" s="63">
        <f>I75-H75</f>
        <v>4.166666666666663E-2</v>
      </c>
      <c r="K75" s="60" t="s">
        <v>113</v>
      </c>
      <c r="L75" s="135">
        <f>24*J75</f>
        <v>0.99999999999999911</v>
      </c>
      <c r="O75" s="91" t="s">
        <v>359</v>
      </c>
      <c r="P75" s="88">
        <v>5</v>
      </c>
      <c r="V75" s="93" t="s">
        <v>1326</v>
      </c>
      <c r="Z75" s="100"/>
    </row>
    <row r="76" spans="1:26" ht="14.45" customHeight="1" x14ac:dyDescent="0.2">
      <c r="A76" s="99">
        <v>45292</v>
      </c>
      <c r="B76" s="82">
        <v>45307</v>
      </c>
      <c r="C76" s="88" t="s">
        <v>106</v>
      </c>
      <c r="D76" s="60" t="s">
        <v>481</v>
      </c>
      <c r="E76" s="60" t="s">
        <v>368</v>
      </c>
      <c r="F76" s="60" t="s">
        <v>373</v>
      </c>
      <c r="G76" s="72" t="s">
        <v>142</v>
      </c>
      <c r="H76" s="83">
        <v>0.41666666666666669</v>
      </c>
      <c r="I76" s="83">
        <v>0.70833333333333337</v>
      </c>
      <c r="J76" s="63">
        <v>0.27079999999999999</v>
      </c>
      <c r="K76" s="60" t="s">
        <v>113</v>
      </c>
      <c r="L76" s="135">
        <v>6.5</v>
      </c>
      <c r="N76" s="60"/>
      <c r="O76" s="91" t="s">
        <v>359</v>
      </c>
      <c r="P76" s="88">
        <v>4</v>
      </c>
      <c r="Q76" s="60" t="s">
        <v>390</v>
      </c>
      <c r="V76" s="86"/>
      <c r="Z76" s="100"/>
    </row>
    <row r="77" spans="1:26" x14ac:dyDescent="0.2">
      <c r="A77" s="99">
        <v>45292</v>
      </c>
      <c r="B77" s="82">
        <v>45308</v>
      </c>
      <c r="C77" s="60" t="s">
        <v>398</v>
      </c>
      <c r="D77" s="60" t="s">
        <v>86</v>
      </c>
      <c r="E77" s="60" t="s">
        <v>345</v>
      </c>
      <c r="F77" s="60" t="s">
        <v>392</v>
      </c>
      <c r="G77" s="59" t="s">
        <v>142</v>
      </c>
      <c r="H77" s="83">
        <v>0.39583333333333331</v>
      </c>
      <c r="I77" s="83">
        <v>0.47916666666666669</v>
      </c>
      <c r="J77" s="63">
        <f>I77-H77</f>
        <v>8.333333333333337E-2</v>
      </c>
      <c r="K77" s="88" t="s">
        <v>365</v>
      </c>
      <c r="L77" s="135">
        <f>24*J77</f>
        <v>2.0000000000000009</v>
      </c>
      <c r="O77" s="91" t="s">
        <v>820</v>
      </c>
      <c r="P77" s="88">
        <v>5</v>
      </c>
      <c r="Q77" s="60"/>
      <c r="U77" s="60"/>
      <c r="W77" s="60"/>
      <c r="X77" s="86"/>
      <c r="Y77" s="60"/>
      <c r="Z77" s="100"/>
    </row>
    <row r="78" spans="1:26" ht="14.45" customHeight="1" x14ac:dyDescent="0.2">
      <c r="A78" s="99">
        <v>45292</v>
      </c>
      <c r="B78" s="82">
        <v>45308</v>
      </c>
      <c r="C78" s="60" t="s">
        <v>398</v>
      </c>
      <c r="D78" s="60" t="s">
        <v>32</v>
      </c>
      <c r="E78" s="60" t="s">
        <v>388</v>
      </c>
      <c r="F78" s="60" t="s">
        <v>411</v>
      </c>
      <c r="G78" s="72" t="s">
        <v>142</v>
      </c>
      <c r="H78" s="83">
        <v>0.45833333333333331</v>
      </c>
      <c r="I78" s="83">
        <v>0.70833333333333337</v>
      </c>
      <c r="J78" s="63">
        <v>0.27079999999999999</v>
      </c>
      <c r="K78" s="60" t="s">
        <v>113</v>
      </c>
      <c r="L78" s="135">
        <v>6.5</v>
      </c>
      <c r="N78" s="60"/>
      <c r="O78" s="91" t="s">
        <v>359</v>
      </c>
      <c r="P78" s="88">
        <v>5</v>
      </c>
      <c r="Q78" s="60"/>
      <c r="V78" s="86"/>
      <c r="Z78" s="100"/>
    </row>
    <row r="79" spans="1:26" x14ac:dyDescent="0.2">
      <c r="A79" s="99">
        <v>45292</v>
      </c>
      <c r="B79" s="82">
        <v>45308</v>
      </c>
      <c r="C79" s="60" t="s">
        <v>398</v>
      </c>
      <c r="D79" s="60" t="s">
        <v>32</v>
      </c>
      <c r="E79" s="60" t="s">
        <v>404</v>
      </c>
      <c r="F79" s="60" t="s">
        <v>405</v>
      </c>
      <c r="G79" s="59" t="s">
        <v>142</v>
      </c>
      <c r="H79" s="83">
        <v>0.625</v>
      </c>
      <c r="I79" s="95">
        <v>0.66666666666666663</v>
      </c>
      <c r="J79" s="63">
        <f>I79-H79</f>
        <v>4.166666666666663E-2</v>
      </c>
      <c r="K79" s="88" t="s">
        <v>365</v>
      </c>
      <c r="L79" s="135">
        <f>24*J79</f>
        <v>0.99999999999999911</v>
      </c>
      <c r="O79" s="91" t="s">
        <v>363</v>
      </c>
      <c r="P79" s="88">
        <v>5</v>
      </c>
      <c r="Q79" s="60"/>
      <c r="U79" s="60"/>
      <c r="W79" s="60"/>
      <c r="X79" s="86"/>
      <c r="Y79" s="60"/>
      <c r="Z79" s="100"/>
    </row>
    <row r="80" spans="1:26" ht="14.45" customHeight="1" x14ac:dyDescent="0.2">
      <c r="A80" s="99">
        <v>45292</v>
      </c>
      <c r="B80" s="82">
        <v>45308</v>
      </c>
      <c r="C80" s="60" t="s">
        <v>398</v>
      </c>
      <c r="D80" s="60" t="s">
        <v>406</v>
      </c>
      <c r="E80" s="60" t="s">
        <v>407</v>
      </c>
      <c r="F80" s="60" t="s">
        <v>408</v>
      </c>
      <c r="G80" s="59" t="s">
        <v>142</v>
      </c>
      <c r="H80" s="83">
        <v>0.58333333333333337</v>
      </c>
      <c r="I80" s="83">
        <v>0.70833333333333337</v>
      </c>
      <c r="J80" s="63">
        <f>I80-H80</f>
        <v>0.125</v>
      </c>
      <c r="K80" s="88" t="s">
        <v>365</v>
      </c>
      <c r="L80" s="135">
        <f>24*J80</f>
        <v>3</v>
      </c>
      <c r="O80" s="91" t="s">
        <v>361</v>
      </c>
      <c r="P80" s="88">
        <v>5</v>
      </c>
      <c r="Q80" s="60"/>
      <c r="U80" s="60"/>
      <c r="W80" s="60"/>
      <c r="X80" s="86"/>
      <c r="Y80" s="60"/>
      <c r="Z80" s="100"/>
    </row>
    <row r="81" spans="1:26" ht="14.45" customHeight="1" x14ac:dyDescent="0.2">
      <c r="A81" s="99">
        <v>45292</v>
      </c>
      <c r="B81" s="82">
        <v>45308</v>
      </c>
      <c r="C81" s="60" t="s">
        <v>398</v>
      </c>
      <c r="D81" s="60" t="s">
        <v>740</v>
      </c>
      <c r="E81" s="60" t="s">
        <v>409</v>
      </c>
      <c r="F81" s="60" t="s">
        <v>410</v>
      </c>
      <c r="G81" s="72" t="s">
        <v>142</v>
      </c>
      <c r="H81" s="83">
        <v>0.41666666666666669</v>
      </c>
      <c r="I81" s="83">
        <v>0.5</v>
      </c>
      <c r="J81" s="63">
        <v>2.0799999999999999E-2</v>
      </c>
      <c r="K81" s="60" t="s">
        <v>110</v>
      </c>
      <c r="L81" s="135">
        <v>1</v>
      </c>
      <c r="M81" s="60"/>
      <c r="N81" s="60"/>
      <c r="O81" s="91" t="s">
        <v>361</v>
      </c>
      <c r="P81" s="60">
        <v>5</v>
      </c>
      <c r="Q81" s="60"/>
      <c r="Z81" s="100"/>
    </row>
    <row r="82" spans="1:26" ht="14.45" customHeight="1" x14ac:dyDescent="0.2">
      <c r="A82" s="99">
        <v>45292</v>
      </c>
      <c r="B82" s="82">
        <v>45309</v>
      </c>
      <c r="C82" s="82" t="s">
        <v>124</v>
      </c>
      <c r="D82" s="60" t="s">
        <v>86</v>
      </c>
      <c r="E82" s="60" t="s">
        <v>345</v>
      </c>
      <c r="F82" s="60" t="s">
        <v>392</v>
      </c>
      <c r="G82" s="59" t="s">
        <v>142</v>
      </c>
      <c r="H82" s="83">
        <v>0.39583333333333331</v>
      </c>
      <c r="I82" s="83">
        <v>0.625</v>
      </c>
      <c r="J82" s="63">
        <f t="shared" ref="J82:J116" si="10">I82-H82</f>
        <v>0.22916666666666669</v>
      </c>
      <c r="K82" s="88" t="s">
        <v>110</v>
      </c>
      <c r="L82" s="135">
        <f>24*J82</f>
        <v>5.5</v>
      </c>
      <c r="O82" s="91" t="s">
        <v>820</v>
      </c>
      <c r="P82" s="88">
        <v>5</v>
      </c>
      <c r="Q82" s="60"/>
      <c r="U82" s="60"/>
      <c r="W82" s="60"/>
      <c r="X82" s="86"/>
      <c r="Y82" s="60"/>
      <c r="Z82" s="100"/>
    </row>
    <row r="83" spans="1:26" ht="14.45" customHeight="1" x14ac:dyDescent="0.2">
      <c r="A83" s="99">
        <v>45292</v>
      </c>
      <c r="B83" s="82">
        <v>45309</v>
      </c>
      <c r="C83" s="82" t="s">
        <v>124</v>
      </c>
      <c r="D83" s="60" t="s">
        <v>830</v>
      </c>
      <c r="E83" s="60" t="s">
        <v>315</v>
      </c>
      <c r="F83" s="60" t="s">
        <v>902</v>
      </c>
      <c r="G83" s="59" t="s">
        <v>142</v>
      </c>
      <c r="H83" s="83">
        <v>0.5</v>
      </c>
      <c r="I83" s="83">
        <v>0.58333333333333337</v>
      </c>
      <c r="J83" s="63">
        <f t="shared" si="10"/>
        <v>8.333333333333337E-2</v>
      </c>
      <c r="K83" s="88" t="s">
        <v>365</v>
      </c>
      <c r="L83" s="135">
        <f>24*J83</f>
        <v>2.0000000000000009</v>
      </c>
      <c r="O83" s="91" t="s">
        <v>820</v>
      </c>
      <c r="P83" s="88">
        <v>5</v>
      </c>
      <c r="V83" s="93" t="s">
        <v>279</v>
      </c>
      <c r="Z83" s="100"/>
    </row>
    <row r="84" spans="1:26" ht="14.45" customHeight="1" x14ac:dyDescent="0.2">
      <c r="A84" s="99">
        <v>45292</v>
      </c>
      <c r="B84" s="82">
        <v>45309</v>
      </c>
      <c r="C84" s="82" t="s">
        <v>124</v>
      </c>
      <c r="D84" s="60" t="s">
        <v>830</v>
      </c>
      <c r="E84" s="60" t="s">
        <v>412</v>
      </c>
      <c r="F84" s="60" t="s">
        <v>413</v>
      </c>
      <c r="G84" s="59" t="s">
        <v>142</v>
      </c>
      <c r="H84" s="83">
        <v>0.47916666666666669</v>
      </c>
      <c r="I84" s="83">
        <v>0.70833333333333337</v>
      </c>
      <c r="J84" s="63">
        <f t="shared" si="10"/>
        <v>0.22916666666666669</v>
      </c>
      <c r="K84" s="60" t="s">
        <v>113</v>
      </c>
      <c r="L84" s="135">
        <f>24*J84</f>
        <v>5.5</v>
      </c>
      <c r="O84" s="91" t="s">
        <v>359</v>
      </c>
      <c r="P84" s="88">
        <v>5</v>
      </c>
      <c r="Q84" s="60"/>
      <c r="Z84" s="100"/>
    </row>
    <row r="85" spans="1:26" ht="14.45" customHeight="1" x14ac:dyDescent="0.2">
      <c r="A85" s="99">
        <v>45292</v>
      </c>
      <c r="B85" s="82">
        <v>45309</v>
      </c>
      <c r="C85" s="82" t="s">
        <v>124</v>
      </c>
      <c r="D85" s="60" t="s">
        <v>98</v>
      </c>
      <c r="E85" s="60" t="s">
        <v>414</v>
      </c>
      <c r="F85" s="60" t="s">
        <v>415</v>
      </c>
      <c r="G85" s="59" t="s">
        <v>142</v>
      </c>
      <c r="H85" s="83">
        <v>0.54166666666666663</v>
      </c>
      <c r="I85" s="83">
        <v>0.70833333333333337</v>
      </c>
      <c r="J85" s="63">
        <f t="shared" si="10"/>
        <v>0.16666666666666674</v>
      </c>
      <c r="K85" s="60" t="s">
        <v>365</v>
      </c>
      <c r="L85" s="134">
        <v>0.99999999999999911</v>
      </c>
      <c r="O85" s="91" t="s">
        <v>359</v>
      </c>
      <c r="P85" s="88">
        <v>5</v>
      </c>
      <c r="Q85" s="88"/>
      <c r="Z85" s="100"/>
    </row>
    <row r="86" spans="1:26" ht="14.45" customHeight="1" x14ac:dyDescent="0.2">
      <c r="A86" s="99">
        <v>45292</v>
      </c>
      <c r="B86" s="82">
        <v>45309</v>
      </c>
      <c r="C86" s="82" t="s">
        <v>124</v>
      </c>
      <c r="D86" s="60" t="s">
        <v>86</v>
      </c>
      <c r="E86" s="60" t="s">
        <v>345</v>
      </c>
      <c r="F86" s="60" t="s">
        <v>392</v>
      </c>
      <c r="G86" s="59" t="s">
        <v>142</v>
      </c>
      <c r="H86" s="83">
        <v>0.39583333333333331</v>
      </c>
      <c r="I86" s="83">
        <v>0.625</v>
      </c>
      <c r="J86" s="63">
        <f t="shared" si="10"/>
        <v>0.22916666666666669</v>
      </c>
      <c r="K86" s="88" t="s">
        <v>110</v>
      </c>
      <c r="L86" s="135">
        <f>24*J86</f>
        <v>5.5</v>
      </c>
      <c r="O86" s="91" t="s">
        <v>820</v>
      </c>
      <c r="P86" s="88">
        <v>5</v>
      </c>
      <c r="Q86" s="60"/>
      <c r="U86" s="60"/>
      <c r="W86" s="60"/>
      <c r="X86" s="86"/>
      <c r="Y86" s="60"/>
      <c r="Z86" s="100"/>
    </row>
    <row r="87" spans="1:26" ht="14.45" customHeight="1" x14ac:dyDescent="0.2">
      <c r="A87" s="99">
        <v>45292</v>
      </c>
      <c r="B87" s="82">
        <v>45311</v>
      </c>
      <c r="C87" s="88" t="s">
        <v>34</v>
      </c>
      <c r="D87" s="60" t="s">
        <v>98</v>
      </c>
      <c r="E87" s="60" t="s">
        <v>414</v>
      </c>
      <c r="F87" s="60" t="s">
        <v>416</v>
      </c>
      <c r="G87" s="59" t="s">
        <v>142</v>
      </c>
      <c r="H87" s="83">
        <v>0.41666666666666669</v>
      </c>
      <c r="I87" s="83">
        <v>0.70833333333333337</v>
      </c>
      <c r="J87" s="63">
        <f t="shared" si="10"/>
        <v>0.29166666666666669</v>
      </c>
      <c r="K87" s="60" t="s">
        <v>365</v>
      </c>
      <c r="L87" s="134">
        <v>0.99999999999999911</v>
      </c>
      <c r="O87" s="91" t="s">
        <v>359</v>
      </c>
      <c r="P87" s="88">
        <v>5</v>
      </c>
      <c r="Q87" s="88"/>
      <c r="Z87" s="100"/>
    </row>
    <row r="88" spans="1:26" ht="14.45" customHeight="1" x14ac:dyDescent="0.2">
      <c r="A88" s="99">
        <v>45292</v>
      </c>
      <c r="B88" s="82">
        <v>45311</v>
      </c>
      <c r="C88" s="88" t="s">
        <v>34</v>
      </c>
      <c r="D88" s="60" t="s">
        <v>86</v>
      </c>
      <c r="E88" s="60" t="s">
        <v>345</v>
      </c>
      <c r="F88" s="60" t="s">
        <v>420</v>
      </c>
      <c r="G88" s="59" t="s">
        <v>142</v>
      </c>
      <c r="H88" s="83">
        <v>0.39583333333333331</v>
      </c>
      <c r="I88" s="83">
        <v>0.70833333333333337</v>
      </c>
      <c r="J88" s="63">
        <f t="shared" si="10"/>
        <v>0.31250000000000006</v>
      </c>
      <c r="K88" s="88" t="s">
        <v>110</v>
      </c>
      <c r="L88" s="135">
        <f>24*J88</f>
        <v>7.5000000000000018</v>
      </c>
      <c r="O88" s="91" t="s">
        <v>820</v>
      </c>
      <c r="P88" s="88">
        <v>5</v>
      </c>
      <c r="Q88" s="60"/>
      <c r="U88" s="60"/>
      <c r="W88" s="60"/>
      <c r="X88" s="86"/>
      <c r="Y88" s="60"/>
      <c r="Z88" s="100"/>
    </row>
    <row r="89" spans="1:26" ht="14.45" customHeight="1" x14ac:dyDescent="0.2">
      <c r="A89" s="99">
        <v>45292</v>
      </c>
      <c r="B89" s="82">
        <v>45311</v>
      </c>
      <c r="C89" s="88" t="s">
        <v>34</v>
      </c>
      <c r="D89" s="60" t="s">
        <v>98</v>
      </c>
      <c r="E89" s="60" t="s">
        <v>417</v>
      </c>
      <c r="F89" s="60" t="s">
        <v>418</v>
      </c>
      <c r="G89" s="59" t="s">
        <v>142</v>
      </c>
      <c r="H89" s="83">
        <v>0.60416666666666663</v>
      </c>
      <c r="I89" s="83">
        <v>0.70833333333333337</v>
      </c>
      <c r="J89" s="63">
        <f t="shared" si="10"/>
        <v>0.10416666666666674</v>
      </c>
      <c r="K89" s="60" t="s">
        <v>365</v>
      </c>
      <c r="L89" s="134">
        <v>0.99999999999999911</v>
      </c>
      <c r="O89" s="91" t="s">
        <v>359</v>
      </c>
      <c r="P89" s="88">
        <v>5</v>
      </c>
      <c r="Q89" s="88"/>
      <c r="Z89" s="100"/>
    </row>
    <row r="90" spans="1:26" ht="14.45" customHeight="1" x14ac:dyDescent="0.2">
      <c r="A90" s="99">
        <v>45292</v>
      </c>
      <c r="B90" s="82">
        <v>45311</v>
      </c>
      <c r="C90" s="88" t="s">
        <v>34</v>
      </c>
      <c r="D90" s="60" t="s">
        <v>481</v>
      </c>
      <c r="E90" s="60" t="s">
        <v>368</v>
      </c>
      <c r="F90" s="60" t="s">
        <v>419</v>
      </c>
      <c r="G90" s="59" t="s">
        <v>142</v>
      </c>
      <c r="H90" s="83">
        <v>0.60416666666666663</v>
      </c>
      <c r="I90" s="83">
        <v>0.70833333333333337</v>
      </c>
      <c r="J90" s="63">
        <f t="shared" si="10"/>
        <v>0.10416666666666674</v>
      </c>
      <c r="K90" s="60" t="s">
        <v>113</v>
      </c>
      <c r="L90" s="134">
        <v>0.99999999999999911</v>
      </c>
      <c r="O90" s="91" t="s">
        <v>359</v>
      </c>
      <c r="P90" s="88">
        <v>5</v>
      </c>
      <c r="Q90" s="88"/>
      <c r="Z90" s="100"/>
    </row>
    <row r="91" spans="1:26" ht="14.45" customHeight="1" x14ac:dyDescent="0.2">
      <c r="A91" s="99">
        <v>45292</v>
      </c>
      <c r="B91" s="82">
        <v>45312</v>
      </c>
      <c r="C91" s="60" t="s">
        <v>31</v>
      </c>
      <c r="D91" s="60" t="s">
        <v>308</v>
      </c>
      <c r="E91" s="60" t="s">
        <v>377</v>
      </c>
      <c r="F91" s="60" t="s">
        <v>379</v>
      </c>
      <c r="G91" s="72" t="s">
        <v>142</v>
      </c>
      <c r="H91" s="83">
        <v>0.41666666666666669</v>
      </c>
      <c r="I91" s="83">
        <v>0.54166666666666663</v>
      </c>
      <c r="J91" s="63">
        <f t="shared" si="10"/>
        <v>0.12499999999999994</v>
      </c>
      <c r="K91" s="88" t="s">
        <v>365</v>
      </c>
      <c r="L91" s="135">
        <f t="shared" ref="L91:L99" si="11">24*J91</f>
        <v>2.9999999999999987</v>
      </c>
      <c r="M91" s="60"/>
      <c r="N91" s="60"/>
      <c r="O91" s="91" t="s">
        <v>314</v>
      </c>
      <c r="P91" s="88">
        <v>5</v>
      </c>
      <c r="Q91" s="88"/>
      <c r="V91" s="93" t="s">
        <v>279</v>
      </c>
      <c r="Z91" s="100"/>
    </row>
    <row r="92" spans="1:26" ht="14.45" customHeight="1" x14ac:dyDescent="0.2">
      <c r="A92" s="99">
        <v>45292</v>
      </c>
      <c r="B92" s="82">
        <v>45312</v>
      </c>
      <c r="C92" s="60" t="s">
        <v>31</v>
      </c>
      <c r="D92" s="60" t="s">
        <v>86</v>
      </c>
      <c r="E92" s="60" t="s">
        <v>345</v>
      </c>
      <c r="F92" s="60" t="s">
        <v>420</v>
      </c>
      <c r="G92" s="59" t="s">
        <v>142</v>
      </c>
      <c r="H92" s="83">
        <v>0.39583333333333331</v>
      </c>
      <c r="I92" s="83">
        <v>0.70833333333333337</v>
      </c>
      <c r="J92" s="63">
        <f t="shared" si="10"/>
        <v>0.31250000000000006</v>
      </c>
      <c r="K92" s="88" t="s">
        <v>110</v>
      </c>
      <c r="L92" s="135">
        <f t="shared" si="11"/>
        <v>7.5000000000000018</v>
      </c>
      <c r="O92" s="91" t="s">
        <v>820</v>
      </c>
      <c r="P92" s="88">
        <v>5</v>
      </c>
      <c r="Q92" s="60"/>
      <c r="U92" s="60"/>
      <c r="W92" s="60"/>
      <c r="X92" s="86"/>
      <c r="Y92" s="60"/>
      <c r="Z92" s="100"/>
    </row>
    <row r="93" spans="1:26" ht="14.45" customHeight="1" x14ac:dyDescent="0.2">
      <c r="A93" s="99">
        <v>45292</v>
      </c>
      <c r="B93" s="82">
        <v>45312</v>
      </c>
      <c r="C93" s="60" t="s">
        <v>31</v>
      </c>
      <c r="D93" s="60" t="s">
        <v>126</v>
      </c>
      <c r="E93" s="60" t="s">
        <v>352</v>
      </c>
      <c r="F93" s="60" t="s">
        <v>933</v>
      </c>
      <c r="G93" s="59" t="s">
        <v>142</v>
      </c>
      <c r="H93" s="83">
        <v>0.5</v>
      </c>
      <c r="I93" s="83">
        <v>0.625</v>
      </c>
      <c r="J93" s="63">
        <f t="shared" si="10"/>
        <v>0.125</v>
      </c>
      <c r="K93" s="88" t="s">
        <v>365</v>
      </c>
      <c r="L93" s="135">
        <f t="shared" si="11"/>
        <v>3</v>
      </c>
      <c r="O93" s="91" t="s">
        <v>361</v>
      </c>
      <c r="P93" s="88">
        <v>5</v>
      </c>
      <c r="Q93" s="60"/>
      <c r="Z93" s="100"/>
    </row>
    <row r="94" spans="1:26" ht="14.45" customHeight="1" x14ac:dyDescent="0.2">
      <c r="A94" s="99">
        <v>45292</v>
      </c>
      <c r="B94" s="82">
        <v>45313</v>
      </c>
      <c r="C94" s="88" t="s">
        <v>45</v>
      </c>
      <c r="D94" s="60" t="s">
        <v>86</v>
      </c>
      <c r="E94" s="60" t="s">
        <v>345</v>
      </c>
      <c r="F94" s="60" t="s">
        <v>420</v>
      </c>
      <c r="G94" s="59" t="s">
        <v>142</v>
      </c>
      <c r="H94" s="83">
        <v>0.39583333333333331</v>
      </c>
      <c r="I94" s="83">
        <v>0.70833333333333337</v>
      </c>
      <c r="J94" s="63">
        <f t="shared" si="10"/>
        <v>0.31250000000000006</v>
      </c>
      <c r="K94" s="88" t="s">
        <v>110</v>
      </c>
      <c r="L94" s="135">
        <f t="shared" si="11"/>
        <v>7.5000000000000018</v>
      </c>
      <c r="O94" s="91" t="s">
        <v>820</v>
      </c>
      <c r="P94" s="88">
        <v>5</v>
      </c>
      <c r="Q94" s="60"/>
      <c r="U94" s="60"/>
      <c r="W94" s="60"/>
      <c r="X94" s="86"/>
      <c r="Y94" s="60"/>
      <c r="Z94" s="100"/>
    </row>
    <row r="95" spans="1:26" ht="14.45" customHeight="1" x14ac:dyDescent="0.2">
      <c r="A95" s="99">
        <v>45292</v>
      </c>
      <c r="B95" s="82">
        <v>45313</v>
      </c>
      <c r="C95" s="88" t="s">
        <v>45</v>
      </c>
      <c r="D95" s="60" t="s">
        <v>481</v>
      </c>
      <c r="E95" s="60" t="s">
        <v>421</v>
      </c>
      <c r="F95" s="60" t="s">
        <v>422</v>
      </c>
      <c r="G95" s="59" t="s">
        <v>142</v>
      </c>
      <c r="H95" s="83">
        <v>0.39583333333333331</v>
      </c>
      <c r="I95" s="95">
        <v>0.75</v>
      </c>
      <c r="J95" s="63">
        <f t="shared" si="10"/>
        <v>0.35416666666666669</v>
      </c>
      <c r="K95" s="88" t="s">
        <v>300</v>
      </c>
      <c r="L95" s="135">
        <f t="shared" si="11"/>
        <v>8.5</v>
      </c>
      <c r="O95" s="91" t="s">
        <v>362</v>
      </c>
      <c r="P95" s="88">
        <v>5</v>
      </c>
      <c r="R95" s="88"/>
      <c r="U95" s="60"/>
      <c r="W95" s="60"/>
      <c r="X95" s="86"/>
      <c r="Z95" s="100"/>
    </row>
    <row r="96" spans="1:26" ht="14.45" customHeight="1" x14ac:dyDescent="0.2">
      <c r="A96" s="99">
        <v>45292</v>
      </c>
      <c r="B96" s="82">
        <v>45314</v>
      </c>
      <c r="C96" s="88" t="s">
        <v>106</v>
      </c>
      <c r="D96" s="60" t="s">
        <v>86</v>
      </c>
      <c r="E96" s="60" t="s">
        <v>345</v>
      </c>
      <c r="F96" s="60" t="s">
        <v>420</v>
      </c>
      <c r="G96" s="59" t="s">
        <v>142</v>
      </c>
      <c r="H96" s="83">
        <v>0.39583333333333331</v>
      </c>
      <c r="I96" s="83">
        <v>0.85416666666666663</v>
      </c>
      <c r="J96" s="63">
        <f t="shared" si="10"/>
        <v>0.45833333333333331</v>
      </c>
      <c r="K96" s="88" t="s">
        <v>110</v>
      </c>
      <c r="L96" s="135">
        <f t="shared" si="11"/>
        <v>11</v>
      </c>
      <c r="O96" s="91" t="s">
        <v>820</v>
      </c>
      <c r="P96" s="88">
        <v>5</v>
      </c>
      <c r="Q96" s="60"/>
      <c r="U96" s="60"/>
      <c r="W96" s="60"/>
      <c r="X96" s="86"/>
      <c r="Y96" s="60"/>
      <c r="Z96" s="100"/>
    </row>
    <row r="97" spans="1:26" ht="14.45" customHeight="1" x14ac:dyDescent="0.2">
      <c r="A97" s="99">
        <v>45292</v>
      </c>
      <c r="B97" s="82">
        <v>45314</v>
      </c>
      <c r="C97" s="88" t="s">
        <v>106</v>
      </c>
      <c r="D97" s="60" t="s">
        <v>830</v>
      </c>
      <c r="E97" s="60" t="s">
        <v>424</v>
      </c>
      <c r="F97" s="60" t="s">
        <v>935</v>
      </c>
      <c r="G97" s="59" t="s">
        <v>142</v>
      </c>
      <c r="H97" s="83">
        <v>0.47916666666666669</v>
      </c>
      <c r="I97" s="83">
        <v>0.5625</v>
      </c>
      <c r="J97" s="63">
        <f t="shared" si="10"/>
        <v>8.3333333333333315E-2</v>
      </c>
      <c r="K97" s="88" t="s">
        <v>110</v>
      </c>
      <c r="L97" s="135">
        <f t="shared" si="11"/>
        <v>1.9999999999999996</v>
      </c>
      <c r="O97" s="91" t="s">
        <v>820</v>
      </c>
      <c r="P97" s="88">
        <v>5</v>
      </c>
      <c r="Q97" s="60"/>
      <c r="Z97" s="100"/>
    </row>
    <row r="98" spans="1:26" ht="14.45" customHeight="1" x14ac:dyDescent="0.2">
      <c r="A98" s="99">
        <v>45292</v>
      </c>
      <c r="B98" s="82">
        <v>45314</v>
      </c>
      <c r="C98" s="88" t="s">
        <v>106</v>
      </c>
      <c r="D98" s="60" t="s">
        <v>830</v>
      </c>
      <c r="E98" s="60" t="s">
        <v>425</v>
      </c>
      <c r="F98" s="60" t="s">
        <v>426</v>
      </c>
      <c r="G98" s="59" t="s">
        <v>142</v>
      </c>
      <c r="H98" s="83">
        <v>0.41666666666666669</v>
      </c>
      <c r="I98" s="83">
        <v>0.47916666666666669</v>
      </c>
      <c r="J98" s="63">
        <f t="shared" si="10"/>
        <v>6.25E-2</v>
      </c>
      <c r="K98" s="60" t="s">
        <v>113</v>
      </c>
      <c r="L98" s="135">
        <f t="shared" si="11"/>
        <v>1.5</v>
      </c>
      <c r="O98" s="91" t="s">
        <v>359</v>
      </c>
      <c r="P98" s="88">
        <v>5</v>
      </c>
      <c r="Z98" s="100"/>
    </row>
    <row r="99" spans="1:26" ht="14.45" customHeight="1" x14ac:dyDescent="0.2">
      <c r="A99" s="99">
        <v>45292</v>
      </c>
      <c r="B99" s="82">
        <v>45315</v>
      </c>
      <c r="C99" s="60" t="s">
        <v>398</v>
      </c>
      <c r="D99" s="60" t="s">
        <v>313</v>
      </c>
      <c r="E99" s="60" t="s">
        <v>350</v>
      </c>
      <c r="F99" s="60" t="s">
        <v>400</v>
      </c>
      <c r="G99" s="72" t="s">
        <v>142</v>
      </c>
      <c r="H99" s="83">
        <v>0.54166666666666663</v>
      </c>
      <c r="I99" s="83">
        <v>0.70833333333333337</v>
      </c>
      <c r="J99" s="63">
        <f t="shared" si="10"/>
        <v>0.16666666666666674</v>
      </c>
      <c r="K99" s="60" t="s">
        <v>365</v>
      </c>
      <c r="L99" s="135">
        <f t="shared" si="11"/>
        <v>4.0000000000000018</v>
      </c>
      <c r="M99" s="60"/>
      <c r="N99" s="60"/>
      <c r="O99" s="91" t="s">
        <v>359</v>
      </c>
      <c r="P99" s="88">
        <v>5</v>
      </c>
      <c r="Q99" s="88"/>
      <c r="Z99" s="100"/>
    </row>
    <row r="100" spans="1:26" ht="14.45" customHeight="1" x14ac:dyDescent="0.2">
      <c r="A100" s="99">
        <v>45292</v>
      </c>
      <c r="B100" s="82">
        <v>45315</v>
      </c>
      <c r="C100" s="60" t="s">
        <v>398</v>
      </c>
      <c r="D100" s="60" t="s">
        <v>481</v>
      </c>
      <c r="E100" s="60" t="s">
        <v>368</v>
      </c>
      <c r="F100" s="60" t="s">
        <v>434</v>
      </c>
      <c r="G100" s="59" t="s">
        <v>142</v>
      </c>
      <c r="H100" s="83">
        <v>0.60416666666666663</v>
      </c>
      <c r="I100" s="83">
        <v>0.70833333333333337</v>
      </c>
      <c r="J100" s="63">
        <f t="shared" si="10"/>
        <v>0.10416666666666674</v>
      </c>
      <c r="K100" s="60" t="s">
        <v>113</v>
      </c>
      <c r="L100" s="134">
        <v>0.99999999999999911</v>
      </c>
      <c r="O100" s="91" t="s">
        <v>359</v>
      </c>
      <c r="P100" s="88">
        <v>5</v>
      </c>
      <c r="Q100" s="88"/>
      <c r="Z100" s="100"/>
    </row>
    <row r="101" spans="1:26" ht="14.45" customHeight="1" x14ac:dyDescent="0.2">
      <c r="A101" s="99">
        <v>45292</v>
      </c>
      <c r="B101" s="82">
        <v>45315</v>
      </c>
      <c r="C101" s="60" t="s">
        <v>398</v>
      </c>
      <c r="D101" s="60" t="s">
        <v>86</v>
      </c>
      <c r="E101" s="60" t="s">
        <v>345</v>
      </c>
      <c r="F101" s="60" t="s">
        <v>420</v>
      </c>
      <c r="G101" s="59" t="s">
        <v>142</v>
      </c>
      <c r="H101" s="83">
        <v>0.39583333333333331</v>
      </c>
      <c r="I101" s="83">
        <v>0.85416666666666663</v>
      </c>
      <c r="J101" s="63">
        <f t="shared" si="10"/>
        <v>0.45833333333333331</v>
      </c>
      <c r="K101" s="88" t="s">
        <v>365</v>
      </c>
      <c r="L101" s="135">
        <f>24*J101</f>
        <v>11</v>
      </c>
      <c r="O101" s="91" t="s">
        <v>820</v>
      </c>
      <c r="P101" s="88">
        <v>5</v>
      </c>
      <c r="Q101" s="60"/>
      <c r="U101" s="60"/>
      <c r="W101" s="60"/>
      <c r="X101" s="86"/>
      <c r="Y101" s="60"/>
      <c r="Z101" s="100"/>
    </row>
    <row r="102" spans="1:26" ht="14.45" customHeight="1" x14ac:dyDescent="0.2">
      <c r="A102" s="99">
        <v>45292</v>
      </c>
      <c r="B102" s="82">
        <v>45316</v>
      </c>
      <c r="C102" s="82" t="s">
        <v>124</v>
      </c>
      <c r="D102" s="60" t="s">
        <v>98</v>
      </c>
      <c r="E102" s="60" t="s">
        <v>427</v>
      </c>
      <c r="F102" s="60" t="s">
        <v>428</v>
      </c>
      <c r="G102" s="59" t="s">
        <v>142</v>
      </c>
      <c r="H102" s="83">
        <v>0.45833333333333331</v>
      </c>
      <c r="I102" s="83">
        <v>0.54166666666666663</v>
      </c>
      <c r="J102" s="63">
        <f t="shared" si="10"/>
        <v>8.3333333333333315E-2</v>
      </c>
      <c r="K102" s="88" t="s">
        <v>365</v>
      </c>
      <c r="L102" s="134">
        <v>0.99999999999999911</v>
      </c>
      <c r="O102" s="91" t="s">
        <v>361</v>
      </c>
      <c r="P102" s="88">
        <v>4</v>
      </c>
      <c r="Q102" s="88" t="s">
        <v>429</v>
      </c>
      <c r="Z102" s="100"/>
    </row>
    <row r="103" spans="1:26" ht="14.45" customHeight="1" x14ac:dyDescent="0.2">
      <c r="A103" s="99">
        <v>45292</v>
      </c>
      <c r="B103" s="82">
        <v>45316</v>
      </c>
      <c r="C103" s="82" t="s">
        <v>124</v>
      </c>
      <c r="D103" s="60" t="s">
        <v>830</v>
      </c>
      <c r="E103" s="60" t="s">
        <v>315</v>
      </c>
      <c r="F103" s="60" t="s">
        <v>936</v>
      </c>
      <c r="G103" s="59" t="s">
        <v>142</v>
      </c>
      <c r="H103" s="83">
        <v>0.41666666666666669</v>
      </c>
      <c r="I103" s="95">
        <v>0.66666666666666663</v>
      </c>
      <c r="J103" s="63">
        <f t="shared" si="10"/>
        <v>0.24999999999999994</v>
      </c>
      <c r="K103" s="88" t="s">
        <v>365</v>
      </c>
      <c r="L103" s="135">
        <f t="shared" ref="L103:L112" si="12">24*J103</f>
        <v>5.9999999999999982</v>
      </c>
      <c r="O103" s="91" t="s">
        <v>361</v>
      </c>
      <c r="P103" s="88">
        <v>5</v>
      </c>
      <c r="Z103" s="100"/>
    </row>
    <row r="104" spans="1:26" ht="14.45" customHeight="1" x14ac:dyDescent="0.2">
      <c r="A104" s="99">
        <v>45292</v>
      </c>
      <c r="B104" s="82">
        <v>45316</v>
      </c>
      <c r="C104" s="82" t="s">
        <v>124</v>
      </c>
      <c r="D104" s="60" t="s">
        <v>86</v>
      </c>
      <c r="E104" s="60" t="s">
        <v>345</v>
      </c>
      <c r="F104" s="60" t="s">
        <v>420</v>
      </c>
      <c r="G104" s="59" t="s">
        <v>142</v>
      </c>
      <c r="H104" s="83">
        <v>0.39583333333333331</v>
      </c>
      <c r="I104" s="83">
        <v>0.72916666666666663</v>
      </c>
      <c r="J104" s="63">
        <f t="shared" si="10"/>
        <v>0.33333333333333331</v>
      </c>
      <c r="K104" s="88" t="s">
        <v>110</v>
      </c>
      <c r="L104" s="135">
        <f t="shared" si="12"/>
        <v>8</v>
      </c>
      <c r="O104" s="91" t="s">
        <v>820</v>
      </c>
      <c r="P104" s="88">
        <v>5</v>
      </c>
      <c r="Q104" s="60"/>
      <c r="U104" s="60"/>
      <c r="W104" s="60"/>
      <c r="X104" s="86"/>
      <c r="Y104" s="60"/>
      <c r="Z104" s="100"/>
    </row>
    <row r="105" spans="1:26" ht="14.45" customHeight="1" x14ac:dyDescent="0.2">
      <c r="A105" s="99">
        <v>45292</v>
      </c>
      <c r="B105" s="82">
        <v>45317</v>
      </c>
      <c r="C105" s="60" t="s">
        <v>33</v>
      </c>
      <c r="D105" s="60" t="s">
        <v>86</v>
      </c>
      <c r="E105" s="60" t="s">
        <v>345</v>
      </c>
      <c r="F105" s="60" t="s">
        <v>420</v>
      </c>
      <c r="G105" s="59" t="s">
        <v>142</v>
      </c>
      <c r="H105" s="83">
        <v>0.45833333333333331</v>
      </c>
      <c r="I105" s="83">
        <v>0.625</v>
      </c>
      <c r="J105" s="63">
        <f t="shared" si="10"/>
        <v>0.16666666666666669</v>
      </c>
      <c r="K105" s="88" t="s">
        <v>110</v>
      </c>
      <c r="L105" s="135">
        <f t="shared" si="12"/>
        <v>4</v>
      </c>
      <c r="O105" s="91" t="s">
        <v>362</v>
      </c>
      <c r="P105" s="88">
        <v>5</v>
      </c>
      <c r="Q105" s="60"/>
      <c r="U105" s="60"/>
      <c r="W105" s="60"/>
      <c r="X105" s="86"/>
      <c r="Y105" s="60"/>
      <c r="Z105" s="100"/>
    </row>
    <row r="106" spans="1:26" ht="14.45" customHeight="1" x14ac:dyDescent="0.2">
      <c r="A106" s="99">
        <v>45292</v>
      </c>
      <c r="B106" s="82">
        <v>45317</v>
      </c>
      <c r="C106" s="60" t="s">
        <v>33</v>
      </c>
      <c r="D106" s="60" t="s">
        <v>86</v>
      </c>
      <c r="E106" s="60" t="s">
        <v>355</v>
      </c>
      <c r="F106" s="60" t="s">
        <v>430</v>
      </c>
      <c r="G106" s="59" t="s">
        <v>142</v>
      </c>
      <c r="H106" s="83">
        <v>0.39583333333333331</v>
      </c>
      <c r="I106" s="83">
        <v>0.72916666666666663</v>
      </c>
      <c r="J106" s="63">
        <f t="shared" si="10"/>
        <v>0.33333333333333331</v>
      </c>
      <c r="K106" s="88" t="s">
        <v>110</v>
      </c>
      <c r="L106" s="135">
        <f t="shared" si="12"/>
        <v>8</v>
      </c>
      <c r="O106" s="91" t="s">
        <v>362</v>
      </c>
      <c r="P106" s="88">
        <v>5</v>
      </c>
      <c r="Q106" s="60"/>
      <c r="U106" s="60"/>
      <c r="W106" s="60"/>
      <c r="X106" s="86"/>
      <c r="Y106" s="60"/>
      <c r="Z106" s="100"/>
    </row>
    <row r="107" spans="1:26" ht="14.45" customHeight="1" x14ac:dyDescent="0.2">
      <c r="A107" s="99">
        <v>45292</v>
      </c>
      <c r="B107" s="82">
        <v>45318</v>
      </c>
      <c r="C107" s="88" t="s">
        <v>34</v>
      </c>
      <c r="D107" s="60" t="s">
        <v>86</v>
      </c>
      <c r="E107" s="60" t="s">
        <v>345</v>
      </c>
      <c r="F107" s="60" t="s">
        <v>431</v>
      </c>
      <c r="G107" s="59" t="s">
        <v>142</v>
      </c>
      <c r="H107" s="83">
        <v>0.39583333333333331</v>
      </c>
      <c r="I107" s="83">
        <v>0.85416666666666663</v>
      </c>
      <c r="J107" s="63">
        <f t="shared" si="10"/>
        <v>0.45833333333333331</v>
      </c>
      <c r="K107" s="88" t="s">
        <v>110</v>
      </c>
      <c r="L107" s="135">
        <f t="shared" si="12"/>
        <v>11</v>
      </c>
      <c r="O107" s="91" t="s">
        <v>314</v>
      </c>
      <c r="P107" s="88">
        <v>5</v>
      </c>
      <c r="Q107" s="60"/>
      <c r="U107" s="60"/>
      <c r="W107" s="60"/>
      <c r="X107" s="86"/>
      <c r="Y107" s="60"/>
      <c r="Z107" s="100"/>
    </row>
    <row r="108" spans="1:26" ht="14.45" customHeight="1" x14ac:dyDescent="0.2">
      <c r="A108" s="99">
        <v>45292</v>
      </c>
      <c r="B108" s="82">
        <v>45318</v>
      </c>
      <c r="C108" s="88" t="s">
        <v>34</v>
      </c>
      <c r="D108" s="60" t="s">
        <v>86</v>
      </c>
      <c r="E108" s="60" t="s">
        <v>345</v>
      </c>
      <c r="F108" s="60" t="s">
        <v>432</v>
      </c>
      <c r="G108" s="59" t="s">
        <v>142</v>
      </c>
      <c r="H108" s="83">
        <v>0.39583333333333331</v>
      </c>
      <c r="I108" s="83">
        <v>0.625</v>
      </c>
      <c r="J108" s="63">
        <f t="shared" si="10"/>
        <v>0.22916666666666669</v>
      </c>
      <c r="K108" s="88" t="s">
        <v>110</v>
      </c>
      <c r="L108" s="135">
        <f t="shared" si="12"/>
        <v>5.5</v>
      </c>
      <c r="O108" s="91" t="s">
        <v>314</v>
      </c>
      <c r="P108" s="88">
        <v>5</v>
      </c>
      <c r="Q108" s="60"/>
      <c r="U108" s="60"/>
      <c r="W108" s="60"/>
      <c r="X108" s="86"/>
      <c r="Y108" s="60"/>
      <c r="Z108" s="100"/>
    </row>
    <row r="109" spans="1:26" ht="14.45" customHeight="1" x14ac:dyDescent="0.2">
      <c r="A109" s="99">
        <v>45292</v>
      </c>
      <c r="B109" s="82">
        <v>45319</v>
      </c>
      <c r="C109" s="60" t="s">
        <v>31</v>
      </c>
      <c r="D109" s="60" t="s">
        <v>313</v>
      </c>
      <c r="E109" s="60" t="s">
        <v>350</v>
      </c>
      <c r="F109" s="60" t="s">
        <v>400</v>
      </c>
      <c r="G109" s="72" t="s">
        <v>142</v>
      </c>
      <c r="H109" s="83">
        <v>0.625</v>
      </c>
      <c r="I109" s="83">
        <v>0.75</v>
      </c>
      <c r="J109" s="63">
        <f t="shared" si="10"/>
        <v>0.125</v>
      </c>
      <c r="K109" s="88" t="s">
        <v>365</v>
      </c>
      <c r="L109" s="135">
        <f t="shared" si="12"/>
        <v>3</v>
      </c>
      <c r="M109" s="60"/>
      <c r="N109" s="60"/>
      <c r="O109" s="91" t="s">
        <v>314</v>
      </c>
      <c r="P109" s="88">
        <v>5</v>
      </c>
      <c r="Q109" s="88"/>
      <c r="Z109" s="100"/>
    </row>
    <row r="110" spans="1:26" ht="14.45" customHeight="1" x14ac:dyDescent="0.2">
      <c r="A110" s="99">
        <v>45292</v>
      </c>
      <c r="B110" s="82">
        <v>45319</v>
      </c>
      <c r="C110" s="60" t="s">
        <v>31</v>
      </c>
      <c r="D110" s="60" t="s">
        <v>86</v>
      </c>
      <c r="E110" s="60" t="s">
        <v>345</v>
      </c>
      <c r="F110" s="60" t="s">
        <v>420</v>
      </c>
      <c r="G110" s="59" t="s">
        <v>142</v>
      </c>
      <c r="H110" s="83">
        <v>0.39583333333333331</v>
      </c>
      <c r="I110" s="83">
        <v>0.72916666666666663</v>
      </c>
      <c r="J110" s="63">
        <f t="shared" si="10"/>
        <v>0.33333333333333331</v>
      </c>
      <c r="K110" s="88" t="s">
        <v>110</v>
      </c>
      <c r="L110" s="135">
        <f t="shared" si="12"/>
        <v>8</v>
      </c>
      <c r="O110" s="91" t="s">
        <v>820</v>
      </c>
      <c r="P110" s="88">
        <v>5</v>
      </c>
      <c r="Q110" s="60"/>
      <c r="U110" s="60"/>
      <c r="W110" s="60"/>
      <c r="X110" s="86"/>
      <c r="Y110" s="60"/>
      <c r="Z110" s="100"/>
    </row>
    <row r="111" spans="1:26" ht="14.45" customHeight="1" x14ac:dyDescent="0.2">
      <c r="A111" s="99">
        <v>45292</v>
      </c>
      <c r="B111" s="82">
        <v>45319</v>
      </c>
      <c r="C111" s="60" t="s">
        <v>31</v>
      </c>
      <c r="D111" s="60" t="s">
        <v>126</v>
      </c>
      <c r="E111" s="60" t="s">
        <v>352</v>
      </c>
      <c r="F111" s="60" t="s">
        <v>933</v>
      </c>
      <c r="G111" s="59" t="s">
        <v>142</v>
      </c>
      <c r="H111" s="83">
        <v>0.54166666666666663</v>
      </c>
      <c r="I111" s="83">
        <v>0.58333333333333337</v>
      </c>
      <c r="J111" s="63">
        <f t="shared" si="10"/>
        <v>4.1666666666666741E-2</v>
      </c>
      <c r="K111" s="60" t="s">
        <v>113</v>
      </c>
      <c r="L111" s="135">
        <f t="shared" si="12"/>
        <v>1.0000000000000018</v>
      </c>
      <c r="O111" s="91" t="s">
        <v>359</v>
      </c>
      <c r="P111" s="88">
        <v>4</v>
      </c>
      <c r="Q111" s="60" t="s">
        <v>433</v>
      </c>
      <c r="Z111" s="100"/>
    </row>
    <row r="112" spans="1:26" ht="14.45" customHeight="1" x14ac:dyDescent="0.2">
      <c r="A112" s="99">
        <v>45292</v>
      </c>
      <c r="B112" s="82">
        <v>45319</v>
      </c>
      <c r="C112" s="60" t="s">
        <v>31</v>
      </c>
      <c r="D112" s="60" t="s">
        <v>126</v>
      </c>
      <c r="E112" s="60" t="s">
        <v>352</v>
      </c>
      <c r="F112" s="60" t="s">
        <v>933</v>
      </c>
      <c r="G112" s="59" t="s">
        <v>142</v>
      </c>
      <c r="H112" s="83">
        <v>0.41666666666666669</v>
      </c>
      <c r="I112" s="83">
        <v>0.47916666666666669</v>
      </c>
      <c r="J112" s="63">
        <f t="shared" si="10"/>
        <v>6.25E-2</v>
      </c>
      <c r="K112" s="88" t="s">
        <v>110</v>
      </c>
      <c r="L112" s="135">
        <f t="shared" si="12"/>
        <v>1.5</v>
      </c>
      <c r="O112" s="91" t="s">
        <v>359</v>
      </c>
      <c r="P112" s="88">
        <v>4</v>
      </c>
      <c r="Q112" s="60" t="s">
        <v>433</v>
      </c>
      <c r="Z112" s="100"/>
    </row>
    <row r="113" spans="1:26" ht="14.45" customHeight="1" x14ac:dyDescent="0.2">
      <c r="A113" s="99">
        <v>45292</v>
      </c>
      <c r="B113" s="82">
        <v>45320</v>
      </c>
      <c r="C113" s="88" t="s">
        <v>45</v>
      </c>
      <c r="D113" s="60" t="s">
        <v>98</v>
      </c>
      <c r="E113" s="60" t="s">
        <v>436</v>
      </c>
      <c r="F113" s="60" t="s">
        <v>437</v>
      </c>
      <c r="G113" s="59" t="s">
        <v>142</v>
      </c>
      <c r="H113" s="83">
        <v>0.54166666666666663</v>
      </c>
      <c r="I113" s="83">
        <v>0.625</v>
      </c>
      <c r="J113" s="63">
        <f t="shared" si="10"/>
        <v>8.333333333333337E-2</v>
      </c>
      <c r="K113" s="60" t="s">
        <v>365</v>
      </c>
      <c r="L113" s="134">
        <v>0.99999999999999911</v>
      </c>
      <c r="O113" s="91" t="s">
        <v>359</v>
      </c>
      <c r="P113" s="88">
        <v>4</v>
      </c>
      <c r="Q113" s="88" t="s">
        <v>429</v>
      </c>
      <c r="Z113" s="100"/>
    </row>
    <row r="114" spans="1:26" ht="14.45" customHeight="1" x14ac:dyDescent="0.2">
      <c r="A114" s="99">
        <v>45292</v>
      </c>
      <c r="B114" s="82">
        <v>45320</v>
      </c>
      <c r="C114" s="88" t="s">
        <v>45</v>
      </c>
      <c r="D114" s="60" t="s">
        <v>86</v>
      </c>
      <c r="E114" s="60" t="s">
        <v>345</v>
      </c>
      <c r="F114" s="60" t="s">
        <v>420</v>
      </c>
      <c r="G114" s="59" t="s">
        <v>142</v>
      </c>
      <c r="H114" s="83">
        <v>0.39583333333333331</v>
      </c>
      <c r="I114" s="83">
        <v>0.72916666666666663</v>
      </c>
      <c r="J114" s="63">
        <f t="shared" si="10"/>
        <v>0.33333333333333331</v>
      </c>
      <c r="K114" s="88" t="s">
        <v>110</v>
      </c>
      <c r="L114" s="135">
        <f>24*J114</f>
        <v>8</v>
      </c>
      <c r="O114" s="91" t="s">
        <v>820</v>
      </c>
      <c r="P114" s="88">
        <v>5</v>
      </c>
      <c r="Q114" s="60"/>
      <c r="U114" s="60"/>
      <c r="W114" s="60"/>
      <c r="X114" s="86"/>
      <c r="Y114" s="60"/>
      <c r="Z114" s="100"/>
    </row>
    <row r="115" spans="1:26" ht="14.45" customHeight="1" x14ac:dyDescent="0.2">
      <c r="A115" s="99">
        <v>45292</v>
      </c>
      <c r="B115" s="82">
        <v>45320</v>
      </c>
      <c r="C115" s="88" t="s">
        <v>45</v>
      </c>
      <c r="D115" s="60" t="s">
        <v>313</v>
      </c>
      <c r="E115" s="60" t="s">
        <v>350</v>
      </c>
      <c r="F115" s="60" t="s">
        <v>400</v>
      </c>
      <c r="G115" s="72" t="s">
        <v>142</v>
      </c>
      <c r="H115" s="83">
        <v>0.5625</v>
      </c>
      <c r="I115" s="83">
        <v>0.70833333333333337</v>
      </c>
      <c r="J115" s="63">
        <f t="shared" si="10"/>
        <v>0.14583333333333337</v>
      </c>
      <c r="K115" s="88" t="s">
        <v>365</v>
      </c>
      <c r="L115" s="135">
        <f>24*J115</f>
        <v>3.5000000000000009</v>
      </c>
      <c r="M115" s="60"/>
      <c r="N115" s="60"/>
      <c r="O115" s="91" t="s">
        <v>314</v>
      </c>
      <c r="P115" s="88">
        <v>5</v>
      </c>
      <c r="Q115" s="88"/>
      <c r="Z115" s="100"/>
    </row>
    <row r="116" spans="1:26" ht="14.45" customHeight="1" x14ac:dyDescent="0.2">
      <c r="A116" s="99">
        <v>45292</v>
      </c>
      <c r="B116" s="82">
        <v>45321</v>
      </c>
      <c r="C116" s="88" t="s">
        <v>106</v>
      </c>
      <c r="D116" s="60" t="s">
        <v>308</v>
      </c>
      <c r="E116" s="60" t="s">
        <v>377</v>
      </c>
      <c r="F116" s="60" t="s">
        <v>379</v>
      </c>
      <c r="G116" s="72" t="s">
        <v>142</v>
      </c>
      <c r="H116" s="83">
        <v>0.54166666666666663</v>
      </c>
      <c r="I116" s="83">
        <v>0.64583333333333337</v>
      </c>
      <c r="J116" s="63">
        <f t="shared" si="10"/>
        <v>0.10416666666666674</v>
      </c>
      <c r="K116" s="88" t="s">
        <v>365</v>
      </c>
      <c r="L116" s="135">
        <f>24*J116</f>
        <v>2.5000000000000018</v>
      </c>
      <c r="M116" s="60"/>
      <c r="N116" s="60"/>
      <c r="O116" s="91" t="s">
        <v>314</v>
      </c>
      <c r="P116" s="88">
        <v>5</v>
      </c>
      <c r="Q116" s="88"/>
      <c r="V116" s="93" t="s">
        <v>279</v>
      </c>
      <c r="Z116" s="100"/>
    </row>
    <row r="117" spans="1:26" x14ac:dyDescent="0.2">
      <c r="A117" s="99">
        <v>45292</v>
      </c>
      <c r="B117" s="82">
        <v>45321</v>
      </c>
      <c r="C117" s="88" t="s">
        <v>106</v>
      </c>
      <c r="D117" s="60" t="s">
        <v>32</v>
      </c>
      <c r="E117" s="60" t="s">
        <v>388</v>
      </c>
      <c r="F117" s="60" t="s">
        <v>435</v>
      </c>
      <c r="G117" s="72" t="s">
        <v>142</v>
      </c>
      <c r="H117" s="83">
        <v>0.625</v>
      </c>
      <c r="I117" s="95">
        <v>0.6875</v>
      </c>
      <c r="J117" s="63">
        <v>0.27079999999999999</v>
      </c>
      <c r="K117" s="60" t="s">
        <v>365</v>
      </c>
      <c r="L117" s="135">
        <v>6.5</v>
      </c>
      <c r="N117" s="60"/>
      <c r="O117" s="91" t="s">
        <v>314</v>
      </c>
      <c r="P117" s="88">
        <v>5</v>
      </c>
      <c r="Q117" s="60"/>
      <c r="V117" s="86"/>
      <c r="Z117" s="100"/>
    </row>
    <row r="118" spans="1:26" ht="14.45" customHeight="1" x14ac:dyDescent="0.2">
      <c r="A118" s="99">
        <v>45292</v>
      </c>
      <c r="B118" s="82">
        <v>45321</v>
      </c>
      <c r="C118" s="88" t="s">
        <v>106</v>
      </c>
      <c r="D118" s="60" t="s">
        <v>86</v>
      </c>
      <c r="E118" s="60" t="s">
        <v>345</v>
      </c>
      <c r="F118" s="60" t="s">
        <v>420</v>
      </c>
      <c r="G118" s="59" t="s">
        <v>142</v>
      </c>
      <c r="H118" s="83">
        <v>0.39583333333333331</v>
      </c>
      <c r="I118" s="83">
        <v>0.72916666666666663</v>
      </c>
      <c r="J118" s="63">
        <f t="shared" ref="J118:J123" si="13">I118-H118</f>
        <v>0.33333333333333331</v>
      </c>
      <c r="K118" s="88" t="s">
        <v>110</v>
      </c>
      <c r="L118" s="135">
        <f t="shared" ref="L118:L123" si="14">24*J118</f>
        <v>8</v>
      </c>
      <c r="O118" s="91" t="s">
        <v>820</v>
      </c>
      <c r="P118" s="88">
        <v>5</v>
      </c>
      <c r="Q118" s="60"/>
      <c r="U118" s="60"/>
      <c r="W118" s="60"/>
      <c r="X118" s="86"/>
      <c r="Y118" s="60"/>
      <c r="Z118" s="100"/>
    </row>
    <row r="119" spans="1:26" ht="14.45" customHeight="1" x14ac:dyDescent="0.2">
      <c r="A119" s="99">
        <v>45292</v>
      </c>
      <c r="B119" s="82">
        <v>45321</v>
      </c>
      <c r="C119" s="88" t="s">
        <v>106</v>
      </c>
      <c r="D119" s="60" t="s">
        <v>438</v>
      </c>
      <c r="E119" s="60" t="s">
        <v>417</v>
      </c>
      <c r="F119" s="60" t="s">
        <v>439</v>
      </c>
      <c r="G119" s="59" t="s">
        <v>142</v>
      </c>
      <c r="H119" s="83">
        <v>0.47916666666666669</v>
      </c>
      <c r="I119" s="83">
        <v>0.625</v>
      </c>
      <c r="J119" s="63">
        <f t="shared" si="13"/>
        <v>0.14583333333333331</v>
      </c>
      <c r="K119" s="88" t="s">
        <v>365</v>
      </c>
      <c r="L119" s="135">
        <f t="shared" si="14"/>
        <v>3.4999999999999996</v>
      </c>
      <c r="O119" s="91" t="s">
        <v>359</v>
      </c>
      <c r="P119" s="88">
        <v>4</v>
      </c>
      <c r="Q119" s="60" t="s">
        <v>440</v>
      </c>
      <c r="U119" s="60"/>
      <c r="W119" s="60"/>
      <c r="X119" s="86"/>
      <c r="Y119" s="60"/>
      <c r="Z119" s="100"/>
    </row>
    <row r="120" spans="1:26" ht="14.45" customHeight="1" x14ac:dyDescent="0.2">
      <c r="A120" s="99">
        <v>45292</v>
      </c>
      <c r="B120" s="82">
        <v>45322</v>
      </c>
      <c r="C120" s="60" t="s">
        <v>398</v>
      </c>
      <c r="D120" s="60" t="s">
        <v>86</v>
      </c>
      <c r="E120" s="60" t="s">
        <v>345</v>
      </c>
      <c r="F120" s="60" t="s">
        <v>441</v>
      </c>
      <c r="G120" s="59" t="s">
        <v>142</v>
      </c>
      <c r="H120" s="83">
        <v>0.39583333333333331</v>
      </c>
      <c r="I120" s="83">
        <v>0.72916666666666663</v>
      </c>
      <c r="J120" s="63">
        <f t="shared" si="13"/>
        <v>0.33333333333333331</v>
      </c>
      <c r="K120" s="88" t="s">
        <v>110</v>
      </c>
      <c r="L120" s="135">
        <f t="shared" si="14"/>
        <v>8</v>
      </c>
      <c r="O120" s="91" t="s">
        <v>314</v>
      </c>
      <c r="P120" s="88">
        <v>5</v>
      </c>
      <c r="Q120" s="60"/>
      <c r="U120" s="60"/>
      <c r="W120" s="60"/>
      <c r="X120" s="86"/>
      <c r="Y120" s="60"/>
      <c r="Z120" s="100"/>
    </row>
    <row r="121" spans="1:26" ht="14.45" customHeight="1" x14ac:dyDescent="0.2">
      <c r="A121" s="99">
        <v>45292</v>
      </c>
      <c r="B121" s="82">
        <v>45322</v>
      </c>
      <c r="C121" s="60" t="s">
        <v>398</v>
      </c>
      <c r="D121" s="60" t="s">
        <v>86</v>
      </c>
      <c r="E121" s="60" t="s">
        <v>345</v>
      </c>
      <c r="F121" s="60" t="s">
        <v>442</v>
      </c>
      <c r="G121" s="59" t="s">
        <v>142</v>
      </c>
      <c r="H121" s="83">
        <v>0.39583333333333331</v>
      </c>
      <c r="I121" s="83">
        <v>0.72916666666666663</v>
      </c>
      <c r="J121" s="63">
        <f t="shared" si="13"/>
        <v>0.33333333333333331</v>
      </c>
      <c r="K121" s="88" t="s">
        <v>110</v>
      </c>
      <c r="L121" s="135">
        <f t="shared" si="14"/>
        <v>8</v>
      </c>
      <c r="O121" s="91" t="s">
        <v>314</v>
      </c>
      <c r="P121" s="88">
        <v>5</v>
      </c>
      <c r="Q121" s="60"/>
      <c r="U121" s="60"/>
      <c r="W121" s="60"/>
      <c r="X121" s="86"/>
      <c r="Y121" s="60"/>
      <c r="Z121" s="100"/>
    </row>
    <row r="122" spans="1:26" ht="14.45" customHeight="1" x14ac:dyDescent="0.2">
      <c r="A122" s="99">
        <v>45323</v>
      </c>
      <c r="B122" s="82">
        <v>45323</v>
      </c>
      <c r="C122" s="82" t="s">
        <v>124</v>
      </c>
      <c r="D122" s="60" t="s">
        <v>86</v>
      </c>
      <c r="E122" s="60" t="s">
        <v>345</v>
      </c>
      <c r="F122" s="60" t="s">
        <v>420</v>
      </c>
      <c r="G122" s="59" t="s">
        <v>142</v>
      </c>
      <c r="H122" s="83">
        <v>0.39583333333333331</v>
      </c>
      <c r="I122" s="95">
        <v>0.66666666666666663</v>
      </c>
      <c r="J122" s="63">
        <f t="shared" si="13"/>
        <v>0.27083333333333331</v>
      </c>
      <c r="K122" s="88" t="s">
        <v>110</v>
      </c>
      <c r="L122" s="135">
        <f t="shared" si="14"/>
        <v>6.5</v>
      </c>
      <c r="O122" s="91" t="s">
        <v>820</v>
      </c>
      <c r="P122" s="88">
        <v>5</v>
      </c>
      <c r="Q122" s="60"/>
      <c r="U122" s="60"/>
      <c r="W122" s="60"/>
      <c r="X122" s="86"/>
      <c r="Y122" s="60"/>
      <c r="Z122" s="100"/>
    </row>
    <row r="123" spans="1:26" ht="14.45" customHeight="1" x14ac:dyDescent="0.2">
      <c r="A123" s="99">
        <v>45323</v>
      </c>
      <c r="B123" s="82">
        <v>45325</v>
      </c>
      <c r="C123" s="88" t="s">
        <v>34</v>
      </c>
      <c r="D123" s="60" t="s">
        <v>86</v>
      </c>
      <c r="E123" s="60" t="s">
        <v>345</v>
      </c>
      <c r="F123" s="60" t="s">
        <v>420</v>
      </c>
      <c r="G123" s="59" t="s">
        <v>142</v>
      </c>
      <c r="H123" s="83">
        <v>0.39583333333333331</v>
      </c>
      <c r="I123" s="83">
        <v>0.72916666666666663</v>
      </c>
      <c r="J123" s="63">
        <f t="shared" si="13"/>
        <v>0.33333333333333331</v>
      </c>
      <c r="K123" s="88" t="s">
        <v>110</v>
      </c>
      <c r="L123" s="135">
        <f t="shared" si="14"/>
        <v>8</v>
      </c>
      <c r="O123" s="91" t="s">
        <v>820</v>
      </c>
      <c r="P123" s="88">
        <v>5</v>
      </c>
      <c r="Q123" s="60"/>
      <c r="U123" s="60"/>
      <c r="W123" s="60"/>
      <c r="X123" s="86"/>
      <c r="Y123" s="60"/>
      <c r="Z123" s="100"/>
    </row>
    <row r="124" spans="1:26" x14ac:dyDescent="0.2">
      <c r="A124" s="99">
        <v>45323</v>
      </c>
      <c r="B124" s="82">
        <v>45326</v>
      </c>
      <c r="C124" s="60" t="s">
        <v>31</v>
      </c>
      <c r="D124" s="60" t="s">
        <v>32</v>
      </c>
      <c r="E124" s="60" t="s">
        <v>388</v>
      </c>
      <c r="F124" s="60" t="s">
        <v>443</v>
      </c>
      <c r="G124" s="72" t="s">
        <v>142</v>
      </c>
      <c r="H124" s="83">
        <v>0.54166666666666663</v>
      </c>
      <c r="I124" s="83">
        <v>0.58333333333333337</v>
      </c>
      <c r="J124" s="63">
        <v>0.27079999999999999</v>
      </c>
      <c r="K124" s="60" t="s">
        <v>365</v>
      </c>
      <c r="L124" s="135">
        <v>6.5</v>
      </c>
      <c r="N124" s="60"/>
      <c r="O124" s="91" t="s">
        <v>361</v>
      </c>
      <c r="P124" s="88">
        <v>5</v>
      </c>
      <c r="Q124" s="60"/>
      <c r="V124" s="86"/>
      <c r="Z124" s="100"/>
    </row>
    <row r="125" spans="1:26" x14ac:dyDescent="0.2">
      <c r="A125" s="99">
        <v>45323</v>
      </c>
      <c r="B125" s="82">
        <v>45326</v>
      </c>
      <c r="C125" s="60" t="s">
        <v>31</v>
      </c>
      <c r="D125" s="60" t="s">
        <v>32</v>
      </c>
      <c r="E125" s="60" t="s">
        <v>388</v>
      </c>
      <c r="F125" s="60" t="s">
        <v>444</v>
      </c>
      <c r="G125" s="72" t="s">
        <v>142</v>
      </c>
      <c r="H125" s="83">
        <v>0.58333333333333337</v>
      </c>
      <c r="I125" s="83">
        <v>0.625</v>
      </c>
      <c r="J125" s="63">
        <v>0.27079999999999999</v>
      </c>
      <c r="K125" s="88" t="s">
        <v>365</v>
      </c>
      <c r="L125" s="135">
        <v>6.5</v>
      </c>
      <c r="N125" s="60"/>
      <c r="O125" s="91" t="s">
        <v>361</v>
      </c>
      <c r="P125" s="88">
        <v>5</v>
      </c>
      <c r="Q125" s="60"/>
      <c r="V125" s="86"/>
      <c r="Z125" s="100"/>
    </row>
    <row r="126" spans="1:26" x14ac:dyDescent="0.2">
      <c r="A126" s="99">
        <v>45323</v>
      </c>
      <c r="B126" s="82">
        <v>45326</v>
      </c>
      <c r="C126" s="60" t="s">
        <v>31</v>
      </c>
      <c r="D126" s="60" t="s">
        <v>445</v>
      </c>
      <c r="E126" s="60" t="s">
        <v>446</v>
      </c>
      <c r="F126" s="60" t="s">
        <v>444</v>
      </c>
      <c r="G126" s="72" t="s">
        <v>142</v>
      </c>
      <c r="H126" s="83">
        <v>0.39583333333333331</v>
      </c>
      <c r="I126" s="83">
        <v>0.70833333333333337</v>
      </c>
      <c r="J126" s="63">
        <v>0.27079999999999999</v>
      </c>
      <c r="K126" s="88" t="s">
        <v>365</v>
      </c>
      <c r="L126" s="135">
        <v>6.5</v>
      </c>
      <c r="N126" s="60"/>
      <c r="O126" s="91" t="s">
        <v>361</v>
      </c>
      <c r="P126" s="88">
        <v>5</v>
      </c>
      <c r="Q126" s="60"/>
      <c r="V126" s="86"/>
      <c r="Z126" s="100"/>
    </row>
    <row r="127" spans="1:26" x14ac:dyDescent="0.2">
      <c r="A127" s="99">
        <v>45323</v>
      </c>
      <c r="B127" s="82">
        <v>45326</v>
      </c>
      <c r="C127" s="60" t="s">
        <v>31</v>
      </c>
      <c r="D127" s="60" t="s">
        <v>86</v>
      </c>
      <c r="E127" s="60" t="s">
        <v>345</v>
      </c>
      <c r="F127" s="60" t="s">
        <v>420</v>
      </c>
      <c r="G127" s="59" t="s">
        <v>142</v>
      </c>
      <c r="H127" s="83">
        <v>0.39583333333333331</v>
      </c>
      <c r="I127" s="83">
        <v>0.72916666666666663</v>
      </c>
      <c r="J127" s="63">
        <f>I127-H127</f>
        <v>0.33333333333333331</v>
      </c>
      <c r="K127" s="88" t="s">
        <v>110</v>
      </c>
      <c r="L127" s="135">
        <f>24*J127</f>
        <v>8</v>
      </c>
      <c r="O127" s="91" t="s">
        <v>820</v>
      </c>
      <c r="P127" s="88">
        <v>5</v>
      </c>
      <c r="Q127" s="60"/>
      <c r="U127" s="60"/>
      <c r="W127" s="60"/>
      <c r="X127" s="86"/>
      <c r="Y127" s="60"/>
      <c r="Z127" s="100"/>
    </row>
    <row r="128" spans="1:26" x14ac:dyDescent="0.2">
      <c r="A128" s="99">
        <v>45323</v>
      </c>
      <c r="B128" s="82">
        <v>45327</v>
      </c>
      <c r="C128" s="88" t="s">
        <v>45</v>
      </c>
      <c r="D128" s="60" t="s">
        <v>86</v>
      </c>
      <c r="E128" s="60" t="s">
        <v>345</v>
      </c>
      <c r="F128" s="60" t="s">
        <v>420</v>
      </c>
      <c r="G128" s="59" t="s">
        <v>142</v>
      </c>
      <c r="H128" s="83">
        <v>0.39583333333333331</v>
      </c>
      <c r="I128" s="83">
        <v>0.70833333333333337</v>
      </c>
      <c r="J128" s="63">
        <f>I128-H128</f>
        <v>0.31250000000000006</v>
      </c>
      <c r="K128" s="88" t="s">
        <v>110</v>
      </c>
      <c r="L128" s="135">
        <f>24*J128</f>
        <v>7.5000000000000018</v>
      </c>
      <c r="O128" s="91" t="s">
        <v>820</v>
      </c>
      <c r="P128" s="88">
        <v>5</v>
      </c>
      <c r="Q128" s="60"/>
      <c r="U128" s="60"/>
      <c r="W128" s="60"/>
      <c r="X128" s="86"/>
      <c r="Y128" s="60"/>
      <c r="Z128" s="100"/>
    </row>
    <row r="129" spans="1:26" ht="14.45" customHeight="1" x14ac:dyDescent="0.2">
      <c r="A129" s="99">
        <v>45323</v>
      </c>
      <c r="B129" s="82">
        <v>45327</v>
      </c>
      <c r="C129" s="88" t="s">
        <v>45</v>
      </c>
      <c r="D129" s="60" t="s">
        <v>445</v>
      </c>
      <c r="E129" s="60" t="s">
        <v>446</v>
      </c>
      <c r="F129" s="60" t="s">
        <v>447</v>
      </c>
      <c r="G129" s="72" t="s">
        <v>142</v>
      </c>
      <c r="H129" s="83">
        <v>0.45833333333333331</v>
      </c>
      <c r="I129" s="83">
        <v>0.70833333333333337</v>
      </c>
      <c r="J129" s="63">
        <v>0.27079999999999999</v>
      </c>
      <c r="K129" s="88" t="s">
        <v>366</v>
      </c>
      <c r="L129" s="135">
        <v>6.5</v>
      </c>
      <c r="N129" s="60"/>
      <c r="O129" s="91" t="s">
        <v>820</v>
      </c>
      <c r="P129" s="88">
        <v>5</v>
      </c>
      <c r="Q129" s="60"/>
      <c r="V129" s="86"/>
      <c r="Z129" s="100"/>
    </row>
    <row r="130" spans="1:26" x14ac:dyDescent="0.2">
      <c r="A130" s="99">
        <v>45323</v>
      </c>
      <c r="B130" s="82">
        <v>45327</v>
      </c>
      <c r="C130" s="88" t="s">
        <v>45</v>
      </c>
      <c r="D130" s="60" t="s">
        <v>445</v>
      </c>
      <c r="E130" s="60" t="s">
        <v>448</v>
      </c>
      <c r="F130" s="60" t="s">
        <v>400</v>
      </c>
      <c r="G130" s="72" t="s">
        <v>142</v>
      </c>
      <c r="H130" s="83">
        <v>0.58333333333333337</v>
      </c>
      <c r="I130" s="83">
        <v>0.70833333333333337</v>
      </c>
      <c r="J130" s="63">
        <v>0.27079999999999999</v>
      </c>
      <c r="K130" s="88" t="s">
        <v>365</v>
      </c>
      <c r="L130" s="135">
        <f>24*J130</f>
        <v>6.4992000000000001</v>
      </c>
      <c r="M130" s="60"/>
      <c r="N130" s="60"/>
      <c r="O130" s="91" t="s">
        <v>314</v>
      </c>
      <c r="P130" s="88">
        <v>5</v>
      </c>
      <c r="Q130" s="88"/>
      <c r="Z130" s="100"/>
    </row>
    <row r="131" spans="1:26" x14ac:dyDescent="0.2">
      <c r="A131" s="99">
        <v>45323</v>
      </c>
      <c r="B131" s="82">
        <v>45327</v>
      </c>
      <c r="C131" s="88" t="s">
        <v>45</v>
      </c>
      <c r="D131" s="60" t="s">
        <v>313</v>
      </c>
      <c r="E131" s="60" t="s">
        <v>350</v>
      </c>
      <c r="F131" s="60" t="s">
        <v>400</v>
      </c>
      <c r="G131" s="72" t="s">
        <v>142</v>
      </c>
      <c r="H131" s="83">
        <v>0.54166666666666663</v>
      </c>
      <c r="I131" s="83">
        <v>0.625</v>
      </c>
      <c r="J131" s="63">
        <f>I131-H131</f>
        <v>8.333333333333337E-2</v>
      </c>
      <c r="K131" s="88" t="s">
        <v>365</v>
      </c>
      <c r="L131" s="135">
        <f>24*J131</f>
        <v>2.0000000000000009</v>
      </c>
      <c r="M131" s="60"/>
      <c r="N131" s="60"/>
      <c r="O131" s="91" t="s">
        <v>359</v>
      </c>
      <c r="P131" s="88">
        <v>4</v>
      </c>
      <c r="Q131" s="60" t="s">
        <v>433</v>
      </c>
      <c r="Z131" s="100"/>
    </row>
    <row r="132" spans="1:26" x14ac:dyDescent="0.2">
      <c r="A132" s="99">
        <v>45323</v>
      </c>
      <c r="B132" s="82">
        <v>45328</v>
      </c>
      <c r="C132" s="88" t="s">
        <v>106</v>
      </c>
      <c r="D132" s="60" t="s">
        <v>319</v>
      </c>
      <c r="E132" s="60" t="s">
        <v>449</v>
      </c>
      <c r="F132" s="60" t="s">
        <v>450</v>
      </c>
      <c r="G132" s="72" t="s">
        <v>142</v>
      </c>
      <c r="H132" s="83">
        <v>0.58333333333333337</v>
      </c>
      <c r="I132" s="95">
        <v>0.66666666666666663</v>
      </c>
      <c r="J132" s="63">
        <f>I132-H132</f>
        <v>8.3333333333333259E-2</v>
      </c>
      <c r="K132" s="88" t="s">
        <v>365</v>
      </c>
      <c r="L132" s="135">
        <f>24*J132</f>
        <v>1.9999999999999982</v>
      </c>
      <c r="M132" s="60"/>
      <c r="N132" s="60"/>
      <c r="O132" s="91" t="s">
        <v>361</v>
      </c>
      <c r="P132" s="88">
        <v>4</v>
      </c>
      <c r="Q132" s="60" t="s">
        <v>334</v>
      </c>
      <c r="Z132" s="100"/>
    </row>
    <row r="133" spans="1:26" ht="14.45" customHeight="1" x14ac:dyDescent="0.2">
      <c r="A133" s="99">
        <v>45323</v>
      </c>
      <c r="B133" s="82">
        <v>45328</v>
      </c>
      <c r="C133" s="88" t="s">
        <v>106</v>
      </c>
      <c r="D133" s="60" t="s">
        <v>46</v>
      </c>
      <c r="E133" s="60" t="s">
        <v>446</v>
      </c>
      <c r="F133" s="60" t="s">
        <v>447</v>
      </c>
      <c r="G133" s="72" t="s">
        <v>142</v>
      </c>
      <c r="H133" s="83">
        <v>0.45833333333333331</v>
      </c>
      <c r="I133" s="83">
        <v>0.625</v>
      </c>
      <c r="J133" s="63">
        <v>0.27079999999999999</v>
      </c>
      <c r="K133" s="88" t="s">
        <v>366</v>
      </c>
      <c r="L133" s="135">
        <v>6.5</v>
      </c>
      <c r="N133" s="60"/>
      <c r="O133" s="91" t="s">
        <v>820</v>
      </c>
      <c r="P133" s="88">
        <v>5</v>
      </c>
      <c r="Q133" s="60"/>
      <c r="V133" s="86"/>
      <c r="Z133" s="100"/>
    </row>
    <row r="134" spans="1:26" x14ac:dyDescent="0.2">
      <c r="A134" s="99">
        <v>45323</v>
      </c>
      <c r="B134" s="82">
        <v>45328</v>
      </c>
      <c r="C134" s="88" t="s">
        <v>106</v>
      </c>
      <c r="D134" s="60" t="s">
        <v>86</v>
      </c>
      <c r="E134" s="60" t="s">
        <v>451</v>
      </c>
      <c r="F134" s="60" t="s">
        <v>420</v>
      </c>
      <c r="G134" s="59" t="s">
        <v>142</v>
      </c>
      <c r="H134" s="83">
        <v>0.39583333333333331</v>
      </c>
      <c r="I134" s="83">
        <v>0.70833333333333337</v>
      </c>
      <c r="J134" s="63">
        <f t="shared" ref="J134:J143" si="15">I134-H134</f>
        <v>0.31250000000000006</v>
      </c>
      <c r="K134" s="88" t="s">
        <v>365</v>
      </c>
      <c r="L134" s="135">
        <f t="shared" ref="L134:L143" si="16">24*J134</f>
        <v>7.5000000000000018</v>
      </c>
      <c r="O134" s="91" t="s">
        <v>820</v>
      </c>
      <c r="P134" s="88">
        <v>5</v>
      </c>
      <c r="Q134" s="60"/>
      <c r="U134" s="60"/>
      <c r="W134" s="60"/>
      <c r="X134" s="86"/>
      <c r="Y134" s="60"/>
      <c r="Z134" s="100"/>
    </row>
    <row r="135" spans="1:26" x14ac:dyDescent="0.2">
      <c r="A135" s="99">
        <v>45323</v>
      </c>
      <c r="B135" s="82">
        <v>45328</v>
      </c>
      <c r="C135" s="88" t="s">
        <v>106</v>
      </c>
      <c r="D135" s="60" t="s">
        <v>313</v>
      </c>
      <c r="E135" s="60" t="s">
        <v>452</v>
      </c>
      <c r="F135" s="60" t="s">
        <v>400</v>
      </c>
      <c r="G135" s="72" t="s">
        <v>142</v>
      </c>
      <c r="H135" s="83">
        <v>0.45833333333333331</v>
      </c>
      <c r="I135" s="83">
        <v>0.70833333333333337</v>
      </c>
      <c r="J135" s="63">
        <f t="shared" si="15"/>
        <v>0.25000000000000006</v>
      </c>
      <c r="K135" s="88" t="s">
        <v>365</v>
      </c>
      <c r="L135" s="135">
        <f t="shared" si="16"/>
        <v>6.0000000000000018</v>
      </c>
      <c r="M135" s="60"/>
      <c r="N135" s="60"/>
      <c r="O135" s="91" t="s">
        <v>359</v>
      </c>
      <c r="P135" s="88">
        <v>3</v>
      </c>
      <c r="Q135" s="60" t="s">
        <v>456</v>
      </c>
      <c r="Z135" s="100"/>
    </row>
    <row r="136" spans="1:26" x14ac:dyDescent="0.2">
      <c r="A136" s="99">
        <v>45323</v>
      </c>
      <c r="B136" s="82">
        <v>45329</v>
      </c>
      <c r="C136" s="60" t="s">
        <v>398</v>
      </c>
      <c r="D136" s="60" t="s">
        <v>126</v>
      </c>
      <c r="E136" s="60" t="s">
        <v>482</v>
      </c>
      <c r="F136" s="60" t="s">
        <v>342</v>
      </c>
      <c r="G136" s="59" t="s">
        <v>142</v>
      </c>
      <c r="H136" s="83">
        <v>0.41666666666666669</v>
      </c>
      <c r="I136" s="95">
        <v>0.66666666666666663</v>
      </c>
      <c r="J136" s="63">
        <f t="shared" si="15"/>
        <v>0.24999999999999994</v>
      </c>
      <c r="K136" s="88" t="s">
        <v>365</v>
      </c>
      <c r="L136" s="135">
        <f t="shared" si="16"/>
        <v>5.9999999999999982</v>
      </c>
      <c r="O136" s="91" t="s">
        <v>361</v>
      </c>
      <c r="P136" s="88">
        <v>5</v>
      </c>
      <c r="Q136" s="60"/>
      <c r="Z136" s="100"/>
    </row>
    <row r="137" spans="1:26" x14ac:dyDescent="0.2">
      <c r="A137" s="99">
        <v>45323</v>
      </c>
      <c r="B137" s="82">
        <v>45329</v>
      </c>
      <c r="C137" s="60" t="s">
        <v>398</v>
      </c>
      <c r="D137" s="60" t="s">
        <v>86</v>
      </c>
      <c r="E137" s="60" t="s">
        <v>451</v>
      </c>
      <c r="F137" s="60" t="s">
        <v>420</v>
      </c>
      <c r="G137" s="59" t="s">
        <v>142</v>
      </c>
      <c r="H137" s="83">
        <v>0.39583333333333331</v>
      </c>
      <c r="I137" s="83">
        <v>0.70833333333333337</v>
      </c>
      <c r="J137" s="63">
        <f t="shared" si="15"/>
        <v>0.31250000000000006</v>
      </c>
      <c r="K137" s="88" t="s">
        <v>110</v>
      </c>
      <c r="L137" s="135">
        <f t="shared" si="16"/>
        <v>7.5000000000000018</v>
      </c>
      <c r="O137" s="91" t="s">
        <v>820</v>
      </c>
      <c r="P137" s="88">
        <v>5</v>
      </c>
      <c r="Q137" s="60"/>
      <c r="U137" s="60"/>
      <c r="W137" s="60"/>
      <c r="X137" s="86"/>
      <c r="Y137" s="60"/>
      <c r="Z137" s="100"/>
    </row>
    <row r="138" spans="1:26" s="88" customFormat="1" x14ac:dyDescent="0.25">
      <c r="A138" s="99">
        <v>45323</v>
      </c>
      <c r="B138" s="82">
        <v>45329</v>
      </c>
      <c r="C138" s="60" t="s">
        <v>398</v>
      </c>
      <c r="D138" s="60" t="s">
        <v>122</v>
      </c>
      <c r="E138" s="60" t="s">
        <v>453</v>
      </c>
      <c r="F138" s="60" t="s">
        <v>454</v>
      </c>
      <c r="G138" s="72" t="s">
        <v>142</v>
      </c>
      <c r="H138" s="83">
        <v>0.58333333333333337</v>
      </c>
      <c r="I138" s="95">
        <v>0.66666666666666663</v>
      </c>
      <c r="J138" s="63">
        <f t="shared" si="15"/>
        <v>8.3333333333333259E-2</v>
      </c>
      <c r="K138" s="60" t="s">
        <v>365</v>
      </c>
      <c r="L138" s="135">
        <f t="shared" si="16"/>
        <v>1.9999999999999982</v>
      </c>
      <c r="M138" s="60"/>
      <c r="N138" s="60"/>
      <c r="O138" s="91" t="s">
        <v>359</v>
      </c>
      <c r="P138" s="88">
        <v>4</v>
      </c>
      <c r="Q138" s="60" t="s">
        <v>455</v>
      </c>
      <c r="V138" s="94"/>
      <c r="X138" s="90"/>
      <c r="Z138" s="101"/>
    </row>
    <row r="139" spans="1:26" x14ac:dyDescent="0.2">
      <c r="A139" s="99">
        <v>45323</v>
      </c>
      <c r="B139" s="82">
        <v>45330</v>
      </c>
      <c r="C139" s="82" t="s">
        <v>124</v>
      </c>
      <c r="D139" s="60" t="s">
        <v>86</v>
      </c>
      <c r="E139" s="60" t="s">
        <v>451</v>
      </c>
      <c r="F139" s="60" t="s">
        <v>457</v>
      </c>
      <c r="G139" s="59" t="s">
        <v>142</v>
      </c>
      <c r="H139" s="83">
        <v>0.39583333333333331</v>
      </c>
      <c r="I139" s="83">
        <v>0.72916666666666663</v>
      </c>
      <c r="J139" s="63">
        <f t="shared" si="15"/>
        <v>0.33333333333333331</v>
      </c>
      <c r="K139" s="88" t="s">
        <v>110</v>
      </c>
      <c r="L139" s="135">
        <f t="shared" si="16"/>
        <v>8</v>
      </c>
      <c r="O139" s="91" t="s">
        <v>820</v>
      </c>
      <c r="P139" s="88">
        <v>5</v>
      </c>
      <c r="Q139" s="60"/>
      <c r="U139" s="60"/>
      <c r="W139" s="60"/>
      <c r="X139" s="86"/>
      <c r="Y139" s="60"/>
      <c r="Z139" s="100"/>
    </row>
    <row r="140" spans="1:26" x14ac:dyDescent="0.2">
      <c r="A140" s="99">
        <v>45323</v>
      </c>
      <c r="B140" s="82">
        <v>45332</v>
      </c>
      <c r="C140" s="88" t="s">
        <v>34</v>
      </c>
      <c r="D140" s="60" t="s">
        <v>86</v>
      </c>
      <c r="E140" s="60" t="s">
        <v>451</v>
      </c>
      <c r="F140" s="60" t="s">
        <v>457</v>
      </c>
      <c r="G140" s="59" t="s">
        <v>142</v>
      </c>
      <c r="H140" s="83">
        <v>0.39583333333333331</v>
      </c>
      <c r="I140" s="83">
        <v>0.45833333333333331</v>
      </c>
      <c r="J140" s="63">
        <f t="shared" si="15"/>
        <v>6.25E-2</v>
      </c>
      <c r="K140" s="88" t="s">
        <v>110</v>
      </c>
      <c r="L140" s="135">
        <f t="shared" si="16"/>
        <v>1.5</v>
      </c>
      <c r="O140" s="91" t="s">
        <v>359</v>
      </c>
      <c r="P140" s="88">
        <v>5</v>
      </c>
      <c r="Q140" s="60"/>
      <c r="U140" s="60"/>
      <c r="W140" s="60"/>
      <c r="X140" s="86"/>
      <c r="Y140" s="60"/>
      <c r="Z140" s="100"/>
    </row>
    <row r="141" spans="1:26" ht="14.45" customHeight="1" x14ac:dyDescent="0.2">
      <c r="A141" s="99">
        <v>45323</v>
      </c>
      <c r="B141" s="82">
        <v>45332</v>
      </c>
      <c r="C141" s="88" t="s">
        <v>34</v>
      </c>
      <c r="D141" s="60" t="s">
        <v>86</v>
      </c>
      <c r="E141" s="60" t="s">
        <v>451</v>
      </c>
      <c r="F141" s="60" t="s">
        <v>457</v>
      </c>
      <c r="G141" s="59" t="s">
        <v>142</v>
      </c>
      <c r="H141" s="83">
        <v>0.39583333333333331</v>
      </c>
      <c r="I141" s="83">
        <v>0.72916666666666663</v>
      </c>
      <c r="J141" s="63">
        <f t="shared" si="15"/>
        <v>0.33333333333333331</v>
      </c>
      <c r="K141" s="88" t="s">
        <v>110</v>
      </c>
      <c r="L141" s="135">
        <f t="shared" si="16"/>
        <v>8</v>
      </c>
      <c r="O141" s="91" t="s">
        <v>359</v>
      </c>
      <c r="P141" s="88">
        <v>5</v>
      </c>
      <c r="Q141" s="60"/>
      <c r="U141" s="60"/>
      <c r="W141" s="60"/>
      <c r="X141" s="86"/>
      <c r="Y141" s="60"/>
      <c r="Z141" s="100"/>
    </row>
    <row r="142" spans="1:26" ht="14.45" customHeight="1" x14ac:dyDescent="0.2">
      <c r="A142" s="99">
        <v>45323</v>
      </c>
      <c r="B142" s="82">
        <v>45333</v>
      </c>
      <c r="C142" s="60" t="s">
        <v>31</v>
      </c>
      <c r="D142" s="60" t="s">
        <v>830</v>
      </c>
      <c r="E142" s="60" t="s">
        <v>458</v>
      </c>
      <c r="F142" s="60" t="s">
        <v>459</v>
      </c>
      <c r="G142" s="59" t="s">
        <v>142</v>
      </c>
      <c r="H142" s="95">
        <v>0.6875</v>
      </c>
      <c r="I142" s="83">
        <v>0.72916666666666663</v>
      </c>
      <c r="J142" s="63">
        <f t="shared" si="15"/>
        <v>4.166666666666663E-2</v>
      </c>
      <c r="K142" s="88" t="s">
        <v>113</v>
      </c>
      <c r="L142" s="135">
        <f t="shared" si="16"/>
        <v>0.99999999999999911</v>
      </c>
      <c r="O142" s="91" t="s">
        <v>359</v>
      </c>
      <c r="P142" s="88">
        <v>5</v>
      </c>
      <c r="Z142" s="100"/>
    </row>
    <row r="143" spans="1:26" x14ac:dyDescent="0.2">
      <c r="A143" s="99">
        <v>45323</v>
      </c>
      <c r="B143" s="82">
        <v>45333</v>
      </c>
      <c r="C143" s="60" t="s">
        <v>31</v>
      </c>
      <c r="D143" s="60" t="s">
        <v>86</v>
      </c>
      <c r="E143" s="60" t="s">
        <v>451</v>
      </c>
      <c r="F143" s="60" t="s">
        <v>420</v>
      </c>
      <c r="G143" s="59" t="s">
        <v>142</v>
      </c>
      <c r="H143" s="83">
        <v>0.39583333333333331</v>
      </c>
      <c r="I143" s="83">
        <v>0.72916666666666663</v>
      </c>
      <c r="J143" s="63">
        <f t="shared" si="15"/>
        <v>0.33333333333333331</v>
      </c>
      <c r="K143" s="88" t="s">
        <v>110</v>
      </c>
      <c r="L143" s="135">
        <f t="shared" si="16"/>
        <v>8</v>
      </c>
      <c r="O143" s="91" t="s">
        <v>820</v>
      </c>
      <c r="P143" s="88">
        <v>5</v>
      </c>
      <c r="Q143" s="60"/>
      <c r="U143" s="60"/>
      <c r="W143" s="60"/>
      <c r="X143" s="86"/>
      <c r="Y143" s="60"/>
      <c r="Z143" s="100"/>
    </row>
    <row r="144" spans="1:26" ht="14.45" customHeight="1" x14ac:dyDescent="0.2">
      <c r="A144" s="99">
        <v>45323</v>
      </c>
      <c r="B144" s="82">
        <v>45333</v>
      </c>
      <c r="C144" s="60" t="s">
        <v>31</v>
      </c>
      <c r="D144" s="60" t="s">
        <v>46</v>
      </c>
      <c r="E144" s="60" t="s">
        <v>460</v>
      </c>
      <c r="F144" s="60" t="s">
        <v>447</v>
      </c>
      <c r="G144" s="72" t="s">
        <v>142</v>
      </c>
      <c r="H144" s="83">
        <v>0.39583333333333331</v>
      </c>
      <c r="I144" s="83">
        <v>0.72916666666666663</v>
      </c>
      <c r="J144" s="63">
        <v>0.27079999999999999</v>
      </c>
      <c r="K144" s="88" t="s">
        <v>110</v>
      </c>
      <c r="L144" s="135">
        <v>6.5</v>
      </c>
      <c r="N144" s="60"/>
      <c r="O144" s="91" t="s">
        <v>820</v>
      </c>
      <c r="P144" s="88">
        <v>5</v>
      </c>
      <c r="Q144" s="60"/>
      <c r="V144" s="86"/>
      <c r="Z144" s="100"/>
    </row>
    <row r="145" spans="1:26" x14ac:dyDescent="0.2">
      <c r="A145" s="99">
        <v>45323</v>
      </c>
      <c r="B145" s="82">
        <v>45333</v>
      </c>
      <c r="C145" s="60" t="s">
        <v>31</v>
      </c>
      <c r="D145" s="60" t="s">
        <v>313</v>
      </c>
      <c r="E145" s="60" t="s">
        <v>350</v>
      </c>
      <c r="F145" s="60" t="s">
        <v>400</v>
      </c>
      <c r="G145" s="72" t="s">
        <v>142</v>
      </c>
      <c r="H145" s="83">
        <v>0.9375</v>
      </c>
      <c r="I145" s="83">
        <v>0.70833333333333337</v>
      </c>
      <c r="J145" s="63">
        <f>الجدول3[[#This Row],[ساعة الدخول ]]-الجدول3[[#This Row],[ساعة الخروج]]</f>
        <v>0.22916666666666663</v>
      </c>
      <c r="K145" s="60" t="s">
        <v>365</v>
      </c>
      <c r="L145" s="135">
        <f>24*J145</f>
        <v>5.4999999999999991</v>
      </c>
      <c r="M145" s="60"/>
      <c r="N145" s="60"/>
      <c r="O145" s="91" t="s">
        <v>359</v>
      </c>
      <c r="P145" s="88">
        <v>5</v>
      </c>
      <c r="Q145" s="60"/>
      <c r="Z145" s="100"/>
    </row>
    <row r="146" spans="1:26" ht="14.45" customHeight="1" x14ac:dyDescent="0.2">
      <c r="A146" s="99">
        <v>45323</v>
      </c>
      <c r="B146" s="82">
        <v>45333</v>
      </c>
      <c r="C146" s="60" t="s">
        <v>31</v>
      </c>
      <c r="D146" s="60" t="s">
        <v>461</v>
      </c>
      <c r="E146" s="60" t="s">
        <v>462</v>
      </c>
      <c r="F146" s="60" t="s">
        <v>191</v>
      </c>
      <c r="G146" s="72" t="s">
        <v>142</v>
      </c>
      <c r="H146" s="83">
        <v>0.39583333333333331</v>
      </c>
      <c r="I146" s="83">
        <v>0.70833333333333337</v>
      </c>
      <c r="J146" s="63">
        <v>0.27079999999999999</v>
      </c>
      <c r="K146" s="60" t="s">
        <v>113</v>
      </c>
      <c r="L146" s="135">
        <v>6.5</v>
      </c>
      <c r="N146" s="60"/>
      <c r="O146" s="91" t="s">
        <v>359</v>
      </c>
      <c r="P146" s="88">
        <v>5</v>
      </c>
      <c r="Q146" s="60"/>
      <c r="V146" s="86"/>
      <c r="Z146" s="100"/>
    </row>
    <row r="147" spans="1:26" ht="14.45" customHeight="1" x14ac:dyDescent="0.2">
      <c r="A147" s="99">
        <v>45323</v>
      </c>
      <c r="B147" s="82">
        <v>45333</v>
      </c>
      <c r="C147" s="60" t="s">
        <v>31</v>
      </c>
      <c r="D147" s="60" t="s">
        <v>406</v>
      </c>
      <c r="E147" s="60" t="s">
        <v>463</v>
      </c>
      <c r="F147" s="60" t="s">
        <v>464</v>
      </c>
      <c r="G147" s="72" t="s">
        <v>142</v>
      </c>
      <c r="H147" s="83">
        <v>0.58333333333333337</v>
      </c>
      <c r="I147" s="95">
        <v>0.66666666666666663</v>
      </c>
      <c r="J147" s="63">
        <v>0.27079999999999999</v>
      </c>
      <c r="K147" s="60" t="s">
        <v>113</v>
      </c>
      <c r="L147" s="135">
        <v>6.5</v>
      </c>
      <c r="N147" s="60"/>
      <c r="O147" s="91" t="s">
        <v>359</v>
      </c>
      <c r="P147" s="88">
        <v>5</v>
      </c>
      <c r="Q147" s="60"/>
      <c r="V147" s="86"/>
      <c r="Z147" s="100"/>
    </row>
    <row r="148" spans="1:26" ht="14.45" customHeight="1" x14ac:dyDescent="0.2">
      <c r="A148" s="99">
        <v>45323</v>
      </c>
      <c r="B148" s="82">
        <v>45333</v>
      </c>
      <c r="C148" s="60" t="s">
        <v>31</v>
      </c>
      <c r="D148" s="60" t="s">
        <v>98</v>
      </c>
      <c r="E148" s="60" t="s">
        <v>337</v>
      </c>
      <c r="F148" s="60" t="s">
        <v>465</v>
      </c>
      <c r="G148" s="59" t="s">
        <v>142</v>
      </c>
      <c r="H148" s="83">
        <v>0.5625</v>
      </c>
      <c r="I148" s="83">
        <v>0.64583333333333337</v>
      </c>
      <c r="J148" s="63">
        <f>I148-H148</f>
        <v>8.333333333333337E-2</v>
      </c>
      <c r="K148" s="60" t="s">
        <v>365</v>
      </c>
      <c r="L148" s="134">
        <v>0.99999999999999911</v>
      </c>
      <c r="O148" s="91" t="s">
        <v>359</v>
      </c>
      <c r="P148" s="88">
        <v>5</v>
      </c>
      <c r="Z148" s="100"/>
    </row>
    <row r="149" spans="1:26" s="88" customFormat="1" ht="14.45" customHeight="1" x14ac:dyDescent="0.25">
      <c r="A149" s="99">
        <v>45323</v>
      </c>
      <c r="B149" s="82">
        <v>45334</v>
      </c>
      <c r="C149" s="88" t="s">
        <v>45</v>
      </c>
      <c r="D149" s="60" t="s">
        <v>122</v>
      </c>
      <c r="E149" s="60" t="s">
        <v>453</v>
      </c>
      <c r="F149" s="60" t="s">
        <v>466</v>
      </c>
      <c r="G149" s="72" t="s">
        <v>142</v>
      </c>
      <c r="H149" s="83">
        <v>0.58333333333333337</v>
      </c>
      <c r="I149" s="83">
        <v>0.625</v>
      </c>
      <c r="J149" s="63">
        <f>I149-H149</f>
        <v>4.166666666666663E-2</v>
      </c>
      <c r="K149" s="60" t="s">
        <v>295</v>
      </c>
      <c r="L149" s="135">
        <f>24*J149</f>
        <v>0.99999999999999911</v>
      </c>
      <c r="M149" s="60"/>
      <c r="N149" s="60"/>
      <c r="O149" s="91" t="s">
        <v>361</v>
      </c>
      <c r="P149" s="88">
        <v>5</v>
      </c>
      <c r="Q149" s="60"/>
      <c r="V149" s="94"/>
      <c r="X149" s="90"/>
      <c r="Z149" s="101"/>
    </row>
    <row r="150" spans="1:26" ht="14.45" customHeight="1" x14ac:dyDescent="0.2">
      <c r="A150" s="99">
        <v>45323</v>
      </c>
      <c r="B150" s="82">
        <v>45334</v>
      </c>
      <c r="C150" s="88" t="s">
        <v>45</v>
      </c>
      <c r="D150" s="60" t="s">
        <v>46</v>
      </c>
      <c r="E150" s="60" t="s">
        <v>460</v>
      </c>
      <c r="F150" s="60" t="s">
        <v>447</v>
      </c>
      <c r="G150" s="72" t="s">
        <v>142</v>
      </c>
      <c r="H150" s="83">
        <v>0.39583333333333331</v>
      </c>
      <c r="I150" s="83">
        <v>0.625</v>
      </c>
      <c r="J150" s="63">
        <v>0.27079999999999999</v>
      </c>
      <c r="K150" s="88" t="s">
        <v>366</v>
      </c>
      <c r="L150" s="135">
        <v>6.5</v>
      </c>
      <c r="N150" s="60"/>
      <c r="O150" s="91" t="s">
        <v>820</v>
      </c>
      <c r="P150" s="88">
        <v>5</v>
      </c>
      <c r="Q150" s="60"/>
      <c r="V150" s="86"/>
      <c r="Z150" s="100"/>
    </row>
    <row r="151" spans="1:26" x14ac:dyDescent="0.2">
      <c r="A151" s="99">
        <v>45323</v>
      </c>
      <c r="B151" s="82">
        <v>45334</v>
      </c>
      <c r="C151" s="88" t="s">
        <v>45</v>
      </c>
      <c r="D151" s="60" t="s">
        <v>86</v>
      </c>
      <c r="E151" s="60" t="s">
        <v>451</v>
      </c>
      <c r="F151" s="60" t="s">
        <v>420</v>
      </c>
      <c r="G151" s="59" t="s">
        <v>142</v>
      </c>
      <c r="H151" s="83">
        <v>0.39583333333333331</v>
      </c>
      <c r="I151" s="83">
        <v>0.72916666666666663</v>
      </c>
      <c r="J151" s="63">
        <f>I151-H151</f>
        <v>0.33333333333333331</v>
      </c>
      <c r="K151" s="88" t="s">
        <v>110</v>
      </c>
      <c r="L151" s="135">
        <f>24*J151</f>
        <v>8</v>
      </c>
      <c r="O151" s="91" t="s">
        <v>820</v>
      </c>
      <c r="P151" s="88">
        <v>5</v>
      </c>
      <c r="Q151" s="60"/>
      <c r="U151" s="60"/>
      <c r="W151" s="60"/>
      <c r="X151" s="86"/>
      <c r="Y151" s="60"/>
      <c r="Z151" s="100"/>
    </row>
    <row r="152" spans="1:26" ht="14.45" customHeight="1" x14ac:dyDescent="0.2">
      <c r="A152" s="99">
        <v>45323</v>
      </c>
      <c r="B152" s="82">
        <v>45334</v>
      </c>
      <c r="C152" s="88" t="s">
        <v>45</v>
      </c>
      <c r="D152" s="60" t="s">
        <v>461</v>
      </c>
      <c r="E152" s="60" t="s">
        <v>462</v>
      </c>
      <c r="F152" s="60" t="s">
        <v>191</v>
      </c>
      <c r="G152" s="72" t="s">
        <v>142</v>
      </c>
      <c r="H152" s="83">
        <v>0.39583333333333331</v>
      </c>
      <c r="I152" s="83">
        <v>0.70833333333333337</v>
      </c>
      <c r="J152" s="63">
        <v>0.27079999999999999</v>
      </c>
      <c r="K152" s="60" t="s">
        <v>113</v>
      </c>
      <c r="L152" s="135">
        <v>6.5</v>
      </c>
      <c r="N152" s="60"/>
      <c r="O152" s="91" t="s">
        <v>359</v>
      </c>
      <c r="P152" s="88">
        <v>5</v>
      </c>
      <c r="Q152" s="60"/>
      <c r="V152" s="86"/>
      <c r="Z152" s="100"/>
    </row>
    <row r="153" spans="1:26" x14ac:dyDescent="0.2">
      <c r="A153" s="99">
        <v>45323</v>
      </c>
      <c r="B153" s="82">
        <v>45334</v>
      </c>
      <c r="C153" s="88" t="s">
        <v>45</v>
      </c>
      <c r="D153" s="60" t="s">
        <v>313</v>
      </c>
      <c r="E153" s="60" t="s">
        <v>350</v>
      </c>
      <c r="F153" s="60" t="s">
        <v>400</v>
      </c>
      <c r="G153" s="72" t="s">
        <v>142</v>
      </c>
      <c r="H153" s="83">
        <v>0.45833333333333331</v>
      </c>
      <c r="I153" s="83">
        <v>0.70833333333333337</v>
      </c>
      <c r="J153" s="63">
        <f>I153-H153</f>
        <v>0.25000000000000006</v>
      </c>
      <c r="K153" s="60" t="s">
        <v>365</v>
      </c>
      <c r="L153" s="135">
        <f>24*J153</f>
        <v>6.0000000000000018</v>
      </c>
      <c r="M153" s="60"/>
      <c r="N153" s="60"/>
      <c r="O153" s="91" t="s">
        <v>359</v>
      </c>
      <c r="P153" s="88">
        <v>5</v>
      </c>
      <c r="Q153" s="60"/>
      <c r="Z153" s="100"/>
    </row>
    <row r="154" spans="1:26" ht="14.45" customHeight="1" x14ac:dyDescent="0.2">
      <c r="A154" s="99">
        <v>45323</v>
      </c>
      <c r="B154" s="82">
        <v>45334</v>
      </c>
      <c r="C154" s="88" t="s">
        <v>45</v>
      </c>
      <c r="D154" s="60" t="s">
        <v>32</v>
      </c>
      <c r="E154" s="60" t="s">
        <v>467</v>
      </c>
      <c r="F154" s="60" t="s">
        <v>468</v>
      </c>
      <c r="G154" s="72" t="s">
        <v>142</v>
      </c>
      <c r="H154" s="83">
        <v>0.39583333333333331</v>
      </c>
      <c r="I154" s="83">
        <v>0.58333333333333337</v>
      </c>
      <c r="J154" s="63">
        <v>0.27079999999999999</v>
      </c>
      <c r="K154" s="60" t="s">
        <v>113</v>
      </c>
      <c r="L154" s="135">
        <v>6.5</v>
      </c>
      <c r="N154" s="60"/>
      <c r="O154" s="91" t="s">
        <v>359</v>
      </c>
      <c r="P154" s="88">
        <v>5</v>
      </c>
      <c r="Q154" s="60"/>
      <c r="V154" s="86"/>
      <c r="Z154" s="100"/>
    </row>
    <row r="155" spans="1:26" x14ac:dyDescent="0.2">
      <c r="A155" s="99">
        <v>45323</v>
      </c>
      <c r="B155" s="82">
        <v>45335</v>
      </c>
      <c r="C155" s="88" t="s">
        <v>106</v>
      </c>
      <c r="D155" s="60" t="s">
        <v>317</v>
      </c>
      <c r="E155" s="60" t="s">
        <v>501</v>
      </c>
      <c r="F155" s="60" t="s">
        <v>502</v>
      </c>
      <c r="G155" s="59" t="s">
        <v>142</v>
      </c>
      <c r="H155" s="83">
        <v>0.45833333333333331</v>
      </c>
      <c r="I155" s="83">
        <v>0.70833333333333337</v>
      </c>
      <c r="J155" s="63">
        <f>I155-H155</f>
        <v>0.25000000000000006</v>
      </c>
      <c r="K155" s="88" t="s">
        <v>300</v>
      </c>
      <c r="L155" s="135">
        <f>24*J155</f>
        <v>6.0000000000000018</v>
      </c>
      <c r="O155" s="91" t="s">
        <v>362</v>
      </c>
      <c r="P155" s="88">
        <v>5</v>
      </c>
      <c r="R155" s="88"/>
      <c r="U155" s="60"/>
      <c r="W155" s="60"/>
      <c r="X155" s="86"/>
      <c r="Z155" s="100"/>
    </row>
    <row r="156" spans="1:26" ht="14.45" customHeight="1" x14ac:dyDescent="0.2">
      <c r="A156" s="99">
        <v>45323</v>
      </c>
      <c r="B156" s="82">
        <v>45335</v>
      </c>
      <c r="C156" s="88" t="s">
        <v>106</v>
      </c>
      <c r="D156" s="60" t="s">
        <v>461</v>
      </c>
      <c r="E156" s="60" t="s">
        <v>462</v>
      </c>
      <c r="F156" s="60" t="s">
        <v>191</v>
      </c>
      <c r="G156" s="72" t="s">
        <v>142</v>
      </c>
      <c r="H156" s="83">
        <v>0.39583333333333331</v>
      </c>
      <c r="I156" s="83">
        <v>0.70833333333333337</v>
      </c>
      <c r="J156" s="63">
        <v>0.27079999999999999</v>
      </c>
      <c r="K156" s="60" t="s">
        <v>113</v>
      </c>
      <c r="L156" s="135">
        <v>6.5</v>
      </c>
      <c r="N156" s="60"/>
      <c r="O156" s="91" t="s">
        <v>359</v>
      </c>
      <c r="P156" s="88">
        <v>5</v>
      </c>
      <c r="Q156" s="60"/>
      <c r="V156" s="86"/>
      <c r="Z156" s="100"/>
    </row>
    <row r="157" spans="1:26" x14ac:dyDescent="0.2">
      <c r="A157" s="99">
        <v>45323</v>
      </c>
      <c r="B157" s="82">
        <v>45335</v>
      </c>
      <c r="C157" s="88" t="s">
        <v>106</v>
      </c>
      <c r="D157" s="60" t="s">
        <v>830</v>
      </c>
      <c r="E157" s="60" t="s">
        <v>458</v>
      </c>
      <c r="F157" s="60" t="s">
        <v>469</v>
      </c>
      <c r="G157" s="59" t="s">
        <v>142</v>
      </c>
      <c r="H157" s="83">
        <v>0.45833333333333331</v>
      </c>
      <c r="I157" s="83">
        <v>0.54166666666666663</v>
      </c>
      <c r="J157" s="63">
        <f>I157-H157</f>
        <v>8.3333333333333315E-2</v>
      </c>
      <c r="K157" s="60" t="s">
        <v>113</v>
      </c>
      <c r="L157" s="135">
        <f>24*J157</f>
        <v>1.9999999999999996</v>
      </c>
      <c r="O157" s="91" t="s">
        <v>359</v>
      </c>
      <c r="P157" s="88">
        <v>5</v>
      </c>
      <c r="Z157" s="100"/>
    </row>
    <row r="158" spans="1:26" x14ac:dyDescent="0.2">
      <c r="A158" s="99">
        <v>45323</v>
      </c>
      <c r="B158" s="82">
        <v>45335</v>
      </c>
      <c r="C158" s="88" t="s">
        <v>106</v>
      </c>
      <c r="D158" s="60" t="s">
        <v>830</v>
      </c>
      <c r="E158" s="60" t="s">
        <v>470</v>
      </c>
      <c r="F158" s="60" t="s">
        <v>937</v>
      </c>
      <c r="G158" s="59" t="s">
        <v>142</v>
      </c>
      <c r="H158" s="83">
        <v>0.45833333333333331</v>
      </c>
      <c r="I158" s="83">
        <v>0.5</v>
      </c>
      <c r="J158" s="63">
        <f>I158-H158</f>
        <v>4.1666666666666685E-2</v>
      </c>
      <c r="K158" s="60" t="s">
        <v>365</v>
      </c>
      <c r="L158" s="135">
        <f>24*J158</f>
        <v>1.0000000000000004</v>
      </c>
      <c r="O158" s="91" t="s">
        <v>359</v>
      </c>
      <c r="P158" s="88">
        <v>5</v>
      </c>
      <c r="Z158" s="100"/>
    </row>
    <row r="159" spans="1:26" ht="14.45" customHeight="1" x14ac:dyDescent="0.2">
      <c r="A159" s="99">
        <v>45323</v>
      </c>
      <c r="B159" s="82">
        <v>45335</v>
      </c>
      <c r="C159" s="88" t="s">
        <v>106</v>
      </c>
      <c r="D159" s="60" t="s">
        <v>46</v>
      </c>
      <c r="E159" s="60" t="s">
        <v>460</v>
      </c>
      <c r="F159" s="60" t="s">
        <v>447</v>
      </c>
      <c r="G159" s="72" t="s">
        <v>142</v>
      </c>
      <c r="H159" s="83">
        <v>0.39583333333333331</v>
      </c>
      <c r="I159" s="83">
        <v>0.625</v>
      </c>
      <c r="J159" s="63">
        <v>0.27079999999999999</v>
      </c>
      <c r="K159" s="88" t="s">
        <v>110</v>
      </c>
      <c r="L159" s="135">
        <v>6.5</v>
      </c>
      <c r="N159" s="60"/>
      <c r="O159" s="91" t="s">
        <v>820</v>
      </c>
      <c r="P159" s="88">
        <v>5</v>
      </c>
      <c r="Q159" s="60"/>
      <c r="V159" s="86"/>
      <c r="Z159" s="100"/>
    </row>
    <row r="160" spans="1:26" x14ac:dyDescent="0.2">
      <c r="A160" s="99">
        <v>45323</v>
      </c>
      <c r="B160" s="82">
        <v>45335</v>
      </c>
      <c r="C160" s="88" t="s">
        <v>106</v>
      </c>
      <c r="D160" s="60" t="s">
        <v>86</v>
      </c>
      <c r="E160" s="60" t="s">
        <v>451</v>
      </c>
      <c r="F160" s="60" t="s">
        <v>420</v>
      </c>
      <c r="G160" s="59" t="s">
        <v>142</v>
      </c>
      <c r="H160" s="83">
        <v>0.39583333333333331</v>
      </c>
      <c r="I160" s="83">
        <v>0.72916666666666663</v>
      </c>
      <c r="J160" s="63">
        <f>I160-H160</f>
        <v>0.33333333333333331</v>
      </c>
      <c r="K160" s="88" t="s">
        <v>365</v>
      </c>
      <c r="L160" s="135">
        <f t="shared" ref="L160:L166" si="17">24*J160</f>
        <v>8</v>
      </c>
      <c r="O160" s="91" t="s">
        <v>820</v>
      </c>
      <c r="P160" s="88">
        <v>5</v>
      </c>
      <c r="Q160" s="60"/>
      <c r="U160" s="60"/>
      <c r="W160" s="60"/>
      <c r="X160" s="86"/>
      <c r="Y160" s="60"/>
      <c r="Z160" s="100"/>
    </row>
    <row r="161" spans="1:26" x14ac:dyDescent="0.2">
      <c r="A161" s="99">
        <v>45323</v>
      </c>
      <c r="B161" s="82">
        <v>45336</v>
      </c>
      <c r="C161" s="60" t="s">
        <v>398</v>
      </c>
      <c r="D161" s="60" t="s">
        <v>500</v>
      </c>
      <c r="E161" s="60" t="s">
        <v>503</v>
      </c>
      <c r="F161" s="60" t="s">
        <v>504</v>
      </c>
      <c r="G161" s="59" t="s">
        <v>142</v>
      </c>
      <c r="H161" s="83">
        <v>0.70833333333333337</v>
      </c>
      <c r="I161" s="83">
        <v>0.54166666666666663</v>
      </c>
      <c r="J161" s="63">
        <f>الجدول3[[#This Row],[ساعة الدخول ]]-الجدول3[[#This Row],[ساعة الخروج]]</f>
        <v>0.16666666666666674</v>
      </c>
      <c r="K161" s="88" t="s">
        <v>300</v>
      </c>
      <c r="L161" s="135">
        <f t="shared" si="17"/>
        <v>4.0000000000000018</v>
      </c>
      <c r="O161" s="91" t="s">
        <v>362</v>
      </c>
      <c r="P161" s="88">
        <v>5</v>
      </c>
      <c r="R161" s="88"/>
      <c r="U161" s="60"/>
      <c r="W161" s="60"/>
      <c r="X161" s="86"/>
      <c r="Z161" s="100"/>
    </row>
    <row r="162" spans="1:26" x14ac:dyDescent="0.2">
      <c r="A162" s="99">
        <v>45323</v>
      </c>
      <c r="B162" s="82">
        <v>45336</v>
      </c>
      <c r="C162" s="60" t="s">
        <v>398</v>
      </c>
      <c r="D162" s="60" t="s">
        <v>32</v>
      </c>
      <c r="E162" s="60" t="s">
        <v>471</v>
      </c>
      <c r="F162" s="60" t="s">
        <v>400</v>
      </c>
      <c r="G162" s="72" t="s">
        <v>142</v>
      </c>
      <c r="H162" s="95">
        <v>0.66666666666666663</v>
      </c>
      <c r="I162" s="83">
        <v>0.70833333333333337</v>
      </c>
      <c r="J162" s="63">
        <f>I162-H162</f>
        <v>4.1666666666666741E-2</v>
      </c>
      <c r="K162" s="60" t="s">
        <v>365</v>
      </c>
      <c r="L162" s="135">
        <f t="shared" si="17"/>
        <v>1.0000000000000018</v>
      </c>
      <c r="M162" s="60"/>
      <c r="N162" s="60"/>
      <c r="O162" s="85" t="s">
        <v>361</v>
      </c>
      <c r="P162" s="88">
        <v>5</v>
      </c>
      <c r="Q162" s="60"/>
      <c r="Z162" s="100"/>
    </row>
    <row r="163" spans="1:26" x14ac:dyDescent="0.2">
      <c r="A163" s="99">
        <v>45323</v>
      </c>
      <c r="B163" s="82">
        <v>45336</v>
      </c>
      <c r="C163" s="60" t="s">
        <v>398</v>
      </c>
      <c r="D163" s="60" t="s">
        <v>32</v>
      </c>
      <c r="E163" s="60" t="s">
        <v>654</v>
      </c>
      <c r="F163" s="60" t="s">
        <v>655</v>
      </c>
      <c r="G163" s="72" t="s">
        <v>142</v>
      </c>
      <c r="H163" s="83">
        <v>0.5</v>
      </c>
      <c r="I163" s="83">
        <v>0.70833333333333337</v>
      </c>
      <c r="J163" s="63">
        <f>I163-H163</f>
        <v>0.20833333333333337</v>
      </c>
      <c r="K163" s="88" t="s">
        <v>365</v>
      </c>
      <c r="L163" s="135">
        <f t="shared" si="17"/>
        <v>5.0000000000000009</v>
      </c>
      <c r="M163" s="60"/>
      <c r="N163" s="60"/>
      <c r="O163" s="91" t="s">
        <v>359</v>
      </c>
      <c r="P163" s="88">
        <v>5</v>
      </c>
      <c r="Q163" s="60"/>
      <c r="Z163" s="100"/>
    </row>
    <row r="164" spans="1:26" x14ac:dyDescent="0.2">
      <c r="A164" s="99">
        <v>45323</v>
      </c>
      <c r="B164" s="82">
        <v>45336</v>
      </c>
      <c r="C164" s="60" t="s">
        <v>398</v>
      </c>
      <c r="D164" s="60" t="s">
        <v>830</v>
      </c>
      <c r="E164" s="60" t="s">
        <v>458</v>
      </c>
      <c r="F164" s="60" t="s">
        <v>459</v>
      </c>
      <c r="G164" s="59" t="s">
        <v>142</v>
      </c>
      <c r="H164" s="95">
        <v>0.6875</v>
      </c>
      <c r="I164" s="83">
        <v>0.72916666666666663</v>
      </c>
      <c r="J164" s="63">
        <f>I164-H164</f>
        <v>4.166666666666663E-2</v>
      </c>
      <c r="K164" s="60" t="s">
        <v>113</v>
      </c>
      <c r="L164" s="135">
        <f t="shared" si="17"/>
        <v>0.99999999999999911</v>
      </c>
      <c r="O164" s="91" t="s">
        <v>359</v>
      </c>
      <c r="P164" s="88">
        <v>5</v>
      </c>
      <c r="Z164" s="100"/>
    </row>
    <row r="165" spans="1:26" x14ac:dyDescent="0.2">
      <c r="A165" s="99">
        <v>45323</v>
      </c>
      <c r="B165" s="82">
        <v>45336</v>
      </c>
      <c r="C165" s="60" t="s">
        <v>398</v>
      </c>
      <c r="D165" s="60" t="s">
        <v>86</v>
      </c>
      <c r="E165" s="60" t="s">
        <v>451</v>
      </c>
      <c r="F165" s="60" t="s">
        <v>420</v>
      </c>
      <c r="G165" s="59" t="s">
        <v>142</v>
      </c>
      <c r="H165" s="83">
        <v>0.39583333333333331</v>
      </c>
      <c r="I165" s="83">
        <v>0.72916666666666663</v>
      </c>
      <c r="J165" s="63">
        <f>I165-H165</f>
        <v>0.33333333333333331</v>
      </c>
      <c r="K165" s="88" t="s">
        <v>110</v>
      </c>
      <c r="L165" s="135">
        <f t="shared" si="17"/>
        <v>8</v>
      </c>
      <c r="O165" s="91" t="s">
        <v>820</v>
      </c>
      <c r="P165" s="88">
        <v>5</v>
      </c>
      <c r="Q165" s="60"/>
      <c r="U165" s="60"/>
      <c r="W165" s="60"/>
      <c r="X165" s="86"/>
      <c r="Y165" s="60"/>
      <c r="Z165" s="100"/>
    </row>
    <row r="166" spans="1:26" x14ac:dyDescent="0.2">
      <c r="A166" s="99">
        <v>45323</v>
      </c>
      <c r="B166" s="82">
        <v>45336</v>
      </c>
      <c r="C166" s="60" t="s">
        <v>398</v>
      </c>
      <c r="D166" s="60" t="s">
        <v>126</v>
      </c>
      <c r="E166" s="60" t="s">
        <v>352</v>
      </c>
      <c r="F166" s="60" t="s">
        <v>342</v>
      </c>
      <c r="G166" s="59" t="s">
        <v>142</v>
      </c>
      <c r="H166" s="83">
        <v>0.4375</v>
      </c>
      <c r="I166" s="83">
        <v>0.47916666666666669</v>
      </c>
      <c r="J166" s="63">
        <f>I166-H166</f>
        <v>4.1666666666666685E-2</v>
      </c>
      <c r="K166" s="88" t="s">
        <v>110</v>
      </c>
      <c r="L166" s="135">
        <f t="shared" si="17"/>
        <v>1.0000000000000004</v>
      </c>
      <c r="O166" s="91" t="s">
        <v>820</v>
      </c>
      <c r="P166" s="88">
        <v>4</v>
      </c>
      <c r="Q166" s="60"/>
      <c r="Z166" s="100"/>
    </row>
    <row r="167" spans="1:26" ht="14.45" customHeight="1" x14ac:dyDescent="0.2">
      <c r="A167" s="99">
        <v>45323</v>
      </c>
      <c r="B167" s="82">
        <v>45336</v>
      </c>
      <c r="C167" s="60" t="s">
        <v>398</v>
      </c>
      <c r="D167" s="60" t="s">
        <v>461</v>
      </c>
      <c r="E167" s="60" t="s">
        <v>462</v>
      </c>
      <c r="F167" s="60" t="s">
        <v>191</v>
      </c>
      <c r="G167" s="72" t="s">
        <v>142</v>
      </c>
      <c r="H167" s="83">
        <v>0.39583333333333331</v>
      </c>
      <c r="I167" s="83">
        <v>0.70833333333333337</v>
      </c>
      <c r="J167" s="63">
        <v>0.27079999999999999</v>
      </c>
      <c r="K167" s="60" t="s">
        <v>113</v>
      </c>
      <c r="L167" s="135">
        <v>6.5</v>
      </c>
      <c r="N167" s="60"/>
      <c r="O167" s="91" t="s">
        <v>359</v>
      </c>
      <c r="P167" s="88">
        <v>5</v>
      </c>
      <c r="Q167" s="60"/>
      <c r="V167" s="86"/>
      <c r="Z167" s="100"/>
    </row>
    <row r="168" spans="1:26" x14ac:dyDescent="0.2">
      <c r="A168" s="99">
        <v>45323</v>
      </c>
      <c r="B168" s="82">
        <v>45336</v>
      </c>
      <c r="C168" s="60" t="s">
        <v>398</v>
      </c>
      <c r="D168" s="60" t="s">
        <v>126</v>
      </c>
      <c r="E168" s="60" t="s">
        <v>352</v>
      </c>
      <c r="F168" s="60" t="s">
        <v>342</v>
      </c>
      <c r="G168" s="59" t="s">
        <v>142</v>
      </c>
      <c r="H168" s="83">
        <v>0.45833333333333331</v>
      </c>
      <c r="I168" s="83">
        <v>0.625</v>
      </c>
      <c r="J168" s="63">
        <f>I168-H168</f>
        <v>0.16666666666666669</v>
      </c>
      <c r="K168" s="60" t="s">
        <v>113</v>
      </c>
      <c r="L168" s="135">
        <f>24*J168</f>
        <v>4</v>
      </c>
      <c r="O168" s="91" t="s">
        <v>359</v>
      </c>
      <c r="P168" s="88">
        <v>4</v>
      </c>
      <c r="Q168" s="60" t="s">
        <v>472</v>
      </c>
      <c r="Z168" s="100"/>
    </row>
    <row r="169" spans="1:26" x14ac:dyDescent="0.2">
      <c r="A169" s="99">
        <v>45323</v>
      </c>
      <c r="B169" s="82">
        <v>45336</v>
      </c>
      <c r="C169" s="60" t="s">
        <v>398</v>
      </c>
      <c r="D169" s="60" t="s">
        <v>98</v>
      </c>
      <c r="E169" s="60" t="s">
        <v>337</v>
      </c>
      <c r="F169" s="60" t="s">
        <v>903</v>
      </c>
      <c r="G169" s="59" t="s">
        <v>142</v>
      </c>
      <c r="H169" s="83">
        <v>0.54166666666666663</v>
      </c>
      <c r="I169" s="83">
        <v>0.70833333333333337</v>
      </c>
      <c r="J169" s="63">
        <f>I169-H169</f>
        <v>0.16666666666666674</v>
      </c>
      <c r="K169" s="60" t="s">
        <v>365</v>
      </c>
      <c r="L169" s="134">
        <v>0.99999999999999911</v>
      </c>
      <c r="O169" s="91" t="s">
        <v>359</v>
      </c>
      <c r="P169" s="88">
        <v>5</v>
      </c>
      <c r="Z169" s="100"/>
    </row>
    <row r="170" spans="1:26" ht="14.45" customHeight="1" x14ac:dyDescent="0.2">
      <c r="A170" s="99">
        <v>45323</v>
      </c>
      <c r="B170" s="82">
        <v>45337</v>
      </c>
      <c r="C170" s="82" t="s">
        <v>124</v>
      </c>
      <c r="D170" s="60" t="s">
        <v>46</v>
      </c>
      <c r="E170" s="60" t="s">
        <v>473</v>
      </c>
      <c r="F170" s="60" t="s">
        <v>474</v>
      </c>
      <c r="G170" s="72" t="s">
        <v>142</v>
      </c>
      <c r="H170" s="83">
        <v>0.91666666666666663</v>
      </c>
      <c r="I170" s="83">
        <v>0.70833333333333337</v>
      </c>
      <c r="J170" s="63">
        <v>0.27079999999999999</v>
      </c>
      <c r="K170" s="88" t="s">
        <v>366</v>
      </c>
      <c r="L170" s="135">
        <v>6.5</v>
      </c>
      <c r="N170" s="60"/>
      <c r="O170" s="85" t="s">
        <v>361</v>
      </c>
      <c r="P170" s="88">
        <v>5</v>
      </c>
      <c r="Q170" s="60"/>
      <c r="V170" s="86"/>
      <c r="Z170" s="100"/>
    </row>
    <row r="171" spans="1:26" ht="14.45" customHeight="1" x14ac:dyDescent="0.2">
      <c r="A171" s="99">
        <v>45323</v>
      </c>
      <c r="B171" s="82">
        <v>45337</v>
      </c>
      <c r="C171" s="82" t="s">
        <v>124</v>
      </c>
      <c r="D171" s="60" t="s">
        <v>461</v>
      </c>
      <c r="E171" s="60" t="s">
        <v>462</v>
      </c>
      <c r="F171" s="60" t="s">
        <v>191</v>
      </c>
      <c r="G171" s="72" t="s">
        <v>142</v>
      </c>
      <c r="H171" s="83">
        <v>0.39583333333333331</v>
      </c>
      <c r="I171" s="83">
        <v>0.70833333333333337</v>
      </c>
      <c r="J171" s="63">
        <v>0.27079999999999999</v>
      </c>
      <c r="K171" s="60" t="s">
        <v>113</v>
      </c>
      <c r="L171" s="135">
        <v>6.5</v>
      </c>
      <c r="N171" s="60"/>
      <c r="O171" s="91" t="s">
        <v>359</v>
      </c>
      <c r="P171" s="88">
        <v>5</v>
      </c>
      <c r="Q171" s="60"/>
      <c r="V171" s="86"/>
      <c r="Z171" s="100"/>
    </row>
    <row r="172" spans="1:26" x14ac:dyDescent="0.2">
      <c r="A172" s="99">
        <v>45323</v>
      </c>
      <c r="B172" s="82">
        <v>45337</v>
      </c>
      <c r="C172" s="82" t="s">
        <v>124</v>
      </c>
      <c r="D172" s="60" t="s">
        <v>86</v>
      </c>
      <c r="E172" s="60" t="s">
        <v>451</v>
      </c>
      <c r="F172" s="60" t="s">
        <v>420</v>
      </c>
      <c r="G172" s="59" t="s">
        <v>142</v>
      </c>
      <c r="H172" s="83">
        <v>0.39583333333333331</v>
      </c>
      <c r="I172" s="83">
        <v>0.72916666666666663</v>
      </c>
      <c r="J172" s="63">
        <f>I172-H172</f>
        <v>0.33333333333333331</v>
      </c>
      <c r="K172" s="88" t="s">
        <v>110</v>
      </c>
      <c r="L172" s="135">
        <f>24*J172</f>
        <v>8</v>
      </c>
      <c r="O172" s="91" t="s">
        <v>820</v>
      </c>
      <c r="P172" s="88">
        <v>5</v>
      </c>
      <c r="Q172" s="60"/>
      <c r="U172" s="60"/>
      <c r="W172" s="60"/>
      <c r="X172" s="86"/>
      <c r="Y172" s="60"/>
      <c r="Z172" s="100"/>
    </row>
    <row r="173" spans="1:26" ht="14.45" customHeight="1" x14ac:dyDescent="0.2">
      <c r="A173" s="99">
        <v>45323</v>
      </c>
      <c r="B173" s="82">
        <v>45339</v>
      </c>
      <c r="C173" s="88" t="s">
        <v>34</v>
      </c>
      <c r="D173" s="60" t="s">
        <v>46</v>
      </c>
      <c r="E173" s="60" t="s">
        <v>475</v>
      </c>
      <c r="F173" s="60" t="s">
        <v>474</v>
      </c>
      <c r="G173" s="72" t="s">
        <v>142</v>
      </c>
      <c r="H173" s="83">
        <v>0.39583333333333331</v>
      </c>
      <c r="I173" s="83">
        <v>0.70833333333333337</v>
      </c>
      <c r="J173" s="63">
        <v>0.27079999999999999</v>
      </c>
      <c r="K173" s="88" t="s">
        <v>366</v>
      </c>
      <c r="L173" s="135">
        <v>6.5</v>
      </c>
      <c r="N173" s="60"/>
      <c r="O173" s="85" t="s">
        <v>821</v>
      </c>
      <c r="P173" s="88">
        <v>5</v>
      </c>
      <c r="Q173" s="60"/>
      <c r="V173" s="86"/>
      <c r="Z173" s="100"/>
    </row>
    <row r="174" spans="1:26" x14ac:dyDescent="0.2">
      <c r="A174" s="99">
        <v>45323</v>
      </c>
      <c r="B174" s="82">
        <v>45339</v>
      </c>
      <c r="C174" s="88" t="s">
        <v>34</v>
      </c>
      <c r="D174" s="60" t="s">
        <v>499</v>
      </c>
      <c r="E174" s="60" t="s">
        <v>505</v>
      </c>
      <c r="F174" s="96" t="s">
        <v>506</v>
      </c>
      <c r="G174" s="59" t="s">
        <v>142</v>
      </c>
      <c r="H174" s="83">
        <v>0.39583333333333331</v>
      </c>
      <c r="I174" s="83">
        <v>0.45833333333333331</v>
      </c>
      <c r="J174" s="63">
        <f>I174-H174</f>
        <v>6.25E-2</v>
      </c>
      <c r="K174" s="88" t="s">
        <v>300</v>
      </c>
      <c r="L174" s="135">
        <f>24*J174</f>
        <v>1.5</v>
      </c>
      <c r="O174" s="91" t="s">
        <v>362</v>
      </c>
      <c r="P174" s="88">
        <v>5</v>
      </c>
      <c r="R174" s="88"/>
      <c r="U174" s="60"/>
      <c r="W174" s="60"/>
      <c r="X174" s="86"/>
      <c r="Z174" s="100"/>
    </row>
    <row r="175" spans="1:26" x14ac:dyDescent="0.2">
      <c r="A175" s="99">
        <v>45323</v>
      </c>
      <c r="B175" s="82">
        <v>45339</v>
      </c>
      <c r="C175" s="88" t="s">
        <v>34</v>
      </c>
      <c r="D175" s="60" t="s">
        <v>499</v>
      </c>
      <c r="E175" s="60" t="s">
        <v>505</v>
      </c>
      <c r="F175" s="96" t="s">
        <v>506</v>
      </c>
      <c r="G175" s="59" t="s">
        <v>142</v>
      </c>
      <c r="H175" s="83">
        <v>0.54166666666666663</v>
      </c>
      <c r="I175" s="83">
        <v>0.625</v>
      </c>
      <c r="J175" s="63">
        <f>I175-H175</f>
        <v>8.333333333333337E-2</v>
      </c>
      <c r="K175" s="88" t="s">
        <v>300</v>
      </c>
      <c r="L175" s="135">
        <f>24*J175</f>
        <v>2.0000000000000009</v>
      </c>
      <c r="O175" s="91" t="s">
        <v>362</v>
      </c>
      <c r="P175" s="88">
        <v>5</v>
      </c>
      <c r="R175" s="88"/>
      <c r="U175" s="60"/>
      <c r="W175" s="60"/>
      <c r="X175" s="86"/>
      <c r="Z175" s="100"/>
    </row>
    <row r="176" spans="1:26" ht="14.45" customHeight="1" x14ac:dyDescent="0.2">
      <c r="A176" s="99">
        <v>45323</v>
      </c>
      <c r="B176" s="82">
        <v>45339</v>
      </c>
      <c r="C176" s="88" t="s">
        <v>34</v>
      </c>
      <c r="D176" s="60" t="s">
        <v>476</v>
      </c>
      <c r="E176" s="60" t="s">
        <v>477</v>
      </c>
      <c r="F176" s="60" t="s">
        <v>478</v>
      </c>
      <c r="G176" s="72" t="s">
        <v>142</v>
      </c>
      <c r="H176" s="83">
        <v>0.39583333333333331</v>
      </c>
      <c r="I176" s="83">
        <v>0.70833333333333337</v>
      </c>
      <c r="J176" s="63">
        <v>0.27079999999999999</v>
      </c>
      <c r="K176" s="88" t="s">
        <v>366</v>
      </c>
      <c r="L176" s="135">
        <v>6.5</v>
      </c>
      <c r="N176" s="60"/>
      <c r="O176" s="85" t="s">
        <v>821</v>
      </c>
      <c r="P176" s="88">
        <v>5</v>
      </c>
      <c r="Q176" s="60"/>
      <c r="V176" s="86"/>
      <c r="Z176" s="100"/>
    </row>
    <row r="177" spans="1:26" ht="14.45" customHeight="1" x14ac:dyDescent="0.2">
      <c r="A177" s="99">
        <v>45323</v>
      </c>
      <c r="B177" s="82">
        <v>45339</v>
      </c>
      <c r="C177" s="88" t="s">
        <v>34</v>
      </c>
      <c r="D177" s="60" t="s">
        <v>461</v>
      </c>
      <c r="E177" s="60" t="s">
        <v>462</v>
      </c>
      <c r="F177" s="60" t="s">
        <v>191</v>
      </c>
      <c r="G177" s="72" t="s">
        <v>142</v>
      </c>
      <c r="H177" s="83">
        <v>0.39583333333333331</v>
      </c>
      <c r="I177" s="83">
        <v>0.70833333333333337</v>
      </c>
      <c r="J177" s="63">
        <v>0.27079999999999999</v>
      </c>
      <c r="K177" s="60" t="s">
        <v>113</v>
      </c>
      <c r="L177" s="135">
        <v>6.5</v>
      </c>
      <c r="N177" s="60"/>
      <c r="O177" s="91" t="s">
        <v>359</v>
      </c>
      <c r="P177" s="88">
        <v>5</v>
      </c>
      <c r="Q177" s="60"/>
      <c r="V177" s="86"/>
      <c r="Z177" s="100"/>
    </row>
    <row r="178" spans="1:26" ht="14.45" customHeight="1" x14ac:dyDescent="0.2">
      <c r="A178" s="99">
        <v>45323</v>
      </c>
      <c r="B178" s="82">
        <v>45340</v>
      </c>
      <c r="C178" s="60" t="s">
        <v>31</v>
      </c>
      <c r="D178" s="60" t="s">
        <v>461</v>
      </c>
      <c r="E178" s="60" t="s">
        <v>462</v>
      </c>
      <c r="F178" s="60" t="s">
        <v>191</v>
      </c>
      <c r="G178" s="72" t="s">
        <v>142</v>
      </c>
      <c r="H178" s="83">
        <v>0.39583333333333331</v>
      </c>
      <c r="I178" s="83">
        <v>0.70833333333333337</v>
      </c>
      <c r="J178" s="63">
        <v>0.27079999999999999</v>
      </c>
      <c r="K178" s="60" t="s">
        <v>113</v>
      </c>
      <c r="L178" s="135">
        <v>6.5</v>
      </c>
      <c r="N178" s="60"/>
      <c r="O178" s="91" t="s">
        <v>359</v>
      </c>
      <c r="P178" s="88">
        <v>5</v>
      </c>
      <c r="Q178" s="60"/>
      <c r="V178" s="86"/>
      <c r="Z178" s="100"/>
    </row>
    <row r="179" spans="1:26" ht="14.45" customHeight="1" x14ac:dyDescent="0.2">
      <c r="A179" s="99">
        <v>45323</v>
      </c>
      <c r="B179" s="82">
        <v>45340</v>
      </c>
      <c r="C179" s="60" t="s">
        <v>31</v>
      </c>
      <c r="D179" s="60" t="s">
        <v>476</v>
      </c>
      <c r="E179" s="60" t="s">
        <v>477</v>
      </c>
      <c r="F179" s="60" t="s">
        <v>478</v>
      </c>
      <c r="G179" s="72" t="s">
        <v>142</v>
      </c>
      <c r="H179" s="83">
        <v>0.91666666666666663</v>
      </c>
      <c r="I179" s="83">
        <v>0.58333333333333337</v>
      </c>
      <c r="J179" s="63">
        <v>0.27079999999999999</v>
      </c>
      <c r="K179" s="88" t="s">
        <v>366</v>
      </c>
      <c r="L179" s="135">
        <v>6.5</v>
      </c>
      <c r="N179" s="60"/>
      <c r="O179" s="85" t="s">
        <v>361</v>
      </c>
      <c r="P179" s="88">
        <v>5</v>
      </c>
      <c r="Q179" s="60"/>
      <c r="V179" s="86"/>
      <c r="Z179" s="100"/>
    </row>
    <row r="180" spans="1:26" ht="14.45" customHeight="1" x14ac:dyDescent="0.2">
      <c r="A180" s="99">
        <v>45323</v>
      </c>
      <c r="B180" s="82">
        <v>45340</v>
      </c>
      <c r="C180" s="60" t="s">
        <v>31</v>
      </c>
      <c r="D180" s="60" t="s">
        <v>46</v>
      </c>
      <c r="E180" s="60" t="s">
        <v>475</v>
      </c>
      <c r="F180" s="60" t="s">
        <v>474</v>
      </c>
      <c r="G180" s="72" t="s">
        <v>142</v>
      </c>
      <c r="H180" s="83">
        <v>0.91666666666666663</v>
      </c>
      <c r="I180" s="83">
        <v>0.625</v>
      </c>
      <c r="J180" s="63">
        <v>0.27079999999999999</v>
      </c>
      <c r="K180" s="88" t="s">
        <v>366</v>
      </c>
      <c r="L180" s="135">
        <v>6.5</v>
      </c>
      <c r="N180" s="60"/>
      <c r="O180" s="85" t="s">
        <v>361</v>
      </c>
      <c r="P180" s="88">
        <v>5</v>
      </c>
      <c r="Q180" s="60"/>
      <c r="V180" s="86"/>
      <c r="Z180" s="100"/>
    </row>
    <row r="181" spans="1:26" ht="14.45" customHeight="1" x14ac:dyDescent="0.2">
      <c r="A181" s="99">
        <v>45323</v>
      </c>
      <c r="B181" s="82">
        <v>45340</v>
      </c>
      <c r="C181" s="60" t="s">
        <v>31</v>
      </c>
      <c r="D181" s="60" t="s">
        <v>481</v>
      </c>
      <c r="E181" s="60" t="s">
        <v>479</v>
      </c>
      <c r="F181" s="60" t="s">
        <v>480</v>
      </c>
      <c r="G181" s="72" t="s">
        <v>142</v>
      </c>
      <c r="H181" s="83">
        <v>0.91666666666666663</v>
      </c>
      <c r="I181" s="83">
        <v>0.66666666666666663</v>
      </c>
      <c r="J181" s="63">
        <v>0.27079999999999999</v>
      </c>
      <c r="K181" s="88" t="s">
        <v>366</v>
      </c>
      <c r="L181" s="135">
        <v>6.5</v>
      </c>
      <c r="N181" s="60"/>
      <c r="O181" s="85" t="s">
        <v>361</v>
      </c>
      <c r="P181" s="88">
        <v>5</v>
      </c>
      <c r="Q181" s="60"/>
      <c r="V181" s="86"/>
      <c r="Z181" s="100"/>
    </row>
    <row r="182" spans="1:26" x14ac:dyDescent="0.2">
      <c r="A182" s="99">
        <v>45323</v>
      </c>
      <c r="B182" s="82">
        <v>45340</v>
      </c>
      <c r="C182" s="60" t="s">
        <v>31</v>
      </c>
      <c r="D182" s="60" t="s">
        <v>86</v>
      </c>
      <c r="E182" s="60" t="s">
        <v>451</v>
      </c>
      <c r="F182" s="60" t="s">
        <v>420</v>
      </c>
      <c r="G182" s="59" t="s">
        <v>142</v>
      </c>
      <c r="H182" s="83">
        <v>0.39583333333333331</v>
      </c>
      <c r="I182" s="83">
        <v>0.72916666666666663</v>
      </c>
      <c r="J182" s="63">
        <f>I182-H182</f>
        <v>0.33333333333333331</v>
      </c>
      <c r="K182" s="88" t="s">
        <v>110</v>
      </c>
      <c r="L182" s="135">
        <f>24*J182</f>
        <v>8</v>
      </c>
      <c r="O182" s="91" t="s">
        <v>820</v>
      </c>
      <c r="P182" s="88">
        <v>5</v>
      </c>
      <c r="Q182" s="60"/>
      <c r="U182" s="60"/>
      <c r="W182" s="60"/>
      <c r="X182" s="86"/>
      <c r="Y182" s="60"/>
      <c r="Z182" s="100"/>
    </row>
    <row r="183" spans="1:26" ht="14.45" customHeight="1" x14ac:dyDescent="0.2">
      <c r="A183" s="99">
        <v>45323</v>
      </c>
      <c r="B183" s="82">
        <v>45340</v>
      </c>
      <c r="C183" s="60" t="s">
        <v>31</v>
      </c>
      <c r="D183" s="60" t="s">
        <v>46</v>
      </c>
      <c r="E183" s="60" t="s">
        <v>460</v>
      </c>
      <c r="F183" s="60" t="s">
        <v>447</v>
      </c>
      <c r="G183" s="72" t="s">
        <v>142</v>
      </c>
      <c r="H183" s="83">
        <v>0.39583333333333331</v>
      </c>
      <c r="I183" s="83">
        <v>0.625</v>
      </c>
      <c r="J183" s="63">
        <v>0.27079999999999999</v>
      </c>
      <c r="K183" s="88" t="s">
        <v>110</v>
      </c>
      <c r="L183" s="135">
        <v>6.5</v>
      </c>
      <c r="N183" s="60"/>
      <c r="O183" s="91" t="s">
        <v>820</v>
      </c>
      <c r="P183" s="88">
        <v>5</v>
      </c>
      <c r="Q183" s="60"/>
      <c r="V183" s="86"/>
      <c r="Z183" s="100"/>
    </row>
    <row r="184" spans="1:26" ht="14.45" customHeight="1" x14ac:dyDescent="0.2">
      <c r="A184" s="99">
        <v>45323</v>
      </c>
      <c r="B184" s="82">
        <v>45341</v>
      </c>
      <c r="C184" s="88" t="s">
        <v>45</v>
      </c>
      <c r="D184" s="60" t="s">
        <v>461</v>
      </c>
      <c r="E184" s="60" t="s">
        <v>462</v>
      </c>
      <c r="F184" s="60" t="s">
        <v>191</v>
      </c>
      <c r="G184" s="72" t="s">
        <v>142</v>
      </c>
      <c r="H184" s="83">
        <v>0.39583333333333331</v>
      </c>
      <c r="I184" s="83">
        <v>0.70833333333333337</v>
      </c>
      <c r="J184" s="63">
        <v>0.27079999999999999</v>
      </c>
      <c r="K184" s="60" t="s">
        <v>113</v>
      </c>
      <c r="L184" s="135">
        <v>6.5</v>
      </c>
      <c r="N184" s="60"/>
      <c r="O184" s="91" t="s">
        <v>359</v>
      </c>
      <c r="P184" s="88">
        <v>5</v>
      </c>
      <c r="Q184" s="60"/>
      <c r="V184" s="86"/>
      <c r="Z184" s="100"/>
    </row>
    <row r="185" spans="1:26" ht="14.45" customHeight="1" x14ac:dyDescent="0.2">
      <c r="A185" s="99">
        <v>45323</v>
      </c>
      <c r="B185" s="82">
        <v>45342</v>
      </c>
      <c r="C185" s="88" t="s">
        <v>106</v>
      </c>
      <c r="D185" s="60" t="s">
        <v>476</v>
      </c>
      <c r="E185" s="60" t="s">
        <v>477</v>
      </c>
      <c r="F185" s="60" t="s">
        <v>478</v>
      </c>
      <c r="G185" s="72" t="s">
        <v>142</v>
      </c>
      <c r="H185" s="83">
        <v>0.91666666666666663</v>
      </c>
      <c r="I185" s="83">
        <v>0.70833333333333337</v>
      </c>
      <c r="J185" s="63">
        <v>0.27079999999999999</v>
      </c>
      <c r="K185" s="88" t="s">
        <v>366</v>
      </c>
      <c r="L185" s="135">
        <v>6.5</v>
      </c>
      <c r="N185" s="60"/>
      <c r="O185" s="85" t="s">
        <v>361</v>
      </c>
      <c r="P185" s="88">
        <v>5</v>
      </c>
      <c r="Q185" s="60"/>
      <c r="V185" s="86"/>
      <c r="Z185" s="100"/>
    </row>
    <row r="186" spans="1:26" ht="14.45" customHeight="1" x14ac:dyDescent="0.2">
      <c r="A186" s="99">
        <v>45323</v>
      </c>
      <c r="B186" s="82">
        <v>45342</v>
      </c>
      <c r="C186" s="88" t="s">
        <v>106</v>
      </c>
      <c r="D186" s="60" t="s">
        <v>483</v>
      </c>
      <c r="E186" s="60" t="s">
        <v>484</v>
      </c>
      <c r="F186" s="60" t="s">
        <v>485</v>
      </c>
      <c r="G186" s="72" t="s">
        <v>142</v>
      </c>
      <c r="H186" s="83">
        <v>0.58333333333333337</v>
      </c>
      <c r="I186" s="83">
        <v>0.625</v>
      </c>
      <c r="J186" s="63">
        <v>0.27079999999999999</v>
      </c>
      <c r="K186" s="88" t="s">
        <v>365</v>
      </c>
      <c r="L186" s="135">
        <v>6.5</v>
      </c>
      <c r="N186" s="60"/>
      <c r="O186" s="85" t="s">
        <v>314</v>
      </c>
      <c r="P186" s="88">
        <v>5</v>
      </c>
      <c r="Q186" s="60"/>
      <c r="V186" s="86"/>
      <c r="Z186" s="100"/>
    </row>
    <row r="187" spans="1:26" ht="14.45" customHeight="1" x14ac:dyDescent="0.2">
      <c r="A187" s="99">
        <v>45323</v>
      </c>
      <c r="B187" s="82">
        <v>45342</v>
      </c>
      <c r="C187" s="88" t="s">
        <v>106</v>
      </c>
      <c r="D187" s="60" t="s">
        <v>486</v>
      </c>
      <c r="E187" s="60" t="s">
        <v>487</v>
      </c>
      <c r="F187" s="60" t="s">
        <v>488</v>
      </c>
      <c r="G187" s="72" t="s">
        <v>142</v>
      </c>
      <c r="H187" s="83">
        <v>0.5</v>
      </c>
      <c r="I187" s="83">
        <v>0.625</v>
      </c>
      <c r="J187" s="63">
        <v>0.27079999999999999</v>
      </c>
      <c r="K187" s="88" t="s">
        <v>365</v>
      </c>
      <c r="L187" s="135">
        <v>6.5</v>
      </c>
      <c r="N187" s="60"/>
      <c r="O187" s="85" t="s">
        <v>314</v>
      </c>
      <c r="P187" s="88">
        <v>5</v>
      </c>
      <c r="Q187" s="60"/>
      <c r="V187" s="86"/>
      <c r="Z187" s="100"/>
    </row>
    <row r="188" spans="1:26" ht="14.45" customHeight="1" x14ac:dyDescent="0.2">
      <c r="A188" s="99">
        <v>45323</v>
      </c>
      <c r="B188" s="82">
        <v>45342</v>
      </c>
      <c r="C188" s="88" t="s">
        <v>106</v>
      </c>
      <c r="D188" s="60" t="s">
        <v>461</v>
      </c>
      <c r="E188" s="60" t="s">
        <v>462</v>
      </c>
      <c r="F188" s="60" t="s">
        <v>191</v>
      </c>
      <c r="G188" s="72" t="s">
        <v>142</v>
      </c>
      <c r="H188" s="83">
        <v>0.39583333333333331</v>
      </c>
      <c r="I188" s="83">
        <v>0.70833333333333337</v>
      </c>
      <c r="J188" s="63">
        <v>0.27079999999999999</v>
      </c>
      <c r="K188" s="60" t="s">
        <v>113</v>
      </c>
      <c r="L188" s="135">
        <v>6.5</v>
      </c>
      <c r="N188" s="60"/>
      <c r="O188" s="91" t="s">
        <v>359</v>
      </c>
      <c r="P188" s="88">
        <v>5</v>
      </c>
      <c r="Q188" s="60"/>
      <c r="V188" s="86"/>
      <c r="Z188" s="100"/>
    </row>
    <row r="189" spans="1:26" x14ac:dyDescent="0.2">
      <c r="A189" s="99">
        <v>45323</v>
      </c>
      <c r="B189" s="82">
        <v>45342</v>
      </c>
      <c r="C189" s="88" t="s">
        <v>106</v>
      </c>
      <c r="D189" s="60" t="s">
        <v>86</v>
      </c>
      <c r="E189" s="60" t="s">
        <v>451</v>
      </c>
      <c r="F189" s="60" t="s">
        <v>420</v>
      </c>
      <c r="G189" s="59" t="s">
        <v>142</v>
      </c>
      <c r="H189" s="83">
        <v>0.39583333333333331</v>
      </c>
      <c r="I189" s="83">
        <v>0.72916666666666663</v>
      </c>
      <c r="J189" s="63">
        <f>I189-H189</f>
        <v>0.33333333333333331</v>
      </c>
      <c r="K189" s="88" t="s">
        <v>110</v>
      </c>
      <c r="L189" s="135">
        <f>24*J189</f>
        <v>8</v>
      </c>
      <c r="O189" s="91" t="s">
        <v>820</v>
      </c>
      <c r="P189" s="88">
        <v>5</v>
      </c>
      <c r="Q189" s="60"/>
      <c r="U189" s="60"/>
      <c r="W189" s="60"/>
      <c r="X189" s="86"/>
      <c r="Y189" s="60"/>
      <c r="Z189" s="100"/>
    </row>
    <row r="190" spans="1:26" ht="14.45" customHeight="1" x14ac:dyDescent="0.2">
      <c r="A190" s="99">
        <v>45323</v>
      </c>
      <c r="B190" s="82">
        <v>45342</v>
      </c>
      <c r="C190" s="88" t="s">
        <v>106</v>
      </c>
      <c r="D190" s="60" t="s">
        <v>46</v>
      </c>
      <c r="E190" s="60" t="s">
        <v>489</v>
      </c>
      <c r="F190" s="60" t="s">
        <v>490</v>
      </c>
      <c r="G190" s="72" t="s">
        <v>142</v>
      </c>
      <c r="H190" s="83">
        <v>0.39583333333333331</v>
      </c>
      <c r="I190" s="83">
        <v>0.54166666666666663</v>
      </c>
      <c r="J190" s="63">
        <v>0.27079999999999999</v>
      </c>
      <c r="K190" s="88" t="s">
        <v>110</v>
      </c>
      <c r="L190" s="135">
        <v>6.5</v>
      </c>
      <c r="N190" s="60"/>
      <c r="O190" s="91" t="s">
        <v>820</v>
      </c>
      <c r="P190" s="88">
        <v>5</v>
      </c>
      <c r="Q190" s="60"/>
      <c r="V190" s="86"/>
      <c r="Z190" s="100"/>
    </row>
    <row r="191" spans="1:26" x14ac:dyDescent="0.2">
      <c r="A191" s="99">
        <v>45323</v>
      </c>
      <c r="B191" s="82">
        <v>45342</v>
      </c>
      <c r="C191" s="88" t="s">
        <v>106</v>
      </c>
      <c r="D191" s="60" t="s">
        <v>98</v>
      </c>
      <c r="E191" s="60" t="s">
        <v>414</v>
      </c>
      <c r="F191" s="60" t="s">
        <v>491</v>
      </c>
      <c r="G191" s="59" t="s">
        <v>142</v>
      </c>
      <c r="H191" s="83">
        <v>0.45833333333333331</v>
      </c>
      <c r="I191" s="83">
        <v>0.66666666666666663</v>
      </c>
      <c r="J191" s="63">
        <f>I191-H191</f>
        <v>0.20833333333333331</v>
      </c>
      <c r="K191" s="60" t="s">
        <v>113</v>
      </c>
      <c r="L191" s="134">
        <v>0.99999999999999911</v>
      </c>
      <c r="O191" s="91" t="s">
        <v>359</v>
      </c>
      <c r="P191" s="88">
        <v>5</v>
      </c>
      <c r="Z191" s="100"/>
    </row>
    <row r="192" spans="1:26" x14ac:dyDescent="0.2">
      <c r="A192" s="99">
        <v>45323</v>
      </c>
      <c r="B192" s="82">
        <v>45342</v>
      </c>
      <c r="C192" s="88" t="s">
        <v>106</v>
      </c>
      <c r="D192" s="60" t="s">
        <v>492</v>
      </c>
      <c r="E192" s="60" t="s">
        <v>493</v>
      </c>
      <c r="F192" s="60" t="s">
        <v>491</v>
      </c>
      <c r="G192" s="59" t="s">
        <v>142</v>
      </c>
      <c r="H192" s="83">
        <v>0.5</v>
      </c>
      <c r="I192" s="83">
        <v>0.66666666666666663</v>
      </c>
      <c r="J192" s="63">
        <f>I192-H192</f>
        <v>0.16666666666666663</v>
      </c>
      <c r="K192" s="60" t="s">
        <v>113</v>
      </c>
      <c r="L192" s="134">
        <v>0.99999999999999911</v>
      </c>
      <c r="O192" s="91" t="s">
        <v>359</v>
      </c>
      <c r="P192" s="88">
        <v>5</v>
      </c>
      <c r="Z192" s="100"/>
    </row>
    <row r="193" spans="1:26" x14ac:dyDescent="0.2">
      <c r="A193" s="99">
        <v>45323</v>
      </c>
      <c r="B193" s="82">
        <v>45343</v>
      </c>
      <c r="C193" s="60" t="s">
        <v>398</v>
      </c>
      <c r="D193" s="60" t="s">
        <v>126</v>
      </c>
      <c r="E193" s="60" t="s">
        <v>494</v>
      </c>
      <c r="F193" s="60" t="s">
        <v>342</v>
      </c>
      <c r="G193" s="59" t="s">
        <v>142</v>
      </c>
      <c r="H193" s="83">
        <v>0.47916666666666669</v>
      </c>
      <c r="I193" s="83">
        <v>0.625</v>
      </c>
      <c r="J193" s="63">
        <f>I193-H193</f>
        <v>0.14583333333333331</v>
      </c>
      <c r="K193" s="88" t="s">
        <v>365</v>
      </c>
      <c r="L193" s="135">
        <f>24*J193</f>
        <v>3.4999999999999996</v>
      </c>
      <c r="O193" s="91" t="s">
        <v>821</v>
      </c>
      <c r="P193" s="88">
        <v>5</v>
      </c>
      <c r="Q193" s="60"/>
      <c r="Z193" s="100"/>
    </row>
    <row r="194" spans="1:26" x14ac:dyDescent="0.2">
      <c r="A194" s="99">
        <v>45323</v>
      </c>
      <c r="B194" s="82">
        <v>45343</v>
      </c>
      <c r="C194" s="60" t="s">
        <v>398</v>
      </c>
      <c r="D194" s="60" t="s">
        <v>498</v>
      </c>
      <c r="E194" s="60" t="s">
        <v>495</v>
      </c>
      <c r="F194" s="60" t="s">
        <v>496</v>
      </c>
      <c r="G194" s="59" t="s">
        <v>142</v>
      </c>
      <c r="H194" s="83">
        <v>0.4375</v>
      </c>
      <c r="I194" s="83">
        <v>0.54166666666666663</v>
      </c>
      <c r="J194" s="63">
        <f>I194-H194</f>
        <v>0.10416666666666663</v>
      </c>
      <c r="K194" s="88" t="s">
        <v>365</v>
      </c>
      <c r="L194" s="135">
        <f>24*J194</f>
        <v>2.4999999999999991</v>
      </c>
      <c r="O194" s="91" t="s">
        <v>821</v>
      </c>
      <c r="P194" s="88">
        <v>5</v>
      </c>
      <c r="Q194" s="60"/>
      <c r="Z194" s="100"/>
    </row>
    <row r="195" spans="1:26" x14ac:dyDescent="0.2">
      <c r="A195" s="99">
        <v>45323</v>
      </c>
      <c r="B195" s="82">
        <v>45343</v>
      </c>
      <c r="C195" s="60" t="s">
        <v>398</v>
      </c>
      <c r="D195" s="60" t="s">
        <v>126</v>
      </c>
      <c r="E195" s="60" t="s">
        <v>497</v>
      </c>
      <c r="F195" s="60" t="s">
        <v>342</v>
      </c>
      <c r="G195" s="59" t="s">
        <v>142</v>
      </c>
      <c r="H195" s="83">
        <v>0.4375</v>
      </c>
      <c r="I195" s="83">
        <v>0.47916666666666669</v>
      </c>
      <c r="J195" s="63">
        <f>I195-H195</f>
        <v>4.1666666666666685E-2</v>
      </c>
      <c r="K195" s="88" t="s">
        <v>365</v>
      </c>
      <c r="L195" s="135">
        <f>24*J195</f>
        <v>1.0000000000000004</v>
      </c>
      <c r="O195" s="91" t="s">
        <v>820</v>
      </c>
      <c r="P195" s="88">
        <v>5</v>
      </c>
      <c r="Q195" s="60"/>
      <c r="Z195" s="100"/>
    </row>
    <row r="196" spans="1:26" ht="14.45" customHeight="1" x14ac:dyDescent="0.2">
      <c r="A196" s="99">
        <v>45323</v>
      </c>
      <c r="B196" s="82">
        <v>45343</v>
      </c>
      <c r="C196" s="60" t="s">
        <v>398</v>
      </c>
      <c r="D196" s="60" t="s">
        <v>461</v>
      </c>
      <c r="E196" s="60" t="s">
        <v>462</v>
      </c>
      <c r="F196" s="60" t="s">
        <v>507</v>
      </c>
      <c r="G196" s="72" t="s">
        <v>142</v>
      </c>
      <c r="H196" s="83">
        <v>0.39583333333333331</v>
      </c>
      <c r="I196" s="83">
        <v>0.70833333333333337</v>
      </c>
      <c r="J196" s="63">
        <v>0.27079999999999999</v>
      </c>
      <c r="K196" s="60" t="s">
        <v>113</v>
      </c>
      <c r="L196" s="135">
        <v>6.5</v>
      </c>
      <c r="N196" s="60"/>
      <c r="O196" s="91" t="s">
        <v>359</v>
      </c>
      <c r="P196" s="88">
        <v>5</v>
      </c>
      <c r="Q196" s="60"/>
      <c r="V196" s="86"/>
      <c r="Z196" s="100"/>
    </row>
    <row r="197" spans="1:26" ht="14.45" customHeight="1" x14ac:dyDescent="0.2">
      <c r="A197" s="99">
        <v>45323</v>
      </c>
      <c r="B197" s="82">
        <v>45344</v>
      </c>
      <c r="C197" s="82" t="s">
        <v>124</v>
      </c>
      <c r="D197" s="60" t="s">
        <v>461</v>
      </c>
      <c r="E197" s="60" t="s">
        <v>462</v>
      </c>
      <c r="F197" s="60" t="s">
        <v>508</v>
      </c>
      <c r="G197" s="72" t="s">
        <v>142</v>
      </c>
      <c r="H197" s="83">
        <v>0.39583333333333331</v>
      </c>
      <c r="I197" s="83">
        <v>0.70833333333333337</v>
      </c>
      <c r="J197" s="63">
        <v>0.27079999999999999</v>
      </c>
      <c r="K197" s="60" t="s">
        <v>113</v>
      </c>
      <c r="L197" s="135">
        <v>6.5</v>
      </c>
      <c r="N197" s="60"/>
      <c r="O197" s="91" t="s">
        <v>359</v>
      </c>
      <c r="P197" s="88">
        <v>5</v>
      </c>
      <c r="Q197" s="60"/>
      <c r="V197" s="86"/>
      <c r="Z197" s="100"/>
    </row>
    <row r="198" spans="1:26" x14ac:dyDescent="0.2">
      <c r="A198" s="99">
        <v>45323</v>
      </c>
      <c r="B198" s="82">
        <v>45344</v>
      </c>
      <c r="C198" s="82" t="s">
        <v>124</v>
      </c>
      <c r="D198" s="60" t="s">
        <v>830</v>
      </c>
      <c r="E198" s="60" t="s">
        <v>509</v>
      </c>
      <c r="F198" s="60" t="s">
        <v>510</v>
      </c>
      <c r="G198" s="59" t="s">
        <v>142</v>
      </c>
      <c r="H198" s="83">
        <v>0.54166666666666663</v>
      </c>
      <c r="I198" s="83">
        <v>0.64583333333333337</v>
      </c>
      <c r="J198" s="63">
        <f>I198-H198</f>
        <v>0.10416666666666674</v>
      </c>
      <c r="K198" s="88" t="s">
        <v>110</v>
      </c>
      <c r="L198" s="135">
        <f>24*J198</f>
        <v>2.5000000000000018</v>
      </c>
      <c r="O198" s="91" t="s">
        <v>820</v>
      </c>
      <c r="P198" s="88">
        <v>5</v>
      </c>
      <c r="Z198" s="100"/>
    </row>
    <row r="199" spans="1:26" ht="14.45" customHeight="1" x14ac:dyDescent="0.2">
      <c r="A199" s="99">
        <v>45323</v>
      </c>
      <c r="B199" s="82">
        <v>45345</v>
      </c>
      <c r="C199" s="88" t="s">
        <v>33</v>
      </c>
      <c r="D199" s="60" t="s">
        <v>476</v>
      </c>
      <c r="E199" s="60" t="s">
        <v>477</v>
      </c>
      <c r="F199" s="60" t="s">
        <v>478</v>
      </c>
      <c r="G199" s="72" t="s">
        <v>142</v>
      </c>
      <c r="H199" s="83">
        <v>0.4375</v>
      </c>
      <c r="I199" s="83">
        <v>0.66666666666666663</v>
      </c>
      <c r="J199" s="63">
        <v>0.27079999999999999</v>
      </c>
      <c r="K199" s="88" t="s">
        <v>366</v>
      </c>
      <c r="L199" s="135">
        <v>6.5</v>
      </c>
      <c r="N199" s="60"/>
      <c r="O199" s="85" t="s">
        <v>361</v>
      </c>
      <c r="P199" s="88">
        <v>5</v>
      </c>
      <c r="Q199" s="60"/>
      <c r="V199" s="86"/>
      <c r="Z199" s="100"/>
    </row>
    <row r="200" spans="1:26" ht="14.45" customHeight="1" x14ac:dyDescent="0.2">
      <c r="A200" s="99">
        <v>45323</v>
      </c>
      <c r="B200" s="82">
        <v>45346</v>
      </c>
      <c r="C200" s="88" t="s">
        <v>34</v>
      </c>
      <c r="D200" s="60" t="s">
        <v>476</v>
      </c>
      <c r="E200" s="60" t="s">
        <v>477</v>
      </c>
      <c r="F200" s="60" t="s">
        <v>478</v>
      </c>
      <c r="G200" s="72" t="s">
        <v>142</v>
      </c>
      <c r="H200" s="83">
        <v>0.91666666666666663</v>
      </c>
      <c r="I200" s="83">
        <v>0.66666666666666663</v>
      </c>
      <c r="J200" s="63">
        <v>0.27079999999999999</v>
      </c>
      <c r="K200" s="88" t="s">
        <v>366</v>
      </c>
      <c r="L200" s="135">
        <v>6.5</v>
      </c>
      <c r="N200" s="60"/>
      <c r="O200" s="91" t="s">
        <v>362</v>
      </c>
      <c r="P200" s="88">
        <v>5</v>
      </c>
      <c r="Q200" s="60"/>
      <c r="V200" s="86"/>
      <c r="Z200" s="100"/>
    </row>
    <row r="201" spans="1:26" ht="14.45" customHeight="1" x14ac:dyDescent="0.2">
      <c r="A201" s="99">
        <v>45323</v>
      </c>
      <c r="B201" s="82">
        <v>45346</v>
      </c>
      <c r="C201" s="88" t="s">
        <v>34</v>
      </c>
      <c r="D201" s="60" t="s">
        <v>46</v>
      </c>
      <c r="E201" s="60" t="s">
        <v>460</v>
      </c>
      <c r="F201" s="60" t="s">
        <v>511</v>
      </c>
      <c r="G201" s="72" t="s">
        <v>142</v>
      </c>
      <c r="H201" s="83">
        <v>0.91666666666666663</v>
      </c>
      <c r="I201" s="83">
        <v>0.66666666666666663</v>
      </c>
      <c r="J201" s="63">
        <v>0.27079999999999999</v>
      </c>
      <c r="K201" s="88" t="s">
        <v>110</v>
      </c>
      <c r="L201" s="135">
        <v>6.5</v>
      </c>
      <c r="N201" s="60"/>
      <c r="O201" s="91" t="s">
        <v>362</v>
      </c>
      <c r="P201" s="88">
        <v>5</v>
      </c>
      <c r="Q201" s="60"/>
      <c r="V201" s="86"/>
      <c r="Z201" s="100"/>
    </row>
    <row r="202" spans="1:26" ht="14.45" customHeight="1" x14ac:dyDescent="0.2">
      <c r="A202" s="99">
        <v>45323</v>
      </c>
      <c r="B202" s="82">
        <v>45346</v>
      </c>
      <c r="C202" s="88" t="s">
        <v>34</v>
      </c>
      <c r="D202" s="60" t="s">
        <v>461</v>
      </c>
      <c r="E202" s="60" t="s">
        <v>462</v>
      </c>
      <c r="F202" s="60" t="s">
        <v>508</v>
      </c>
      <c r="G202" s="72" t="s">
        <v>142</v>
      </c>
      <c r="H202" s="83">
        <v>0.91666666666666663</v>
      </c>
      <c r="I202" s="83">
        <v>0.70833333333333337</v>
      </c>
      <c r="J202" s="63">
        <v>0.27079999999999999</v>
      </c>
      <c r="K202" s="60" t="s">
        <v>113</v>
      </c>
      <c r="L202" s="135">
        <v>6.5</v>
      </c>
      <c r="N202" s="60"/>
      <c r="O202" s="85" t="s">
        <v>314</v>
      </c>
      <c r="P202" s="88">
        <v>5</v>
      </c>
      <c r="Q202" s="60"/>
      <c r="V202" s="86"/>
      <c r="Z202" s="100"/>
    </row>
    <row r="203" spans="1:26" ht="14.45" customHeight="1" x14ac:dyDescent="0.2">
      <c r="A203" s="99">
        <v>45323</v>
      </c>
      <c r="B203" s="82">
        <v>45347</v>
      </c>
      <c r="C203" s="60" t="s">
        <v>31</v>
      </c>
      <c r="D203" s="60" t="s">
        <v>461</v>
      </c>
      <c r="E203" s="60" t="s">
        <v>462</v>
      </c>
      <c r="F203" s="60" t="s">
        <v>508</v>
      </c>
      <c r="G203" s="72" t="s">
        <v>142</v>
      </c>
      <c r="H203" s="83">
        <v>0.39583333333333331</v>
      </c>
      <c r="I203" s="83">
        <v>0.70833333333333337</v>
      </c>
      <c r="J203" s="63">
        <v>0.27079999999999999</v>
      </c>
      <c r="K203" s="60" t="s">
        <v>113</v>
      </c>
      <c r="L203" s="135">
        <v>6.5</v>
      </c>
      <c r="N203" s="60"/>
      <c r="O203" s="91" t="s">
        <v>359</v>
      </c>
      <c r="P203" s="88">
        <v>5</v>
      </c>
      <c r="Q203" s="60"/>
      <c r="V203" s="86"/>
      <c r="Z203" s="100"/>
    </row>
    <row r="204" spans="1:26" ht="14.45" customHeight="1" x14ac:dyDescent="0.2">
      <c r="A204" s="99">
        <v>45323</v>
      </c>
      <c r="B204" s="82">
        <v>45347</v>
      </c>
      <c r="C204" s="60" t="s">
        <v>31</v>
      </c>
      <c r="D204" s="60" t="s">
        <v>481</v>
      </c>
      <c r="E204" s="60" t="s">
        <v>368</v>
      </c>
      <c r="F204" s="60" t="s">
        <v>512</v>
      </c>
      <c r="G204" s="72" t="s">
        <v>142</v>
      </c>
      <c r="H204" s="83">
        <v>0.91666666666666663</v>
      </c>
      <c r="I204" s="83">
        <v>0.70833333333333337</v>
      </c>
      <c r="J204" s="63">
        <v>0.27079999999999999</v>
      </c>
      <c r="K204" s="60" t="s">
        <v>113</v>
      </c>
      <c r="L204" s="135">
        <v>6.5</v>
      </c>
      <c r="N204" s="60"/>
      <c r="O204" s="91" t="s">
        <v>359</v>
      </c>
      <c r="P204" s="88">
        <v>5</v>
      </c>
      <c r="Q204" s="60"/>
      <c r="V204" s="86"/>
      <c r="Z204" s="100"/>
    </row>
    <row r="205" spans="1:26" x14ac:dyDescent="0.2">
      <c r="A205" s="99">
        <v>45323</v>
      </c>
      <c r="B205" s="82">
        <v>45347</v>
      </c>
      <c r="C205" s="88" t="s">
        <v>45</v>
      </c>
      <c r="D205" s="60" t="s">
        <v>308</v>
      </c>
      <c r="E205" s="60" t="s">
        <v>377</v>
      </c>
      <c r="F205" s="60" t="s">
        <v>379</v>
      </c>
      <c r="G205" s="72" t="s">
        <v>142</v>
      </c>
      <c r="H205" s="83">
        <v>0.41666666666666669</v>
      </c>
      <c r="I205" s="83">
        <v>0.625</v>
      </c>
      <c r="J205" s="63">
        <f>I205-H205</f>
        <v>0.20833333333333331</v>
      </c>
      <c r="K205" s="88" t="s">
        <v>365</v>
      </c>
      <c r="L205" s="135">
        <f>24*J205</f>
        <v>5</v>
      </c>
      <c r="M205" s="60"/>
      <c r="N205" s="60"/>
      <c r="O205" s="91" t="s">
        <v>314</v>
      </c>
      <c r="P205" s="88">
        <v>5</v>
      </c>
      <c r="Q205" s="88"/>
      <c r="V205" s="93" t="s">
        <v>279</v>
      </c>
      <c r="Z205" s="100"/>
    </row>
    <row r="206" spans="1:26" x14ac:dyDescent="0.2">
      <c r="A206" s="99">
        <v>45323</v>
      </c>
      <c r="B206" s="82">
        <v>45347</v>
      </c>
      <c r="C206" s="88" t="s">
        <v>45</v>
      </c>
      <c r="D206" s="60" t="s">
        <v>322</v>
      </c>
      <c r="E206" s="60" t="s">
        <v>513</v>
      </c>
      <c r="F206" s="60" t="s">
        <v>514</v>
      </c>
      <c r="G206" s="72" t="s">
        <v>142</v>
      </c>
      <c r="H206" s="83">
        <v>0.52083333333333337</v>
      </c>
      <c r="I206" s="83">
        <v>0.5625</v>
      </c>
      <c r="J206" s="63">
        <f>I206-H206</f>
        <v>4.166666666666663E-2</v>
      </c>
      <c r="K206" s="88" t="s">
        <v>365</v>
      </c>
      <c r="L206" s="135">
        <f>24*J206</f>
        <v>0.99999999999999911</v>
      </c>
      <c r="M206" s="60"/>
      <c r="N206" s="60"/>
      <c r="O206" s="91" t="s">
        <v>314</v>
      </c>
      <c r="P206" s="88">
        <v>5</v>
      </c>
      <c r="Q206" s="88"/>
      <c r="V206" s="93" t="s">
        <v>279</v>
      </c>
      <c r="Z206" s="100"/>
    </row>
    <row r="207" spans="1:26" ht="14.45" customHeight="1" x14ac:dyDescent="0.2">
      <c r="A207" s="99">
        <v>45323</v>
      </c>
      <c r="B207" s="82">
        <v>45348</v>
      </c>
      <c r="C207" s="88" t="s">
        <v>45</v>
      </c>
      <c r="D207" s="60" t="s">
        <v>461</v>
      </c>
      <c r="E207" s="60" t="s">
        <v>462</v>
      </c>
      <c r="F207" s="60" t="s">
        <v>508</v>
      </c>
      <c r="G207" s="72" t="s">
        <v>142</v>
      </c>
      <c r="H207" s="83">
        <v>0.91666666666666663</v>
      </c>
      <c r="I207" s="83">
        <v>0.70833333333333337</v>
      </c>
      <c r="J207" s="63">
        <v>0.27079999999999999</v>
      </c>
      <c r="K207" s="60" t="s">
        <v>113</v>
      </c>
      <c r="L207" s="135">
        <v>6.5</v>
      </c>
      <c r="N207" s="60"/>
      <c r="O207" s="91" t="s">
        <v>359</v>
      </c>
      <c r="P207" s="88">
        <v>5</v>
      </c>
      <c r="Q207" s="60"/>
      <c r="V207" s="86"/>
      <c r="Z207" s="100"/>
    </row>
    <row r="208" spans="1:26" ht="14.45" customHeight="1" x14ac:dyDescent="0.2">
      <c r="A208" s="99">
        <v>45323</v>
      </c>
      <c r="B208" s="82">
        <v>45348</v>
      </c>
      <c r="C208" s="88" t="s">
        <v>45</v>
      </c>
      <c r="D208" s="60" t="s">
        <v>476</v>
      </c>
      <c r="E208" s="60" t="s">
        <v>477</v>
      </c>
      <c r="F208" s="60" t="s">
        <v>478</v>
      </c>
      <c r="G208" s="72" t="s">
        <v>142</v>
      </c>
      <c r="H208" s="83">
        <v>0.375</v>
      </c>
      <c r="I208" s="83">
        <v>0.70833333333333337</v>
      </c>
      <c r="J208" s="63">
        <v>0.27079999999999999</v>
      </c>
      <c r="K208" s="88" t="s">
        <v>366</v>
      </c>
      <c r="L208" s="135">
        <v>6.5</v>
      </c>
      <c r="N208" s="60"/>
      <c r="O208" s="85" t="s">
        <v>361</v>
      </c>
      <c r="P208" s="88">
        <v>5</v>
      </c>
      <c r="Q208" s="60"/>
      <c r="V208" s="86"/>
      <c r="Z208" s="100"/>
    </row>
    <row r="209" spans="1:26" ht="14.45" customHeight="1" x14ac:dyDescent="0.2">
      <c r="A209" s="99">
        <v>45323</v>
      </c>
      <c r="B209" s="82">
        <v>45349</v>
      </c>
      <c r="C209" s="88" t="s">
        <v>106</v>
      </c>
      <c r="D209" s="60" t="s">
        <v>476</v>
      </c>
      <c r="E209" s="60" t="s">
        <v>477</v>
      </c>
      <c r="F209" s="60" t="s">
        <v>478</v>
      </c>
      <c r="G209" s="72" t="s">
        <v>142</v>
      </c>
      <c r="H209" s="83">
        <v>0.375</v>
      </c>
      <c r="I209" s="83">
        <v>0.70833333333333337</v>
      </c>
      <c r="J209" s="63">
        <v>0.27079999999999999</v>
      </c>
      <c r="K209" s="88" t="s">
        <v>366</v>
      </c>
      <c r="L209" s="135">
        <v>6.5</v>
      </c>
      <c r="N209" s="60"/>
      <c r="O209" s="85" t="s">
        <v>361</v>
      </c>
      <c r="P209" s="88">
        <v>5</v>
      </c>
      <c r="Q209" s="60"/>
      <c r="V209" s="86"/>
      <c r="Z209" s="100"/>
    </row>
    <row r="210" spans="1:26" x14ac:dyDescent="0.2">
      <c r="A210" s="99">
        <v>45323</v>
      </c>
      <c r="B210" s="82">
        <v>45349</v>
      </c>
      <c r="C210" s="88" t="s">
        <v>106</v>
      </c>
      <c r="D210" s="60" t="s">
        <v>517</v>
      </c>
      <c r="E210" s="60" t="s">
        <v>515</v>
      </c>
      <c r="F210" s="96" t="s">
        <v>516</v>
      </c>
      <c r="G210" s="59" t="s">
        <v>142</v>
      </c>
      <c r="H210" s="83">
        <v>0.625</v>
      </c>
      <c r="I210" s="83">
        <v>0.75</v>
      </c>
      <c r="J210" s="63">
        <f>I210-H210</f>
        <v>0.125</v>
      </c>
      <c r="K210" s="88" t="s">
        <v>300</v>
      </c>
      <c r="L210" s="135">
        <f>24*J210</f>
        <v>3</v>
      </c>
      <c r="O210" s="91" t="s">
        <v>362</v>
      </c>
      <c r="P210" s="88">
        <v>5</v>
      </c>
      <c r="R210" s="88"/>
      <c r="U210" s="60"/>
      <c r="W210" s="60"/>
      <c r="X210" s="86"/>
      <c r="Z210" s="100"/>
    </row>
    <row r="211" spans="1:26" ht="14.45" customHeight="1" x14ac:dyDescent="0.2">
      <c r="A211" s="99">
        <v>45323</v>
      </c>
      <c r="B211" s="82">
        <v>45349</v>
      </c>
      <c r="C211" s="88" t="s">
        <v>106</v>
      </c>
      <c r="D211" s="60" t="s">
        <v>461</v>
      </c>
      <c r="E211" s="60" t="s">
        <v>462</v>
      </c>
      <c r="F211" s="60" t="s">
        <v>508</v>
      </c>
      <c r="G211" s="72" t="s">
        <v>142</v>
      </c>
      <c r="H211" s="83">
        <v>0.39583333333333331</v>
      </c>
      <c r="I211" s="83">
        <v>0.70833333333333337</v>
      </c>
      <c r="J211" s="63">
        <v>0.27079999999999999</v>
      </c>
      <c r="K211" s="60" t="s">
        <v>366</v>
      </c>
      <c r="L211" s="135">
        <v>6.5</v>
      </c>
      <c r="N211" s="60"/>
      <c r="O211" s="91" t="s">
        <v>359</v>
      </c>
      <c r="P211" s="88">
        <v>5</v>
      </c>
      <c r="Q211" s="60"/>
      <c r="V211" s="86"/>
      <c r="Z211" s="100"/>
    </row>
    <row r="212" spans="1:26" ht="14.45" customHeight="1" x14ac:dyDescent="0.2">
      <c r="A212" s="99">
        <v>45323</v>
      </c>
      <c r="B212" s="82">
        <v>45349</v>
      </c>
      <c r="C212" s="88" t="s">
        <v>106</v>
      </c>
      <c r="D212" s="60" t="s">
        <v>481</v>
      </c>
      <c r="E212" s="60" t="s">
        <v>368</v>
      </c>
      <c r="F212" s="60" t="s">
        <v>518</v>
      </c>
      <c r="G212" s="72" t="s">
        <v>142</v>
      </c>
      <c r="H212" s="83">
        <v>0.91666666666666663</v>
      </c>
      <c r="I212" s="83">
        <v>0.70833333333333337</v>
      </c>
      <c r="J212" s="63">
        <v>0.27079999999999999</v>
      </c>
      <c r="K212" s="60" t="s">
        <v>113</v>
      </c>
      <c r="L212" s="135">
        <v>6.5</v>
      </c>
      <c r="N212" s="60"/>
      <c r="O212" s="91" t="s">
        <v>359</v>
      </c>
      <c r="P212" s="88">
        <v>5</v>
      </c>
      <c r="Q212" s="60"/>
      <c r="V212" s="86"/>
      <c r="Z212" s="100"/>
    </row>
    <row r="213" spans="1:26" x14ac:dyDescent="0.2">
      <c r="A213" s="99">
        <v>45323</v>
      </c>
      <c r="B213" s="82">
        <v>45349</v>
      </c>
      <c r="C213" s="88" t="s">
        <v>106</v>
      </c>
      <c r="D213" s="60" t="s">
        <v>86</v>
      </c>
      <c r="E213" s="60" t="s">
        <v>451</v>
      </c>
      <c r="F213" s="60" t="s">
        <v>420</v>
      </c>
      <c r="G213" s="59" t="s">
        <v>142</v>
      </c>
      <c r="H213" s="83">
        <v>0.39583333333333331</v>
      </c>
      <c r="I213" s="83">
        <v>0.66666666666666663</v>
      </c>
      <c r="J213" s="63">
        <f>I213-H213</f>
        <v>0.27083333333333331</v>
      </c>
      <c r="K213" s="88" t="s">
        <v>110</v>
      </c>
      <c r="L213" s="135">
        <f>24*J213</f>
        <v>6.5</v>
      </c>
      <c r="O213" s="91" t="s">
        <v>820</v>
      </c>
      <c r="P213" s="88">
        <v>5</v>
      </c>
      <c r="Q213" s="60"/>
      <c r="U213" s="60"/>
      <c r="W213" s="60"/>
      <c r="X213" s="86"/>
      <c r="Y213" s="60"/>
      <c r="Z213" s="100"/>
    </row>
    <row r="214" spans="1:26" x14ac:dyDescent="0.2">
      <c r="A214" s="99">
        <v>45323</v>
      </c>
      <c r="B214" s="82">
        <v>45349</v>
      </c>
      <c r="C214" s="88" t="s">
        <v>106</v>
      </c>
      <c r="D214" s="60" t="s">
        <v>517</v>
      </c>
      <c r="E214" s="60" t="s">
        <v>519</v>
      </c>
      <c r="F214" s="96" t="s">
        <v>520</v>
      </c>
      <c r="G214" s="59" t="s">
        <v>142</v>
      </c>
      <c r="H214" s="83">
        <v>0.52083333333333337</v>
      </c>
      <c r="I214" s="83">
        <v>0.58333333333333337</v>
      </c>
      <c r="J214" s="63">
        <f>I214-H214</f>
        <v>6.25E-2</v>
      </c>
      <c r="K214" s="88" t="s">
        <v>300</v>
      </c>
      <c r="L214" s="135">
        <f>24*J214</f>
        <v>1.5</v>
      </c>
      <c r="O214" s="91" t="s">
        <v>362</v>
      </c>
      <c r="P214" s="88">
        <v>5</v>
      </c>
      <c r="R214" s="88"/>
      <c r="U214" s="60"/>
      <c r="W214" s="60"/>
      <c r="X214" s="86"/>
      <c r="Z214" s="100"/>
    </row>
    <row r="215" spans="1:26" ht="14.45" customHeight="1" x14ac:dyDescent="0.2">
      <c r="A215" s="99">
        <v>45323</v>
      </c>
      <c r="B215" s="82">
        <v>45350</v>
      </c>
      <c r="C215" s="60" t="s">
        <v>398</v>
      </c>
      <c r="D215" s="60" t="s">
        <v>461</v>
      </c>
      <c r="E215" s="60" t="s">
        <v>462</v>
      </c>
      <c r="F215" s="60" t="s">
        <v>508</v>
      </c>
      <c r="G215" s="72" t="s">
        <v>142</v>
      </c>
      <c r="H215" s="83">
        <v>0.39583333333333331</v>
      </c>
      <c r="I215" s="83">
        <v>0.70833333333333337</v>
      </c>
      <c r="J215" s="63">
        <v>0.27079999999999999</v>
      </c>
      <c r="K215" s="60" t="s">
        <v>113</v>
      </c>
      <c r="L215" s="135">
        <v>6.5</v>
      </c>
      <c r="N215" s="60"/>
      <c r="O215" s="91" t="s">
        <v>359</v>
      </c>
      <c r="P215" s="88">
        <v>5</v>
      </c>
      <c r="Q215" s="60"/>
      <c r="V215" s="86"/>
      <c r="Z215" s="100"/>
    </row>
    <row r="216" spans="1:26" x14ac:dyDescent="0.2">
      <c r="A216" s="99">
        <v>45323</v>
      </c>
      <c r="B216" s="82">
        <v>45350</v>
      </c>
      <c r="C216" s="60" t="s">
        <v>398</v>
      </c>
      <c r="D216" s="60" t="s">
        <v>313</v>
      </c>
      <c r="E216" s="60" t="s">
        <v>350</v>
      </c>
      <c r="F216" s="60" t="s">
        <v>521</v>
      </c>
      <c r="G216" s="72" t="s">
        <v>142</v>
      </c>
      <c r="H216" s="83">
        <v>0.41666666666666669</v>
      </c>
      <c r="I216" s="83">
        <v>0.70833333333333337</v>
      </c>
      <c r="J216" s="63">
        <f>I216-H216</f>
        <v>0.29166666666666669</v>
      </c>
      <c r="K216" s="60" t="s">
        <v>113</v>
      </c>
      <c r="L216" s="135">
        <f>24*J216</f>
        <v>7</v>
      </c>
      <c r="M216" s="60"/>
      <c r="N216" s="60"/>
      <c r="O216" s="91" t="s">
        <v>359</v>
      </c>
      <c r="P216" s="88">
        <v>5</v>
      </c>
      <c r="Q216" s="60"/>
      <c r="Z216" s="100"/>
    </row>
    <row r="217" spans="1:26" ht="14.45" customHeight="1" x14ac:dyDescent="0.2">
      <c r="A217" s="99">
        <v>45323</v>
      </c>
      <c r="B217" s="82">
        <v>45350</v>
      </c>
      <c r="C217" s="60" t="s">
        <v>398</v>
      </c>
      <c r="D217" s="60" t="s">
        <v>476</v>
      </c>
      <c r="E217" s="60" t="s">
        <v>477</v>
      </c>
      <c r="F217" s="60" t="s">
        <v>478</v>
      </c>
      <c r="G217" s="72" t="s">
        <v>142</v>
      </c>
      <c r="H217" s="83">
        <v>0.375</v>
      </c>
      <c r="I217" s="83">
        <v>0.66666666666666663</v>
      </c>
      <c r="J217" s="63">
        <v>0.27079999999999999</v>
      </c>
      <c r="K217" s="88" t="s">
        <v>366</v>
      </c>
      <c r="L217" s="135">
        <v>6.5</v>
      </c>
      <c r="N217" s="60"/>
      <c r="O217" s="85" t="s">
        <v>361</v>
      </c>
      <c r="P217" s="88">
        <v>5</v>
      </c>
      <c r="Q217" s="60"/>
      <c r="V217" s="86"/>
      <c r="Z217" s="100"/>
    </row>
    <row r="218" spans="1:26" x14ac:dyDescent="0.2">
      <c r="A218" s="99">
        <v>45323</v>
      </c>
      <c r="B218" s="82">
        <v>45350</v>
      </c>
      <c r="C218" s="60" t="s">
        <v>398</v>
      </c>
      <c r="D218" s="60" t="s">
        <v>126</v>
      </c>
      <c r="E218" s="60" t="s">
        <v>352</v>
      </c>
      <c r="F218" s="60" t="s">
        <v>342</v>
      </c>
      <c r="G218" s="59" t="s">
        <v>142</v>
      </c>
      <c r="H218" s="83">
        <v>0.5</v>
      </c>
      <c r="I218" s="83">
        <v>0.70833333333333337</v>
      </c>
      <c r="J218" s="63">
        <f>I218-H218</f>
        <v>0.20833333333333337</v>
      </c>
      <c r="K218" s="60" t="s">
        <v>113</v>
      </c>
      <c r="L218" s="135">
        <f>24*J218</f>
        <v>5.0000000000000009</v>
      </c>
      <c r="O218" s="91" t="s">
        <v>359</v>
      </c>
      <c r="P218" s="88">
        <v>5</v>
      </c>
      <c r="Q218" s="60"/>
      <c r="Z218" s="100"/>
    </row>
    <row r="219" spans="1:26" x14ac:dyDescent="0.2">
      <c r="A219" s="99">
        <v>45323</v>
      </c>
      <c r="B219" s="82">
        <v>45350</v>
      </c>
      <c r="C219" s="60" t="s">
        <v>398</v>
      </c>
      <c r="D219" s="60" t="s">
        <v>98</v>
      </c>
      <c r="E219" s="60" t="s">
        <v>522</v>
      </c>
      <c r="F219" s="60" t="s">
        <v>523</v>
      </c>
      <c r="G219" s="59" t="s">
        <v>142</v>
      </c>
      <c r="H219" s="83">
        <v>0.45833333333333331</v>
      </c>
      <c r="I219" s="83">
        <v>0.70833333333333337</v>
      </c>
      <c r="J219" s="63">
        <f>I219-H219</f>
        <v>0.25000000000000006</v>
      </c>
      <c r="K219" s="60" t="s">
        <v>113</v>
      </c>
      <c r="L219" s="134">
        <v>0.99999999999999911</v>
      </c>
      <c r="O219" s="91" t="s">
        <v>359</v>
      </c>
      <c r="P219" s="88">
        <v>5</v>
      </c>
      <c r="Z219" s="100"/>
    </row>
    <row r="220" spans="1:26" ht="14.45" customHeight="1" x14ac:dyDescent="0.2">
      <c r="A220" s="99">
        <v>45323</v>
      </c>
      <c r="B220" s="82">
        <v>45350</v>
      </c>
      <c r="C220" s="60" t="s">
        <v>398</v>
      </c>
      <c r="D220" s="60" t="s">
        <v>481</v>
      </c>
      <c r="E220" s="60" t="s">
        <v>368</v>
      </c>
      <c r="F220" s="60" t="s">
        <v>518</v>
      </c>
      <c r="G220" s="72" t="s">
        <v>142</v>
      </c>
      <c r="H220" s="83">
        <v>0.41666666666666669</v>
      </c>
      <c r="I220" s="83">
        <v>0.70833333333333337</v>
      </c>
      <c r="J220" s="63">
        <v>0.27079999999999999</v>
      </c>
      <c r="K220" s="60" t="s">
        <v>113</v>
      </c>
      <c r="L220" s="135">
        <v>6.5</v>
      </c>
      <c r="N220" s="60"/>
      <c r="O220" s="91" t="s">
        <v>359</v>
      </c>
      <c r="P220" s="88">
        <v>5</v>
      </c>
      <c r="Q220" s="60"/>
      <c r="V220" s="86"/>
      <c r="Z220" s="100"/>
    </row>
    <row r="221" spans="1:26" x14ac:dyDescent="0.2">
      <c r="A221" s="99">
        <v>45323</v>
      </c>
      <c r="B221" s="82">
        <v>45350</v>
      </c>
      <c r="C221" s="60" t="s">
        <v>398</v>
      </c>
      <c r="D221" s="60" t="s">
        <v>126</v>
      </c>
      <c r="E221" s="60" t="s">
        <v>352</v>
      </c>
      <c r="F221" s="60" t="s">
        <v>342</v>
      </c>
      <c r="G221" s="59" t="s">
        <v>142</v>
      </c>
      <c r="H221" s="83">
        <v>0.4375</v>
      </c>
      <c r="I221" s="83">
        <v>0.47916666666666669</v>
      </c>
      <c r="J221" s="63">
        <f>I221-H221</f>
        <v>4.1666666666666685E-2</v>
      </c>
      <c r="K221" s="88" t="s">
        <v>110</v>
      </c>
      <c r="L221" s="135">
        <f>24*J221</f>
        <v>1.0000000000000004</v>
      </c>
      <c r="O221" s="91" t="s">
        <v>820</v>
      </c>
      <c r="P221" s="88">
        <v>5</v>
      </c>
      <c r="Q221" s="60"/>
      <c r="Z221" s="100"/>
    </row>
    <row r="222" spans="1:26" ht="14.45" customHeight="1" x14ac:dyDescent="0.2">
      <c r="A222" s="99">
        <v>45323</v>
      </c>
      <c r="B222" s="82">
        <v>45350</v>
      </c>
      <c r="C222" s="60" t="s">
        <v>398</v>
      </c>
      <c r="D222" s="60" t="s">
        <v>461</v>
      </c>
      <c r="E222" s="60" t="s">
        <v>525</v>
      </c>
      <c r="F222" s="60" t="s">
        <v>524</v>
      </c>
      <c r="G222" s="72" t="s">
        <v>142</v>
      </c>
      <c r="H222" s="83">
        <v>0.45833333333333331</v>
      </c>
      <c r="I222" s="83">
        <v>0.5625</v>
      </c>
      <c r="J222" s="63">
        <v>0.27079999999999999</v>
      </c>
      <c r="K222" s="88" t="s">
        <v>110</v>
      </c>
      <c r="L222" s="135">
        <v>6.5</v>
      </c>
      <c r="N222" s="60"/>
      <c r="O222" s="91" t="s">
        <v>820</v>
      </c>
      <c r="P222" s="88">
        <v>5</v>
      </c>
      <c r="Q222" s="60"/>
      <c r="V222" s="86"/>
      <c r="Z222" s="100"/>
    </row>
    <row r="223" spans="1:26" x14ac:dyDescent="0.2">
      <c r="A223" s="99">
        <v>45323</v>
      </c>
      <c r="B223" s="82">
        <v>45351</v>
      </c>
      <c r="C223" s="60" t="s">
        <v>398</v>
      </c>
      <c r="D223" s="60" t="s">
        <v>86</v>
      </c>
      <c r="E223" s="60" t="s">
        <v>451</v>
      </c>
      <c r="F223" s="60" t="s">
        <v>420</v>
      </c>
      <c r="G223" s="59" t="s">
        <v>142</v>
      </c>
      <c r="H223" s="83">
        <v>0.41666666666666669</v>
      </c>
      <c r="I223" s="83">
        <v>0.66666666666666663</v>
      </c>
      <c r="J223" s="63">
        <f>I223-H223</f>
        <v>0.24999999999999994</v>
      </c>
      <c r="K223" s="88" t="s">
        <v>110</v>
      </c>
      <c r="L223" s="135">
        <f>24*J223</f>
        <v>5.9999999999999982</v>
      </c>
      <c r="O223" s="91" t="s">
        <v>820</v>
      </c>
      <c r="P223" s="88">
        <v>5</v>
      </c>
      <c r="Q223" s="60"/>
      <c r="U223" s="60"/>
      <c r="W223" s="60"/>
      <c r="X223" s="86"/>
      <c r="Y223" s="60"/>
      <c r="Z223" s="100"/>
    </row>
    <row r="224" spans="1:26" ht="14.45" customHeight="1" x14ac:dyDescent="0.2">
      <c r="A224" s="99">
        <v>45323</v>
      </c>
      <c r="B224" s="82">
        <v>45350</v>
      </c>
      <c r="C224" s="82" t="s">
        <v>124</v>
      </c>
      <c r="D224" s="60" t="s">
        <v>476</v>
      </c>
      <c r="E224" s="60" t="s">
        <v>477</v>
      </c>
      <c r="F224" s="60" t="s">
        <v>478</v>
      </c>
      <c r="G224" s="72" t="s">
        <v>142</v>
      </c>
      <c r="H224" s="83">
        <v>0.375</v>
      </c>
      <c r="I224" s="83">
        <v>0.66666666666666663</v>
      </c>
      <c r="J224" s="63">
        <v>0.27079999999999999</v>
      </c>
      <c r="K224" s="88" t="s">
        <v>366</v>
      </c>
      <c r="L224" s="135">
        <v>6.5</v>
      </c>
      <c r="N224" s="60"/>
      <c r="O224" s="85" t="s">
        <v>361</v>
      </c>
      <c r="P224" s="88">
        <v>5</v>
      </c>
      <c r="Q224" s="60"/>
      <c r="V224" s="86"/>
      <c r="Z224" s="100"/>
    </row>
    <row r="225" spans="1:26" ht="14.45" customHeight="1" x14ac:dyDescent="0.2">
      <c r="A225" s="99">
        <v>45323</v>
      </c>
      <c r="B225" s="82">
        <v>45351</v>
      </c>
      <c r="C225" s="82" t="s">
        <v>124</v>
      </c>
      <c r="D225" s="60" t="s">
        <v>461</v>
      </c>
      <c r="E225" s="60" t="s">
        <v>525</v>
      </c>
      <c r="F225" s="60" t="s">
        <v>524</v>
      </c>
      <c r="G225" s="72" t="s">
        <v>142</v>
      </c>
      <c r="H225" s="83">
        <v>0.41666666666666669</v>
      </c>
      <c r="I225" s="83">
        <v>0.64583333333333337</v>
      </c>
      <c r="J225" s="63">
        <v>0.27079999999999999</v>
      </c>
      <c r="K225" s="88" t="s">
        <v>110</v>
      </c>
      <c r="L225" s="135">
        <v>6.5</v>
      </c>
      <c r="N225" s="60"/>
      <c r="O225" s="91" t="s">
        <v>820</v>
      </c>
      <c r="P225" s="88">
        <v>5</v>
      </c>
      <c r="Q225" s="60"/>
      <c r="V225" s="86"/>
      <c r="Z225" s="100"/>
    </row>
    <row r="226" spans="1:26" ht="14.45" customHeight="1" x14ac:dyDescent="0.2">
      <c r="A226" s="99">
        <v>45323</v>
      </c>
      <c r="B226" s="82">
        <v>45351</v>
      </c>
      <c r="C226" s="82" t="s">
        <v>124</v>
      </c>
      <c r="D226" s="60" t="s">
        <v>461</v>
      </c>
      <c r="E226" s="60" t="s">
        <v>462</v>
      </c>
      <c r="F226" s="60" t="s">
        <v>508</v>
      </c>
      <c r="G226" s="72" t="s">
        <v>142</v>
      </c>
      <c r="H226" s="83">
        <v>0.39583333333333331</v>
      </c>
      <c r="I226" s="83">
        <v>0.66666666666666663</v>
      </c>
      <c r="J226" s="63">
        <v>0.27079999999999999</v>
      </c>
      <c r="K226" s="60" t="s">
        <v>113</v>
      </c>
      <c r="L226" s="135">
        <v>6.5</v>
      </c>
      <c r="N226" s="60"/>
      <c r="O226" s="91" t="s">
        <v>314</v>
      </c>
      <c r="P226" s="88">
        <v>5</v>
      </c>
      <c r="Q226" s="60"/>
      <c r="V226" s="86"/>
      <c r="Z226" s="100"/>
    </row>
    <row r="227" spans="1:26" ht="14.45" customHeight="1" x14ac:dyDescent="0.2">
      <c r="A227" s="99">
        <v>45352</v>
      </c>
      <c r="B227" s="82">
        <v>45352</v>
      </c>
      <c r="C227" s="88" t="s">
        <v>33</v>
      </c>
      <c r="D227" s="60" t="s">
        <v>476</v>
      </c>
      <c r="E227" s="60" t="s">
        <v>526</v>
      </c>
      <c r="F227" s="60" t="s">
        <v>478</v>
      </c>
      <c r="G227" s="72" t="s">
        <v>142</v>
      </c>
      <c r="H227" s="83">
        <v>0.39583333333333331</v>
      </c>
      <c r="I227" s="83">
        <v>0.70833333333333337</v>
      </c>
      <c r="J227" s="63">
        <v>0.27079999999999999</v>
      </c>
      <c r="K227" s="88" t="s">
        <v>366</v>
      </c>
      <c r="L227" s="135">
        <v>6.5</v>
      </c>
      <c r="N227" s="60"/>
      <c r="O227" s="91" t="s">
        <v>362</v>
      </c>
      <c r="P227" s="88">
        <v>5</v>
      </c>
      <c r="Q227" s="60"/>
      <c r="V227" s="86"/>
      <c r="Z227" s="100"/>
    </row>
    <row r="228" spans="1:26" x14ac:dyDescent="0.2">
      <c r="A228" s="99">
        <v>45352</v>
      </c>
      <c r="B228" s="82">
        <v>45353</v>
      </c>
      <c r="C228" s="88" t="s">
        <v>34</v>
      </c>
      <c r="D228" s="60" t="s">
        <v>313</v>
      </c>
      <c r="E228" s="60" t="s">
        <v>350</v>
      </c>
      <c r="F228" s="60" t="s">
        <v>521</v>
      </c>
      <c r="G228" s="72" t="s">
        <v>142</v>
      </c>
      <c r="H228" s="83">
        <v>0.625</v>
      </c>
      <c r="I228" s="83">
        <v>0.70833333333333337</v>
      </c>
      <c r="J228" s="63">
        <f>I228-H228</f>
        <v>8.333333333333337E-2</v>
      </c>
      <c r="K228" s="88" t="s">
        <v>365</v>
      </c>
      <c r="L228" s="135">
        <f>24*J228</f>
        <v>2.0000000000000009</v>
      </c>
      <c r="M228" s="60"/>
      <c r="N228" s="60"/>
      <c r="O228" s="85" t="s">
        <v>361</v>
      </c>
      <c r="P228" s="88">
        <v>5</v>
      </c>
      <c r="Q228" s="60"/>
      <c r="Z228" s="100"/>
    </row>
    <row r="229" spans="1:26" ht="14.45" customHeight="1" x14ac:dyDescent="0.2">
      <c r="A229" s="99">
        <v>45352</v>
      </c>
      <c r="B229" s="82">
        <v>45353</v>
      </c>
      <c r="C229" s="88" t="s">
        <v>34</v>
      </c>
      <c r="D229" s="60" t="s">
        <v>476</v>
      </c>
      <c r="E229" s="60" t="s">
        <v>477</v>
      </c>
      <c r="F229" s="60" t="s">
        <v>478</v>
      </c>
      <c r="G229" s="72" t="s">
        <v>142</v>
      </c>
      <c r="H229" s="83">
        <v>0.39583333333333331</v>
      </c>
      <c r="I229" s="83">
        <v>0.70833333333333337</v>
      </c>
      <c r="J229" s="63">
        <v>0.27079999999999999</v>
      </c>
      <c r="K229" s="88" t="s">
        <v>366</v>
      </c>
      <c r="L229" s="135">
        <v>6.5</v>
      </c>
      <c r="N229" s="60"/>
      <c r="O229" s="85" t="s">
        <v>361</v>
      </c>
      <c r="P229" s="88">
        <v>5</v>
      </c>
      <c r="Q229" s="60"/>
      <c r="V229" s="86"/>
      <c r="Z229" s="100"/>
    </row>
    <row r="230" spans="1:26" ht="14.45" customHeight="1" x14ac:dyDescent="0.2">
      <c r="A230" s="99">
        <v>45352</v>
      </c>
      <c r="B230" s="82">
        <v>45353</v>
      </c>
      <c r="C230" s="88" t="s">
        <v>34</v>
      </c>
      <c r="D230" s="60" t="s">
        <v>461</v>
      </c>
      <c r="E230" s="60" t="s">
        <v>462</v>
      </c>
      <c r="F230" s="60" t="s">
        <v>508</v>
      </c>
      <c r="G230" s="72" t="s">
        <v>142</v>
      </c>
      <c r="H230" s="83">
        <v>0.39583333333333331</v>
      </c>
      <c r="I230" s="83">
        <v>0.70833333333333337</v>
      </c>
      <c r="J230" s="63">
        <v>0.27079999999999999</v>
      </c>
      <c r="K230" s="60" t="s">
        <v>113</v>
      </c>
      <c r="L230" s="135">
        <v>6.5</v>
      </c>
      <c r="N230" s="60"/>
      <c r="O230" s="91" t="s">
        <v>359</v>
      </c>
      <c r="P230" s="88">
        <v>5</v>
      </c>
      <c r="Q230" s="60"/>
      <c r="V230" s="86"/>
      <c r="Z230" s="100"/>
    </row>
    <row r="231" spans="1:26" ht="14.45" customHeight="1" x14ac:dyDescent="0.2">
      <c r="A231" s="99">
        <v>45352</v>
      </c>
      <c r="B231" s="82">
        <v>45353</v>
      </c>
      <c r="C231" s="88" t="s">
        <v>34</v>
      </c>
      <c r="D231" s="60" t="s">
        <v>481</v>
      </c>
      <c r="E231" s="60" t="s">
        <v>368</v>
      </c>
      <c r="F231" s="60" t="s">
        <v>518</v>
      </c>
      <c r="G231" s="72" t="s">
        <v>142</v>
      </c>
      <c r="H231" s="83">
        <v>0.41666666666666669</v>
      </c>
      <c r="I231" s="83">
        <v>0.70833333333333337</v>
      </c>
      <c r="J231" s="63">
        <v>0.27079999999999999</v>
      </c>
      <c r="K231" s="60" t="s">
        <v>113</v>
      </c>
      <c r="L231" s="135">
        <v>6.5</v>
      </c>
      <c r="N231" s="60"/>
      <c r="O231" s="91" t="s">
        <v>359</v>
      </c>
      <c r="P231" s="88">
        <v>5</v>
      </c>
      <c r="Q231" s="60"/>
      <c r="V231" s="86"/>
      <c r="Z231" s="100"/>
    </row>
    <row r="232" spans="1:26" ht="14.45" customHeight="1" x14ac:dyDescent="0.2">
      <c r="A232" s="99">
        <v>45352</v>
      </c>
      <c r="B232" s="82">
        <v>45353</v>
      </c>
      <c r="C232" s="88" t="s">
        <v>34</v>
      </c>
      <c r="D232" s="60" t="s">
        <v>461</v>
      </c>
      <c r="E232" s="60" t="s">
        <v>525</v>
      </c>
      <c r="F232" s="60" t="s">
        <v>524</v>
      </c>
      <c r="G232" s="72" t="s">
        <v>142</v>
      </c>
      <c r="H232" s="83">
        <v>0.41666666666666669</v>
      </c>
      <c r="I232" s="83">
        <v>0.70833333333333337</v>
      </c>
      <c r="J232" s="63">
        <v>0.27079999999999999</v>
      </c>
      <c r="K232" s="88" t="s">
        <v>110</v>
      </c>
      <c r="L232" s="135">
        <v>6.5</v>
      </c>
      <c r="N232" s="60"/>
      <c r="O232" s="91" t="s">
        <v>820</v>
      </c>
      <c r="P232" s="88">
        <v>4</v>
      </c>
      <c r="Q232" s="60" t="s">
        <v>472</v>
      </c>
      <c r="V232" s="86"/>
      <c r="Z232" s="100"/>
    </row>
    <row r="233" spans="1:26" ht="14.45" customHeight="1" x14ac:dyDescent="0.2">
      <c r="A233" s="99">
        <v>45352</v>
      </c>
      <c r="B233" s="82">
        <v>45354</v>
      </c>
      <c r="C233" s="60" t="s">
        <v>31</v>
      </c>
      <c r="D233" s="60" t="s">
        <v>481</v>
      </c>
      <c r="E233" s="60" t="s">
        <v>527</v>
      </c>
      <c r="F233" s="60" t="s">
        <v>528</v>
      </c>
      <c r="G233" s="72" t="s">
        <v>142</v>
      </c>
      <c r="H233" s="83">
        <v>0.375</v>
      </c>
      <c r="I233" s="83">
        <v>0.70833333333333337</v>
      </c>
      <c r="J233" s="63">
        <v>0.27079999999999999</v>
      </c>
      <c r="K233" s="88" t="s">
        <v>366</v>
      </c>
      <c r="L233" s="135">
        <v>6.5</v>
      </c>
      <c r="N233" s="60"/>
      <c r="O233" s="85" t="s">
        <v>361</v>
      </c>
      <c r="P233" s="88">
        <v>5</v>
      </c>
      <c r="Q233" s="60"/>
      <c r="V233" s="86"/>
      <c r="Z233" s="100"/>
    </row>
    <row r="234" spans="1:26" x14ac:dyDescent="0.2">
      <c r="A234" s="99">
        <v>45352</v>
      </c>
      <c r="B234" s="82">
        <v>45354</v>
      </c>
      <c r="C234" s="60" t="s">
        <v>31</v>
      </c>
      <c r="D234" s="60" t="s">
        <v>830</v>
      </c>
      <c r="E234" s="60" t="s">
        <v>534</v>
      </c>
      <c r="F234" s="60" t="s">
        <v>535</v>
      </c>
      <c r="G234" s="59" t="s">
        <v>142</v>
      </c>
      <c r="H234" s="83">
        <v>0.39583333333333331</v>
      </c>
      <c r="I234" s="83">
        <v>0.70833333333333337</v>
      </c>
      <c r="J234" s="63">
        <f>I234-H234</f>
        <v>0.31250000000000006</v>
      </c>
      <c r="K234" s="88" t="s">
        <v>365</v>
      </c>
      <c r="L234" s="135">
        <f>24*J234</f>
        <v>7.5000000000000018</v>
      </c>
      <c r="O234" s="91" t="s">
        <v>314</v>
      </c>
      <c r="P234" s="88">
        <v>5</v>
      </c>
      <c r="Z234" s="100"/>
    </row>
    <row r="235" spans="1:26" ht="14.45" customHeight="1" x14ac:dyDescent="0.2">
      <c r="A235" s="99">
        <v>45352</v>
      </c>
      <c r="B235" s="82">
        <v>45354</v>
      </c>
      <c r="C235" s="60" t="s">
        <v>31</v>
      </c>
      <c r="D235" s="60" t="s">
        <v>46</v>
      </c>
      <c r="E235" s="60" t="s">
        <v>529</v>
      </c>
      <c r="F235" s="60" t="s">
        <v>530</v>
      </c>
      <c r="G235" s="72" t="s">
        <v>142</v>
      </c>
      <c r="H235" s="83">
        <v>0.375</v>
      </c>
      <c r="I235" s="83">
        <v>0.66666666666666663</v>
      </c>
      <c r="J235" s="63">
        <v>0.27079999999999999</v>
      </c>
      <c r="K235" s="88" t="s">
        <v>366</v>
      </c>
      <c r="L235" s="135">
        <v>6.5</v>
      </c>
      <c r="N235" s="60"/>
      <c r="O235" s="85" t="s">
        <v>361</v>
      </c>
      <c r="P235" s="88">
        <v>5</v>
      </c>
      <c r="Q235" s="60"/>
      <c r="V235" s="86"/>
      <c r="Z235" s="100"/>
    </row>
    <row r="236" spans="1:26" ht="14.45" customHeight="1" x14ac:dyDescent="0.2">
      <c r="A236" s="99">
        <v>45352</v>
      </c>
      <c r="B236" s="82">
        <v>45354</v>
      </c>
      <c r="C236" s="60" t="s">
        <v>31</v>
      </c>
      <c r="D236" s="60" t="s">
        <v>476</v>
      </c>
      <c r="E236" s="60" t="s">
        <v>477</v>
      </c>
      <c r="F236" s="60" t="s">
        <v>531</v>
      </c>
      <c r="G236" s="72" t="s">
        <v>142</v>
      </c>
      <c r="H236" s="83">
        <v>0.375</v>
      </c>
      <c r="I236" s="83">
        <v>0.66666666666666663</v>
      </c>
      <c r="J236" s="63">
        <v>0.27079999999999999</v>
      </c>
      <c r="K236" s="88" t="s">
        <v>366</v>
      </c>
      <c r="L236" s="135">
        <v>6.5</v>
      </c>
      <c r="N236" s="60"/>
      <c r="O236" s="85" t="s">
        <v>361</v>
      </c>
      <c r="P236" s="88">
        <v>5</v>
      </c>
      <c r="Q236" s="60"/>
      <c r="V236" s="86"/>
      <c r="Z236" s="100"/>
    </row>
    <row r="237" spans="1:26" ht="14.45" customHeight="1" x14ac:dyDescent="0.2">
      <c r="A237" s="99">
        <v>45352</v>
      </c>
      <c r="B237" s="82">
        <v>45354</v>
      </c>
      <c r="C237" s="60" t="s">
        <v>31</v>
      </c>
      <c r="D237" s="60" t="s">
        <v>481</v>
      </c>
      <c r="E237" s="60" t="s">
        <v>368</v>
      </c>
      <c r="F237" s="60" t="s">
        <v>518</v>
      </c>
      <c r="G237" s="72" t="s">
        <v>142</v>
      </c>
      <c r="H237" s="83">
        <v>0.47916666666666669</v>
      </c>
      <c r="I237" s="83">
        <v>0.70833333333333337</v>
      </c>
      <c r="J237" s="63">
        <v>0.27079999999999999</v>
      </c>
      <c r="K237" s="60" t="s">
        <v>113</v>
      </c>
      <c r="L237" s="135">
        <v>6.5</v>
      </c>
      <c r="N237" s="60"/>
      <c r="O237" s="91" t="s">
        <v>359</v>
      </c>
      <c r="P237" s="88">
        <v>5</v>
      </c>
      <c r="Q237" s="60"/>
      <c r="V237" s="86"/>
      <c r="Z237" s="100"/>
    </row>
    <row r="238" spans="1:26" x14ac:dyDescent="0.2">
      <c r="A238" s="99">
        <v>45352</v>
      </c>
      <c r="B238" s="82">
        <v>45354</v>
      </c>
      <c r="C238" s="60" t="s">
        <v>31</v>
      </c>
      <c r="D238" s="60" t="s">
        <v>86</v>
      </c>
      <c r="E238" s="60" t="s">
        <v>451</v>
      </c>
      <c r="F238" s="60" t="s">
        <v>420</v>
      </c>
      <c r="G238" s="59" t="s">
        <v>142</v>
      </c>
      <c r="H238" s="83">
        <v>0.4375</v>
      </c>
      <c r="I238" s="83">
        <v>0.72916666666666663</v>
      </c>
      <c r="J238" s="63">
        <f>I238-H238</f>
        <v>0.29166666666666663</v>
      </c>
      <c r="K238" s="88" t="s">
        <v>110</v>
      </c>
      <c r="L238" s="135">
        <f>24*J238</f>
        <v>6.9999999999999991</v>
      </c>
      <c r="O238" s="91" t="s">
        <v>820</v>
      </c>
      <c r="P238" s="88">
        <v>5</v>
      </c>
      <c r="Q238" s="60"/>
      <c r="U238" s="60"/>
      <c r="W238" s="60"/>
      <c r="X238" s="86"/>
      <c r="Y238" s="60"/>
      <c r="Z238" s="100"/>
    </row>
    <row r="239" spans="1:26" ht="14.45" customHeight="1" x14ac:dyDescent="0.2">
      <c r="A239" s="99">
        <v>45352</v>
      </c>
      <c r="B239" s="82">
        <v>45354</v>
      </c>
      <c r="C239" s="60" t="s">
        <v>31</v>
      </c>
      <c r="D239" s="60" t="s">
        <v>461</v>
      </c>
      <c r="E239" s="60" t="s">
        <v>462</v>
      </c>
      <c r="F239" s="60" t="s">
        <v>508</v>
      </c>
      <c r="G239" s="72" t="s">
        <v>142</v>
      </c>
      <c r="H239" s="83">
        <v>0.39583333333333331</v>
      </c>
      <c r="I239" s="83">
        <v>0.70833333333333337</v>
      </c>
      <c r="J239" s="63">
        <v>0.27079999999999999</v>
      </c>
      <c r="K239" s="60" t="s">
        <v>113</v>
      </c>
      <c r="L239" s="135">
        <v>6.5</v>
      </c>
      <c r="N239" s="60"/>
      <c r="O239" s="91" t="s">
        <v>359</v>
      </c>
      <c r="P239" s="88">
        <v>5</v>
      </c>
      <c r="Q239" s="60"/>
      <c r="V239" s="86"/>
      <c r="Z239" s="100"/>
    </row>
    <row r="240" spans="1:26" ht="14.45" customHeight="1" x14ac:dyDescent="0.2">
      <c r="A240" s="99">
        <v>45352</v>
      </c>
      <c r="B240" s="82">
        <v>45355</v>
      </c>
      <c r="C240" s="88" t="s">
        <v>45</v>
      </c>
      <c r="D240" s="60" t="s">
        <v>481</v>
      </c>
      <c r="E240" s="60" t="s">
        <v>368</v>
      </c>
      <c r="F240" s="60" t="s">
        <v>518</v>
      </c>
      <c r="G240" s="72" t="s">
        <v>142</v>
      </c>
      <c r="H240" s="83">
        <v>0.47916666666666669</v>
      </c>
      <c r="I240" s="83">
        <v>0.70833333333333337</v>
      </c>
      <c r="J240" s="63">
        <v>0.27079999999999999</v>
      </c>
      <c r="K240" s="60" t="s">
        <v>113</v>
      </c>
      <c r="L240" s="135">
        <v>6.5</v>
      </c>
      <c r="N240" s="60"/>
      <c r="O240" s="91" t="s">
        <v>359</v>
      </c>
      <c r="P240" s="88">
        <v>5</v>
      </c>
      <c r="Q240" s="60"/>
      <c r="V240" s="86"/>
      <c r="Z240" s="100"/>
    </row>
    <row r="241" spans="1:26" ht="14.45" customHeight="1" x14ac:dyDescent="0.2">
      <c r="A241" s="99">
        <v>45352</v>
      </c>
      <c r="B241" s="82">
        <v>45355</v>
      </c>
      <c r="C241" s="88" t="s">
        <v>45</v>
      </c>
      <c r="D241" s="60" t="s">
        <v>46</v>
      </c>
      <c r="E241" s="60" t="s">
        <v>529</v>
      </c>
      <c r="F241" s="60" t="s">
        <v>530</v>
      </c>
      <c r="G241" s="72" t="s">
        <v>142</v>
      </c>
      <c r="H241" s="83">
        <v>0.375</v>
      </c>
      <c r="I241" s="83">
        <v>0.66666666666666663</v>
      </c>
      <c r="J241" s="63">
        <v>0.27079999999999999</v>
      </c>
      <c r="K241" s="88" t="s">
        <v>366</v>
      </c>
      <c r="L241" s="135">
        <v>6.5</v>
      </c>
      <c r="N241" s="60"/>
      <c r="O241" s="85" t="s">
        <v>361</v>
      </c>
      <c r="P241" s="88">
        <v>5</v>
      </c>
      <c r="Q241" s="60"/>
      <c r="V241" s="86"/>
      <c r="Z241" s="100"/>
    </row>
    <row r="242" spans="1:26" ht="14.45" customHeight="1" x14ac:dyDescent="0.2">
      <c r="A242" s="99">
        <v>45352</v>
      </c>
      <c r="B242" s="82">
        <v>45355</v>
      </c>
      <c r="C242" s="88" t="s">
        <v>45</v>
      </c>
      <c r="D242" s="60" t="s">
        <v>476</v>
      </c>
      <c r="E242" s="60" t="s">
        <v>477</v>
      </c>
      <c r="F242" s="60" t="s">
        <v>531</v>
      </c>
      <c r="G242" s="72" t="s">
        <v>142</v>
      </c>
      <c r="H242" s="83">
        <v>0.375</v>
      </c>
      <c r="I242" s="83">
        <v>0.66666666666666663</v>
      </c>
      <c r="J242" s="63">
        <v>0.27079999999999999</v>
      </c>
      <c r="K242" s="88" t="s">
        <v>366</v>
      </c>
      <c r="L242" s="135">
        <v>6.5</v>
      </c>
      <c r="N242" s="60"/>
      <c r="O242" s="85" t="s">
        <v>361</v>
      </c>
      <c r="P242" s="88">
        <v>4</v>
      </c>
      <c r="Q242" s="60" t="s">
        <v>334</v>
      </c>
      <c r="V242" s="86"/>
      <c r="Z242" s="100"/>
    </row>
    <row r="243" spans="1:26" x14ac:dyDescent="0.2">
      <c r="A243" s="99">
        <v>45352</v>
      </c>
      <c r="B243" s="82">
        <v>45355</v>
      </c>
      <c r="C243" s="88" t="s">
        <v>45</v>
      </c>
      <c r="D243" s="60" t="s">
        <v>98</v>
      </c>
      <c r="E243" s="60" t="s">
        <v>532</v>
      </c>
      <c r="F243" s="60" t="s">
        <v>533</v>
      </c>
      <c r="G243" s="59" t="s">
        <v>142</v>
      </c>
      <c r="H243" s="83">
        <v>0.375</v>
      </c>
      <c r="I243" s="83">
        <v>0.66666666666666663</v>
      </c>
      <c r="J243" s="63">
        <f>I243-H243</f>
        <v>0.29166666666666663</v>
      </c>
      <c r="K243" s="88" t="s">
        <v>365</v>
      </c>
      <c r="L243" s="134">
        <v>0.99999999999999911</v>
      </c>
      <c r="O243" s="91" t="s">
        <v>360</v>
      </c>
      <c r="P243" s="88">
        <v>5</v>
      </c>
      <c r="Z243" s="100"/>
    </row>
    <row r="244" spans="1:26" ht="14.45" customHeight="1" x14ac:dyDescent="0.2">
      <c r="A244" s="99">
        <v>45352</v>
      </c>
      <c r="B244" s="82">
        <v>45355</v>
      </c>
      <c r="C244" s="88" t="s">
        <v>45</v>
      </c>
      <c r="D244" s="60" t="s">
        <v>461</v>
      </c>
      <c r="E244" s="60" t="s">
        <v>462</v>
      </c>
      <c r="F244" s="60" t="s">
        <v>508</v>
      </c>
      <c r="G244" s="72" t="s">
        <v>142</v>
      </c>
      <c r="H244" s="83">
        <v>0.39583333333333331</v>
      </c>
      <c r="I244" s="83">
        <v>0.70833333333333337</v>
      </c>
      <c r="J244" s="63">
        <v>0.27079999999999999</v>
      </c>
      <c r="K244" s="60" t="s">
        <v>113</v>
      </c>
      <c r="L244" s="135">
        <v>6.5</v>
      </c>
      <c r="N244" s="60"/>
      <c r="O244" s="91" t="s">
        <v>359</v>
      </c>
      <c r="P244" s="88">
        <v>5</v>
      </c>
      <c r="Q244" s="60"/>
      <c r="V244" s="86"/>
      <c r="Z244" s="100"/>
    </row>
    <row r="245" spans="1:26" x14ac:dyDescent="0.2">
      <c r="A245" s="99">
        <v>45352</v>
      </c>
      <c r="B245" s="82">
        <v>45355</v>
      </c>
      <c r="C245" s="88" t="s">
        <v>45</v>
      </c>
      <c r="D245" s="60" t="s">
        <v>830</v>
      </c>
      <c r="E245" s="60" t="s">
        <v>534</v>
      </c>
      <c r="F245" s="60" t="s">
        <v>535</v>
      </c>
      <c r="G245" s="59" t="s">
        <v>142</v>
      </c>
      <c r="H245" s="83">
        <v>0.39583333333333331</v>
      </c>
      <c r="I245" s="83">
        <v>0.70833333333333337</v>
      </c>
      <c r="J245" s="63">
        <f>I245-H245</f>
        <v>0.31250000000000006</v>
      </c>
      <c r="K245" s="88" t="s">
        <v>365</v>
      </c>
      <c r="L245" s="135">
        <f>24*J245</f>
        <v>7.5000000000000018</v>
      </c>
      <c r="O245" s="91" t="s">
        <v>314</v>
      </c>
      <c r="P245" s="88">
        <v>5</v>
      </c>
      <c r="Z245" s="100"/>
    </row>
    <row r="246" spans="1:26" ht="14.45" customHeight="1" x14ac:dyDescent="0.2">
      <c r="A246" s="99">
        <v>45352</v>
      </c>
      <c r="B246" s="82">
        <v>45356</v>
      </c>
      <c r="C246" s="88" t="s">
        <v>106</v>
      </c>
      <c r="D246" s="60" t="s">
        <v>461</v>
      </c>
      <c r="E246" s="60" t="s">
        <v>462</v>
      </c>
      <c r="F246" s="60" t="s">
        <v>508</v>
      </c>
      <c r="G246" s="72" t="s">
        <v>142</v>
      </c>
      <c r="H246" s="83">
        <v>0.39583333333333331</v>
      </c>
      <c r="I246" s="83">
        <v>0.70833333333333337</v>
      </c>
      <c r="J246" s="63">
        <v>0.27079999999999999</v>
      </c>
      <c r="K246" s="60" t="s">
        <v>113</v>
      </c>
      <c r="L246" s="135">
        <v>6.5</v>
      </c>
      <c r="N246" s="60"/>
      <c r="O246" s="91" t="s">
        <v>359</v>
      </c>
      <c r="P246" s="88">
        <v>5</v>
      </c>
      <c r="Q246" s="60"/>
      <c r="V246" s="86"/>
      <c r="Z246" s="100"/>
    </row>
    <row r="247" spans="1:26" x14ac:dyDescent="0.2">
      <c r="A247" s="99">
        <v>45352</v>
      </c>
      <c r="B247" s="82">
        <v>45356</v>
      </c>
      <c r="C247" s="88" t="s">
        <v>106</v>
      </c>
      <c r="D247" s="60" t="s">
        <v>830</v>
      </c>
      <c r="E247" s="60" t="s">
        <v>470</v>
      </c>
      <c r="F247" s="60" t="s">
        <v>536</v>
      </c>
      <c r="G247" s="59" t="s">
        <v>142</v>
      </c>
      <c r="H247" s="83">
        <v>0.52083333333333337</v>
      </c>
      <c r="I247" s="83">
        <v>0.58333333333333337</v>
      </c>
      <c r="J247" s="63">
        <f>I247-H247</f>
        <v>6.25E-2</v>
      </c>
      <c r="K247" s="60" t="s">
        <v>365</v>
      </c>
      <c r="L247" s="135">
        <f>24*J247</f>
        <v>1.5</v>
      </c>
      <c r="O247" s="91" t="s">
        <v>359</v>
      </c>
      <c r="P247" s="88">
        <v>5</v>
      </c>
      <c r="Z247" s="100"/>
    </row>
    <row r="248" spans="1:26" x14ac:dyDescent="0.2">
      <c r="A248" s="99">
        <v>45352</v>
      </c>
      <c r="B248" s="82">
        <v>45356</v>
      </c>
      <c r="C248" s="88" t="s">
        <v>106</v>
      </c>
      <c r="D248" s="60" t="s">
        <v>830</v>
      </c>
      <c r="E248" s="60" t="s">
        <v>534</v>
      </c>
      <c r="F248" s="60" t="s">
        <v>535</v>
      </c>
      <c r="G248" s="59" t="s">
        <v>142</v>
      </c>
      <c r="H248" s="83">
        <v>0.39583333333333331</v>
      </c>
      <c r="I248" s="83">
        <v>0.70833333333333337</v>
      </c>
      <c r="J248" s="63">
        <f>I248-H248</f>
        <v>0.31250000000000006</v>
      </c>
      <c r="K248" s="88" t="s">
        <v>365</v>
      </c>
      <c r="L248" s="135">
        <f>24*J248</f>
        <v>7.5000000000000018</v>
      </c>
      <c r="O248" s="91" t="s">
        <v>314</v>
      </c>
      <c r="P248" s="88">
        <v>5</v>
      </c>
      <c r="Z248" s="100"/>
    </row>
    <row r="249" spans="1:26" x14ac:dyDescent="0.2">
      <c r="A249" s="99">
        <v>45352</v>
      </c>
      <c r="B249" s="82">
        <v>45356</v>
      </c>
      <c r="C249" s="88" t="s">
        <v>106</v>
      </c>
      <c r="D249" s="60" t="s">
        <v>98</v>
      </c>
      <c r="E249" s="60" t="s">
        <v>537</v>
      </c>
      <c r="F249" s="60" t="s">
        <v>538</v>
      </c>
      <c r="G249" s="59" t="s">
        <v>142</v>
      </c>
      <c r="H249" s="83">
        <v>0.41666666666666669</v>
      </c>
      <c r="I249" s="83">
        <v>0.89583333333333337</v>
      </c>
      <c r="J249" s="63">
        <f>I249-H249</f>
        <v>0.47916666666666669</v>
      </c>
      <c r="K249" s="88" t="s">
        <v>365</v>
      </c>
      <c r="L249" s="134">
        <v>0.99999999999999911</v>
      </c>
      <c r="O249" s="91" t="s">
        <v>539</v>
      </c>
      <c r="P249" s="88">
        <v>4</v>
      </c>
      <c r="Q249" s="60" t="s">
        <v>433</v>
      </c>
      <c r="Z249" s="100"/>
    </row>
    <row r="250" spans="1:26" x14ac:dyDescent="0.2">
      <c r="A250" s="99">
        <v>45352</v>
      </c>
      <c r="B250" s="82">
        <v>45356</v>
      </c>
      <c r="C250" s="88" t="s">
        <v>106</v>
      </c>
      <c r="D250" s="60" t="s">
        <v>86</v>
      </c>
      <c r="E250" s="60" t="s">
        <v>451</v>
      </c>
      <c r="F250" s="60" t="s">
        <v>420</v>
      </c>
      <c r="G250" s="59" t="s">
        <v>142</v>
      </c>
      <c r="H250" s="83">
        <v>0.4375</v>
      </c>
      <c r="I250" s="83">
        <v>0.72916666666666663</v>
      </c>
      <c r="J250" s="63">
        <f>I250-H250</f>
        <v>0.29166666666666663</v>
      </c>
      <c r="K250" s="88" t="s">
        <v>110</v>
      </c>
      <c r="L250" s="135">
        <f>24*J250</f>
        <v>6.9999999999999991</v>
      </c>
      <c r="O250" s="91" t="s">
        <v>820</v>
      </c>
      <c r="P250" s="88">
        <v>5</v>
      </c>
      <c r="Q250" s="60"/>
      <c r="U250" s="60"/>
      <c r="W250" s="60"/>
      <c r="X250" s="86"/>
      <c r="Y250" s="60"/>
      <c r="Z250" s="100"/>
    </row>
    <row r="251" spans="1:26" ht="14.45" customHeight="1" x14ac:dyDescent="0.2">
      <c r="A251" s="99">
        <v>45352</v>
      </c>
      <c r="B251" s="82">
        <v>45356</v>
      </c>
      <c r="C251" s="88" t="s">
        <v>106</v>
      </c>
      <c r="D251" s="60" t="s">
        <v>461</v>
      </c>
      <c r="E251" s="60" t="s">
        <v>525</v>
      </c>
      <c r="F251" s="60" t="s">
        <v>540</v>
      </c>
      <c r="G251" s="72" t="s">
        <v>142</v>
      </c>
      <c r="H251" s="83">
        <v>0</v>
      </c>
      <c r="I251" s="83">
        <v>0.64583333333333337</v>
      </c>
      <c r="J251" s="63">
        <v>0.27079999999999999</v>
      </c>
      <c r="K251" s="88" t="s">
        <v>110</v>
      </c>
      <c r="L251" s="135">
        <v>6.5</v>
      </c>
      <c r="N251" s="60"/>
      <c r="O251" s="91" t="s">
        <v>820</v>
      </c>
      <c r="P251" s="88">
        <v>4</v>
      </c>
      <c r="Q251" s="60" t="s">
        <v>472</v>
      </c>
      <c r="V251" s="86"/>
      <c r="Z251" s="100"/>
    </row>
    <row r="252" spans="1:26" x14ac:dyDescent="0.2">
      <c r="A252" s="99">
        <v>45352</v>
      </c>
      <c r="B252" s="82">
        <v>45356</v>
      </c>
      <c r="C252" s="88" t="s">
        <v>106</v>
      </c>
      <c r="D252" s="60" t="s">
        <v>830</v>
      </c>
      <c r="E252" s="60" t="s">
        <v>470</v>
      </c>
      <c r="F252" s="60" t="s">
        <v>536</v>
      </c>
      <c r="G252" s="59" t="s">
        <v>142</v>
      </c>
      <c r="H252" s="83">
        <v>0.41666666666666669</v>
      </c>
      <c r="I252" s="83">
        <v>0.4375</v>
      </c>
      <c r="J252" s="63">
        <f>I252-H252</f>
        <v>2.0833333333333315E-2</v>
      </c>
      <c r="K252" s="88" t="s">
        <v>365</v>
      </c>
      <c r="L252" s="135">
        <f>24*J252</f>
        <v>0.49999999999999956</v>
      </c>
      <c r="O252" s="91" t="s">
        <v>820</v>
      </c>
      <c r="P252" s="88">
        <v>5</v>
      </c>
      <c r="Z252" s="100"/>
    </row>
    <row r="253" spans="1:26" ht="14.45" customHeight="1" x14ac:dyDescent="0.2">
      <c r="A253" s="99">
        <v>45323</v>
      </c>
      <c r="B253" s="82">
        <v>45357</v>
      </c>
      <c r="C253" s="60" t="s">
        <v>398</v>
      </c>
      <c r="D253" s="60" t="s">
        <v>32</v>
      </c>
      <c r="E253" s="60" t="s">
        <v>541</v>
      </c>
      <c r="F253" s="60" t="s">
        <v>542</v>
      </c>
      <c r="G253" s="72" t="s">
        <v>142</v>
      </c>
      <c r="H253" s="83">
        <v>0.64583333333333337</v>
      </c>
      <c r="I253" s="83">
        <v>0.66666666666666663</v>
      </c>
      <c r="J253" s="63">
        <v>0.27079999999999999</v>
      </c>
      <c r="K253" s="60" t="s">
        <v>110</v>
      </c>
      <c r="L253" s="135">
        <v>6.5</v>
      </c>
      <c r="N253" s="60"/>
      <c r="O253" s="91" t="s">
        <v>359</v>
      </c>
      <c r="P253" s="88">
        <v>5</v>
      </c>
      <c r="Q253" s="60"/>
      <c r="V253" s="86"/>
      <c r="Z253" s="100"/>
    </row>
    <row r="254" spans="1:26" ht="14.45" customHeight="1" x14ac:dyDescent="0.2">
      <c r="A254" s="99">
        <v>45352</v>
      </c>
      <c r="B254" s="82">
        <v>45357</v>
      </c>
      <c r="C254" s="60" t="s">
        <v>398</v>
      </c>
      <c r="D254" s="60" t="s">
        <v>461</v>
      </c>
      <c r="E254" s="60" t="s">
        <v>525</v>
      </c>
      <c r="F254" s="60" t="s">
        <v>540</v>
      </c>
      <c r="G254" s="72" t="s">
        <v>142</v>
      </c>
      <c r="H254" s="83">
        <v>0.41666666666666669</v>
      </c>
      <c r="I254" s="83">
        <v>0.625</v>
      </c>
      <c r="J254" s="63">
        <v>0.27079999999999999</v>
      </c>
      <c r="K254" s="88" t="s">
        <v>365</v>
      </c>
      <c r="L254" s="135">
        <v>6.5</v>
      </c>
      <c r="N254" s="60"/>
      <c r="O254" s="91" t="s">
        <v>820</v>
      </c>
      <c r="P254" s="88">
        <v>5</v>
      </c>
      <c r="Q254" s="60"/>
      <c r="V254" s="86"/>
      <c r="Z254" s="100"/>
    </row>
    <row r="255" spans="1:26" x14ac:dyDescent="0.2">
      <c r="A255" s="99">
        <v>45352</v>
      </c>
      <c r="B255" s="82">
        <v>45357</v>
      </c>
      <c r="C255" s="60" t="s">
        <v>398</v>
      </c>
      <c r="D255" s="60" t="s">
        <v>86</v>
      </c>
      <c r="E255" s="60" t="s">
        <v>451</v>
      </c>
      <c r="F255" s="60" t="s">
        <v>420</v>
      </c>
      <c r="G255" s="59" t="s">
        <v>142</v>
      </c>
      <c r="H255" s="83">
        <v>0.41666666666666669</v>
      </c>
      <c r="I255" s="83">
        <v>0.72916666666666663</v>
      </c>
      <c r="J255" s="63">
        <f>I255-H255</f>
        <v>0.31249999999999994</v>
      </c>
      <c r="K255" s="88" t="s">
        <v>110</v>
      </c>
      <c r="L255" s="135">
        <f>24*J255</f>
        <v>7.4999999999999982</v>
      </c>
      <c r="O255" s="91" t="s">
        <v>820</v>
      </c>
      <c r="P255" s="88">
        <v>5</v>
      </c>
      <c r="Q255" s="60"/>
      <c r="U255" s="60"/>
      <c r="W255" s="60"/>
      <c r="X255" s="86"/>
      <c r="Y255" s="60"/>
      <c r="Z255" s="100"/>
    </row>
    <row r="256" spans="1:26" x14ac:dyDescent="0.2">
      <c r="A256" s="99">
        <v>45352</v>
      </c>
      <c r="B256" s="82">
        <v>45357</v>
      </c>
      <c r="C256" s="60" t="s">
        <v>398</v>
      </c>
      <c r="D256" s="60" t="s">
        <v>98</v>
      </c>
      <c r="E256" s="60" t="s">
        <v>543</v>
      </c>
      <c r="F256" s="60" t="s">
        <v>544</v>
      </c>
      <c r="G256" s="59" t="s">
        <v>142</v>
      </c>
      <c r="H256" s="83">
        <v>0.4375</v>
      </c>
      <c r="I256" s="83">
        <v>0.64583333333333337</v>
      </c>
      <c r="J256" s="63">
        <f>I256-H256</f>
        <v>0.20833333333333337</v>
      </c>
      <c r="K256" s="60" t="s">
        <v>365</v>
      </c>
      <c r="L256" s="134">
        <v>0.99999999999999911</v>
      </c>
      <c r="O256" s="91" t="s">
        <v>359</v>
      </c>
      <c r="P256" s="88">
        <v>4</v>
      </c>
      <c r="Q256" s="60" t="s">
        <v>472</v>
      </c>
      <c r="Z256" s="100"/>
    </row>
    <row r="257" spans="1:26" ht="14.45" customHeight="1" x14ac:dyDescent="0.2">
      <c r="A257" s="99">
        <v>45352</v>
      </c>
      <c r="B257" s="82">
        <v>45357</v>
      </c>
      <c r="C257" s="60" t="s">
        <v>398</v>
      </c>
      <c r="D257" s="60" t="s">
        <v>461</v>
      </c>
      <c r="E257" s="60" t="s">
        <v>462</v>
      </c>
      <c r="F257" s="60" t="s">
        <v>508</v>
      </c>
      <c r="G257" s="72" t="s">
        <v>142</v>
      </c>
      <c r="H257" s="83">
        <v>0.39583333333333331</v>
      </c>
      <c r="I257" s="83">
        <v>0.70833333333333337</v>
      </c>
      <c r="J257" s="63">
        <v>0.27079999999999999</v>
      </c>
      <c r="K257" s="60" t="s">
        <v>113</v>
      </c>
      <c r="L257" s="135">
        <v>6.5</v>
      </c>
      <c r="N257" s="60"/>
      <c r="O257" s="91" t="s">
        <v>359</v>
      </c>
      <c r="P257" s="88">
        <v>5</v>
      </c>
      <c r="Q257" s="60"/>
      <c r="V257" s="86"/>
      <c r="Z257" s="100"/>
    </row>
    <row r="258" spans="1:26" x14ac:dyDescent="0.2">
      <c r="A258" s="99">
        <v>45352</v>
      </c>
      <c r="B258" s="82">
        <v>45357</v>
      </c>
      <c r="C258" s="60" t="s">
        <v>398</v>
      </c>
      <c r="D258" s="60" t="s">
        <v>830</v>
      </c>
      <c r="E258" s="60" t="s">
        <v>534</v>
      </c>
      <c r="F258" s="60" t="s">
        <v>535</v>
      </c>
      <c r="G258" s="59" t="s">
        <v>142</v>
      </c>
      <c r="H258" s="83">
        <v>0.41666666666666669</v>
      </c>
      <c r="I258" s="83">
        <v>0.75</v>
      </c>
      <c r="J258" s="63">
        <f>I258-H258</f>
        <v>0.33333333333333331</v>
      </c>
      <c r="K258" s="88" t="s">
        <v>365</v>
      </c>
      <c r="L258" s="135">
        <f>24*J258</f>
        <v>8</v>
      </c>
      <c r="O258" s="91" t="s">
        <v>314</v>
      </c>
      <c r="P258" s="88">
        <v>5</v>
      </c>
      <c r="Z258" s="100"/>
    </row>
    <row r="259" spans="1:26" ht="14.45" customHeight="1" x14ac:dyDescent="0.2">
      <c r="A259" s="99">
        <v>45352</v>
      </c>
      <c r="B259" s="82">
        <v>45357</v>
      </c>
      <c r="C259" s="60" t="s">
        <v>398</v>
      </c>
      <c r="D259" s="60" t="s">
        <v>481</v>
      </c>
      <c r="E259" s="60" t="s">
        <v>368</v>
      </c>
      <c r="F259" s="60" t="s">
        <v>545</v>
      </c>
      <c r="G259" s="72" t="s">
        <v>142</v>
      </c>
      <c r="H259" s="83">
        <v>0.41666666666666669</v>
      </c>
      <c r="I259" s="83">
        <v>0.70833333333333337</v>
      </c>
      <c r="J259" s="63">
        <v>0.27079999999999999</v>
      </c>
      <c r="K259" s="60" t="s">
        <v>113</v>
      </c>
      <c r="L259" s="135">
        <v>6.5</v>
      </c>
      <c r="N259" s="60"/>
      <c r="O259" s="91" t="s">
        <v>359</v>
      </c>
      <c r="P259" s="88">
        <v>5</v>
      </c>
      <c r="Q259" s="60"/>
      <c r="V259" s="86"/>
      <c r="Z259" s="100"/>
    </row>
    <row r="260" spans="1:26" x14ac:dyDescent="0.2">
      <c r="A260" s="99">
        <v>45352</v>
      </c>
      <c r="B260" s="82">
        <v>45358</v>
      </c>
      <c r="C260" s="82" t="s">
        <v>124</v>
      </c>
      <c r="D260" s="60" t="s">
        <v>86</v>
      </c>
      <c r="E260" s="60" t="s">
        <v>451</v>
      </c>
      <c r="F260" s="60" t="s">
        <v>420</v>
      </c>
      <c r="G260" s="59" t="s">
        <v>142</v>
      </c>
      <c r="H260" s="83">
        <v>0.41666666666666669</v>
      </c>
      <c r="I260" s="83">
        <v>0.70833333333333337</v>
      </c>
      <c r="J260" s="63">
        <f>I260-H260</f>
        <v>0.29166666666666669</v>
      </c>
      <c r="K260" s="88" t="s">
        <v>365</v>
      </c>
      <c r="L260" s="135">
        <f>24*J260</f>
        <v>7</v>
      </c>
      <c r="O260" s="91" t="s">
        <v>820</v>
      </c>
      <c r="P260" s="88">
        <v>5</v>
      </c>
      <c r="Q260" s="60"/>
      <c r="U260" s="60"/>
      <c r="W260" s="60"/>
      <c r="X260" s="86"/>
      <c r="Y260" s="60"/>
      <c r="Z260" s="100"/>
    </row>
    <row r="261" spans="1:26" ht="14.45" customHeight="1" x14ac:dyDescent="0.2">
      <c r="A261" s="99">
        <v>45352</v>
      </c>
      <c r="B261" s="82">
        <v>45358</v>
      </c>
      <c r="C261" s="82" t="s">
        <v>124</v>
      </c>
      <c r="D261" s="60" t="s">
        <v>461</v>
      </c>
      <c r="E261" s="60" t="s">
        <v>462</v>
      </c>
      <c r="F261" s="60" t="s">
        <v>508</v>
      </c>
      <c r="G261" s="72" t="s">
        <v>142</v>
      </c>
      <c r="H261" s="83">
        <v>0.39583333333333331</v>
      </c>
      <c r="I261" s="83">
        <v>0.70833333333333337</v>
      </c>
      <c r="J261" s="63">
        <v>0.27079999999999999</v>
      </c>
      <c r="K261" s="60" t="s">
        <v>113</v>
      </c>
      <c r="L261" s="135">
        <v>6.5</v>
      </c>
      <c r="N261" s="60"/>
      <c r="O261" s="91" t="s">
        <v>359</v>
      </c>
      <c r="P261" s="88">
        <v>5</v>
      </c>
      <c r="Q261" s="60"/>
      <c r="V261" s="86"/>
      <c r="Z261" s="100"/>
    </row>
    <row r="262" spans="1:26" x14ac:dyDescent="0.2">
      <c r="A262" s="99">
        <v>45352</v>
      </c>
      <c r="B262" s="82">
        <v>45358</v>
      </c>
      <c r="C262" s="82" t="s">
        <v>124</v>
      </c>
      <c r="D262" s="60" t="s">
        <v>98</v>
      </c>
      <c r="E262" s="60" t="s">
        <v>546</v>
      </c>
      <c r="F262" s="60" t="s">
        <v>538</v>
      </c>
      <c r="G262" s="59" t="s">
        <v>142</v>
      </c>
      <c r="H262" s="83">
        <v>0.41666666666666669</v>
      </c>
      <c r="I262" s="83">
        <v>0.89583333333333337</v>
      </c>
      <c r="J262" s="63">
        <f>I262-H262</f>
        <v>0.47916666666666669</v>
      </c>
      <c r="K262" s="88" t="s">
        <v>365</v>
      </c>
      <c r="L262" s="134">
        <v>0.99999999999999911</v>
      </c>
      <c r="O262" s="91" t="s">
        <v>539</v>
      </c>
      <c r="P262" s="88">
        <v>5</v>
      </c>
      <c r="Q262" s="60"/>
      <c r="Z262" s="100"/>
    </row>
    <row r="263" spans="1:26" x14ac:dyDescent="0.2">
      <c r="A263" s="99">
        <v>45352</v>
      </c>
      <c r="B263" s="82">
        <v>45358</v>
      </c>
      <c r="C263" s="82" t="s">
        <v>124</v>
      </c>
      <c r="D263" s="60" t="s">
        <v>830</v>
      </c>
      <c r="E263" s="60" t="s">
        <v>534</v>
      </c>
      <c r="F263" s="60" t="s">
        <v>535</v>
      </c>
      <c r="G263" s="59" t="s">
        <v>142</v>
      </c>
      <c r="H263" s="83">
        <v>0.41666666666666669</v>
      </c>
      <c r="I263" s="83">
        <v>0.70833333333333337</v>
      </c>
      <c r="J263" s="63">
        <f>I263-H263</f>
        <v>0.29166666666666669</v>
      </c>
      <c r="K263" s="88" t="s">
        <v>365</v>
      </c>
      <c r="L263" s="135">
        <f>24*J263</f>
        <v>7</v>
      </c>
      <c r="O263" s="91" t="s">
        <v>360</v>
      </c>
      <c r="P263" s="88">
        <v>5</v>
      </c>
      <c r="Z263" s="100"/>
    </row>
    <row r="264" spans="1:26" ht="14.45" customHeight="1" x14ac:dyDescent="0.2">
      <c r="A264" s="99">
        <v>45352</v>
      </c>
      <c r="B264" s="82">
        <v>45358</v>
      </c>
      <c r="C264" s="82" t="s">
        <v>124</v>
      </c>
      <c r="D264" s="60" t="s">
        <v>481</v>
      </c>
      <c r="E264" s="60" t="s">
        <v>547</v>
      </c>
      <c r="F264" s="60" t="s">
        <v>548</v>
      </c>
      <c r="G264" s="72" t="s">
        <v>142</v>
      </c>
      <c r="H264" s="83">
        <v>0.375</v>
      </c>
      <c r="I264" s="83">
        <v>0.66666666666666663</v>
      </c>
      <c r="J264" s="63">
        <v>0.27079999999999999</v>
      </c>
      <c r="K264" s="88" t="s">
        <v>110</v>
      </c>
      <c r="L264" s="135">
        <v>6.5</v>
      </c>
      <c r="N264" s="60"/>
      <c r="O264" s="85" t="s">
        <v>361</v>
      </c>
      <c r="P264" s="88">
        <v>5</v>
      </c>
      <c r="Q264" s="60"/>
      <c r="V264" s="86"/>
      <c r="Z264" s="100"/>
    </row>
    <row r="265" spans="1:26" x14ac:dyDescent="0.2">
      <c r="A265" s="99">
        <v>45352</v>
      </c>
      <c r="B265" s="82">
        <v>45359</v>
      </c>
      <c r="C265" s="60" t="s">
        <v>33</v>
      </c>
      <c r="D265" s="60" t="s">
        <v>98</v>
      </c>
      <c r="E265" s="60" t="s">
        <v>353</v>
      </c>
      <c r="F265" s="60" t="s">
        <v>549</v>
      </c>
      <c r="G265" s="59" t="s">
        <v>142</v>
      </c>
      <c r="H265" s="83">
        <v>4.1666666666666664E-2</v>
      </c>
      <c r="I265" s="83">
        <v>0.70833333333333337</v>
      </c>
      <c r="J265" s="63">
        <f>I265-H265</f>
        <v>0.66666666666666674</v>
      </c>
      <c r="K265" s="88" t="s">
        <v>365</v>
      </c>
      <c r="L265" s="134">
        <v>0.99999999999999911</v>
      </c>
      <c r="O265" s="91" t="s">
        <v>362</v>
      </c>
      <c r="P265" s="88">
        <v>4</v>
      </c>
      <c r="Q265" s="60" t="s">
        <v>334</v>
      </c>
      <c r="Z265" s="100"/>
    </row>
    <row r="266" spans="1:26" x14ac:dyDescent="0.2">
      <c r="A266" s="99">
        <v>45352</v>
      </c>
      <c r="B266" s="82">
        <v>45360</v>
      </c>
      <c r="C266" s="88" t="s">
        <v>34</v>
      </c>
      <c r="D266" s="60" t="s">
        <v>86</v>
      </c>
      <c r="E266" s="60" t="s">
        <v>451</v>
      </c>
      <c r="F266" s="60" t="s">
        <v>420</v>
      </c>
      <c r="G266" s="59" t="s">
        <v>142</v>
      </c>
      <c r="H266" s="83">
        <v>0.41666666666666669</v>
      </c>
      <c r="I266" s="83">
        <v>0.66666666666666663</v>
      </c>
      <c r="J266" s="63">
        <f>I266-H266</f>
        <v>0.24999999999999994</v>
      </c>
      <c r="K266" s="88" t="s">
        <v>110</v>
      </c>
      <c r="L266" s="135">
        <f>24*J266</f>
        <v>5.9999999999999982</v>
      </c>
      <c r="O266" s="91" t="s">
        <v>820</v>
      </c>
      <c r="P266" s="88">
        <v>5</v>
      </c>
      <c r="Q266" s="60"/>
      <c r="U266" s="60"/>
      <c r="W266" s="60"/>
      <c r="X266" s="86"/>
      <c r="Y266" s="60"/>
      <c r="Z266" s="100"/>
    </row>
    <row r="267" spans="1:26" ht="14.45" customHeight="1" x14ac:dyDescent="0.2">
      <c r="A267" s="99">
        <v>45352</v>
      </c>
      <c r="B267" s="82">
        <v>45360</v>
      </c>
      <c r="C267" s="88" t="s">
        <v>34</v>
      </c>
      <c r="D267" s="60" t="s">
        <v>461</v>
      </c>
      <c r="E267" s="60" t="s">
        <v>525</v>
      </c>
      <c r="F267" s="60" t="s">
        <v>540</v>
      </c>
      <c r="G267" s="72" t="s">
        <v>142</v>
      </c>
      <c r="H267" s="83">
        <v>0.41666666666666669</v>
      </c>
      <c r="I267" s="83">
        <v>0.64583333333333337</v>
      </c>
      <c r="J267" s="63">
        <v>0.27079999999999999</v>
      </c>
      <c r="K267" s="88" t="s">
        <v>110</v>
      </c>
      <c r="L267" s="135">
        <v>6.5</v>
      </c>
      <c r="N267" s="60"/>
      <c r="O267" s="91" t="s">
        <v>820</v>
      </c>
      <c r="P267" s="88">
        <v>5</v>
      </c>
      <c r="Q267" s="60"/>
      <c r="V267" s="86"/>
      <c r="Z267" s="100"/>
    </row>
    <row r="268" spans="1:26" ht="14.45" customHeight="1" x14ac:dyDescent="0.2">
      <c r="A268" s="99">
        <v>45352</v>
      </c>
      <c r="B268" s="82">
        <v>45360</v>
      </c>
      <c r="C268" s="88" t="s">
        <v>34</v>
      </c>
      <c r="D268" s="60" t="s">
        <v>461</v>
      </c>
      <c r="E268" s="60" t="s">
        <v>462</v>
      </c>
      <c r="F268" s="60" t="s">
        <v>508</v>
      </c>
      <c r="G268" s="72" t="s">
        <v>142</v>
      </c>
      <c r="H268" s="83">
        <v>0.39583333333333331</v>
      </c>
      <c r="I268" s="83">
        <v>0.70833333333333337</v>
      </c>
      <c r="J268" s="63">
        <v>0.27079999999999999</v>
      </c>
      <c r="K268" s="60" t="s">
        <v>113</v>
      </c>
      <c r="L268" s="135">
        <v>6.5</v>
      </c>
      <c r="N268" s="60"/>
      <c r="O268" s="91" t="s">
        <v>359</v>
      </c>
      <c r="P268" s="88">
        <v>5</v>
      </c>
      <c r="Q268" s="60"/>
      <c r="V268" s="86"/>
      <c r="Z268" s="100"/>
    </row>
    <row r="269" spans="1:26" ht="14.45" customHeight="1" x14ac:dyDescent="0.2">
      <c r="A269" s="99">
        <v>45352</v>
      </c>
      <c r="B269" s="82">
        <v>45360</v>
      </c>
      <c r="C269" s="88" t="s">
        <v>34</v>
      </c>
      <c r="D269" s="60" t="s">
        <v>481</v>
      </c>
      <c r="E269" s="60" t="s">
        <v>368</v>
      </c>
      <c r="F269" s="60" t="s">
        <v>545</v>
      </c>
      <c r="G269" s="72" t="s">
        <v>142</v>
      </c>
      <c r="H269" s="83">
        <v>0.41666666666666669</v>
      </c>
      <c r="I269" s="83">
        <v>0.66666666666666663</v>
      </c>
      <c r="J269" s="63">
        <v>0.27079999999999999</v>
      </c>
      <c r="K269" s="60" t="s">
        <v>113</v>
      </c>
      <c r="L269" s="135">
        <v>6.5</v>
      </c>
      <c r="N269" s="60"/>
      <c r="O269" s="91" t="s">
        <v>359</v>
      </c>
      <c r="P269" s="88">
        <v>5</v>
      </c>
      <c r="Q269" s="60"/>
      <c r="V269" s="86"/>
      <c r="Z269" s="100"/>
    </row>
    <row r="270" spans="1:26" x14ac:dyDescent="0.2">
      <c r="A270" s="99">
        <v>45352</v>
      </c>
      <c r="B270" s="82">
        <v>45360</v>
      </c>
      <c r="C270" s="88" t="s">
        <v>34</v>
      </c>
      <c r="D270" s="60" t="s">
        <v>830</v>
      </c>
      <c r="E270" s="60" t="s">
        <v>534</v>
      </c>
      <c r="F270" s="60" t="s">
        <v>535</v>
      </c>
      <c r="G270" s="59" t="s">
        <v>142</v>
      </c>
      <c r="H270" s="83">
        <v>0.41666666666666669</v>
      </c>
      <c r="I270" s="83">
        <v>0.70833333333333337</v>
      </c>
      <c r="J270" s="63">
        <f>I270-H270</f>
        <v>0.29166666666666669</v>
      </c>
      <c r="K270" s="88" t="s">
        <v>365</v>
      </c>
      <c r="L270" s="135">
        <f>24*J270</f>
        <v>7</v>
      </c>
      <c r="O270" s="91" t="s">
        <v>360</v>
      </c>
      <c r="P270" s="88">
        <v>5</v>
      </c>
      <c r="Z270" s="100"/>
    </row>
    <row r="271" spans="1:26" ht="14.45" customHeight="1" x14ac:dyDescent="0.2">
      <c r="A271" s="99">
        <v>45352</v>
      </c>
      <c r="B271" s="82">
        <v>45360</v>
      </c>
      <c r="C271" s="88" t="s">
        <v>34</v>
      </c>
      <c r="D271" s="60" t="s">
        <v>476</v>
      </c>
      <c r="E271" s="60" t="s">
        <v>550</v>
      </c>
      <c r="F271" s="60" t="s">
        <v>531</v>
      </c>
      <c r="G271" s="72" t="s">
        <v>142</v>
      </c>
      <c r="H271" s="83">
        <v>0.375</v>
      </c>
      <c r="I271" s="83">
        <v>0.66666666666666663</v>
      </c>
      <c r="J271" s="63">
        <v>0.27079999999999999</v>
      </c>
      <c r="K271" s="88" t="s">
        <v>366</v>
      </c>
      <c r="L271" s="135">
        <v>6.5</v>
      </c>
      <c r="N271" s="60"/>
      <c r="O271" s="91" t="s">
        <v>360</v>
      </c>
      <c r="P271" s="88">
        <v>5</v>
      </c>
      <c r="Q271" s="60"/>
      <c r="V271" s="86"/>
      <c r="Z271" s="100"/>
    </row>
    <row r="272" spans="1:26" ht="14.45" customHeight="1" x14ac:dyDescent="0.2">
      <c r="A272" s="99">
        <v>45352</v>
      </c>
      <c r="B272" s="82">
        <v>45361</v>
      </c>
      <c r="C272" s="60" t="s">
        <v>31</v>
      </c>
      <c r="D272" s="60" t="s">
        <v>476</v>
      </c>
      <c r="E272" s="60" t="s">
        <v>551</v>
      </c>
      <c r="F272" s="60" t="s">
        <v>531</v>
      </c>
      <c r="G272" s="72" t="s">
        <v>142</v>
      </c>
      <c r="H272" s="83">
        <v>0.41666666666666669</v>
      </c>
      <c r="I272" s="83">
        <v>0.66666666666666663</v>
      </c>
      <c r="J272" s="63">
        <v>0.27079999999999999</v>
      </c>
      <c r="K272" s="88" t="s">
        <v>366</v>
      </c>
      <c r="L272" s="135">
        <v>6.5</v>
      </c>
      <c r="N272" s="60"/>
      <c r="O272" s="91" t="s">
        <v>539</v>
      </c>
      <c r="P272" s="88">
        <v>4</v>
      </c>
      <c r="Q272" s="60" t="s">
        <v>334</v>
      </c>
      <c r="V272" s="86"/>
      <c r="Z272" s="100"/>
    </row>
    <row r="273" spans="1:26" x14ac:dyDescent="0.2">
      <c r="A273" s="99">
        <v>45352</v>
      </c>
      <c r="B273" s="82">
        <v>45361</v>
      </c>
      <c r="C273" s="60" t="s">
        <v>31</v>
      </c>
      <c r="D273" s="60" t="s">
        <v>830</v>
      </c>
      <c r="E273" s="60" t="s">
        <v>534</v>
      </c>
      <c r="F273" s="60" t="s">
        <v>535</v>
      </c>
      <c r="G273" s="59" t="s">
        <v>142</v>
      </c>
      <c r="H273" s="83">
        <v>0.41666666666666669</v>
      </c>
      <c r="I273" s="83">
        <v>0.72916666666666663</v>
      </c>
      <c r="J273" s="63">
        <f>I273-H273</f>
        <v>0.31249999999999994</v>
      </c>
      <c r="K273" s="88" t="s">
        <v>365</v>
      </c>
      <c r="L273" s="135">
        <f>24*J273</f>
        <v>7.4999999999999982</v>
      </c>
      <c r="O273" s="91" t="s">
        <v>539</v>
      </c>
      <c r="P273" s="88">
        <v>5</v>
      </c>
      <c r="Z273" s="100"/>
    </row>
    <row r="274" spans="1:26" x14ac:dyDescent="0.2">
      <c r="A274" s="99">
        <v>45352</v>
      </c>
      <c r="B274" s="82">
        <v>45361</v>
      </c>
      <c r="C274" s="60" t="s">
        <v>31</v>
      </c>
      <c r="D274" s="60" t="s">
        <v>86</v>
      </c>
      <c r="E274" s="60" t="s">
        <v>451</v>
      </c>
      <c r="F274" s="60" t="s">
        <v>552</v>
      </c>
      <c r="G274" s="59" t="s">
        <v>142</v>
      </c>
      <c r="H274" s="83">
        <v>0.41666666666666669</v>
      </c>
      <c r="I274" s="83">
        <v>0.66666666666666663</v>
      </c>
      <c r="J274" s="63">
        <f>I274-H274</f>
        <v>0.24999999999999994</v>
      </c>
      <c r="K274" s="88" t="s">
        <v>110</v>
      </c>
      <c r="L274" s="135">
        <f>24*J274</f>
        <v>5.9999999999999982</v>
      </c>
      <c r="O274" s="91" t="s">
        <v>314</v>
      </c>
      <c r="P274" s="88">
        <v>5</v>
      </c>
      <c r="Q274" s="60"/>
      <c r="U274" s="60"/>
      <c r="W274" s="60"/>
      <c r="X274" s="86"/>
      <c r="Y274" s="60"/>
      <c r="Z274" s="100"/>
    </row>
    <row r="275" spans="1:26" x14ac:dyDescent="0.2">
      <c r="A275" s="99">
        <v>45352</v>
      </c>
      <c r="B275" s="82">
        <v>45361</v>
      </c>
      <c r="C275" s="60" t="s">
        <v>31</v>
      </c>
      <c r="D275" s="60" t="s">
        <v>830</v>
      </c>
      <c r="E275" s="60" t="s">
        <v>553</v>
      </c>
      <c r="F275" s="60" t="s">
        <v>554</v>
      </c>
      <c r="G275" s="59" t="s">
        <v>142</v>
      </c>
      <c r="H275" s="83">
        <v>0.60416666666666663</v>
      </c>
      <c r="I275" s="83">
        <v>0.64583333333333337</v>
      </c>
      <c r="J275" s="63">
        <f>I275-H275</f>
        <v>4.1666666666666741E-2</v>
      </c>
      <c r="K275" s="88" t="s">
        <v>110</v>
      </c>
      <c r="L275" s="135">
        <f>24*J275</f>
        <v>1.0000000000000018</v>
      </c>
      <c r="O275" s="91" t="s">
        <v>314</v>
      </c>
      <c r="P275" s="88">
        <v>5</v>
      </c>
      <c r="Z275" s="100"/>
    </row>
    <row r="276" spans="1:26" ht="14.45" customHeight="1" x14ac:dyDescent="0.2">
      <c r="A276" s="99">
        <v>45352</v>
      </c>
      <c r="B276" s="82">
        <v>45361</v>
      </c>
      <c r="C276" s="60" t="s">
        <v>31</v>
      </c>
      <c r="D276" s="60" t="s">
        <v>481</v>
      </c>
      <c r="E276" s="60" t="s">
        <v>368</v>
      </c>
      <c r="F276" s="60" t="s">
        <v>545</v>
      </c>
      <c r="G276" s="72" t="s">
        <v>142</v>
      </c>
      <c r="H276" s="83">
        <v>0.41666666666666669</v>
      </c>
      <c r="I276" s="83">
        <v>0.70833333333333337</v>
      </c>
      <c r="J276" s="63">
        <v>0.27079999999999999</v>
      </c>
      <c r="K276" s="60" t="s">
        <v>113</v>
      </c>
      <c r="L276" s="135">
        <v>6.5</v>
      </c>
      <c r="N276" s="60"/>
      <c r="O276" s="91" t="s">
        <v>360</v>
      </c>
      <c r="P276" s="88">
        <v>4</v>
      </c>
      <c r="Q276" s="60" t="s">
        <v>472</v>
      </c>
      <c r="V276" s="86"/>
      <c r="Z276" s="100"/>
    </row>
    <row r="277" spans="1:26" ht="14.45" customHeight="1" x14ac:dyDescent="0.2">
      <c r="A277" s="99">
        <v>45352</v>
      </c>
      <c r="B277" s="82">
        <v>45361</v>
      </c>
      <c r="C277" s="60" t="s">
        <v>31</v>
      </c>
      <c r="D277" s="60" t="s">
        <v>461</v>
      </c>
      <c r="E277" s="60" t="s">
        <v>525</v>
      </c>
      <c r="F277" s="60" t="s">
        <v>508</v>
      </c>
      <c r="G277" s="72" t="s">
        <v>142</v>
      </c>
      <c r="H277" s="83">
        <v>0.41666666666666669</v>
      </c>
      <c r="I277" s="83">
        <v>0.79166666666666663</v>
      </c>
      <c r="J277" s="63">
        <v>0.27079999999999999</v>
      </c>
      <c r="K277" s="60" t="s">
        <v>113</v>
      </c>
      <c r="L277" s="135">
        <v>6.5</v>
      </c>
      <c r="N277" s="60"/>
      <c r="O277" s="91" t="s">
        <v>360</v>
      </c>
      <c r="P277" s="88">
        <v>4</v>
      </c>
      <c r="Q277" s="60"/>
      <c r="V277" s="86"/>
      <c r="Z277" s="100"/>
    </row>
    <row r="278" spans="1:26" x14ac:dyDescent="0.2">
      <c r="A278" s="99">
        <v>45352</v>
      </c>
      <c r="B278" s="82">
        <v>45363</v>
      </c>
      <c r="C278" s="88" t="s">
        <v>106</v>
      </c>
      <c r="D278" s="60" t="s">
        <v>86</v>
      </c>
      <c r="E278" s="60" t="s">
        <v>451</v>
      </c>
      <c r="F278" s="60" t="s">
        <v>552</v>
      </c>
      <c r="G278" s="59" t="s">
        <v>142</v>
      </c>
      <c r="H278" s="83">
        <v>0.4375</v>
      </c>
      <c r="I278" s="83">
        <v>0.64583333333333337</v>
      </c>
      <c r="J278" s="63">
        <f>I278-H278</f>
        <v>0.20833333333333337</v>
      </c>
      <c r="K278" s="88" t="s">
        <v>365</v>
      </c>
      <c r="L278" s="135">
        <f>24*J278</f>
        <v>5.0000000000000009</v>
      </c>
      <c r="O278" s="91" t="s">
        <v>820</v>
      </c>
      <c r="P278" s="88">
        <v>5</v>
      </c>
      <c r="Q278" s="60"/>
      <c r="U278" s="60"/>
      <c r="W278" s="60"/>
      <c r="X278" s="86"/>
      <c r="Y278" s="60"/>
      <c r="Z278" s="100"/>
    </row>
    <row r="279" spans="1:26" ht="14.45" customHeight="1" x14ac:dyDescent="0.2">
      <c r="A279" s="99">
        <v>45352</v>
      </c>
      <c r="B279" s="82">
        <v>45363</v>
      </c>
      <c r="C279" s="88" t="s">
        <v>106</v>
      </c>
      <c r="D279" s="60" t="s">
        <v>461</v>
      </c>
      <c r="E279" s="60" t="s">
        <v>525</v>
      </c>
      <c r="F279" s="60" t="s">
        <v>508</v>
      </c>
      <c r="G279" s="72" t="s">
        <v>142</v>
      </c>
      <c r="H279" s="83">
        <v>0.41666666666666669</v>
      </c>
      <c r="I279" s="83">
        <v>0.70833333333333337</v>
      </c>
      <c r="J279" s="63">
        <v>0.27079999999999999</v>
      </c>
      <c r="K279" s="60" t="s">
        <v>113</v>
      </c>
      <c r="L279" s="135">
        <v>6.5</v>
      </c>
      <c r="N279" s="60"/>
      <c r="O279" s="91" t="s">
        <v>360</v>
      </c>
      <c r="P279" s="88">
        <v>5</v>
      </c>
      <c r="Q279" s="60"/>
      <c r="V279" s="86"/>
      <c r="Z279" s="100"/>
    </row>
    <row r="280" spans="1:26" ht="14.45" customHeight="1" x14ac:dyDescent="0.2">
      <c r="A280" s="99">
        <v>45352</v>
      </c>
      <c r="B280" s="82">
        <v>45363</v>
      </c>
      <c r="C280" s="88" t="s">
        <v>106</v>
      </c>
      <c r="D280" s="60" t="s">
        <v>481</v>
      </c>
      <c r="E280" s="60" t="s">
        <v>368</v>
      </c>
      <c r="F280" s="60" t="s">
        <v>545</v>
      </c>
      <c r="G280" s="72" t="s">
        <v>142</v>
      </c>
      <c r="H280" s="83">
        <v>0.41666666666666669</v>
      </c>
      <c r="I280" s="83">
        <v>0.70833333333333337</v>
      </c>
      <c r="J280" s="63">
        <v>0.27079999999999999</v>
      </c>
      <c r="K280" s="60" t="s">
        <v>113</v>
      </c>
      <c r="L280" s="135">
        <v>6.5</v>
      </c>
      <c r="N280" s="60"/>
      <c r="O280" s="91" t="s">
        <v>360</v>
      </c>
      <c r="P280" s="88">
        <v>5</v>
      </c>
      <c r="Q280" s="60"/>
      <c r="V280" s="86"/>
      <c r="Z280" s="100"/>
    </row>
    <row r="281" spans="1:26" ht="14.45" customHeight="1" x14ac:dyDescent="0.2">
      <c r="A281" s="99">
        <v>45323</v>
      </c>
      <c r="B281" s="82">
        <v>45363</v>
      </c>
      <c r="C281" s="88" t="s">
        <v>106</v>
      </c>
      <c r="D281" s="60" t="s">
        <v>32</v>
      </c>
      <c r="E281" s="60" t="s">
        <v>555</v>
      </c>
      <c r="F281" s="60" t="s">
        <v>556</v>
      </c>
      <c r="G281" s="72" t="s">
        <v>142</v>
      </c>
      <c r="H281" s="83">
        <v>0.45833333333333331</v>
      </c>
      <c r="I281" s="83">
        <v>0</v>
      </c>
      <c r="J281" s="63">
        <v>0.27079999999999999</v>
      </c>
      <c r="K281" s="88" t="s">
        <v>365</v>
      </c>
      <c r="L281" s="135">
        <v>6.5</v>
      </c>
      <c r="N281" s="60"/>
      <c r="O281" s="85" t="s">
        <v>361</v>
      </c>
      <c r="P281" s="88">
        <v>4</v>
      </c>
      <c r="Q281" s="60" t="s">
        <v>472</v>
      </c>
      <c r="V281" s="86"/>
      <c r="Z281" s="100"/>
    </row>
    <row r="282" spans="1:26" x14ac:dyDescent="0.2">
      <c r="A282" s="99">
        <v>45352</v>
      </c>
      <c r="B282" s="82">
        <v>45363</v>
      </c>
      <c r="C282" s="88" t="s">
        <v>106</v>
      </c>
      <c r="D282" s="60" t="s">
        <v>830</v>
      </c>
      <c r="E282" s="60" t="s">
        <v>534</v>
      </c>
      <c r="F282" s="60" t="s">
        <v>535</v>
      </c>
      <c r="G282" s="59" t="s">
        <v>142</v>
      </c>
      <c r="H282" s="83">
        <v>0.39583333333333331</v>
      </c>
      <c r="I282" s="83">
        <v>0.70833333333333337</v>
      </c>
      <c r="J282" s="63">
        <f>I282-H282</f>
        <v>0.31250000000000006</v>
      </c>
      <c r="K282" s="88" t="s">
        <v>365</v>
      </c>
      <c r="L282" s="135">
        <f>24*J282</f>
        <v>7.5000000000000018</v>
      </c>
      <c r="O282" s="91" t="s">
        <v>314</v>
      </c>
      <c r="P282" s="88">
        <v>4</v>
      </c>
      <c r="Q282" s="60" t="s">
        <v>334</v>
      </c>
      <c r="Z282" s="100"/>
    </row>
    <row r="283" spans="1:26" ht="14.45" customHeight="1" x14ac:dyDescent="0.2">
      <c r="A283" s="99">
        <v>45323</v>
      </c>
      <c r="B283" s="82">
        <v>45363</v>
      </c>
      <c r="C283" s="88" t="s">
        <v>106</v>
      </c>
      <c r="D283" s="60" t="s">
        <v>32</v>
      </c>
      <c r="E283" s="60" t="s">
        <v>388</v>
      </c>
      <c r="F283" s="60" t="s">
        <v>557</v>
      </c>
      <c r="G283" s="72" t="s">
        <v>142</v>
      </c>
      <c r="H283" s="83">
        <v>0.45833333333333331</v>
      </c>
      <c r="I283" s="83">
        <v>0.625</v>
      </c>
      <c r="J283" s="63">
        <v>0.27079999999999999</v>
      </c>
      <c r="K283" s="88" t="s">
        <v>365</v>
      </c>
      <c r="L283" s="135">
        <v>6.5</v>
      </c>
      <c r="N283" s="60"/>
      <c r="O283" s="91" t="s">
        <v>539</v>
      </c>
      <c r="P283" s="88">
        <v>4</v>
      </c>
      <c r="Q283" s="60" t="s">
        <v>334</v>
      </c>
      <c r="V283" s="86"/>
      <c r="Z283" s="100"/>
    </row>
    <row r="284" spans="1:26" x14ac:dyDescent="0.2">
      <c r="A284" s="99">
        <v>45352</v>
      </c>
      <c r="B284" s="82">
        <v>45364</v>
      </c>
      <c r="C284" s="60" t="s">
        <v>398</v>
      </c>
      <c r="D284" s="60" t="s">
        <v>830</v>
      </c>
      <c r="E284" s="60" t="s">
        <v>553</v>
      </c>
      <c r="F284" s="60" t="s">
        <v>558</v>
      </c>
      <c r="G284" s="59" t="s">
        <v>142</v>
      </c>
      <c r="H284" s="83">
        <v>0.41666666666666669</v>
      </c>
      <c r="I284" s="83">
        <v>0.5</v>
      </c>
      <c r="J284" s="63">
        <f>الجدول3[[#This Row],[ساعة الخروج]]-الجدول3[[#This Row],[ساعة الدخول ]]</f>
        <v>8.3333333333333315E-2</v>
      </c>
      <c r="K284" s="88" t="s">
        <v>365</v>
      </c>
      <c r="L284" s="135">
        <f>24*J284</f>
        <v>1.9999999999999996</v>
      </c>
      <c r="O284" s="85" t="s">
        <v>361</v>
      </c>
      <c r="P284" s="88">
        <v>5</v>
      </c>
      <c r="Z284" s="100"/>
    </row>
    <row r="285" spans="1:26" ht="14.45" customHeight="1" x14ac:dyDescent="0.2">
      <c r="A285" s="99">
        <v>45323</v>
      </c>
      <c r="B285" s="82">
        <v>45364</v>
      </c>
      <c r="C285" s="60" t="s">
        <v>398</v>
      </c>
      <c r="D285" s="60" t="s">
        <v>32</v>
      </c>
      <c r="E285" s="60" t="s">
        <v>388</v>
      </c>
      <c r="F285" s="60" t="s">
        <v>559</v>
      </c>
      <c r="G285" s="72" t="s">
        <v>142</v>
      </c>
      <c r="H285" s="83">
        <v>0.41666666666666669</v>
      </c>
      <c r="I285" s="83">
        <v>0.625</v>
      </c>
      <c r="J285" s="63">
        <v>0.27079999999999999</v>
      </c>
      <c r="K285" s="88" t="s">
        <v>365</v>
      </c>
      <c r="L285" s="135">
        <v>6.5</v>
      </c>
      <c r="N285" s="60"/>
      <c r="O285" s="91" t="s">
        <v>539</v>
      </c>
      <c r="P285" s="88">
        <v>5</v>
      </c>
      <c r="Q285" s="60"/>
      <c r="V285" s="86"/>
      <c r="Z285" s="100"/>
    </row>
    <row r="286" spans="1:26" ht="14.45" customHeight="1" x14ac:dyDescent="0.2">
      <c r="A286" s="99">
        <v>45352</v>
      </c>
      <c r="B286" s="82">
        <v>45364</v>
      </c>
      <c r="C286" s="60" t="s">
        <v>398</v>
      </c>
      <c r="D286" s="60" t="s">
        <v>476</v>
      </c>
      <c r="E286" s="60" t="s">
        <v>551</v>
      </c>
      <c r="F286" s="60" t="s">
        <v>531</v>
      </c>
      <c r="G286" s="72" t="s">
        <v>142</v>
      </c>
      <c r="H286" s="83">
        <v>0.41666666666666669</v>
      </c>
      <c r="I286" s="83">
        <v>0.66666666666666663</v>
      </c>
      <c r="J286" s="63">
        <v>0.27079999999999999</v>
      </c>
      <c r="K286" s="88" t="s">
        <v>366</v>
      </c>
      <c r="L286" s="135">
        <v>6.5</v>
      </c>
      <c r="N286" s="60"/>
      <c r="O286" s="91" t="s">
        <v>539</v>
      </c>
      <c r="P286" s="88">
        <v>5</v>
      </c>
      <c r="Q286" s="60"/>
      <c r="V286" s="86"/>
      <c r="Z286" s="100"/>
    </row>
    <row r="287" spans="1:26" x14ac:dyDescent="0.2">
      <c r="A287" s="99">
        <v>45352</v>
      </c>
      <c r="B287" s="82">
        <v>45364</v>
      </c>
      <c r="C287" s="60" t="s">
        <v>398</v>
      </c>
      <c r="D287" s="60" t="s">
        <v>830</v>
      </c>
      <c r="E287" s="60" t="s">
        <v>534</v>
      </c>
      <c r="F287" s="60" t="s">
        <v>535</v>
      </c>
      <c r="G287" s="72" t="s">
        <v>142</v>
      </c>
      <c r="H287" s="83">
        <v>0.41666666666666669</v>
      </c>
      <c r="I287" s="83">
        <v>0.66666666666666663</v>
      </c>
      <c r="J287" s="63">
        <f>I287-H287</f>
        <v>0.24999999999999994</v>
      </c>
      <c r="K287" s="88" t="s">
        <v>365</v>
      </c>
      <c r="L287" s="135">
        <f>24*J287</f>
        <v>5.9999999999999982</v>
      </c>
      <c r="O287" s="91" t="s">
        <v>539</v>
      </c>
      <c r="P287" s="88">
        <v>5</v>
      </c>
      <c r="Q287" s="60"/>
      <c r="Z287" s="100"/>
    </row>
    <row r="288" spans="1:26" x14ac:dyDescent="0.2">
      <c r="A288" s="99">
        <v>45352</v>
      </c>
      <c r="B288" s="82">
        <v>45364</v>
      </c>
      <c r="C288" s="60" t="s">
        <v>398</v>
      </c>
      <c r="D288" s="60" t="s">
        <v>86</v>
      </c>
      <c r="E288" s="60" t="s">
        <v>451</v>
      </c>
      <c r="F288" s="60" t="s">
        <v>552</v>
      </c>
      <c r="G288" s="72" t="s">
        <v>142</v>
      </c>
      <c r="H288" s="83">
        <v>0.41666666666666669</v>
      </c>
      <c r="I288" s="83">
        <v>0.64583333333333337</v>
      </c>
      <c r="J288" s="63">
        <f>I288-H288</f>
        <v>0.22916666666666669</v>
      </c>
      <c r="K288" s="88" t="s">
        <v>110</v>
      </c>
      <c r="L288" s="135">
        <f>24*J288</f>
        <v>5.5</v>
      </c>
      <c r="O288" s="91" t="s">
        <v>820</v>
      </c>
      <c r="P288" s="88">
        <v>5</v>
      </c>
      <c r="Q288" s="60"/>
      <c r="U288" s="60"/>
      <c r="W288" s="60"/>
      <c r="X288" s="86"/>
      <c r="Y288" s="60"/>
      <c r="Z288" s="100"/>
    </row>
    <row r="289" spans="1:26" ht="14.45" customHeight="1" x14ac:dyDescent="0.2">
      <c r="A289" s="99">
        <v>45352</v>
      </c>
      <c r="B289" s="82">
        <v>45364</v>
      </c>
      <c r="C289" s="60" t="s">
        <v>398</v>
      </c>
      <c r="D289" s="60" t="s">
        <v>461</v>
      </c>
      <c r="E289" s="60" t="s">
        <v>525</v>
      </c>
      <c r="F289" s="60" t="s">
        <v>540</v>
      </c>
      <c r="G289" s="72" t="s">
        <v>142</v>
      </c>
      <c r="H289" s="83">
        <v>2.0833333333333332E-2</v>
      </c>
      <c r="I289" s="83">
        <v>0.60416666666666663</v>
      </c>
      <c r="J289" s="63">
        <v>0.27079999999999999</v>
      </c>
      <c r="K289" s="88" t="s">
        <v>110</v>
      </c>
      <c r="L289" s="135">
        <v>6.5</v>
      </c>
      <c r="N289" s="60"/>
      <c r="O289" s="91" t="s">
        <v>820</v>
      </c>
      <c r="P289" s="88">
        <v>5</v>
      </c>
      <c r="Q289" s="60"/>
      <c r="V289" s="86"/>
      <c r="Z289" s="100"/>
    </row>
    <row r="290" spans="1:26" x14ac:dyDescent="0.2">
      <c r="A290" s="99">
        <v>45323</v>
      </c>
      <c r="B290" s="82">
        <v>45364</v>
      </c>
      <c r="C290" s="60" t="s">
        <v>398</v>
      </c>
      <c r="D290" s="60" t="s">
        <v>126</v>
      </c>
      <c r="E290" s="60" t="s">
        <v>352</v>
      </c>
      <c r="F290" s="60" t="s">
        <v>342</v>
      </c>
      <c r="G290" s="59" t="s">
        <v>142</v>
      </c>
      <c r="H290" s="83">
        <v>0.4375</v>
      </c>
      <c r="I290" s="83">
        <v>0.47916666666666669</v>
      </c>
      <c r="J290" s="63">
        <f>I290-H290</f>
        <v>4.1666666666666685E-2</v>
      </c>
      <c r="K290" s="88" t="s">
        <v>110</v>
      </c>
      <c r="L290" s="135">
        <f>24*J290</f>
        <v>1.0000000000000004</v>
      </c>
      <c r="O290" s="91" t="s">
        <v>820</v>
      </c>
      <c r="P290" s="88">
        <v>5</v>
      </c>
      <c r="Q290" s="60"/>
      <c r="Z290" s="100"/>
    </row>
    <row r="291" spans="1:26" ht="14.45" customHeight="1" x14ac:dyDescent="0.2">
      <c r="A291" s="99">
        <v>45352</v>
      </c>
      <c r="B291" s="82">
        <v>45364</v>
      </c>
      <c r="C291" s="60" t="s">
        <v>398</v>
      </c>
      <c r="D291" s="60" t="s">
        <v>461</v>
      </c>
      <c r="E291" s="60" t="s">
        <v>525</v>
      </c>
      <c r="F291" s="60" t="s">
        <v>508</v>
      </c>
      <c r="G291" s="72" t="s">
        <v>142</v>
      </c>
      <c r="H291" s="83">
        <v>0.41666666666666669</v>
      </c>
      <c r="I291" s="83">
        <v>0.64583333333333337</v>
      </c>
      <c r="J291" s="63">
        <v>0.27079999999999999</v>
      </c>
      <c r="K291" s="60" t="s">
        <v>113</v>
      </c>
      <c r="L291" s="135">
        <v>6.5</v>
      </c>
      <c r="N291" s="60"/>
      <c r="O291" s="91" t="s">
        <v>360</v>
      </c>
      <c r="P291" s="88">
        <v>5</v>
      </c>
      <c r="Q291" s="60"/>
      <c r="V291" s="86"/>
      <c r="Z291" s="100"/>
    </row>
    <row r="292" spans="1:26" ht="14.45" customHeight="1" x14ac:dyDescent="0.2">
      <c r="A292" s="99">
        <v>45352</v>
      </c>
      <c r="B292" s="82">
        <v>45364</v>
      </c>
      <c r="C292" s="60" t="s">
        <v>398</v>
      </c>
      <c r="D292" s="60" t="s">
        <v>481</v>
      </c>
      <c r="E292" s="60" t="s">
        <v>368</v>
      </c>
      <c r="F292" s="60" t="s">
        <v>560</v>
      </c>
      <c r="G292" s="72" t="s">
        <v>142</v>
      </c>
      <c r="H292" s="83">
        <v>0.41666666666666669</v>
      </c>
      <c r="I292" s="83">
        <v>0.64583333333333337</v>
      </c>
      <c r="J292" s="63">
        <v>0.27079999999999999</v>
      </c>
      <c r="K292" s="60" t="s">
        <v>113</v>
      </c>
      <c r="L292" s="135">
        <v>6.5</v>
      </c>
      <c r="N292" s="60"/>
      <c r="O292" s="91" t="s">
        <v>360</v>
      </c>
      <c r="P292" s="88">
        <v>5</v>
      </c>
      <c r="Q292" s="60"/>
      <c r="V292" s="86"/>
      <c r="Z292" s="100"/>
    </row>
    <row r="293" spans="1:26" ht="14.45" customHeight="1" x14ac:dyDescent="0.2">
      <c r="A293" s="99">
        <v>45352</v>
      </c>
      <c r="B293" s="82">
        <v>45365</v>
      </c>
      <c r="C293" s="82" t="s">
        <v>124</v>
      </c>
      <c r="D293" s="60" t="s">
        <v>830</v>
      </c>
      <c r="E293" s="60" t="s">
        <v>534</v>
      </c>
      <c r="F293" s="60" t="s">
        <v>535</v>
      </c>
      <c r="G293" s="72" t="s">
        <v>142</v>
      </c>
      <c r="H293" s="83">
        <v>0.41666666666666669</v>
      </c>
      <c r="I293" s="83">
        <v>0.66666666666666663</v>
      </c>
      <c r="J293" s="63">
        <f>I293-H293</f>
        <v>0.24999999999999994</v>
      </c>
      <c r="K293" s="88" t="s">
        <v>365</v>
      </c>
      <c r="L293" s="135">
        <f>24*J293</f>
        <v>5.9999999999999982</v>
      </c>
      <c r="O293" s="91" t="s">
        <v>539</v>
      </c>
      <c r="P293" s="88">
        <v>5</v>
      </c>
      <c r="Q293" s="60"/>
      <c r="Z293" s="100"/>
    </row>
    <row r="294" spans="1:26" x14ac:dyDescent="0.2">
      <c r="A294" s="99">
        <v>45352</v>
      </c>
      <c r="B294" s="82">
        <v>45365</v>
      </c>
      <c r="C294" s="82" t="s">
        <v>124</v>
      </c>
      <c r="D294" s="60" t="s">
        <v>499</v>
      </c>
      <c r="E294" s="60" t="s">
        <v>505</v>
      </c>
      <c r="F294" s="96" t="s">
        <v>562</v>
      </c>
      <c r="G294" s="59" t="s">
        <v>142</v>
      </c>
      <c r="H294" s="83">
        <v>0.45833333333333331</v>
      </c>
      <c r="I294" s="83">
        <v>0.54166666666666663</v>
      </c>
      <c r="J294" s="63">
        <f>I294-H294</f>
        <v>8.3333333333333315E-2</v>
      </c>
      <c r="K294" s="88" t="s">
        <v>300</v>
      </c>
      <c r="L294" s="135">
        <f>24*J294</f>
        <v>1.9999999999999996</v>
      </c>
      <c r="O294" s="91" t="s">
        <v>362</v>
      </c>
      <c r="P294" s="88">
        <v>5</v>
      </c>
      <c r="R294" s="88"/>
      <c r="U294" s="60"/>
      <c r="W294" s="60"/>
      <c r="X294" s="86"/>
      <c r="Z294" s="100"/>
    </row>
    <row r="295" spans="1:26" x14ac:dyDescent="0.2">
      <c r="A295" s="99">
        <v>45352</v>
      </c>
      <c r="B295" s="82">
        <v>45365</v>
      </c>
      <c r="C295" s="82" t="s">
        <v>124</v>
      </c>
      <c r="D295" s="60" t="s">
        <v>461</v>
      </c>
      <c r="E295" s="60" t="s">
        <v>561</v>
      </c>
      <c r="F295" s="60" t="s">
        <v>508</v>
      </c>
      <c r="G295" s="72" t="s">
        <v>142</v>
      </c>
      <c r="H295" s="83">
        <v>0.39583333333333331</v>
      </c>
      <c r="I295" s="83">
        <v>0.58333333333333337</v>
      </c>
      <c r="J295" s="63">
        <v>0.27079999999999999</v>
      </c>
      <c r="K295" s="60" t="s">
        <v>113</v>
      </c>
      <c r="L295" s="135">
        <v>6.5</v>
      </c>
      <c r="N295" s="60"/>
      <c r="O295" s="91" t="s">
        <v>314</v>
      </c>
      <c r="P295" s="88">
        <v>5</v>
      </c>
      <c r="Q295" s="60"/>
      <c r="V295" s="86"/>
      <c r="Z295" s="100"/>
    </row>
    <row r="296" spans="1:26" ht="14.45" customHeight="1" x14ac:dyDescent="0.2">
      <c r="A296" s="99">
        <v>45352</v>
      </c>
      <c r="B296" s="82">
        <v>45365</v>
      </c>
      <c r="C296" s="82" t="s">
        <v>124</v>
      </c>
      <c r="D296" s="60" t="s">
        <v>86</v>
      </c>
      <c r="E296" s="60" t="s">
        <v>451</v>
      </c>
      <c r="F296" s="60" t="s">
        <v>552</v>
      </c>
      <c r="G296" s="72" t="s">
        <v>142</v>
      </c>
      <c r="H296" s="83">
        <v>0.41666666666666669</v>
      </c>
      <c r="I296" s="83">
        <v>0.64583333333333337</v>
      </c>
      <c r="J296" s="63">
        <f>I296-H296</f>
        <v>0.22916666666666669</v>
      </c>
      <c r="K296" s="88" t="s">
        <v>113</v>
      </c>
      <c r="L296" s="135">
        <f>24*J296</f>
        <v>5.5</v>
      </c>
      <c r="O296" s="91" t="s">
        <v>820</v>
      </c>
      <c r="P296" s="88">
        <v>5</v>
      </c>
      <c r="Q296" s="60"/>
      <c r="U296" s="60"/>
      <c r="W296" s="60"/>
      <c r="X296" s="86"/>
      <c r="Y296" s="60"/>
      <c r="Z296" s="100"/>
    </row>
    <row r="297" spans="1:26" x14ac:dyDescent="0.2">
      <c r="A297" s="99">
        <v>45352</v>
      </c>
      <c r="B297" s="82">
        <v>45367</v>
      </c>
      <c r="C297" s="88" t="s">
        <v>34</v>
      </c>
      <c r="D297" s="60" t="s">
        <v>461</v>
      </c>
      <c r="E297" s="60" t="s">
        <v>561</v>
      </c>
      <c r="F297" s="60" t="s">
        <v>508</v>
      </c>
      <c r="G297" s="72" t="s">
        <v>142</v>
      </c>
      <c r="H297" s="83">
        <v>0.41666666666666669</v>
      </c>
      <c r="I297" s="83">
        <v>0.625</v>
      </c>
      <c r="J297" s="63">
        <v>0.27079999999999999</v>
      </c>
      <c r="K297" s="60" t="s">
        <v>113</v>
      </c>
      <c r="L297" s="135">
        <v>6.5</v>
      </c>
      <c r="N297" s="60"/>
      <c r="O297" s="91" t="s">
        <v>314</v>
      </c>
      <c r="P297" s="88">
        <v>5</v>
      </c>
      <c r="Q297" s="60"/>
      <c r="V297" s="86"/>
      <c r="Z297" s="100"/>
    </row>
    <row r="298" spans="1:26" ht="14.45" customHeight="1" x14ac:dyDescent="0.2">
      <c r="A298" s="99">
        <v>45352</v>
      </c>
      <c r="B298" s="82">
        <v>45367</v>
      </c>
      <c r="C298" s="88" t="s">
        <v>34</v>
      </c>
      <c r="D298" s="60" t="s">
        <v>86</v>
      </c>
      <c r="E298" s="60" t="s">
        <v>451</v>
      </c>
      <c r="F298" s="60" t="s">
        <v>552</v>
      </c>
      <c r="G298" s="72" t="s">
        <v>142</v>
      </c>
      <c r="H298" s="83">
        <v>0.41666666666666669</v>
      </c>
      <c r="I298" s="83">
        <v>0.625</v>
      </c>
      <c r="J298" s="63">
        <f>I298-H298</f>
        <v>0.20833333333333331</v>
      </c>
      <c r="K298" s="88" t="s">
        <v>110</v>
      </c>
      <c r="L298" s="135">
        <f>24*J298</f>
        <v>5</v>
      </c>
      <c r="O298" s="91" t="s">
        <v>820</v>
      </c>
      <c r="P298" s="88">
        <v>5</v>
      </c>
      <c r="Q298" s="60"/>
      <c r="U298" s="60"/>
      <c r="W298" s="60"/>
      <c r="X298" s="86"/>
      <c r="Y298" s="60"/>
      <c r="Z298" s="100"/>
    </row>
    <row r="299" spans="1:26" ht="14.45" customHeight="1" x14ac:dyDescent="0.2">
      <c r="A299" s="99">
        <v>45352</v>
      </c>
      <c r="B299" s="82">
        <v>45368</v>
      </c>
      <c r="C299" s="60" t="s">
        <v>31</v>
      </c>
      <c r="D299" s="60" t="s">
        <v>461</v>
      </c>
      <c r="E299" s="60" t="s">
        <v>561</v>
      </c>
      <c r="F299" s="60" t="s">
        <v>508</v>
      </c>
      <c r="G299" s="72" t="s">
        <v>142</v>
      </c>
      <c r="H299" s="83">
        <v>0.39583333333333331</v>
      </c>
      <c r="I299" s="83">
        <v>0.66666666666666663</v>
      </c>
      <c r="J299" s="63">
        <v>0.27079999999999999</v>
      </c>
      <c r="K299" s="60" t="s">
        <v>113</v>
      </c>
      <c r="L299" s="135">
        <v>6.5</v>
      </c>
      <c r="N299" s="60"/>
      <c r="O299" s="91" t="s">
        <v>359</v>
      </c>
      <c r="P299" s="88">
        <v>5</v>
      </c>
      <c r="Q299" s="60"/>
      <c r="V299" s="86"/>
      <c r="Z299" s="100"/>
    </row>
    <row r="300" spans="1:26" x14ac:dyDescent="0.2">
      <c r="A300" s="99">
        <v>45352</v>
      </c>
      <c r="B300" s="82">
        <v>45368</v>
      </c>
      <c r="C300" s="60" t="s">
        <v>31</v>
      </c>
      <c r="D300" s="60" t="s">
        <v>830</v>
      </c>
      <c r="E300" s="60" t="s">
        <v>534</v>
      </c>
      <c r="F300" s="60" t="s">
        <v>535</v>
      </c>
      <c r="G300" s="72" t="s">
        <v>142</v>
      </c>
      <c r="H300" s="83">
        <v>0.39583333333333331</v>
      </c>
      <c r="I300" s="83">
        <v>0.66666666666666663</v>
      </c>
      <c r="J300" s="63">
        <f>I300-H300</f>
        <v>0.27083333333333331</v>
      </c>
      <c r="K300" s="88" t="s">
        <v>365</v>
      </c>
      <c r="L300" s="135">
        <f>24*J300</f>
        <v>6.5</v>
      </c>
      <c r="O300" s="91" t="s">
        <v>314</v>
      </c>
      <c r="P300" s="88">
        <v>5</v>
      </c>
      <c r="Q300" s="60"/>
      <c r="Z300" s="100"/>
    </row>
    <row r="301" spans="1:26" x14ac:dyDescent="0.2">
      <c r="A301" s="99">
        <v>45352</v>
      </c>
      <c r="B301" s="82">
        <v>45369</v>
      </c>
      <c r="C301" s="88" t="s">
        <v>45</v>
      </c>
      <c r="D301" s="60" t="s">
        <v>32</v>
      </c>
      <c r="E301" s="60" t="s">
        <v>612</v>
      </c>
      <c r="F301" s="60" t="s">
        <v>653</v>
      </c>
      <c r="G301" s="72" t="s">
        <v>142</v>
      </c>
      <c r="H301" s="83">
        <v>0.58333333333333337</v>
      </c>
      <c r="I301" s="83">
        <v>0.66666666666666663</v>
      </c>
      <c r="J301" s="63">
        <v>0.27079999999999999</v>
      </c>
      <c r="K301" s="88" t="s">
        <v>365</v>
      </c>
      <c r="L301" s="135">
        <v>6.5</v>
      </c>
      <c r="N301" s="60"/>
      <c r="O301" s="91" t="s">
        <v>314</v>
      </c>
      <c r="P301" s="88">
        <v>5</v>
      </c>
      <c r="Q301" s="60"/>
      <c r="V301" s="86"/>
      <c r="Z301" s="100"/>
    </row>
    <row r="302" spans="1:26" x14ac:dyDescent="0.2">
      <c r="A302" s="99">
        <v>45352</v>
      </c>
      <c r="B302" s="82">
        <v>45369</v>
      </c>
      <c r="C302" s="88" t="s">
        <v>45</v>
      </c>
      <c r="D302" s="60" t="s">
        <v>32</v>
      </c>
      <c r="E302" s="60" t="s">
        <v>388</v>
      </c>
      <c r="F302" s="60" t="s">
        <v>563</v>
      </c>
      <c r="G302" s="72" t="s">
        <v>142</v>
      </c>
      <c r="H302" s="83">
        <v>0.54166666666666663</v>
      </c>
      <c r="I302" s="83">
        <v>0.5625</v>
      </c>
      <c r="J302" s="63">
        <v>0.27079999999999999</v>
      </c>
      <c r="K302" s="88" t="s">
        <v>365</v>
      </c>
      <c r="L302" s="135">
        <v>6.5</v>
      </c>
      <c r="N302" s="60"/>
      <c r="O302" s="91" t="s">
        <v>360</v>
      </c>
      <c r="P302" s="88">
        <v>5</v>
      </c>
      <c r="Q302" s="60"/>
      <c r="V302" s="86"/>
      <c r="Z302" s="100"/>
    </row>
    <row r="303" spans="1:26" ht="14.45" customHeight="1" x14ac:dyDescent="0.2">
      <c r="A303" s="99">
        <v>45352</v>
      </c>
      <c r="B303" s="82">
        <v>45369</v>
      </c>
      <c r="C303" s="88" t="s">
        <v>45</v>
      </c>
      <c r="D303" s="60" t="s">
        <v>740</v>
      </c>
      <c r="E303" s="60" t="s">
        <v>409</v>
      </c>
      <c r="F303" s="60" t="s">
        <v>410</v>
      </c>
      <c r="G303" s="72" t="s">
        <v>142</v>
      </c>
      <c r="H303" s="83">
        <v>2.0833333333333332E-2</v>
      </c>
      <c r="I303" s="83">
        <v>0.5625</v>
      </c>
      <c r="J303" s="63">
        <v>2.0799999999999999E-2</v>
      </c>
      <c r="K303" s="60" t="s">
        <v>110</v>
      </c>
      <c r="L303" s="135">
        <v>1</v>
      </c>
      <c r="M303" s="60"/>
      <c r="N303" s="60"/>
      <c r="O303" s="91" t="s">
        <v>314</v>
      </c>
      <c r="P303" s="60">
        <v>5</v>
      </c>
      <c r="Q303" s="60"/>
      <c r="Z303" s="100"/>
    </row>
    <row r="304" spans="1:26" x14ac:dyDescent="0.2">
      <c r="A304" s="99">
        <v>45352</v>
      </c>
      <c r="B304" s="82">
        <v>45369</v>
      </c>
      <c r="C304" s="88" t="s">
        <v>45</v>
      </c>
      <c r="D304" s="60" t="s">
        <v>461</v>
      </c>
      <c r="E304" s="60" t="s">
        <v>525</v>
      </c>
      <c r="F304" s="60" t="s">
        <v>508</v>
      </c>
      <c r="G304" s="72" t="s">
        <v>142</v>
      </c>
      <c r="H304" s="83">
        <v>0.35416666666666669</v>
      </c>
      <c r="I304" s="83">
        <v>0.64583333333333337</v>
      </c>
      <c r="J304" s="63">
        <v>0.27079999999999999</v>
      </c>
      <c r="K304" s="60" t="s">
        <v>113</v>
      </c>
      <c r="L304" s="135">
        <v>6.5</v>
      </c>
      <c r="N304" s="60"/>
      <c r="O304" s="91" t="s">
        <v>359</v>
      </c>
      <c r="P304" s="88">
        <v>5</v>
      </c>
      <c r="Q304" s="60"/>
      <c r="V304" s="86"/>
      <c r="Z304" s="100"/>
    </row>
    <row r="305" spans="1:26" ht="14.45" customHeight="1" x14ac:dyDescent="0.2">
      <c r="A305" s="99">
        <v>45352</v>
      </c>
      <c r="B305" s="82">
        <v>45369</v>
      </c>
      <c r="C305" s="88" t="s">
        <v>106</v>
      </c>
      <c r="D305" s="60" t="s">
        <v>830</v>
      </c>
      <c r="E305" s="60" t="s">
        <v>534</v>
      </c>
      <c r="F305" s="60" t="s">
        <v>535</v>
      </c>
      <c r="G305" s="72" t="s">
        <v>142</v>
      </c>
      <c r="H305" s="83">
        <v>0.39583333333333331</v>
      </c>
      <c r="I305" s="83">
        <v>0.66666666666666663</v>
      </c>
      <c r="J305" s="63">
        <f>I305-H305</f>
        <v>0.27083333333333331</v>
      </c>
      <c r="K305" s="88" t="s">
        <v>365</v>
      </c>
      <c r="L305" s="135">
        <f>24*J305</f>
        <v>6.5</v>
      </c>
      <c r="O305" s="91" t="s">
        <v>314</v>
      </c>
      <c r="P305" s="88">
        <v>5</v>
      </c>
      <c r="Q305" s="60"/>
      <c r="Z305" s="100"/>
    </row>
    <row r="306" spans="1:26" x14ac:dyDescent="0.2">
      <c r="A306" s="99">
        <v>45352</v>
      </c>
      <c r="B306" s="82">
        <v>45370</v>
      </c>
      <c r="C306" s="88" t="s">
        <v>106</v>
      </c>
      <c r="D306" s="60" t="s">
        <v>461</v>
      </c>
      <c r="E306" s="60" t="s">
        <v>525</v>
      </c>
      <c r="F306" s="60" t="s">
        <v>508</v>
      </c>
      <c r="G306" s="72" t="s">
        <v>142</v>
      </c>
      <c r="H306" s="83">
        <v>0.35416666666666669</v>
      </c>
      <c r="I306" s="83">
        <v>0.625</v>
      </c>
      <c r="J306" s="63">
        <v>0.27079999999999999</v>
      </c>
      <c r="K306" s="60" t="s">
        <v>113</v>
      </c>
      <c r="L306" s="135">
        <v>6.5</v>
      </c>
      <c r="N306" s="60"/>
      <c r="O306" s="85" t="s">
        <v>358</v>
      </c>
      <c r="P306" s="88">
        <v>5</v>
      </c>
      <c r="Q306" s="60"/>
      <c r="V306" s="86"/>
      <c r="Z306" s="100"/>
    </row>
    <row r="307" spans="1:26" x14ac:dyDescent="0.2">
      <c r="A307" s="99">
        <v>45352</v>
      </c>
      <c r="B307" s="82">
        <v>45370</v>
      </c>
      <c r="C307" s="88" t="s">
        <v>106</v>
      </c>
      <c r="D307" s="60" t="s">
        <v>481</v>
      </c>
      <c r="E307" s="60" t="s">
        <v>368</v>
      </c>
      <c r="F307" s="60" t="s">
        <v>564</v>
      </c>
      <c r="G307" s="72" t="s">
        <v>142</v>
      </c>
      <c r="H307" s="83">
        <v>0.41666666666666669</v>
      </c>
      <c r="I307" s="83">
        <v>0.625</v>
      </c>
      <c r="J307" s="63">
        <v>0.27079999999999999</v>
      </c>
      <c r="K307" s="60" t="s">
        <v>113</v>
      </c>
      <c r="L307" s="135">
        <v>6.5</v>
      </c>
      <c r="N307" s="60"/>
      <c r="O307" s="91" t="s">
        <v>539</v>
      </c>
      <c r="P307" s="88">
        <v>5</v>
      </c>
      <c r="Q307" s="60"/>
      <c r="V307" s="86"/>
      <c r="Z307" s="100"/>
    </row>
    <row r="308" spans="1:26" ht="14.45" customHeight="1" x14ac:dyDescent="0.2">
      <c r="A308" s="99">
        <v>45352</v>
      </c>
      <c r="B308" s="82">
        <v>45371</v>
      </c>
      <c r="C308" s="60" t="s">
        <v>398</v>
      </c>
      <c r="D308" s="60" t="s">
        <v>830</v>
      </c>
      <c r="E308" s="60" t="s">
        <v>534</v>
      </c>
      <c r="F308" s="60" t="s">
        <v>535</v>
      </c>
      <c r="G308" s="72" t="s">
        <v>142</v>
      </c>
      <c r="H308" s="83">
        <v>0.39583333333333331</v>
      </c>
      <c r="I308" s="83">
        <v>0.66666666666666663</v>
      </c>
      <c r="J308" s="63">
        <f>I308-H308</f>
        <v>0.27083333333333331</v>
      </c>
      <c r="K308" s="88" t="s">
        <v>365</v>
      </c>
      <c r="L308" s="135">
        <f>24*J308</f>
        <v>6.5</v>
      </c>
      <c r="O308" s="91" t="s">
        <v>314</v>
      </c>
      <c r="P308" s="88">
        <v>5</v>
      </c>
      <c r="Q308" s="60"/>
      <c r="Z308" s="100"/>
    </row>
    <row r="309" spans="1:26" x14ac:dyDescent="0.2">
      <c r="A309" s="99">
        <v>45352</v>
      </c>
      <c r="B309" s="82">
        <v>45371</v>
      </c>
      <c r="C309" s="60" t="s">
        <v>398</v>
      </c>
      <c r="D309" s="60" t="s">
        <v>317</v>
      </c>
      <c r="E309" s="60" t="s">
        <v>565</v>
      </c>
      <c r="F309" s="96" t="s">
        <v>566</v>
      </c>
      <c r="G309" s="59" t="s">
        <v>142</v>
      </c>
      <c r="H309" s="83">
        <v>0.41666666666666669</v>
      </c>
      <c r="I309" s="83">
        <v>0.625</v>
      </c>
      <c r="J309" s="63">
        <f>I309-H309</f>
        <v>0.20833333333333331</v>
      </c>
      <c r="K309" s="88" t="s">
        <v>300</v>
      </c>
      <c r="L309" s="135">
        <f>24*J309</f>
        <v>5</v>
      </c>
      <c r="O309" s="91" t="s">
        <v>362</v>
      </c>
      <c r="P309" s="88">
        <v>5</v>
      </c>
      <c r="R309" s="88"/>
      <c r="U309" s="60"/>
      <c r="W309" s="60"/>
      <c r="X309" s="86"/>
      <c r="Z309" s="100"/>
    </row>
    <row r="310" spans="1:26" ht="14.45" customHeight="1" x14ac:dyDescent="0.2">
      <c r="A310" s="99">
        <v>45352</v>
      </c>
      <c r="B310" s="82">
        <v>45371</v>
      </c>
      <c r="C310" s="60" t="s">
        <v>398</v>
      </c>
      <c r="D310" s="60" t="s">
        <v>461</v>
      </c>
      <c r="E310" s="60" t="s">
        <v>525</v>
      </c>
      <c r="F310" s="60" t="s">
        <v>508</v>
      </c>
      <c r="G310" s="72" t="s">
        <v>142</v>
      </c>
      <c r="H310" s="83">
        <v>0.33333333333333331</v>
      </c>
      <c r="I310" s="83">
        <v>0.625</v>
      </c>
      <c r="J310" s="63">
        <v>0.27079999999999999</v>
      </c>
      <c r="K310" s="60" t="s">
        <v>113</v>
      </c>
      <c r="L310" s="135">
        <v>6.5</v>
      </c>
      <c r="N310" s="60"/>
      <c r="O310" s="85" t="s">
        <v>358</v>
      </c>
      <c r="P310" s="88">
        <v>5</v>
      </c>
      <c r="Q310" s="60"/>
      <c r="V310" s="86"/>
      <c r="Z310" s="100"/>
    </row>
    <row r="311" spans="1:26" ht="14.45" customHeight="1" x14ac:dyDescent="0.2">
      <c r="A311" s="99">
        <v>45352</v>
      </c>
      <c r="B311" s="82">
        <v>45371</v>
      </c>
      <c r="C311" s="60" t="s">
        <v>398</v>
      </c>
      <c r="D311" s="60" t="s">
        <v>481</v>
      </c>
      <c r="E311" s="60" t="s">
        <v>368</v>
      </c>
      <c r="F311" s="60" t="s">
        <v>564</v>
      </c>
      <c r="G311" s="72" t="s">
        <v>142</v>
      </c>
      <c r="H311" s="83">
        <v>0.41666666666666669</v>
      </c>
      <c r="I311" s="83">
        <v>0.625</v>
      </c>
      <c r="J311" s="63">
        <v>0.27079999999999999</v>
      </c>
      <c r="K311" s="60" t="s">
        <v>113</v>
      </c>
      <c r="L311" s="135">
        <v>6.5</v>
      </c>
      <c r="N311" s="60"/>
      <c r="O311" s="91" t="s">
        <v>539</v>
      </c>
      <c r="P311" s="88">
        <v>5</v>
      </c>
      <c r="Q311" s="60"/>
      <c r="V311" s="86"/>
      <c r="Z311" s="100"/>
    </row>
    <row r="312" spans="1:26" ht="14.45" customHeight="1" x14ac:dyDescent="0.2">
      <c r="A312" s="99">
        <v>45352</v>
      </c>
      <c r="B312" s="82">
        <v>45374</v>
      </c>
      <c r="C312" s="88" t="s">
        <v>34</v>
      </c>
      <c r="D312" s="60" t="s">
        <v>461</v>
      </c>
      <c r="E312" s="60" t="s">
        <v>561</v>
      </c>
      <c r="F312" s="60" t="s">
        <v>508</v>
      </c>
      <c r="G312" s="72" t="s">
        <v>142</v>
      </c>
      <c r="H312" s="83">
        <v>0.33333333333333331</v>
      </c>
      <c r="I312" s="83">
        <v>0.60416666666666663</v>
      </c>
      <c r="J312" s="63">
        <v>0.27079999999999999</v>
      </c>
      <c r="K312" s="60" t="s">
        <v>113</v>
      </c>
      <c r="L312" s="135">
        <v>6.5</v>
      </c>
      <c r="N312" s="60"/>
      <c r="O312" s="91" t="s">
        <v>314</v>
      </c>
      <c r="P312" s="88">
        <v>5</v>
      </c>
      <c r="Q312" s="60"/>
      <c r="V312" s="86"/>
      <c r="Z312" s="100"/>
    </row>
    <row r="313" spans="1:26" ht="14.45" customHeight="1" x14ac:dyDescent="0.2">
      <c r="A313" s="99">
        <v>45352</v>
      </c>
      <c r="B313" s="82">
        <v>45374</v>
      </c>
      <c r="C313" s="88" t="s">
        <v>34</v>
      </c>
      <c r="D313" s="60" t="s">
        <v>481</v>
      </c>
      <c r="E313" s="60" t="s">
        <v>368</v>
      </c>
      <c r="F313" s="60" t="s">
        <v>564</v>
      </c>
      <c r="G313" s="72" t="s">
        <v>142</v>
      </c>
      <c r="H313" s="83">
        <v>0.33333333333333331</v>
      </c>
      <c r="I313" s="83">
        <v>0.66666666666666663</v>
      </c>
      <c r="J313" s="63">
        <v>0.27079999999999999</v>
      </c>
      <c r="K313" s="60" t="s">
        <v>113</v>
      </c>
      <c r="L313" s="135">
        <v>6.5</v>
      </c>
      <c r="N313" s="60"/>
      <c r="O313" s="91" t="s">
        <v>314</v>
      </c>
      <c r="P313" s="88">
        <v>5</v>
      </c>
      <c r="Q313" s="60"/>
      <c r="V313" s="86"/>
      <c r="Z313" s="100"/>
    </row>
    <row r="314" spans="1:26" x14ac:dyDescent="0.2">
      <c r="A314" s="99">
        <v>45352</v>
      </c>
      <c r="B314" s="82">
        <v>45375</v>
      </c>
      <c r="C314" s="60" t="s">
        <v>31</v>
      </c>
      <c r="D314" s="60" t="s">
        <v>830</v>
      </c>
      <c r="E314" s="60" t="s">
        <v>534</v>
      </c>
      <c r="F314" s="60" t="s">
        <v>535</v>
      </c>
      <c r="G314" s="72" t="s">
        <v>142</v>
      </c>
      <c r="H314" s="83">
        <v>0.39583333333333331</v>
      </c>
      <c r="I314" s="83">
        <v>0.66666666666666663</v>
      </c>
      <c r="J314" s="63">
        <f>I314-H314</f>
        <v>0.27083333333333331</v>
      </c>
      <c r="K314" s="88" t="s">
        <v>365</v>
      </c>
      <c r="L314" s="135">
        <f>24*J314</f>
        <v>6.5</v>
      </c>
      <c r="O314" s="85" t="s">
        <v>358</v>
      </c>
      <c r="P314" s="88">
        <v>4</v>
      </c>
      <c r="Q314" s="60" t="s">
        <v>472</v>
      </c>
      <c r="Z314" s="100"/>
    </row>
    <row r="315" spans="1:26" x14ac:dyDescent="0.2">
      <c r="A315" s="99">
        <v>45352</v>
      </c>
      <c r="B315" s="82">
        <v>45375</v>
      </c>
      <c r="C315" s="60" t="s">
        <v>31</v>
      </c>
      <c r="D315" s="60" t="s">
        <v>830</v>
      </c>
      <c r="E315" s="115" t="s">
        <v>567</v>
      </c>
      <c r="F315" s="60" t="s">
        <v>568</v>
      </c>
      <c r="G315" s="59" t="s">
        <v>142</v>
      </c>
      <c r="H315" s="83">
        <v>0.4375</v>
      </c>
      <c r="I315" s="83">
        <v>0.47916666666666669</v>
      </c>
      <c r="J315" s="63">
        <f>I315-H315</f>
        <v>4.1666666666666685E-2</v>
      </c>
      <c r="K315" s="88" t="s">
        <v>365</v>
      </c>
      <c r="L315" s="135">
        <f>24*J315</f>
        <v>1.0000000000000004</v>
      </c>
      <c r="O315" s="91" t="s">
        <v>820</v>
      </c>
      <c r="P315" s="88">
        <v>5</v>
      </c>
      <c r="Z315" s="100"/>
    </row>
    <row r="316" spans="1:26" ht="14.45" customHeight="1" x14ac:dyDescent="0.2">
      <c r="A316" s="99">
        <v>45352</v>
      </c>
      <c r="B316" s="82">
        <v>45375</v>
      </c>
      <c r="C316" s="60" t="s">
        <v>31</v>
      </c>
      <c r="D316" s="60" t="s">
        <v>481</v>
      </c>
      <c r="E316" s="115" t="s">
        <v>368</v>
      </c>
      <c r="F316" s="60" t="s">
        <v>564</v>
      </c>
      <c r="G316" s="72" t="s">
        <v>142</v>
      </c>
      <c r="H316" s="83">
        <v>0.375</v>
      </c>
      <c r="I316" s="83">
        <v>0.58333333333333337</v>
      </c>
      <c r="J316" s="63">
        <v>0.27079999999999999</v>
      </c>
      <c r="K316" s="60" t="s">
        <v>113</v>
      </c>
      <c r="L316" s="135">
        <v>6.5</v>
      </c>
      <c r="N316" s="60"/>
      <c r="O316" s="91" t="s">
        <v>314</v>
      </c>
      <c r="P316" s="88">
        <v>5</v>
      </c>
      <c r="Q316" s="60"/>
      <c r="V316" s="86"/>
      <c r="Z316" s="100"/>
    </row>
    <row r="317" spans="1:26" x14ac:dyDescent="0.2">
      <c r="A317" s="99">
        <v>45352</v>
      </c>
      <c r="B317" s="82">
        <v>45375</v>
      </c>
      <c r="C317" s="60" t="s">
        <v>31</v>
      </c>
      <c r="D317" s="60" t="s">
        <v>98</v>
      </c>
      <c r="E317" s="115" t="s">
        <v>569</v>
      </c>
      <c r="F317" s="60" t="s">
        <v>570</v>
      </c>
      <c r="G317" s="59" t="s">
        <v>142</v>
      </c>
      <c r="H317" s="83">
        <v>0.4375</v>
      </c>
      <c r="I317" s="83">
        <v>0.54166666666666663</v>
      </c>
      <c r="J317" s="63">
        <f>I317-H317</f>
        <v>0.10416666666666663</v>
      </c>
      <c r="K317" s="60" t="s">
        <v>365</v>
      </c>
      <c r="L317" s="134">
        <v>0.99999999999999911</v>
      </c>
      <c r="O317" s="91" t="s">
        <v>314</v>
      </c>
      <c r="P317" s="88">
        <v>5</v>
      </c>
      <c r="Q317" s="60"/>
      <c r="Z317" s="100"/>
    </row>
    <row r="318" spans="1:26" ht="14.45" customHeight="1" x14ac:dyDescent="0.2">
      <c r="A318" s="99">
        <v>45352</v>
      </c>
      <c r="B318" s="82">
        <v>45375</v>
      </c>
      <c r="C318" s="60" t="s">
        <v>31</v>
      </c>
      <c r="D318" s="60" t="s">
        <v>461</v>
      </c>
      <c r="E318" s="115" t="s">
        <v>561</v>
      </c>
      <c r="F318" s="60" t="s">
        <v>508</v>
      </c>
      <c r="G318" s="72" t="s">
        <v>142</v>
      </c>
      <c r="H318" s="83">
        <v>0.33333333333333331</v>
      </c>
      <c r="I318" s="83">
        <v>0.60416666666666663</v>
      </c>
      <c r="J318" s="63">
        <v>0.27079999999999999</v>
      </c>
      <c r="K318" s="60" t="s">
        <v>113</v>
      </c>
      <c r="L318" s="135">
        <v>6.5</v>
      </c>
      <c r="N318" s="60"/>
      <c r="O318" s="91" t="s">
        <v>359</v>
      </c>
      <c r="P318" s="88">
        <v>5</v>
      </c>
      <c r="Q318" s="60"/>
      <c r="V318" s="86"/>
      <c r="Z318" s="100"/>
    </row>
    <row r="319" spans="1:26" x14ac:dyDescent="0.2">
      <c r="A319" s="99">
        <v>45352</v>
      </c>
      <c r="B319" s="82">
        <v>45376</v>
      </c>
      <c r="C319" s="88" t="s">
        <v>45</v>
      </c>
      <c r="D319" s="60" t="s">
        <v>313</v>
      </c>
      <c r="E319" s="115" t="s">
        <v>350</v>
      </c>
      <c r="F319" s="60" t="s">
        <v>379</v>
      </c>
      <c r="G319" s="72" t="s">
        <v>142</v>
      </c>
      <c r="H319" s="83">
        <v>0.41666666666666669</v>
      </c>
      <c r="I319" s="83">
        <v>0.45833333333333331</v>
      </c>
      <c r="J319" s="63">
        <f>I319-H319</f>
        <v>4.166666666666663E-2</v>
      </c>
      <c r="K319" s="88" t="s">
        <v>365</v>
      </c>
      <c r="L319" s="135">
        <f>24*J319</f>
        <v>0.99999999999999911</v>
      </c>
      <c r="M319" s="60"/>
      <c r="N319" s="60"/>
      <c r="O319" s="91" t="s">
        <v>314</v>
      </c>
      <c r="P319" s="88">
        <v>5</v>
      </c>
      <c r="Q319" s="60"/>
      <c r="Z319" s="100"/>
    </row>
    <row r="320" spans="1:26" x14ac:dyDescent="0.2">
      <c r="A320" s="99">
        <v>45352</v>
      </c>
      <c r="B320" s="82">
        <v>45376</v>
      </c>
      <c r="C320" s="88" t="s">
        <v>45</v>
      </c>
      <c r="D320" s="60" t="s">
        <v>317</v>
      </c>
      <c r="E320" s="115" t="s">
        <v>571</v>
      </c>
      <c r="F320" s="96" t="s">
        <v>566</v>
      </c>
      <c r="G320" s="59" t="s">
        <v>142</v>
      </c>
      <c r="H320" s="83">
        <v>0.41666666666666669</v>
      </c>
      <c r="I320" s="83">
        <v>0.625</v>
      </c>
      <c r="J320" s="63">
        <f>I320-H320</f>
        <v>0.20833333333333331</v>
      </c>
      <c r="K320" s="88" t="s">
        <v>300</v>
      </c>
      <c r="L320" s="135">
        <f>24*J320</f>
        <v>5</v>
      </c>
      <c r="O320" s="91" t="s">
        <v>362</v>
      </c>
      <c r="P320" s="88">
        <v>5</v>
      </c>
      <c r="R320" s="88"/>
      <c r="U320" s="60"/>
      <c r="W320" s="60"/>
      <c r="X320" s="86"/>
      <c r="Z320" s="100"/>
    </row>
    <row r="321" spans="1:26" ht="14.45" customHeight="1" x14ac:dyDescent="0.2">
      <c r="A321" s="99">
        <v>45352</v>
      </c>
      <c r="B321" s="82">
        <v>45376</v>
      </c>
      <c r="C321" s="88" t="s">
        <v>45</v>
      </c>
      <c r="D321" s="60" t="s">
        <v>461</v>
      </c>
      <c r="E321" s="115" t="s">
        <v>561</v>
      </c>
      <c r="F321" s="60" t="s">
        <v>508</v>
      </c>
      <c r="G321" s="72" t="s">
        <v>142</v>
      </c>
      <c r="H321" s="83">
        <v>0.33333333333333331</v>
      </c>
      <c r="I321" s="83">
        <v>0.625</v>
      </c>
      <c r="J321" s="63">
        <v>0.27079999999999999</v>
      </c>
      <c r="K321" s="60" t="s">
        <v>113</v>
      </c>
      <c r="L321" s="135">
        <v>6.5</v>
      </c>
      <c r="N321" s="60"/>
      <c r="O321" s="91" t="s">
        <v>359</v>
      </c>
      <c r="P321" s="88">
        <v>5</v>
      </c>
      <c r="Q321" s="60"/>
      <c r="V321" s="86"/>
      <c r="Z321" s="100"/>
    </row>
    <row r="322" spans="1:26" x14ac:dyDescent="0.2">
      <c r="A322" s="99">
        <v>45352</v>
      </c>
      <c r="B322" s="82">
        <v>45376</v>
      </c>
      <c r="C322" s="88" t="s">
        <v>45</v>
      </c>
      <c r="D322" s="60" t="s">
        <v>830</v>
      </c>
      <c r="E322" s="115" t="s">
        <v>534</v>
      </c>
      <c r="F322" s="60" t="s">
        <v>535</v>
      </c>
      <c r="G322" s="72" t="s">
        <v>142</v>
      </c>
      <c r="H322" s="83">
        <v>0.39583333333333331</v>
      </c>
      <c r="I322" s="83">
        <v>0.66666666666666663</v>
      </c>
      <c r="J322" s="63">
        <f>I322-H322</f>
        <v>0.27083333333333331</v>
      </c>
      <c r="K322" s="88" t="s">
        <v>365</v>
      </c>
      <c r="L322" s="135">
        <f>24*J322</f>
        <v>6.5</v>
      </c>
      <c r="O322" s="85" t="s">
        <v>358</v>
      </c>
      <c r="P322" s="88">
        <v>5</v>
      </c>
      <c r="Q322" s="60"/>
      <c r="Z322" s="100"/>
    </row>
    <row r="323" spans="1:26" x14ac:dyDescent="0.2">
      <c r="A323" s="99">
        <v>45352</v>
      </c>
      <c r="B323" s="82">
        <v>45376</v>
      </c>
      <c r="C323" s="88" t="s">
        <v>45</v>
      </c>
      <c r="D323" s="60" t="s">
        <v>98</v>
      </c>
      <c r="E323" s="115" t="s">
        <v>353</v>
      </c>
      <c r="F323" s="60" t="s">
        <v>572</v>
      </c>
      <c r="G323" s="59" t="s">
        <v>142</v>
      </c>
      <c r="H323" s="83">
        <v>0.33333333333333331</v>
      </c>
      <c r="I323" s="83">
        <v>0</v>
      </c>
      <c r="J323" s="63">
        <f>I323-H323</f>
        <v>-0.33333333333333331</v>
      </c>
      <c r="K323" s="88" t="s">
        <v>365</v>
      </c>
      <c r="L323" s="134">
        <v>0.99999999999999911</v>
      </c>
      <c r="O323" s="91" t="s">
        <v>363</v>
      </c>
      <c r="P323" s="88">
        <v>5</v>
      </c>
      <c r="Q323" s="60"/>
      <c r="Z323" s="100"/>
    </row>
    <row r="324" spans="1:26" ht="14.45" customHeight="1" x14ac:dyDescent="0.2">
      <c r="A324" s="99">
        <v>45352</v>
      </c>
      <c r="B324" s="82">
        <v>45377</v>
      </c>
      <c r="C324" s="88" t="s">
        <v>106</v>
      </c>
      <c r="D324" s="60" t="s">
        <v>830</v>
      </c>
      <c r="E324" s="115" t="s">
        <v>534</v>
      </c>
      <c r="F324" s="60" t="s">
        <v>535</v>
      </c>
      <c r="G324" s="72" t="s">
        <v>142</v>
      </c>
      <c r="H324" s="83">
        <v>0.375</v>
      </c>
      <c r="I324" s="83">
        <v>0.58333333333333337</v>
      </c>
      <c r="J324" s="63">
        <f>I324-H324</f>
        <v>0.20833333333333337</v>
      </c>
      <c r="K324" s="88" t="s">
        <v>365</v>
      </c>
      <c r="L324" s="135">
        <f>24*J324</f>
        <v>5.0000000000000009</v>
      </c>
      <c r="O324" s="85" t="s">
        <v>358</v>
      </c>
      <c r="P324" s="88">
        <v>5</v>
      </c>
      <c r="Q324" s="60"/>
      <c r="Z324" s="100"/>
    </row>
    <row r="325" spans="1:26" ht="14.45" customHeight="1" x14ac:dyDescent="0.2">
      <c r="A325" s="99">
        <v>45352</v>
      </c>
      <c r="B325" s="82">
        <v>45377</v>
      </c>
      <c r="C325" s="88" t="s">
        <v>106</v>
      </c>
      <c r="D325" s="60" t="s">
        <v>461</v>
      </c>
      <c r="E325" s="115" t="s">
        <v>561</v>
      </c>
      <c r="F325" s="60" t="s">
        <v>573</v>
      </c>
      <c r="G325" s="72" t="s">
        <v>142</v>
      </c>
      <c r="H325" s="83">
        <v>0.58333333333333337</v>
      </c>
      <c r="I325" s="83">
        <v>0.625</v>
      </c>
      <c r="J325" s="63">
        <v>0.27079999999999999</v>
      </c>
      <c r="K325" s="88" t="s">
        <v>113</v>
      </c>
      <c r="L325" s="135">
        <v>6.5</v>
      </c>
      <c r="N325" s="60"/>
      <c r="O325" s="91" t="s">
        <v>363</v>
      </c>
      <c r="P325" s="88">
        <v>5</v>
      </c>
      <c r="Q325" s="60"/>
      <c r="V325" s="86"/>
      <c r="Z325" s="100"/>
    </row>
    <row r="326" spans="1:26" ht="14.45" customHeight="1" x14ac:dyDescent="0.2">
      <c r="A326" s="99">
        <v>45352</v>
      </c>
      <c r="B326" s="82">
        <v>45377</v>
      </c>
      <c r="C326" s="88" t="s">
        <v>106</v>
      </c>
      <c r="D326" s="60" t="s">
        <v>32</v>
      </c>
      <c r="E326" s="115" t="s">
        <v>388</v>
      </c>
      <c r="F326" s="60" t="s">
        <v>574</v>
      </c>
      <c r="G326" s="72" t="s">
        <v>142</v>
      </c>
      <c r="H326" s="83">
        <v>0.41666666666666669</v>
      </c>
      <c r="I326" s="83">
        <v>0</v>
      </c>
      <c r="J326" s="63">
        <v>0.27079999999999999</v>
      </c>
      <c r="K326" s="88" t="s">
        <v>365</v>
      </c>
      <c r="L326" s="135">
        <v>6.5</v>
      </c>
      <c r="N326" s="60"/>
      <c r="O326" s="91" t="s">
        <v>361</v>
      </c>
      <c r="P326" s="88">
        <v>5</v>
      </c>
      <c r="Q326" s="60"/>
      <c r="V326" s="86"/>
      <c r="Z326" s="100"/>
    </row>
    <row r="327" spans="1:26" ht="14.45" customHeight="1" x14ac:dyDescent="0.2">
      <c r="A327" s="99">
        <v>45352</v>
      </c>
      <c r="B327" s="82">
        <v>45378</v>
      </c>
      <c r="C327" s="60" t="s">
        <v>398</v>
      </c>
      <c r="D327" s="60" t="s">
        <v>461</v>
      </c>
      <c r="E327" s="115" t="s">
        <v>561</v>
      </c>
      <c r="F327" s="60" t="s">
        <v>573</v>
      </c>
      <c r="G327" s="72" t="s">
        <v>142</v>
      </c>
      <c r="H327" s="83">
        <v>0.41666666666666669</v>
      </c>
      <c r="I327" s="83">
        <v>0.625</v>
      </c>
      <c r="J327" s="63">
        <v>0.27079999999999999</v>
      </c>
      <c r="K327" s="88" t="s">
        <v>113</v>
      </c>
      <c r="L327" s="135">
        <v>6.5</v>
      </c>
      <c r="N327" s="60"/>
      <c r="O327" s="91" t="s">
        <v>363</v>
      </c>
      <c r="P327" s="88">
        <v>4</v>
      </c>
      <c r="Q327" s="60" t="s">
        <v>472</v>
      </c>
      <c r="V327" s="86"/>
      <c r="Z327" s="100"/>
    </row>
    <row r="328" spans="1:26" x14ac:dyDescent="0.2">
      <c r="A328" s="99">
        <v>45352</v>
      </c>
      <c r="B328" s="82">
        <v>45378</v>
      </c>
      <c r="C328" s="60" t="s">
        <v>398</v>
      </c>
      <c r="D328" s="60" t="s">
        <v>499</v>
      </c>
      <c r="E328" s="115" t="s">
        <v>505</v>
      </c>
      <c r="F328" s="96" t="s">
        <v>575</v>
      </c>
      <c r="G328" s="59" t="s">
        <v>142</v>
      </c>
      <c r="H328" s="83">
        <v>0.375</v>
      </c>
      <c r="I328" s="83">
        <v>0.5</v>
      </c>
      <c r="J328" s="63">
        <f>الجدول3[[#This Row],[ساعة الخروج]]-الجدول3[[#This Row],[ساعة الدخول ]]</f>
        <v>0.125</v>
      </c>
      <c r="K328" s="88" t="s">
        <v>300</v>
      </c>
      <c r="L328" s="135">
        <f t="shared" ref="L328:L346" si="18">24*J328</f>
        <v>3</v>
      </c>
      <c r="O328" s="91" t="s">
        <v>576</v>
      </c>
      <c r="P328" s="88">
        <v>5</v>
      </c>
      <c r="R328" s="88"/>
      <c r="U328" s="60"/>
      <c r="W328" s="60"/>
      <c r="X328" s="86"/>
      <c r="Z328" s="100"/>
    </row>
    <row r="329" spans="1:26" x14ac:dyDescent="0.2">
      <c r="A329" s="99">
        <v>45352</v>
      </c>
      <c r="B329" s="82">
        <v>45378</v>
      </c>
      <c r="C329" s="60" t="s">
        <v>398</v>
      </c>
      <c r="D329" s="60" t="s">
        <v>830</v>
      </c>
      <c r="E329" s="115" t="s">
        <v>534</v>
      </c>
      <c r="F329" s="60" t="s">
        <v>535</v>
      </c>
      <c r="G329" s="72" t="s">
        <v>142</v>
      </c>
      <c r="H329" s="83">
        <v>0.375</v>
      </c>
      <c r="I329" s="83">
        <v>0.58333333333333337</v>
      </c>
      <c r="J329" s="63">
        <f>I329-H329</f>
        <v>0.20833333333333337</v>
      </c>
      <c r="K329" s="88" t="s">
        <v>365</v>
      </c>
      <c r="L329" s="135">
        <f t="shared" si="18"/>
        <v>5.0000000000000009</v>
      </c>
      <c r="O329" s="85" t="s">
        <v>358</v>
      </c>
      <c r="P329" s="88">
        <v>5</v>
      </c>
      <c r="Q329" s="60"/>
      <c r="Z329" s="100"/>
    </row>
    <row r="330" spans="1:26" x14ac:dyDescent="0.2">
      <c r="A330" s="99">
        <v>45352</v>
      </c>
      <c r="B330" s="82">
        <v>45378</v>
      </c>
      <c r="C330" s="60" t="s">
        <v>398</v>
      </c>
      <c r="D330" s="60" t="s">
        <v>126</v>
      </c>
      <c r="E330" s="115" t="s">
        <v>352</v>
      </c>
      <c r="F330" s="60" t="s">
        <v>342</v>
      </c>
      <c r="G330" s="59" t="s">
        <v>142</v>
      </c>
      <c r="H330" s="83">
        <v>0.5</v>
      </c>
      <c r="I330" s="83">
        <v>0.54166666666666663</v>
      </c>
      <c r="J330" s="63">
        <f>I330-H330</f>
        <v>4.166666666666663E-2</v>
      </c>
      <c r="K330" s="88" t="s">
        <v>110</v>
      </c>
      <c r="L330" s="135">
        <f t="shared" si="18"/>
        <v>0.99999999999999911</v>
      </c>
      <c r="O330" s="91" t="s">
        <v>363</v>
      </c>
      <c r="P330" s="88">
        <v>4</v>
      </c>
      <c r="Q330" s="60" t="s">
        <v>472</v>
      </c>
      <c r="Z330" s="100"/>
    </row>
    <row r="331" spans="1:26" ht="14.45" customHeight="1" x14ac:dyDescent="0.2">
      <c r="A331" s="99">
        <v>45352</v>
      </c>
      <c r="B331" s="82">
        <v>45378</v>
      </c>
      <c r="C331" s="60" t="s">
        <v>398</v>
      </c>
      <c r="D331" s="60" t="s">
        <v>461</v>
      </c>
      <c r="E331" s="115" t="s">
        <v>561</v>
      </c>
      <c r="F331" s="60" t="s">
        <v>508</v>
      </c>
      <c r="G331" s="72" t="s">
        <v>142</v>
      </c>
      <c r="H331" s="83">
        <v>0.33333333333333331</v>
      </c>
      <c r="I331" s="83">
        <v>0.625</v>
      </c>
      <c r="J331" s="63">
        <v>0.27079999999999999</v>
      </c>
      <c r="K331" s="60" t="s">
        <v>113</v>
      </c>
      <c r="L331" s="135">
        <f t="shared" si="18"/>
        <v>6.4992000000000001</v>
      </c>
      <c r="N331" s="60"/>
      <c r="O331" s="91" t="s">
        <v>359</v>
      </c>
      <c r="P331" s="88">
        <v>5</v>
      </c>
      <c r="Q331" s="60"/>
      <c r="V331" s="86"/>
      <c r="Z331" s="100"/>
    </row>
    <row r="332" spans="1:26" x14ac:dyDescent="0.2">
      <c r="A332" s="99">
        <v>45352</v>
      </c>
      <c r="B332" s="82">
        <v>45379</v>
      </c>
      <c r="C332" s="82" t="s">
        <v>124</v>
      </c>
      <c r="D332" s="60" t="s">
        <v>98</v>
      </c>
      <c r="E332" s="115" t="s">
        <v>569</v>
      </c>
      <c r="F332" s="60" t="s">
        <v>577</v>
      </c>
      <c r="G332" s="59" t="s">
        <v>142</v>
      </c>
      <c r="H332" s="83">
        <v>0.4375</v>
      </c>
      <c r="I332" s="83">
        <v>0.58333333333333337</v>
      </c>
      <c r="J332" s="63">
        <f>I332-H332</f>
        <v>0.14583333333333337</v>
      </c>
      <c r="K332" s="60" t="s">
        <v>300</v>
      </c>
      <c r="L332" s="135">
        <f t="shared" si="18"/>
        <v>3.5000000000000009</v>
      </c>
      <c r="O332" s="85" t="s">
        <v>358</v>
      </c>
      <c r="P332" s="88">
        <v>4</v>
      </c>
      <c r="Q332" s="60" t="s">
        <v>472</v>
      </c>
      <c r="Z332" s="100"/>
    </row>
    <row r="333" spans="1:26" ht="14.45" customHeight="1" x14ac:dyDescent="0.2">
      <c r="A333" s="99">
        <v>45352</v>
      </c>
      <c r="B333" s="82">
        <v>45379</v>
      </c>
      <c r="C333" s="82" t="s">
        <v>124</v>
      </c>
      <c r="D333" s="60" t="s">
        <v>32</v>
      </c>
      <c r="E333" s="115" t="s">
        <v>579</v>
      </c>
      <c r="F333" s="60" t="s">
        <v>578</v>
      </c>
      <c r="G333" s="72" t="s">
        <v>142</v>
      </c>
      <c r="H333" s="83">
        <v>0.45833333333333331</v>
      </c>
      <c r="I333" s="83">
        <v>0</v>
      </c>
      <c r="J333" s="63">
        <v>0.27079999999999999</v>
      </c>
      <c r="K333" s="88" t="s">
        <v>365</v>
      </c>
      <c r="L333" s="135">
        <f t="shared" si="18"/>
        <v>6.4992000000000001</v>
      </c>
      <c r="N333" s="60"/>
      <c r="O333" s="91" t="s">
        <v>576</v>
      </c>
      <c r="P333" s="88">
        <v>5</v>
      </c>
      <c r="Q333" s="60"/>
      <c r="V333" s="86"/>
      <c r="Z333" s="100"/>
    </row>
    <row r="334" spans="1:26" ht="14.45" customHeight="1" x14ac:dyDescent="0.2">
      <c r="A334" s="99">
        <v>45352</v>
      </c>
      <c r="B334" s="82">
        <v>45379</v>
      </c>
      <c r="C334" s="82" t="s">
        <v>124</v>
      </c>
      <c r="D334" s="60" t="s">
        <v>461</v>
      </c>
      <c r="E334" s="115" t="s">
        <v>561</v>
      </c>
      <c r="F334" s="60" t="s">
        <v>508</v>
      </c>
      <c r="G334" s="72" t="s">
        <v>142</v>
      </c>
      <c r="H334" s="83">
        <v>0.33333333333333331</v>
      </c>
      <c r="I334" s="83">
        <v>0.625</v>
      </c>
      <c r="J334" s="63">
        <v>0.27079999999999999</v>
      </c>
      <c r="K334" s="60" t="s">
        <v>113</v>
      </c>
      <c r="L334" s="135">
        <f t="shared" si="18"/>
        <v>6.4992000000000001</v>
      </c>
      <c r="N334" s="60"/>
      <c r="O334" s="91" t="s">
        <v>314</v>
      </c>
      <c r="P334" s="88">
        <v>5</v>
      </c>
      <c r="Q334" s="60"/>
      <c r="V334" s="86"/>
      <c r="Z334" s="100"/>
    </row>
    <row r="335" spans="1:26" ht="14.45" customHeight="1" x14ac:dyDescent="0.2">
      <c r="A335" s="99">
        <v>45352</v>
      </c>
      <c r="B335" s="82">
        <v>45379</v>
      </c>
      <c r="C335" s="82" t="s">
        <v>124</v>
      </c>
      <c r="D335" s="60" t="s">
        <v>481</v>
      </c>
      <c r="E335" s="115" t="s">
        <v>368</v>
      </c>
      <c r="F335" s="60" t="s">
        <v>580</v>
      </c>
      <c r="G335" s="72" t="s">
        <v>142</v>
      </c>
      <c r="H335" s="83">
        <v>0.41666666666666669</v>
      </c>
      <c r="I335" s="83">
        <v>0.54166666666666663</v>
      </c>
      <c r="J335" s="63">
        <v>0.27079999999999999</v>
      </c>
      <c r="K335" s="60" t="s">
        <v>113</v>
      </c>
      <c r="L335" s="135">
        <f t="shared" si="18"/>
        <v>6.4992000000000001</v>
      </c>
      <c r="N335" s="60"/>
      <c r="O335" s="91" t="s">
        <v>314</v>
      </c>
      <c r="P335" s="88">
        <v>5</v>
      </c>
      <c r="Q335" s="60"/>
      <c r="V335" s="86"/>
      <c r="Z335" s="100"/>
    </row>
    <row r="336" spans="1:26" s="88" customFormat="1" x14ac:dyDescent="0.25">
      <c r="A336" s="99">
        <v>45352</v>
      </c>
      <c r="B336" s="82">
        <v>45381</v>
      </c>
      <c r="C336" s="88" t="s">
        <v>34</v>
      </c>
      <c r="D336" s="60" t="s">
        <v>122</v>
      </c>
      <c r="E336" s="115" t="s">
        <v>453</v>
      </c>
      <c r="F336" s="60" t="s">
        <v>581</v>
      </c>
      <c r="G336" s="72" t="s">
        <v>142</v>
      </c>
      <c r="H336" s="83">
        <v>0.47916666666666669</v>
      </c>
      <c r="I336" s="83">
        <v>0.64583333333333337</v>
      </c>
      <c r="J336" s="63">
        <f t="shared" ref="J336:J342" si="19">I336-H336</f>
        <v>0.16666666666666669</v>
      </c>
      <c r="K336" s="60" t="s">
        <v>295</v>
      </c>
      <c r="L336" s="135">
        <f t="shared" si="18"/>
        <v>4</v>
      </c>
      <c r="M336" s="60"/>
      <c r="N336" s="60"/>
      <c r="O336" s="91" t="s">
        <v>359</v>
      </c>
      <c r="P336" s="88">
        <v>5</v>
      </c>
      <c r="Q336" s="60"/>
      <c r="V336" s="94"/>
      <c r="X336" s="90"/>
      <c r="Z336" s="101"/>
    </row>
    <row r="337" spans="1:137" s="88" customFormat="1" x14ac:dyDescent="0.25">
      <c r="A337" s="99">
        <v>45352</v>
      </c>
      <c r="B337" s="82">
        <v>45381</v>
      </c>
      <c r="C337" s="88" t="s">
        <v>34</v>
      </c>
      <c r="D337" s="60" t="s">
        <v>122</v>
      </c>
      <c r="E337" s="115" t="s">
        <v>453</v>
      </c>
      <c r="F337" s="60" t="s">
        <v>582</v>
      </c>
      <c r="G337" s="72" t="s">
        <v>142</v>
      </c>
      <c r="H337" s="83">
        <v>0.41666666666666669</v>
      </c>
      <c r="I337" s="83">
        <v>0.66666666666666663</v>
      </c>
      <c r="J337" s="63">
        <f t="shared" si="19"/>
        <v>0.24999999999999994</v>
      </c>
      <c r="K337" s="60" t="s">
        <v>295</v>
      </c>
      <c r="L337" s="135">
        <f t="shared" si="18"/>
        <v>5.9999999999999982</v>
      </c>
      <c r="M337" s="60"/>
      <c r="N337" s="60"/>
      <c r="O337" s="91" t="s">
        <v>359</v>
      </c>
      <c r="P337" s="88">
        <v>5</v>
      </c>
      <c r="Q337" s="60"/>
      <c r="V337" s="94"/>
      <c r="X337" s="90"/>
      <c r="Z337" s="101"/>
    </row>
    <row r="338" spans="1:137" s="88" customFormat="1" x14ac:dyDescent="0.25">
      <c r="A338" s="99">
        <v>45352</v>
      </c>
      <c r="B338" s="82">
        <v>45381</v>
      </c>
      <c r="C338" s="88" t="s">
        <v>34</v>
      </c>
      <c r="D338" s="60" t="s">
        <v>122</v>
      </c>
      <c r="E338" s="115" t="s">
        <v>453</v>
      </c>
      <c r="F338" s="60" t="s">
        <v>583</v>
      </c>
      <c r="G338" s="72" t="s">
        <v>142</v>
      </c>
      <c r="H338" s="83">
        <v>0.4375</v>
      </c>
      <c r="I338" s="83">
        <v>0.64583333333333337</v>
      </c>
      <c r="J338" s="63">
        <f t="shared" si="19"/>
        <v>0.20833333333333337</v>
      </c>
      <c r="K338" s="60" t="s">
        <v>365</v>
      </c>
      <c r="L338" s="135">
        <f t="shared" si="18"/>
        <v>5.0000000000000009</v>
      </c>
      <c r="M338" s="60"/>
      <c r="N338" s="60"/>
      <c r="O338" s="91" t="s">
        <v>359</v>
      </c>
      <c r="P338" s="88">
        <v>5</v>
      </c>
      <c r="Q338" s="60"/>
      <c r="V338" s="94"/>
      <c r="X338" s="90"/>
      <c r="Z338" s="101"/>
    </row>
    <row r="339" spans="1:137" s="88" customFormat="1" x14ac:dyDescent="0.25">
      <c r="A339" s="99">
        <v>45352</v>
      </c>
      <c r="B339" s="82">
        <v>45382</v>
      </c>
      <c r="C339" s="60" t="s">
        <v>31</v>
      </c>
      <c r="D339" s="60" t="s">
        <v>98</v>
      </c>
      <c r="E339" s="115" t="s">
        <v>591</v>
      </c>
      <c r="F339" s="60" t="s">
        <v>592</v>
      </c>
      <c r="G339" s="72" t="s">
        <v>142</v>
      </c>
      <c r="H339" s="83">
        <v>0.41666666666666669</v>
      </c>
      <c r="I339" s="83">
        <v>0.54166666666666663</v>
      </c>
      <c r="J339" s="63">
        <f t="shared" si="19"/>
        <v>0.12499999999999994</v>
      </c>
      <c r="K339" s="60" t="s">
        <v>296</v>
      </c>
      <c r="L339" s="135">
        <f t="shared" si="18"/>
        <v>2.9999999999999987</v>
      </c>
      <c r="M339" s="60"/>
      <c r="N339" s="60"/>
      <c r="O339" s="85" t="s">
        <v>304</v>
      </c>
      <c r="P339" s="60">
        <v>5</v>
      </c>
      <c r="Q339" s="60"/>
      <c r="V339" s="94"/>
      <c r="X339" s="90"/>
      <c r="Z339" s="101"/>
    </row>
    <row r="340" spans="1:137" s="97" customFormat="1" x14ac:dyDescent="0.25">
      <c r="A340" s="99">
        <v>45352</v>
      </c>
      <c r="B340" s="82">
        <v>45382</v>
      </c>
      <c r="C340" s="60" t="s">
        <v>31</v>
      </c>
      <c r="D340" s="60" t="s">
        <v>461</v>
      </c>
      <c r="E340" s="115" t="s">
        <v>561</v>
      </c>
      <c r="F340" s="60" t="s">
        <v>584</v>
      </c>
      <c r="G340" s="72" t="s">
        <v>142</v>
      </c>
      <c r="H340" s="83">
        <v>0.45833333333333331</v>
      </c>
      <c r="I340" s="83">
        <v>0.54166666666666663</v>
      </c>
      <c r="J340" s="63">
        <f t="shared" si="19"/>
        <v>8.3333333333333315E-2</v>
      </c>
      <c r="K340" s="88" t="s">
        <v>113</v>
      </c>
      <c r="L340" s="135">
        <f t="shared" si="18"/>
        <v>1.9999999999999996</v>
      </c>
      <c r="M340" s="60"/>
      <c r="N340" s="60"/>
      <c r="O340" s="88" t="s">
        <v>363</v>
      </c>
      <c r="P340" s="88">
        <v>5</v>
      </c>
      <c r="Q340" s="60"/>
      <c r="R340" s="88"/>
      <c r="S340" s="88"/>
      <c r="T340" s="88"/>
      <c r="U340" s="88"/>
      <c r="V340" s="94"/>
      <c r="W340" s="88"/>
      <c r="X340" s="90"/>
      <c r="Y340" s="88"/>
      <c r="Z340" s="101"/>
      <c r="AA340" s="88"/>
      <c r="AB340" s="88"/>
      <c r="AC340" s="88"/>
      <c r="AD340" s="88"/>
      <c r="AE340" s="88"/>
      <c r="AF340" s="88"/>
      <c r="AG340" s="88"/>
      <c r="AH340" s="88"/>
      <c r="AI340" s="88"/>
      <c r="AJ340" s="88"/>
      <c r="AK340" s="88"/>
      <c r="AL340" s="88"/>
      <c r="AM340" s="88"/>
      <c r="AN340" s="88"/>
      <c r="AO340" s="88"/>
      <c r="AP340" s="88"/>
      <c r="AQ340" s="88"/>
      <c r="AR340" s="88"/>
      <c r="AS340" s="88"/>
      <c r="AT340" s="88"/>
      <c r="AU340" s="88"/>
      <c r="AV340" s="88"/>
      <c r="AW340" s="88"/>
      <c r="AX340" s="88"/>
      <c r="AY340" s="88"/>
      <c r="AZ340" s="88"/>
      <c r="BA340" s="88"/>
      <c r="BB340" s="88"/>
      <c r="BC340" s="88"/>
      <c r="BD340" s="88"/>
      <c r="BE340" s="88"/>
      <c r="BF340" s="88"/>
      <c r="BG340" s="88"/>
      <c r="BH340" s="88"/>
      <c r="BI340" s="88"/>
      <c r="BJ340" s="88"/>
      <c r="BK340" s="88"/>
      <c r="BL340" s="88"/>
      <c r="BM340" s="88"/>
      <c r="BN340" s="88"/>
      <c r="BO340" s="88"/>
      <c r="BP340" s="88"/>
      <c r="BQ340" s="88"/>
      <c r="BR340" s="88"/>
      <c r="BS340" s="88"/>
      <c r="BT340" s="88"/>
      <c r="BU340" s="88"/>
      <c r="BV340" s="88"/>
      <c r="BW340" s="88"/>
      <c r="BX340" s="88"/>
      <c r="BY340" s="88"/>
      <c r="BZ340" s="88"/>
      <c r="CA340" s="88"/>
      <c r="CB340" s="88"/>
      <c r="CC340" s="88"/>
      <c r="CD340" s="88"/>
      <c r="CE340" s="88"/>
      <c r="CF340" s="88"/>
      <c r="CG340" s="88"/>
      <c r="CH340" s="88"/>
      <c r="CI340" s="88"/>
      <c r="CJ340" s="88"/>
      <c r="CK340" s="88"/>
      <c r="CL340" s="88"/>
      <c r="CM340" s="88"/>
      <c r="CN340" s="88"/>
      <c r="CO340" s="88"/>
      <c r="CP340" s="88"/>
      <c r="CQ340" s="88"/>
      <c r="CR340" s="88"/>
      <c r="CS340" s="88"/>
      <c r="CT340" s="88"/>
      <c r="CU340" s="88"/>
      <c r="CV340" s="88"/>
      <c r="CW340" s="88"/>
      <c r="CX340" s="88"/>
      <c r="CY340" s="88"/>
      <c r="CZ340" s="88"/>
      <c r="DA340" s="88"/>
      <c r="DB340" s="88"/>
      <c r="DC340" s="88"/>
      <c r="DD340" s="88"/>
      <c r="DE340" s="88"/>
      <c r="DF340" s="88"/>
      <c r="DG340" s="88"/>
      <c r="DH340" s="88"/>
      <c r="DI340" s="88"/>
      <c r="DJ340" s="88"/>
      <c r="DK340" s="88"/>
      <c r="DL340" s="88"/>
      <c r="DM340" s="88"/>
      <c r="DN340" s="88"/>
      <c r="DO340" s="88"/>
      <c r="DP340" s="88"/>
      <c r="DQ340" s="88"/>
      <c r="DR340" s="88"/>
      <c r="DS340" s="88"/>
      <c r="DT340" s="88"/>
      <c r="DU340" s="88"/>
      <c r="DV340" s="88"/>
      <c r="DW340" s="88"/>
      <c r="DX340" s="88"/>
      <c r="DY340" s="88"/>
      <c r="DZ340" s="88"/>
      <c r="EA340" s="88"/>
      <c r="EB340" s="88"/>
      <c r="EC340" s="88"/>
      <c r="ED340" s="88"/>
      <c r="EE340" s="88"/>
      <c r="EF340" s="88"/>
      <c r="EG340" s="88"/>
    </row>
    <row r="341" spans="1:137" s="97" customFormat="1" x14ac:dyDescent="0.25">
      <c r="A341" s="99">
        <v>45352</v>
      </c>
      <c r="B341" s="82">
        <v>45382</v>
      </c>
      <c r="C341" s="60" t="s">
        <v>31</v>
      </c>
      <c r="D341" s="60" t="s">
        <v>32</v>
      </c>
      <c r="E341" s="115" t="s">
        <v>388</v>
      </c>
      <c r="F341" s="60" t="s">
        <v>585</v>
      </c>
      <c r="G341" s="72" t="s">
        <v>142</v>
      </c>
      <c r="H341" s="83">
        <v>0.5</v>
      </c>
      <c r="I341" s="83">
        <v>0.625</v>
      </c>
      <c r="J341" s="63">
        <f t="shared" si="19"/>
        <v>0.125</v>
      </c>
      <c r="K341" s="60" t="s">
        <v>365</v>
      </c>
      <c r="L341" s="135">
        <f t="shared" si="18"/>
        <v>3</v>
      </c>
      <c r="M341" s="60"/>
      <c r="N341" s="60"/>
      <c r="O341" s="60" t="s">
        <v>576</v>
      </c>
      <c r="P341" s="88">
        <v>5</v>
      </c>
      <c r="Q341" s="60"/>
      <c r="R341" s="88"/>
      <c r="S341" s="88"/>
      <c r="T341" s="88"/>
      <c r="U341" s="88"/>
      <c r="V341" s="94"/>
      <c r="W341" s="88"/>
      <c r="X341" s="90"/>
      <c r="Y341" s="88"/>
      <c r="Z341" s="101"/>
      <c r="AA341" s="88"/>
      <c r="AB341" s="88"/>
      <c r="AC341" s="88"/>
      <c r="AD341" s="88"/>
      <c r="AE341" s="88"/>
      <c r="AF341" s="88"/>
      <c r="AG341" s="88"/>
      <c r="AH341" s="88"/>
      <c r="AI341" s="88"/>
      <c r="AJ341" s="88"/>
      <c r="AK341" s="88"/>
      <c r="AL341" s="88"/>
      <c r="AM341" s="88"/>
      <c r="AN341" s="88"/>
      <c r="AO341" s="88"/>
      <c r="AP341" s="88"/>
      <c r="AQ341" s="88"/>
      <c r="AR341" s="88"/>
      <c r="AS341" s="88"/>
      <c r="AT341" s="88"/>
      <c r="AU341" s="88"/>
      <c r="AV341" s="88"/>
      <c r="AW341" s="88"/>
      <c r="AX341" s="88"/>
      <c r="AY341" s="88"/>
      <c r="AZ341" s="88"/>
      <c r="BA341" s="88"/>
      <c r="BB341" s="88"/>
      <c r="BC341" s="88"/>
      <c r="BD341" s="88"/>
      <c r="BE341" s="88"/>
      <c r="BF341" s="88"/>
      <c r="BG341" s="88"/>
      <c r="BH341" s="88"/>
      <c r="BI341" s="88"/>
      <c r="BJ341" s="88"/>
      <c r="BK341" s="88"/>
      <c r="BL341" s="88"/>
      <c r="BM341" s="88"/>
      <c r="BN341" s="88"/>
      <c r="BO341" s="88"/>
      <c r="BP341" s="88"/>
      <c r="BQ341" s="88"/>
      <c r="BR341" s="88"/>
      <c r="BS341" s="88"/>
      <c r="BT341" s="88"/>
      <c r="BU341" s="88"/>
      <c r="BV341" s="88"/>
      <c r="BW341" s="88"/>
      <c r="BX341" s="88"/>
      <c r="BY341" s="88"/>
      <c r="BZ341" s="88"/>
      <c r="CA341" s="88"/>
      <c r="CB341" s="88"/>
      <c r="CC341" s="88"/>
      <c r="CD341" s="88"/>
      <c r="CE341" s="88"/>
      <c r="CF341" s="88"/>
      <c r="CG341" s="88"/>
      <c r="CH341" s="88"/>
      <c r="CI341" s="88"/>
      <c r="CJ341" s="88"/>
      <c r="CK341" s="88"/>
      <c r="CL341" s="88"/>
      <c r="CM341" s="88"/>
      <c r="CN341" s="88"/>
      <c r="CO341" s="88"/>
      <c r="CP341" s="88"/>
      <c r="CQ341" s="88"/>
      <c r="CR341" s="88"/>
      <c r="CS341" s="88"/>
      <c r="CT341" s="88"/>
      <c r="CU341" s="88"/>
      <c r="CV341" s="88"/>
      <c r="CW341" s="88"/>
      <c r="CX341" s="88"/>
      <c r="CY341" s="88"/>
      <c r="CZ341" s="88"/>
      <c r="DA341" s="88"/>
      <c r="DB341" s="88"/>
      <c r="DC341" s="88"/>
      <c r="DD341" s="88"/>
      <c r="DE341" s="88"/>
      <c r="DF341" s="88"/>
      <c r="DG341" s="88"/>
      <c r="DH341" s="88"/>
      <c r="DI341" s="88"/>
      <c r="DJ341" s="88"/>
      <c r="DK341" s="88"/>
      <c r="DL341" s="88"/>
      <c r="DM341" s="88"/>
      <c r="DN341" s="88"/>
      <c r="DO341" s="88"/>
      <c r="DP341" s="88"/>
      <c r="DQ341" s="88"/>
      <c r="DR341" s="88"/>
      <c r="DS341" s="88"/>
      <c r="DT341" s="88"/>
      <c r="DU341" s="88"/>
      <c r="DV341" s="88"/>
      <c r="DW341" s="88"/>
      <c r="DX341" s="88"/>
      <c r="DY341" s="88"/>
      <c r="DZ341" s="88"/>
      <c r="EA341" s="88"/>
      <c r="EB341" s="88"/>
      <c r="EC341" s="88"/>
      <c r="ED341" s="88"/>
      <c r="EE341" s="88"/>
      <c r="EF341" s="88"/>
      <c r="EG341" s="88"/>
    </row>
    <row r="342" spans="1:137" s="97" customFormat="1" x14ac:dyDescent="0.25">
      <c r="A342" s="99">
        <v>45352</v>
      </c>
      <c r="B342" s="82">
        <v>45382</v>
      </c>
      <c r="C342" s="60" t="s">
        <v>31</v>
      </c>
      <c r="D342" s="60" t="s">
        <v>461</v>
      </c>
      <c r="E342" s="115" t="s">
        <v>561</v>
      </c>
      <c r="F342" s="60" t="s">
        <v>508</v>
      </c>
      <c r="G342" s="72" t="s">
        <v>142</v>
      </c>
      <c r="H342" s="83">
        <v>0.33333333333333331</v>
      </c>
      <c r="I342" s="83">
        <v>0.58333333333333337</v>
      </c>
      <c r="J342" s="63">
        <f t="shared" si="19"/>
        <v>0.25000000000000006</v>
      </c>
      <c r="K342" s="60" t="s">
        <v>113</v>
      </c>
      <c r="L342" s="135">
        <f t="shared" si="18"/>
        <v>6.0000000000000018</v>
      </c>
      <c r="M342" s="60"/>
      <c r="N342" s="60"/>
      <c r="O342" s="60" t="s">
        <v>361</v>
      </c>
      <c r="P342" s="88">
        <v>5</v>
      </c>
      <c r="Q342" s="60"/>
      <c r="R342" s="88"/>
      <c r="S342" s="88"/>
      <c r="T342" s="88"/>
      <c r="U342" s="88"/>
      <c r="V342" s="94"/>
      <c r="W342" s="88"/>
      <c r="X342" s="90"/>
      <c r="Y342" s="88"/>
      <c r="Z342" s="101"/>
      <c r="AA342" s="88"/>
      <c r="AB342" s="88"/>
      <c r="AC342" s="88"/>
      <c r="AD342" s="88"/>
      <c r="AE342" s="88"/>
      <c r="AF342" s="88"/>
      <c r="AG342" s="88"/>
      <c r="AH342" s="88"/>
      <c r="AI342" s="88"/>
      <c r="AJ342" s="88"/>
      <c r="AK342" s="88"/>
      <c r="AL342" s="88"/>
      <c r="AM342" s="88"/>
      <c r="AN342" s="88"/>
      <c r="AO342" s="88"/>
      <c r="AP342" s="88"/>
      <c r="AQ342" s="88"/>
      <c r="AR342" s="88"/>
      <c r="AS342" s="88"/>
      <c r="AT342" s="88"/>
      <c r="AU342" s="88"/>
      <c r="AV342" s="88"/>
      <c r="AW342" s="88"/>
      <c r="AX342" s="88"/>
      <c r="AY342" s="88"/>
      <c r="AZ342" s="88"/>
      <c r="BA342" s="88"/>
      <c r="BB342" s="88"/>
      <c r="BC342" s="88"/>
      <c r="BD342" s="88"/>
      <c r="BE342" s="88"/>
      <c r="BF342" s="88"/>
      <c r="BG342" s="88"/>
      <c r="BH342" s="88"/>
      <c r="BI342" s="88"/>
      <c r="BJ342" s="88"/>
      <c r="BK342" s="88"/>
      <c r="BL342" s="88"/>
      <c r="BM342" s="88"/>
      <c r="BN342" s="88"/>
      <c r="BO342" s="88"/>
      <c r="BP342" s="88"/>
      <c r="BQ342" s="88"/>
      <c r="BR342" s="88"/>
      <c r="BS342" s="88"/>
      <c r="BT342" s="88"/>
      <c r="BU342" s="88"/>
      <c r="BV342" s="88"/>
      <c r="BW342" s="88"/>
      <c r="BX342" s="88"/>
      <c r="BY342" s="88"/>
      <c r="BZ342" s="88"/>
      <c r="CA342" s="88"/>
      <c r="CB342" s="88"/>
      <c r="CC342" s="88"/>
      <c r="CD342" s="88"/>
      <c r="CE342" s="88"/>
      <c r="CF342" s="88"/>
      <c r="CG342" s="88"/>
      <c r="CH342" s="88"/>
      <c r="CI342" s="88"/>
      <c r="CJ342" s="88"/>
      <c r="CK342" s="88"/>
      <c r="CL342" s="88"/>
      <c r="CM342" s="88"/>
      <c r="CN342" s="88"/>
      <c r="CO342" s="88"/>
      <c r="CP342" s="88"/>
      <c r="CQ342" s="88"/>
      <c r="CR342" s="88"/>
      <c r="CS342" s="88"/>
      <c r="CT342" s="88"/>
      <c r="CU342" s="88"/>
      <c r="CV342" s="88"/>
      <c r="CW342" s="88"/>
      <c r="CX342" s="88"/>
      <c r="CY342" s="88"/>
      <c r="CZ342" s="88"/>
      <c r="DA342" s="88"/>
      <c r="DB342" s="88"/>
      <c r="DC342" s="88"/>
      <c r="DD342" s="88"/>
      <c r="DE342" s="88"/>
      <c r="DF342" s="88"/>
      <c r="DG342" s="88"/>
      <c r="DH342" s="88"/>
      <c r="DI342" s="88"/>
      <c r="DJ342" s="88"/>
      <c r="DK342" s="88"/>
      <c r="DL342" s="88"/>
      <c r="DM342" s="88"/>
      <c r="DN342" s="88"/>
      <c r="DO342" s="88"/>
      <c r="DP342" s="88"/>
      <c r="DQ342" s="88"/>
      <c r="DR342" s="88"/>
      <c r="DS342" s="88"/>
      <c r="DT342" s="88"/>
      <c r="DU342" s="88"/>
      <c r="DV342" s="88"/>
      <c r="DW342" s="88"/>
      <c r="DX342" s="88"/>
      <c r="DY342" s="88"/>
      <c r="DZ342" s="88"/>
      <c r="EA342" s="88"/>
      <c r="EB342" s="88"/>
      <c r="EC342" s="88"/>
      <c r="ED342" s="88"/>
      <c r="EE342" s="88"/>
      <c r="EF342" s="88"/>
      <c r="EG342" s="88"/>
    </row>
    <row r="343" spans="1:137" s="16" customFormat="1" ht="14.45" customHeight="1" x14ac:dyDescent="0.2">
      <c r="A343" s="99">
        <v>45383</v>
      </c>
      <c r="B343" s="82">
        <v>45383</v>
      </c>
      <c r="C343" s="88" t="s">
        <v>45</v>
      </c>
      <c r="D343" s="60" t="s">
        <v>830</v>
      </c>
      <c r="E343" s="115" t="s">
        <v>586</v>
      </c>
      <c r="F343" s="60" t="s">
        <v>909</v>
      </c>
      <c r="G343" s="72" t="s">
        <v>142</v>
      </c>
      <c r="H343" s="83">
        <v>0.45833333333333331</v>
      </c>
      <c r="I343" s="83">
        <v>0</v>
      </c>
      <c r="J343" s="63">
        <v>0.27079999999999999</v>
      </c>
      <c r="K343" s="88" t="s">
        <v>110</v>
      </c>
      <c r="L343" s="135">
        <f t="shared" si="18"/>
        <v>6.4992000000000001</v>
      </c>
      <c r="M343" s="61"/>
      <c r="N343" s="60"/>
      <c r="O343" s="88" t="s">
        <v>363</v>
      </c>
      <c r="P343" s="88">
        <v>4</v>
      </c>
      <c r="Q343" s="60" t="s">
        <v>472</v>
      </c>
      <c r="R343" s="61"/>
      <c r="S343" s="61"/>
      <c r="T343" s="61"/>
      <c r="U343" s="61"/>
      <c r="V343" s="92"/>
      <c r="W343" s="61"/>
      <c r="X343" s="89"/>
      <c r="Y343" s="61"/>
      <c r="Z343" s="100"/>
      <c r="AA343" s="61"/>
      <c r="AB343" s="61"/>
      <c r="AC343" s="61"/>
      <c r="AD343" s="61"/>
      <c r="AE343" s="61"/>
      <c r="AF343" s="61"/>
      <c r="AG343" s="61"/>
      <c r="AH343" s="61"/>
      <c r="AI343" s="61"/>
      <c r="AJ343" s="61"/>
      <c r="AK343" s="61"/>
      <c r="AL343" s="61"/>
      <c r="AM343" s="61"/>
      <c r="AN343" s="61"/>
      <c r="AO343" s="61"/>
      <c r="AP343" s="61"/>
      <c r="AQ343" s="61"/>
      <c r="AR343" s="61"/>
      <c r="AS343" s="61"/>
      <c r="AT343" s="61"/>
      <c r="AU343" s="61"/>
      <c r="AV343" s="61"/>
      <c r="AW343" s="61"/>
      <c r="AX343" s="61"/>
      <c r="AY343" s="61"/>
      <c r="AZ343" s="61"/>
      <c r="BA343" s="61"/>
      <c r="BB343" s="61"/>
      <c r="BC343" s="61"/>
      <c r="BD343" s="61"/>
      <c r="BE343" s="61"/>
      <c r="BF343" s="61"/>
      <c r="BG343" s="61"/>
      <c r="BH343" s="61"/>
      <c r="BI343" s="61"/>
      <c r="BJ343" s="61"/>
      <c r="BK343" s="61"/>
      <c r="BL343" s="61"/>
      <c r="BM343" s="61"/>
      <c r="BN343" s="61"/>
      <c r="BO343" s="61"/>
      <c r="BP343" s="61"/>
      <c r="BQ343" s="61"/>
      <c r="BR343" s="61"/>
      <c r="BS343" s="61"/>
      <c r="BT343" s="61"/>
      <c r="BU343" s="61"/>
      <c r="BV343" s="61"/>
      <c r="BW343" s="61"/>
      <c r="BX343" s="61"/>
      <c r="BY343" s="61"/>
      <c r="BZ343" s="61"/>
      <c r="CA343" s="61"/>
      <c r="CB343" s="61"/>
      <c r="CC343" s="61"/>
      <c r="CD343" s="61"/>
      <c r="CE343" s="61"/>
      <c r="CF343" s="61"/>
      <c r="CG343" s="61"/>
      <c r="CH343" s="61"/>
      <c r="CI343" s="61"/>
      <c r="CJ343" s="61"/>
      <c r="CK343" s="61"/>
      <c r="CL343" s="61"/>
      <c r="CM343" s="61"/>
      <c r="CN343" s="61"/>
      <c r="CO343" s="61"/>
      <c r="CP343" s="61"/>
      <c r="CQ343" s="61"/>
      <c r="CR343" s="61"/>
      <c r="CS343" s="61"/>
      <c r="CT343" s="61"/>
      <c r="CU343" s="61"/>
      <c r="CV343" s="61"/>
      <c r="CW343" s="61"/>
      <c r="CX343" s="61"/>
      <c r="CY343" s="61"/>
      <c r="CZ343" s="61"/>
      <c r="DA343" s="61"/>
      <c r="DB343" s="61"/>
      <c r="DC343" s="61"/>
      <c r="DD343" s="61"/>
      <c r="DE343" s="61"/>
      <c r="DF343" s="61"/>
      <c r="DG343" s="61"/>
      <c r="DH343" s="61"/>
      <c r="DI343" s="61"/>
      <c r="DJ343" s="61"/>
      <c r="DK343" s="61"/>
      <c r="DL343" s="61"/>
      <c r="DM343" s="61"/>
      <c r="DN343" s="61"/>
      <c r="DO343" s="61"/>
      <c r="DP343" s="61"/>
      <c r="DQ343" s="61"/>
      <c r="DR343" s="61"/>
      <c r="DS343" s="61"/>
      <c r="DT343" s="61"/>
      <c r="DU343" s="61"/>
      <c r="DV343" s="61"/>
      <c r="DW343" s="61"/>
      <c r="DX343" s="61"/>
      <c r="DY343" s="61"/>
      <c r="DZ343" s="61"/>
      <c r="EA343" s="61"/>
      <c r="EB343" s="61"/>
      <c r="EC343" s="61"/>
      <c r="ED343" s="61"/>
      <c r="EE343" s="61"/>
      <c r="EF343" s="61"/>
      <c r="EG343" s="61"/>
    </row>
    <row r="344" spans="1:137" s="88" customFormat="1" x14ac:dyDescent="0.25">
      <c r="A344" s="99">
        <v>45383</v>
      </c>
      <c r="B344" s="82">
        <v>45384</v>
      </c>
      <c r="C344" s="88" t="s">
        <v>45</v>
      </c>
      <c r="D344" s="60" t="s">
        <v>98</v>
      </c>
      <c r="E344" s="115" t="s">
        <v>594</v>
      </c>
      <c r="F344" s="60" t="s">
        <v>595</v>
      </c>
      <c r="G344" s="72" t="s">
        <v>142</v>
      </c>
      <c r="H344" s="83">
        <v>0.625</v>
      </c>
      <c r="I344" s="83">
        <v>0.875</v>
      </c>
      <c r="J344" s="63">
        <f>I344-H344</f>
        <v>0.25</v>
      </c>
      <c r="K344" s="60" t="s">
        <v>365</v>
      </c>
      <c r="L344" s="135">
        <f t="shared" si="18"/>
        <v>6</v>
      </c>
      <c r="M344" s="60"/>
      <c r="N344" s="60"/>
      <c r="O344" s="85" t="s">
        <v>304</v>
      </c>
      <c r="P344" s="60">
        <v>5</v>
      </c>
      <c r="Q344" s="60"/>
      <c r="V344" s="94"/>
      <c r="X344" s="90"/>
      <c r="Z344" s="101"/>
    </row>
    <row r="345" spans="1:137" s="97" customFormat="1" x14ac:dyDescent="0.25">
      <c r="A345" s="99">
        <v>45383</v>
      </c>
      <c r="B345" s="82">
        <v>45383</v>
      </c>
      <c r="C345" s="88" t="s">
        <v>45</v>
      </c>
      <c r="D345" s="60" t="s">
        <v>461</v>
      </c>
      <c r="E345" s="115" t="s">
        <v>561</v>
      </c>
      <c r="F345" s="60" t="s">
        <v>587</v>
      </c>
      <c r="G345" s="72" t="s">
        <v>142</v>
      </c>
      <c r="H345" s="83">
        <v>0.58333333333333337</v>
      </c>
      <c r="I345" s="83">
        <v>0.625</v>
      </c>
      <c r="J345" s="63">
        <f>I345-H345</f>
        <v>4.166666666666663E-2</v>
      </c>
      <c r="K345" s="88" t="s">
        <v>113</v>
      </c>
      <c r="L345" s="135">
        <f t="shared" si="18"/>
        <v>0.99999999999999911</v>
      </c>
      <c r="M345" s="60"/>
      <c r="N345" s="60"/>
      <c r="O345" s="88" t="s">
        <v>363</v>
      </c>
      <c r="P345" s="88">
        <v>5</v>
      </c>
      <c r="Q345" s="60"/>
      <c r="R345" s="88"/>
      <c r="S345" s="88"/>
      <c r="T345" s="88"/>
      <c r="U345" s="88"/>
      <c r="V345" s="94"/>
      <c r="W345" s="88"/>
      <c r="X345" s="90"/>
      <c r="Y345" s="88"/>
      <c r="Z345" s="101"/>
      <c r="AA345" s="88"/>
      <c r="AB345" s="88"/>
      <c r="AC345" s="88"/>
      <c r="AD345" s="88"/>
      <c r="AE345" s="88"/>
      <c r="AF345" s="88"/>
      <c r="AG345" s="88"/>
      <c r="AH345" s="88"/>
      <c r="AI345" s="88"/>
      <c r="AJ345" s="88"/>
      <c r="AK345" s="88"/>
      <c r="AL345" s="88"/>
      <c r="AM345" s="88"/>
      <c r="AN345" s="88"/>
      <c r="AO345" s="88"/>
      <c r="AP345" s="88"/>
      <c r="AQ345" s="88"/>
      <c r="AR345" s="88"/>
      <c r="AS345" s="88"/>
      <c r="AT345" s="88"/>
      <c r="AU345" s="88"/>
      <c r="AV345" s="88"/>
      <c r="AW345" s="88"/>
      <c r="AX345" s="88"/>
      <c r="AY345" s="88"/>
      <c r="AZ345" s="88"/>
      <c r="BA345" s="88"/>
      <c r="BB345" s="88"/>
      <c r="BC345" s="88"/>
      <c r="BD345" s="88"/>
      <c r="BE345" s="88"/>
      <c r="BF345" s="88"/>
      <c r="BG345" s="88"/>
      <c r="BH345" s="88"/>
      <c r="BI345" s="88"/>
      <c r="BJ345" s="88"/>
      <c r="BK345" s="88"/>
      <c r="BL345" s="88"/>
      <c r="BM345" s="88"/>
      <c r="BN345" s="88"/>
      <c r="BO345" s="88"/>
      <c r="BP345" s="88"/>
      <c r="BQ345" s="88"/>
      <c r="BR345" s="88"/>
      <c r="BS345" s="88"/>
      <c r="BT345" s="88"/>
      <c r="BU345" s="88"/>
      <c r="BV345" s="88"/>
      <c r="BW345" s="88"/>
      <c r="BX345" s="88"/>
      <c r="BY345" s="88"/>
      <c r="BZ345" s="88"/>
      <c r="CA345" s="88"/>
      <c r="CB345" s="88"/>
      <c r="CC345" s="88"/>
      <c r="CD345" s="88"/>
      <c r="CE345" s="88"/>
      <c r="CF345" s="88"/>
      <c r="CG345" s="88"/>
      <c r="CH345" s="88"/>
      <c r="CI345" s="88"/>
      <c r="CJ345" s="88"/>
      <c r="CK345" s="88"/>
      <c r="CL345" s="88"/>
      <c r="CM345" s="88"/>
      <c r="CN345" s="88"/>
      <c r="CO345" s="88"/>
      <c r="CP345" s="88"/>
      <c r="CQ345" s="88"/>
      <c r="CR345" s="88"/>
      <c r="CS345" s="88"/>
      <c r="CT345" s="88"/>
      <c r="CU345" s="88"/>
      <c r="CV345" s="88"/>
      <c r="CW345" s="88"/>
      <c r="CX345" s="88"/>
      <c r="CY345" s="88"/>
      <c r="CZ345" s="88"/>
      <c r="DA345" s="88"/>
      <c r="DB345" s="88"/>
      <c r="DC345" s="88"/>
      <c r="DD345" s="88"/>
      <c r="DE345" s="88"/>
      <c r="DF345" s="88"/>
      <c r="DG345" s="88"/>
      <c r="DH345" s="88"/>
      <c r="DI345" s="88"/>
      <c r="DJ345" s="88"/>
      <c r="DK345" s="88"/>
      <c r="DL345" s="88"/>
      <c r="DM345" s="88"/>
      <c r="DN345" s="88"/>
      <c r="DO345" s="88"/>
      <c r="DP345" s="88"/>
      <c r="DQ345" s="88"/>
      <c r="DR345" s="88"/>
      <c r="DS345" s="88"/>
      <c r="DT345" s="88"/>
      <c r="DU345" s="88"/>
      <c r="DV345" s="88"/>
      <c r="DW345" s="88"/>
      <c r="DX345" s="88"/>
      <c r="DY345" s="88"/>
      <c r="DZ345" s="88"/>
      <c r="EA345" s="88"/>
      <c r="EB345" s="88"/>
      <c r="EC345" s="88"/>
      <c r="ED345" s="88"/>
      <c r="EE345" s="88"/>
      <c r="EF345" s="88"/>
      <c r="EG345" s="88"/>
    </row>
    <row r="346" spans="1:137" s="97" customFormat="1" x14ac:dyDescent="0.25">
      <c r="A346" s="99">
        <v>45383</v>
      </c>
      <c r="B346" s="82">
        <v>45383</v>
      </c>
      <c r="C346" s="88" t="s">
        <v>45</v>
      </c>
      <c r="D346" s="60" t="s">
        <v>32</v>
      </c>
      <c r="E346" s="115" t="s">
        <v>588</v>
      </c>
      <c r="F346" s="60" t="s">
        <v>582</v>
      </c>
      <c r="G346" s="72" t="s">
        <v>142</v>
      </c>
      <c r="H346" s="83">
        <v>0.65625</v>
      </c>
      <c r="I346" s="83">
        <v>0.5</v>
      </c>
      <c r="J346" s="63">
        <f>الجدول3[[#This Row],[ساعة الدخول ]]-الجدول3[[#This Row],[ساعة الخروج]]</f>
        <v>0.15625</v>
      </c>
      <c r="K346" s="60" t="s">
        <v>365</v>
      </c>
      <c r="L346" s="135">
        <f t="shared" si="18"/>
        <v>3.75</v>
      </c>
      <c r="M346" s="60"/>
      <c r="N346" s="60"/>
      <c r="O346" s="60" t="s">
        <v>576</v>
      </c>
      <c r="P346" s="88">
        <v>5</v>
      </c>
      <c r="Q346" s="88"/>
      <c r="R346" s="88"/>
      <c r="S346" s="88"/>
      <c r="T346" s="88"/>
      <c r="U346" s="88"/>
      <c r="V346" s="94"/>
      <c r="W346" s="88"/>
      <c r="X346" s="90"/>
      <c r="Y346" s="88"/>
      <c r="Z346" s="101"/>
      <c r="AA346" s="88"/>
      <c r="AB346" s="88"/>
      <c r="AC346" s="88"/>
      <c r="AD346" s="88"/>
      <c r="AE346" s="88"/>
      <c r="AF346" s="88"/>
      <c r="AG346" s="88"/>
      <c r="AH346" s="88"/>
      <c r="AI346" s="88"/>
      <c r="AJ346" s="88"/>
      <c r="AK346" s="88"/>
      <c r="AL346" s="88"/>
      <c r="AM346" s="88"/>
      <c r="AN346" s="88"/>
      <c r="AO346" s="88"/>
      <c r="AP346" s="88"/>
      <c r="AQ346" s="88"/>
      <c r="AR346" s="88"/>
      <c r="AS346" s="88"/>
      <c r="AT346" s="88"/>
      <c r="AU346" s="88"/>
      <c r="AV346" s="88"/>
      <c r="AW346" s="88"/>
      <c r="AX346" s="88"/>
      <c r="AY346" s="88"/>
      <c r="AZ346" s="88"/>
      <c r="BA346" s="88"/>
      <c r="BB346" s="88"/>
      <c r="BC346" s="88"/>
      <c r="BD346" s="88"/>
      <c r="BE346" s="88"/>
      <c r="BF346" s="88"/>
      <c r="BG346" s="88"/>
      <c r="BH346" s="88"/>
      <c r="BI346" s="88"/>
      <c r="BJ346" s="88"/>
      <c r="BK346" s="88"/>
      <c r="BL346" s="88"/>
      <c r="BM346" s="88"/>
      <c r="BN346" s="88"/>
      <c r="BO346" s="88"/>
      <c r="BP346" s="88"/>
      <c r="BQ346" s="88"/>
      <c r="BR346" s="88"/>
      <c r="BS346" s="88"/>
      <c r="BT346" s="88"/>
      <c r="BU346" s="88"/>
      <c r="BV346" s="88"/>
      <c r="BW346" s="88"/>
      <c r="BX346" s="88"/>
      <c r="BY346" s="88"/>
      <c r="BZ346" s="88"/>
      <c r="CA346" s="88"/>
      <c r="CB346" s="88"/>
      <c r="CC346" s="88"/>
      <c r="CD346" s="88"/>
      <c r="CE346" s="88"/>
      <c r="CF346" s="88"/>
      <c r="CG346" s="88"/>
      <c r="CH346" s="88"/>
      <c r="CI346" s="88"/>
      <c r="CJ346" s="88"/>
      <c r="CK346" s="88"/>
      <c r="CL346" s="88"/>
      <c r="CM346" s="88"/>
      <c r="CN346" s="88"/>
      <c r="CO346" s="88"/>
      <c r="CP346" s="88"/>
      <c r="CQ346" s="88"/>
      <c r="CR346" s="88"/>
      <c r="CS346" s="88"/>
      <c r="CT346" s="88"/>
      <c r="CU346" s="88"/>
      <c r="CV346" s="88"/>
      <c r="CW346" s="88"/>
      <c r="CX346" s="88"/>
      <c r="CY346" s="88"/>
      <c r="CZ346" s="88"/>
      <c r="DA346" s="88"/>
      <c r="DB346" s="88"/>
      <c r="DC346" s="88"/>
      <c r="DD346" s="88"/>
      <c r="DE346" s="88"/>
      <c r="DF346" s="88"/>
      <c r="DG346" s="88"/>
      <c r="DH346" s="88"/>
      <c r="DI346" s="88"/>
      <c r="DJ346" s="88"/>
      <c r="DK346" s="88"/>
      <c r="DL346" s="88"/>
      <c r="DM346" s="88"/>
      <c r="DN346" s="88"/>
      <c r="DO346" s="88"/>
      <c r="DP346" s="88"/>
      <c r="DQ346" s="88"/>
      <c r="DR346" s="88"/>
      <c r="DS346" s="88"/>
      <c r="DT346" s="88"/>
      <c r="DU346" s="88"/>
      <c r="DV346" s="88"/>
      <c r="DW346" s="88"/>
      <c r="DX346" s="88"/>
      <c r="DY346" s="88"/>
      <c r="DZ346" s="88"/>
      <c r="EA346" s="88"/>
      <c r="EB346" s="88"/>
      <c r="EC346" s="88"/>
      <c r="ED346" s="88"/>
      <c r="EE346" s="88"/>
      <c r="EF346" s="88"/>
      <c r="EG346" s="88"/>
    </row>
    <row r="347" spans="1:137" s="97" customFormat="1" x14ac:dyDescent="0.25">
      <c r="A347" s="99">
        <v>45383</v>
      </c>
      <c r="B347" s="82">
        <v>45383</v>
      </c>
      <c r="C347" s="88" t="s">
        <v>45</v>
      </c>
      <c r="D347" s="60" t="s">
        <v>830</v>
      </c>
      <c r="E347" s="115" t="s">
        <v>908</v>
      </c>
      <c r="F347" s="60" t="s">
        <v>589</v>
      </c>
      <c r="G347" s="72" t="s">
        <v>142</v>
      </c>
      <c r="H347" s="83">
        <v>0.4375</v>
      </c>
      <c r="I347" s="83">
        <v>0.5625</v>
      </c>
      <c r="J347" s="63">
        <f t="shared" ref="J347:J365" si="20">I347-H347</f>
        <v>0.125</v>
      </c>
      <c r="K347" s="60" t="s">
        <v>365</v>
      </c>
      <c r="L347" s="135">
        <v>0</v>
      </c>
      <c r="M347" s="60"/>
      <c r="N347" s="60"/>
      <c r="O347" s="91" t="s">
        <v>820</v>
      </c>
      <c r="P347" s="88">
        <v>5</v>
      </c>
      <c r="Q347" s="60"/>
      <c r="R347" s="88"/>
      <c r="S347" s="88"/>
      <c r="T347" s="88"/>
      <c r="U347" s="88"/>
      <c r="V347" s="94"/>
      <c r="W347" s="88"/>
      <c r="X347" s="90"/>
      <c r="Y347" s="88"/>
      <c r="Z347" s="101"/>
      <c r="AA347" s="88"/>
      <c r="AB347" s="88"/>
      <c r="AC347" s="88"/>
      <c r="AD347" s="88"/>
      <c r="AE347" s="88"/>
      <c r="AF347" s="88"/>
      <c r="AG347" s="88"/>
      <c r="AH347" s="88"/>
      <c r="AI347" s="88"/>
      <c r="AJ347" s="88"/>
      <c r="AK347" s="88"/>
      <c r="AL347" s="88"/>
      <c r="AM347" s="88"/>
      <c r="AN347" s="88"/>
      <c r="AO347" s="88"/>
      <c r="AP347" s="88"/>
      <c r="AQ347" s="88"/>
      <c r="AR347" s="88"/>
      <c r="AS347" s="88"/>
      <c r="AT347" s="88"/>
      <c r="AU347" s="88"/>
      <c r="AV347" s="88"/>
      <c r="AW347" s="88"/>
      <c r="AX347" s="88"/>
      <c r="AY347" s="88"/>
      <c r="AZ347" s="88"/>
      <c r="BA347" s="88"/>
      <c r="BB347" s="88"/>
      <c r="BC347" s="88"/>
      <c r="BD347" s="88"/>
      <c r="BE347" s="88"/>
      <c r="BF347" s="88"/>
      <c r="BG347" s="88"/>
      <c r="BH347" s="88"/>
      <c r="BI347" s="88"/>
      <c r="BJ347" s="88"/>
      <c r="BK347" s="88"/>
      <c r="BL347" s="88"/>
      <c r="BM347" s="88"/>
      <c r="BN347" s="88"/>
      <c r="BO347" s="88"/>
      <c r="BP347" s="88"/>
      <c r="BQ347" s="88"/>
      <c r="BR347" s="88"/>
      <c r="BS347" s="88"/>
      <c r="BT347" s="88"/>
      <c r="BU347" s="88"/>
      <c r="BV347" s="88"/>
      <c r="BW347" s="88"/>
      <c r="BX347" s="88"/>
      <c r="BY347" s="88"/>
      <c r="BZ347" s="88"/>
      <c r="CA347" s="88"/>
      <c r="CB347" s="88"/>
      <c r="CC347" s="88"/>
      <c r="CD347" s="88"/>
      <c r="CE347" s="88"/>
      <c r="CF347" s="88"/>
      <c r="CG347" s="88"/>
      <c r="CH347" s="88"/>
      <c r="CI347" s="88"/>
      <c r="CJ347" s="88"/>
      <c r="CK347" s="88"/>
      <c r="CL347" s="88"/>
      <c r="CM347" s="88"/>
      <c r="CN347" s="88"/>
      <c r="CO347" s="88"/>
      <c r="CP347" s="88"/>
      <c r="CQ347" s="88"/>
      <c r="CR347" s="88"/>
      <c r="CS347" s="88"/>
      <c r="CT347" s="88"/>
      <c r="CU347" s="88"/>
      <c r="CV347" s="88"/>
      <c r="CW347" s="88"/>
      <c r="CX347" s="88"/>
      <c r="CY347" s="88"/>
      <c r="CZ347" s="88"/>
      <c r="DA347" s="88"/>
      <c r="DB347" s="88"/>
      <c r="DC347" s="88"/>
      <c r="DD347" s="88"/>
      <c r="DE347" s="88"/>
      <c r="DF347" s="88"/>
      <c r="DG347" s="88"/>
      <c r="DH347" s="88"/>
      <c r="DI347" s="88"/>
      <c r="DJ347" s="88"/>
      <c r="DK347" s="88"/>
      <c r="DL347" s="88"/>
      <c r="DM347" s="88"/>
      <c r="DN347" s="88"/>
      <c r="DO347" s="88"/>
      <c r="DP347" s="88"/>
      <c r="DQ347" s="88"/>
      <c r="DR347" s="88"/>
      <c r="DS347" s="88"/>
      <c r="DT347" s="88"/>
      <c r="DU347" s="88"/>
      <c r="DV347" s="88"/>
      <c r="DW347" s="88"/>
      <c r="DX347" s="88"/>
      <c r="DY347" s="88"/>
      <c r="DZ347" s="88"/>
      <c r="EA347" s="88"/>
      <c r="EB347" s="88"/>
      <c r="EC347" s="88"/>
      <c r="ED347" s="88"/>
      <c r="EE347" s="88"/>
      <c r="EF347" s="88"/>
      <c r="EG347" s="88"/>
    </row>
    <row r="348" spans="1:137" s="97" customFormat="1" x14ac:dyDescent="0.25">
      <c r="A348" s="99">
        <v>45383</v>
      </c>
      <c r="B348" s="82">
        <v>45384</v>
      </c>
      <c r="C348" s="88" t="s">
        <v>106</v>
      </c>
      <c r="D348" s="60" t="s">
        <v>483</v>
      </c>
      <c r="E348" s="115" t="s">
        <v>484</v>
      </c>
      <c r="F348" s="60" t="s">
        <v>590</v>
      </c>
      <c r="G348" s="72" t="s">
        <v>142</v>
      </c>
      <c r="H348" s="83">
        <v>0.4375</v>
      </c>
      <c r="I348" s="83">
        <v>0.5625</v>
      </c>
      <c r="J348" s="63">
        <f t="shared" si="20"/>
        <v>0.125</v>
      </c>
      <c r="K348" s="60" t="s">
        <v>365</v>
      </c>
      <c r="L348" s="135">
        <f t="shared" ref="L348:L356" si="21">24*J348</f>
        <v>3</v>
      </c>
      <c r="M348" s="60"/>
      <c r="N348" s="60"/>
      <c r="O348" s="91" t="s">
        <v>820</v>
      </c>
      <c r="P348" s="88">
        <v>5</v>
      </c>
      <c r="Q348" s="60"/>
      <c r="R348" s="88"/>
      <c r="S348" s="88"/>
      <c r="T348" s="88"/>
      <c r="U348" s="88"/>
      <c r="V348" s="94"/>
      <c r="W348" s="88"/>
      <c r="X348" s="90"/>
      <c r="Y348" s="88"/>
      <c r="Z348" s="101"/>
      <c r="AA348" s="88"/>
      <c r="AB348" s="88"/>
      <c r="AC348" s="88"/>
      <c r="AD348" s="88"/>
      <c r="AE348" s="88"/>
      <c r="AF348" s="88"/>
      <c r="AG348" s="88"/>
      <c r="AH348" s="88"/>
      <c r="AI348" s="88"/>
      <c r="AJ348" s="88"/>
      <c r="AK348" s="88"/>
      <c r="AL348" s="88"/>
      <c r="AM348" s="88"/>
      <c r="AN348" s="88"/>
      <c r="AO348" s="88"/>
      <c r="AP348" s="88"/>
      <c r="AQ348" s="88"/>
      <c r="AR348" s="88"/>
      <c r="AS348" s="88"/>
      <c r="AT348" s="88"/>
      <c r="AU348" s="88"/>
      <c r="AV348" s="88"/>
      <c r="AW348" s="88"/>
      <c r="AX348" s="88"/>
      <c r="AY348" s="88"/>
      <c r="AZ348" s="88"/>
      <c r="BA348" s="88"/>
      <c r="BB348" s="88"/>
      <c r="BC348" s="88"/>
      <c r="BD348" s="88"/>
      <c r="BE348" s="88"/>
      <c r="BF348" s="88"/>
      <c r="BG348" s="88"/>
      <c r="BH348" s="88"/>
      <c r="BI348" s="88"/>
      <c r="BJ348" s="88"/>
      <c r="BK348" s="88"/>
      <c r="BL348" s="88"/>
      <c r="BM348" s="88"/>
      <c r="BN348" s="88"/>
      <c r="BO348" s="88"/>
      <c r="BP348" s="88"/>
      <c r="BQ348" s="88"/>
      <c r="BR348" s="88"/>
      <c r="BS348" s="88"/>
      <c r="BT348" s="88"/>
      <c r="BU348" s="88"/>
      <c r="BV348" s="88"/>
      <c r="BW348" s="88"/>
      <c r="BX348" s="88"/>
      <c r="BY348" s="88"/>
      <c r="BZ348" s="88"/>
      <c r="CA348" s="88"/>
      <c r="CB348" s="88"/>
      <c r="CC348" s="88"/>
      <c r="CD348" s="88"/>
      <c r="CE348" s="88"/>
      <c r="CF348" s="88"/>
      <c r="CG348" s="88"/>
      <c r="CH348" s="88"/>
      <c r="CI348" s="88"/>
      <c r="CJ348" s="88"/>
      <c r="CK348" s="88"/>
      <c r="CL348" s="88"/>
      <c r="CM348" s="88"/>
      <c r="CN348" s="88"/>
      <c r="CO348" s="88"/>
      <c r="CP348" s="88"/>
      <c r="CQ348" s="88"/>
      <c r="CR348" s="88"/>
      <c r="CS348" s="88"/>
      <c r="CT348" s="88"/>
      <c r="CU348" s="88"/>
      <c r="CV348" s="88"/>
      <c r="CW348" s="88"/>
      <c r="CX348" s="88"/>
      <c r="CY348" s="88"/>
      <c r="CZ348" s="88"/>
      <c r="DA348" s="88"/>
      <c r="DB348" s="88"/>
      <c r="DC348" s="88"/>
      <c r="DD348" s="88"/>
      <c r="DE348" s="88"/>
      <c r="DF348" s="88"/>
      <c r="DG348" s="88"/>
      <c r="DH348" s="88"/>
      <c r="DI348" s="88"/>
      <c r="DJ348" s="88"/>
      <c r="DK348" s="88"/>
      <c r="DL348" s="88"/>
      <c r="DM348" s="88"/>
      <c r="DN348" s="88"/>
      <c r="DO348" s="88"/>
      <c r="DP348" s="88"/>
      <c r="DQ348" s="88"/>
      <c r="DR348" s="88"/>
      <c r="DS348" s="88"/>
      <c r="DT348" s="88"/>
      <c r="DU348" s="88"/>
      <c r="DV348" s="88"/>
      <c r="DW348" s="88"/>
      <c r="DX348" s="88"/>
      <c r="DY348" s="88"/>
      <c r="DZ348" s="88"/>
      <c r="EA348" s="88"/>
      <c r="EB348" s="88"/>
      <c r="EC348" s="88"/>
      <c r="ED348" s="88"/>
      <c r="EE348" s="88"/>
      <c r="EF348" s="88"/>
      <c r="EG348" s="88"/>
    </row>
    <row r="349" spans="1:137" s="97" customFormat="1" ht="14.45" customHeight="1" x14ac:dyDescent="0.25">
      <c r="A349" s="99">
        <v>45383</v>
      </c>
      <c r="B349" s="82">
        <v>45384</v>
      </c>
      <c r="C349" s="88" t="s">
        <v>106</v>
      </c>
      <c r="D349" s="60" t="s">
        <v>461</v>
      </c>
      <c r="E349" s="115" t="s">
        <v>561</v>
      </c>
      <c r="F349" s="60" t="s">
        <v>508</v>
      </c>
      <c r="G349" s="72" t="s">
        <v>142</v>
      </c>
      <c r="H349" s="83">
        <v>0.39583333333333331</v>
      </c>
      <c r="I349" s="83">
        <v>0.64583333333333337</v>
      </c>
      <c r="J349" s="63">
        <f t="shared" si="20"/>
        <v>0.25000000000000006</v>
      </c>
      <c r="K349" s="60" t="s">
        <v>113</v>
      </c>
      <c r="L349" s="135">
        <f t="shared" si="21"/>
        <v>6.0000000000000018</v>
      </c>
      <c r="M349" s="60"/>
      <c r="N349" s="60"/>
      <c r="O349" s="91" t="s">
        <v>539</v>
      </c>
      <c r="P349" s="88">
        <v>5</v>
      </c>
      <c r="Q349" s="60"/>
      <c r="R349" s="88"/>
      <c r="S349" s="88"/>
      <c r="T349" s="88"/>
      <c r="U349" s="88"/>
      <c r="V349" s="94"/>
      <c r="W349" s="88"/>
      <c r="X349" s="90"/>
      <c r="Y349" s="88"/>
      <c r="Z349" s="101"/>
      <c r="AA349" s="88"/>
      <c r="AB349" s="88"/>
      <c r="AC349" s="88"/>
      <c r="AD349" s="88"/>
      <c r="AE349" s="88"/>
      <c r="AF349" s="88"/>
      <c r="AG349" s="88"/>
      <c r="AH349" s="88"/>
      <c r="AI349" s="88"/>
      <c r="AJ349" s="88"/>
      <c r="AK349" s="88"/>
      <c r="AL349" s="88"/>
      <c r="AM349" s="88"/>
      <c r="AN349" s="88"/>
      <c r="AO349" s="88"/>
      <c r="AP349" s="88"/>
      <c r="AQ349" s="88"/>
      <c r="AR349" s="88"/>
      <c r="AS349" s="88"/>
      <c r="AT349" s="88"/>
      <c r="AU349" s="88"/>
      <c r="AV349" s="88"/>
      <c r="AW349" s="88"/>
      <c r="AX349" s="88"/>
      <c r="AY349" s="88"/>
      <c r="AZ349" s="88"/>
      <c r="BA349" s="88"/>
      <c r="BB349" s="88"/>
      <c r="BC349" s="88"/>
      <c r="BD349" s="88"/>
      <c r="BE349" s="88"/>
      <c r="BF349" s="88"/>
      <c r="BG349" s="88"/>
      <c r="BH349" s="88"/>
      <c r="BI349" s="88"/>
      <c r="BJ349" s="88"/>
      <c r="BK349" s="88"/>
      <c r="BL349" s="88"/>
      <c r="BM349" s="88"/>
      <c r="BN349" s="88"/>
      <c r="BO349" s="88"/>
      <c r="BP349" s="88"/>
      <c r="BQ349" s="88"/>
      <c r="BR349" s="88"/>
      <c r="BS349" s="88"/>
      <c r="BT349" s="88"/>
      <c r="BU349" s="88"/>
      <c r="BV349" s="88"/>
      <c r="BW349" s="88"/>
      <c r="BX349" s="88"/>
      <c r="BY349" s="88"/>
      <c r="BZ349" s="88"/>
      <c r="CA349" s="88"/>
      <c r="CB349" s="88"/>
      <c r="CC349" s="88"/>
      <c r="CD349" s="88"/>
      <c r="CE349" s="88"/>
      <c r="CF349" s="88"/>
      <c r="CG349" s="88"/>
      <c r="CH349" s="88"/>
      <c r="CI349" s="88"/>
      <c r="CJ349" s="88"/>
      <c r="CK349" s="88"/>
      <c r="CL349" s="88"/>
      <c r="CM349" s="88"/>
      <c r="CN349" s="88"/>
      <c r="CO349" s="88"/>
      <c r="CP349" s="88"/>
      <c r="CQ349" s="88"/>
      <c r="CR349" s="88"/>
      <c r="CS349" s="88"/>
      <c r="CT349" s="88"/>
      <c r="CU349" s="88"/>
      <c r="CV349" s="88"/>
      <c r="CW349" s="88"/>
      <c r="CX349" s="88"/>
      <c r="CY349" s="88"/>
      <c r="CZ349" s="88"/>
      <c r="DA349" s="88"/>
      <c r="DB349" s="88"/>
      <c r="DC349" s="88"/>
      <c r="DD349" s="88"/>
      <c r="DE349" s="88"/>
      <c r="DF349" s="88"/>
      <c r="DG349" s="88"/>
      <c r="DH349" s="88"/>
      <c r="DI349" s="88"/>
      <c r="DJ349" s="88"/>
      <c r="DK349" s="88"/>
      <c r="DL349" s="88"/>
      <c r="DM349" s="88"/>
      <c r="DN349" s="88"/>
      <c r="DO349" s="88"/>
      <c r="DP349" s="88"/>
      <c r="DQ349" s="88"/>
      <c r="DR349" s="88"/>
      <c r="DS349" s="88"/>
      <c r="DT349" s="88"/>
      <c r="DU349" s="88"/>
      <c r="DV349" s="88"/>
      <c r="DW349" s="88"/>
      <c r="DX349" s="88"/>
      <c r="DY349" s="88"/>
      <c r="DZ349" s="88"/>
      <c r="EA349" s="88"/>
      <c r="EB349" s="88"/>
      <c r="EC349" s="88"/>
      <c r="ED349" s="88"/>
      <c r="EE349" s="88"/>
      <c r="EF349" s="88"/>
      <c r="EG349" s="88"/>
    </row>
    <row r="350" spans="1:137" s="88" customFormat="1" ht="14.45" customHeight="1" x14ac:dyDescent="0.25">
      <c r="A350" s="99">
        <v>45383</v>
      </c>
      <c r="B350" s="82">
        <v>45384</v>
      </c>
      <c r="C350" s="88" t="s">
        <v>106</v>
      </c>
      <c r="D350" s="60" t="s">
        <v>98</v>
      </c>
      <c r="E350" s="115" t="s">
        <v>591</v>
      </c>
      <c r="F350" s="60" t="s">
        <v>593</v>
      </c>
      <c r="G350" s="72" t="s">
        <v>142</v>
      </c>
      <c r="H350" s="83">
        <v>0.625</v>
      </c>
      <c r="I350" s="83">
        <v>0.875</v>
      </c>
      <c r="J350" s="63">
        <f t="shared" si="20"/>
        <v>0.25</v>
      </c>
      <c r="K350" s="60" t="s">
        <v>296</v>
      </c>
      <c r="L350" s="135">
        <f t="shared" si="21"/>
        <v>6</v>
      </c>
      <c r="M350" s="60"/>
      <c r="N350" s="60"/>
      <c r="O350" s="85" t="s">
        <v>304</v>
      </c>
      <c r="P350" s="60">
        <v>5</v>
      </c>
      <c r="Q350" s="60"/>
      <c r="V350" s="94"/>
      <c r="X350" s="90"/>
      <c r="Z350" s="101"/>
    </row>
    <row r="351" spans="1:137" ht="14.45" customHeight="1" x14ac:dyDescent="0.2">
      <c r="A351" s="99">
        <v>45383</v>
      </c>
      <c r="B351" s="82">
        <v>45385</v>
      </c>
      <c r="C351" s="60" t="s">
        <v>398</v>
      </c>
      <c r="D351" s="60" t="s">
        <v>98</v>
      </c>
      <c r="E351" s="116" t="s">
        <v>596</v>
      </c>
      <c r="F351" s="72" t="s">
        <v>597</v>
      </c>
      <c r="G351" s="72" t="s">
        <v>142</v>
      </c>
      <c r="H351" s="83">
        <v>0.45833333333333331</v>
      </c>
      <c r="I351" s="83">
        <v>0.52083333333333337</v>
      </c>
      <c r="J351" s="63">
        <f t="shared" si="20"/>
        <v>6.2500000000000056E-2</v>
      </c>
      <c r="K351" s="88" t="s">
        <v>365</v>
      </c>
      <c r="L351" s="135">
        <f t="shared" si="21"/>
        <v>1.5000000000000013</v>
      </c>
      <c r="M351" s="60"/>
      <c r="N351" s="60"/>
      <c r="O351" s="85" t="s">
        <v>314</v>
      </c>
      <c r="P351" s="88">
        <v>5</v>
      </c>
      <c r="Q351" s="60"/>
      <c r="Z351" s="100"/>
    </row>
    <row r="352" spans="1:137" ht="14.45" customHeight="1" x14ac:dyDescent="0.2">
      <c r="A352" s="99">
        <v>45383</v>
      </c>
      <c r="B352" s="82">
        <v>45385</v>
      </c>
      <c r="C352" s="60" t="s">
        <v>398</v>
      </c>
      <c r="D352" s="60" t="s">
        <v>126</v>
      </c>
      <c r="E352" s="116" t="s">
        <v>494</v>
      </c>
      <c r="F352" s="72" t="s">
        <v>906</v>
      </c>
      <c r="G352" s="72" t="s">
        <v>142</v>
      </c>
      <c r="H352" s="83">
        <v>0.52083333333333337</v>
      </c>
      <c r="I352" s="83">
        <v>0.625</v>
      </c>
      <c r="J352" s="63">
        <f t="shared" si="20"/>
        <v>0.10416666666666663</v>
      </c>
      <c r="K352" s="60" t="s">
        <v>365</v>
      </c>
      <c r="L352" s="135">
        <f t="shared" si="21"/>
        <v>2.4999999999999991</v>
      </c>
      <c r="M352" s="60"/>
      <c r="N352" s="60"/>
      <c r="O352" s="91" t="s">
        <v>820</v>
      </c>
      <c r="P352" s="88">
        <v>5</v>
      </c>
      <c r="Q352" s="60"/>
      <c r="Z352" s="100"/>
    </row>
    <row r="353" spans="1:137" s="97" customFormat="1" ht="14.45" customHeight="1" x14ac:dyDescent="0.25">
      <c r="A353" s="99">
        <v>45383</v>
      </c>
      <c r="B353" s="82">
        <v>45385</v>
      </c>
      <c r="C353" s="60" t="s">
        <v>398</v>
      </c>
      <c r="D353" s="60" t="s">
        <v>461</v>
      </c>
      <c r="E353" s="115" t="s">
        <v>561</v>
      </c>
      <c r="F353" s="60" t="s">
        <v>598</v>
      </c>
      <c r="G353" s="72" t="s">
        <v>142</v>
      </c>
      <c r="H353" s="83">
        <v>0.33333333333333331</v>
      </c>
      <c r="I353" s="83">
        <v>0.625</v>
      </c>
      <c r="J353" s="63">
        <f t="shared" si="20"/>
        <v>0.29166666666666669</v>
      </c>
      <c r="K353" s="60" t="s">
        <v>113</v>
      </c>
      <c r="L353" s="135">
        <f t="shared" si="21"/>
        <v>7</v>
      </c>
      <c r="M353" s="60"/>
      <c r="N353" s="60"/>
      <c r="O353" s="91" t="s">
        <v>539</v>
      </c>
      <c r="P353" s="88">
        <v>5</v>
      </c>
      <c r="Q353" s="60"/>
      <c r="R353" s="88"/>
      <c r="S353" s="88"/>
      <c r="T353" s="88"/>
      <c r="U353" s="88"/>
      <c r="V353" s="94"/>
      <c r="W353" s="88"/>
      <c r="X353" s="90"/>
      <c r="Y353" s="88"/>
      <c r="Z353" s="101"/>
      <c r="AA353" s="88"/>
      <c r="AB353" s="88"/>
      <c r="AC353" s="88"/>
      <c r="AD353" s="88"/>
      <c r="AE353" s="88"/>
      <c r="AF353" s="88"/>
      <c r="AG353" s="88"/>
      <c r="AH353" s="88"/>
      <c r="AI353" s="88"/>
      <c r="AJ353" s="88"/>
      <c r="AK353" s="88"/>
      <c r="AL353" s="88"/>
      <c r="AM353" s="88"/>
      <c r="AN353" s="88"/>
      <c r="AO353" s="88"/>
      <c r="AP353" s="88"/>
      <c r="AQ353" s="88"/>
      <c r="AR353" s="88"/>
      <c r="AS353" s="88"/>
      <c r="AT353" s="88"/>
      <c r="AU353" s="88"/>
      <c r="AV353" s="88"/>
      <c r="AW353" s="88"/>
      <c r="AX353" s="88"/>
      <c r="AY353" s="88"/>
      <c r="AZ353" s="88"/>
      <c r="BA353" s="88"/>
      <c r="BB353" s="88"/>
      <c r="BC353" s="88"/>
      <c r="BD353" s="88"/>
      <c r="BE353" s="88"/>
      <c r="BF353" s="88"/>
      <c r="BG353" s="88"/>
      <c r="BH353" s="88"/>
      <c r="BI353" s="88"/>
      <c r="BJ353" s="88"/>
      <c r="BK353" s="88"/>
      <c r="BL353" s="88"/>
      <c r="BM353" s="88"/>
      <c r="BN353" s="88"/>
      <c r="BO353" s="88"/>
      <c r="BP353" s="88"/>
      <c r="BQ353" s="88"/>
      <c r="BR353" s="88"/>
      <c r="BS353" s="88"/>
      <c r="BT353" s="88"/>
      <c r="BU353" s="88"/>
      <c r="BV353" s="88"/>
      <c r="BW353" s="88"/>
      <c r="BX353" s="88"/>
      <c r="BY353" s="88"/>
      <c r="BZ353" s="88"/>
      <c r="CA353" s="88"/>
      <c r="CB353" s="88"/>
      <c r="CC353" s="88"/>
      <c r="CD353" s="88"/>
      <c r="CE353" s="88"/>
      <c r="CF353" s="88"/>
      <c r="CG353" s="88"/>
      <c r="CH353" s="88"/>
      <c r="CI353" s="88"/>
      <c r="CJ353" s="88"/>
      <c r="CK353" s="88"/>
      <c r="CL353" s="88"/>
      <c r="CM353" s="88"/>
      <c r="CN353" s="88"/>
      <c r="CO353" s="88"/>
      <c r="CP353" s="88"/>
      <c r="CQ353" s="88"/>
      <c r="CR353" s="88"/>
      <c r="CS353" s="88"/>
      <c r="CT353" s="88"/>
      <c r="CU353" s="88"/>
      <c r="CV353" s="88"/>
      <c r="CW353" s="88"/>
      <c r="CX353" s="88"/>
      <c r="CY353" s="88"/>
      <c r="CZ353" s="88"/>
      <c r="DA353" s="88"/>
      <c r="DB353" s="88"/>
      <c r="DC353" s="88"/>
      <c r="DD353" s="88"/>
      <c r="DE353" s="88"/>
      <c r="DF353" s="88"/>
      <c r="DG353" s="88"/>
      <c r="DH353" s="88"/>
      <c r="DI353" s="88"/>
      <c r="DJ353" s="88"/>
      <c r="DK353" s="88"/>
      <c r="DL353" s="88"/>
      <c r="DM353" s="88"/>
      <c r="DN353" s="88"/>
      <c r="DO353" s="88"/>
      <c r="DP353" s="88"/>
      <c r="DQ353" s="88"/>
      <c r="DR353" s="88"/>
      <c r="DS353" s="88"/>
      <c r="DT353" s="88"/>
      <c r="DU353" s="88"/>
      <c r="DV353" s="88"/>
      <c r="DW353" s="88"/>
      <c r="DX353" s="88"/>
      <c r="DY353" s="88"/>
      <c r="DZ353" s="88"/>
      <c r="EA353" s="88"/>
      <c r="EB353" s="88"/>
      <c r="EC353" s="88"/>
      <c r="ED353" s="88"/>
      <c r="EE353" s="88"/>
      <c r="EF353" s="88"/>
      <c r="EG353" s="88"/>
    </row>
    <row r="354" spans="1:137" s="97" customFormat="1" ht="14.45" customHeight="1" x14ac:dyDescent="0.25">
      <c r="A354" s="99">
        <v>45383</v>
      </c>
      <c r="B354" s="82">
        <v>45385</v>
      </c>
      <c r="C354" s="60" t="s">
        <v>398</v>
      </c>
      <c r="D354" s="60" t="s">
        <v>599</v>
      </c>
      <c r="E354" s="115" t="s">
        <v>600</v>
      </c>
      <c r="F354" s="60" t="s">
        <v>601</v>
      </c>
      <c r="G354" s="72" t="s">
        <v>142</v>
      </c>
      <c r="H354" s="83">
        <v>0.375</v>
      </c>
      <c r="I354" s="83">
        <v>0.66666666666666663</v>
      </c>
      <c r="J354" s="63">
        <f t="shared" si="20"/>
        <v>0.29166666666666663</v>
      </c>
      <c r="K354" s="60" t="s">
        <v>365</v>
      </c>
      <c r="L354" s="135">
        <f t="shared" si="21"/>
        <v>6.9999999999999991</v>
      </c>
      <c r="M354" s="60"/>
      <c r="N354" s="60"/>
      <c r="O354" s="60" t="s">
        <v>576</v>
      </c>
      <c r="P354" s="88">
        <v>5</v>
      </c>
      <c r="Q354" s="60"/>
      <c r="R354" s="88"/>
      <c r="S354" s="88"/>
      <c r="T354" s="88"/>
      <c r="U354" s="88"/>
      <c r="V354" s="94"/>
      <c r="W354" s="88"/>
      <c r="X354" s="90"/>
      <c r="Y354" s="88"/>
      <c r="Z354" s="101"/>
      <c r="AA354" s="88"/>
      <c r="AB354" s="88"/>
      <c r="AC354" s="88"/>
      <c r="AD354" s="88"/>
      <c r="AE354" s="88"/>
      <c r="AF354" s="88"/>
      <c r="AG354" s="88"/>
      <c r="AH354" s="88"/>
      <c r="AI354" s="88"/>
      <c r="AJ354" s="88"/>
      <c r="AK354" s="88"/>
      <c r="AL354" s="88"/>
      <c r="AM354" s="88"/>
      <c r="AN354" s="88"/>
      <c r="AO354" s="88"/>
      <c r="AP354" s="88"/>
      <c r="AQ354" s="88"/>
      <c r="AR354" s="88"/>
      <c r="AS354" s="88"/>
      <c r="AT354" s="88"/>
      <c r="AU354" s="88"/>
      <c r="AV354" s="88"/>
      <c r="AW354" s="88"/>
      <c r="AX354" s="88"/>
      <c r="AY354" s="88"/>
      <c r="AZ354" s="88"/>
      <c r="BA354" s="88"/>
      <c r="BB354" s="88"/>
      <c r="BC354" s="88"/>
      <c r="BD354" s="88"/>
      <c r="BE354" s="88"/>
      <c r="BF354" s="88"/>
      <c r="BG354" s="88"/>
      <c r="BH354" s="88"/>
      <c r="BI354" s="88"/>
      <c r="BJ354" s="88"/>
      <c r="BK354" s="88"/>
      <c r="BL354" s="88"/>
      <c r="BM354" s="88"/>
      <c r="BN354" s="88"/>
      <c r="BO354" s="88"/>
      <c r="BP354" s="88"/>
      <c r="BQ354" s="88"/>
      <c r="BR354" s="88"/>
      <c r="BS354" s="88"/>
      <c r="BT354" s="88"/>
      <c r="BU354" s="88"/>
      <c r="BV354" s="88"/>
      <c r="BW354" s="88"/>
      <c r="BX354" s="88"/>
      <c r="BY354" s="88"/>
      <c r="BZ354" s="88"/>
      <c r="CA354" s="88"/>
      <c r="CB354" s="88"/>
      <c r="CC354" s="88"/>
      <c r="CD354" s="88"/>
      <c r="CE354" s="88"/>
      <c r="CF354" s="88"/>
      <c r="CG354" s="88"/>
      <c r="CH354" s="88"/>
      <c r="CI354" s="88"/>
      <c r="CJ354" s="88"/>
      <c r="CK354" s="88"/>
      <c r="CL354" s="88"/>
      <c r="CM354" s="88"/>
      <c r="CN354" s="88"/>
      <c r="CO354" s="88"/>
      <c r="CP354" s="88"/>
      <c r="CQ354" s="88"/>
      <c r="CR354" s="88"/>
      <c r="CS354" s="88"/>
      <c r="CT354" s="88"/>
      <c r="CU354" s="88"/>
      <c r="CV354" s="88"/>
      <c r="CW354" s="88"/>
      <c r="CX354" s="88"/>
      <c r="CY354" s="88"/>
      <c r="CZ354" s="88"/>
      <c r="DA354" s="88"/>
      <c r="DB354" s="88"/>
      <c r="DC354" s="88"/>
      <c r="DD354" s="88"/>
      <c r="DE354" s="88"/>
      <c r="DF354" s="88"/>
      <c r="DG354" s="88"/>
      <c r="DH354" s="88"/>
      <c r="DI354" s="88"/>
      <c r="DJ354" s="88"/>
      <c r="DK354" s="88"/>
      <c r="DL354" s="88"/>
      <c r="DM354" s="88"/>
      <c r="DN354" s="88"/>
      <c r="DO354" s="88"/>
      <c r="DP354" s="88"/>
      <c r="DQ354" s="88"/>
      <c r="DR354" s="88"/>
      <c r="DS354" s="88"/>
      <c r="DT354" s="88"/>
      <c r="DU354" s="88"/>
      <c r="DV354" s="88"/>
      <c r="DW354" s="88"/>
      <c r="DX354" s="88"/>
      <c r="DY354" s="88"/>
      <c r="DZ354" s="88"/>
      <c r="EA354" s="88"/>
      <c r="EB354" s="88"/>
      <c r="EC354" s="88"/>
      <c r="ED354" s="88"/>
      <c r="EE354" s="88"/>
      <c r="EF354" s="88"/>
      <c r="EG354" s="88"/>
    </row>
    <row r="355" spans="1:137" s="97" customFormat="1" ht="14.45" customHeight="1" x14ac:dyDescent="0.25">
      <c r="A355" s="99">
        <v>45383</v>
      </c>
      <c r="B355" s="82">
        <v>45386</v>
      </c>
      <c r="C355" s="82" t="s">
        <v>124</v>
      </c>
      <c r="D355" s="60" t="s">
        <v>599</v>
      </c>
      <c r="E355" s="115" t="s">
        <v>600</v>
      </c>
      <c r="F355" s="60" t="s">
        <v>601</v>
      </c>
      <c r="G355" s="72" t="s">
        <v>142</v>
      </c>
      <c r="H355" s="83">
        <v>0.39583333333333331</v>
      </c>
      <c r="I355" s="83">
        <v>0.54166666666666663</v>
      </c>
      <c r="J355" s="63">
        <f t="shared" si="20"/>
        <v>0.14583333333333331</v>
      </c>
      <c r="K355" s="60" t="s">
        <v>365</v>
      </c>
      <c r="L355" s="135">
        <f t="shared" si="21"/>
        <v>3.4999999999999996</v>
      </c>
      <c r="M355" s="60"/>
      <c r="N355" s="60"/>
      <c r="O355" s="60" t="s">
        <v>576</v>
      </c>
      <c r="P355" s="88">
        <v>5</v>
      </c>
      <c r="Q355" s="60"/>
      <c r="R355" s="88"/>
      <c r="S355" s="88"/>
      <c r="T355" s="88"/>
      <c r="U355" s="88"/>
      <c r="V355" s="94"/>
      <c r="W355" s="88"/>
      <c r="X355" s="90"/>
      <c r="Y355" s="88"/>
      <c r="Z355" s="101"/>
      <c r="AA355" s="88"/>
      <c r="AB355" s="88"/>
      <c r="AC355" s="88"/>
      <c r="AD355" s="88"/>
      <c r="AE355" s="88"/>
      <c r="AF355" s="88"/>
      <c r="AG355" s="88"/>
      <c r="AH355" s="88"/>
      <c r="AI355" s="88"/>
      <c r="AJ355" s="88"/>
      <c r="AK355" s="88"/>
      <c r="AL355" s="88"/>
      <c r="AM355" s="88"/>
      <c r="AN355" s="88"/>
      <c r="AO355" s="88"/>
      <c r="AP355" s="88"/>
      <c r="AQ355" s="88"/>
      <c r="AR355" s="88"/>
      <c r="AS355" s="88"/>
      <c r="AT355" s="88"/>
      <c r="AU355" s="88"/>
      <c r="AV355" s="88"/>
      <c r="AW355" s="88"/>
      <c r="AX355" s="88"/>
      <c r="AY355" s="88"/>
      <c r="AZ355" s="88"/>
      <c r="BA355" s="88"/>
      <c r="BB355" s="88"/>
      <c r="BC355" s="88"/>
      <c r="BD355" s="88"/>
      <c r="BE355" s="88"/>
      <c r="BF355" s="88"/>
      <c r="BG355" s="88"/>
      <c r="BH355" s="88"/>
      <c r="BI355" s="88"/>
      <c r="BJ355" s="88"/>
      <c r="BK355" s="88"/>
      <c r="BL355" s="88"/>
      <c r="BM355" s="88"/>
      <c r="BN355" s="88"/>
      <c r="BO355" s="88"/>
      <c r="BP355" s="88"/>
      <c r="BQ355" s="88"/>
      <c r="BR355" s="88"/>
      <c r="BS355" s="88"/>
      <c r="BT355" s="88"/>
      <c r="BU355" s="88"/>
      <c r="BV355" s="88"/>
      <c r="BW355" s="88"/>
      <c r="BX355" s="88"/>
      <c r="BY355" s="88"/>
      <c r="BZ355" s="88"/>
      <c r="CA355" s="88"/>
      <c r="CB355" s="88"/>
      <c r="CC355" s="88"/>
      <c r="CD355" s="88"/>
      <c r="CE355" s="88"/>
      <c r="CF355" s="88"/>
      <c r="CG355" s="88"/>
      <c r="CH355" s="88"/>
      <c r="CI355" s="88"/>
      <c r="CJ355" s="88"/>
      <c r="CK355" s="88"/>
      <c r="CL355" s="88"/>
      <c r="CM355" s="88"/>
      <c r="CN355" s="88"/>
      <c r="CO355" s="88"/>
      <c r="CP355" s="88"/>
      <c r="CQ355" s="88"/>
      <c r="CR355" s="88"/>
      <c r="CS355" s="88"/>
      <c r="CT355" s="88"/>
      <c r="CU355" s="88"/>
      <c r="CV355" s="88"/>
      <c r="CW355" s="88"/>
      <c r="CX355" s="88"/>
      <c r="CY355" s="88"/>
      <c r="CZ355" s="88"/>
      <c r="DA355" s="88"/>
      <c r="DB355" s="88"/>
      <c r="DC355" s="88"/>
      <c r="DD355" s="88"/>
      <c r="DE355" s="88"/>
      <c r="DF355" s="88"/>
      <c r="DG355" s="88"/>
      <c r="DH355" s="88"/>
      <c r="DI355" s="88"/>
      <c r="DJ355" s="88"/>
      <c r="DK355" s="88"/>
      <c r="DL355" s="88"/>
      <c r="DM355" s="88"/>
      <c r="DN355" s="88"/>
      <c r="DO355" s="88"/>
      <c r="DP355" s="88"/>
      <c r="DQ355" s="88"/>
      <c r="DR355" s="88"/>
      <c r="DS355" s="88"/>
      <c r="DT355" s="88"/>
      <c r="DU355" s="88"/>
      <c r="DV355" s="88"/>
      <c r="DW355" s="88"/>
      <c r="DX355" s="88"/>
      <c r="DY355" s="88"/>
      <c r="DZ355" s="88"/>
      <c r="EA355" s="88"/>
      <c r="EB355" s="88"/>
      <c r="EC355" s="88"/>
      <c r="ED355" s="88"/>
      <c r="EE355" s="88"/>
      <c r="EF355" s="88"/>
      <c r="EG355" s="88"/>
    </row>
    <row r="356" spans="1:137" s="97" customFormat="1" ht="14.45" customHeight="1" x14ac:dyDescent="0.25">
      <c r="A356" s="99">
        <v>45383</v>
      </c>
      <c r="B356" s="82">
        <v>45386</v>
      </c>
      <c r="C356" s="82" t="s">
        <v>124</v>
      </c>
      <c r="D356" s="60" t="s">
        <v>461</v>
      </c>
      <c r="E356" s="115" t="s">
        <v>561</v>
      </c>
      <c r="F356" s="60" t="s">
        <v>598</v>
      </c>
      <c r="G356" s="72" t="s">
        <v>142</v>
      </c>
      <c r="H356" s="83">
        <v>0.33333333333333331</v>
      </c>
      <c r="I356" s="83">
        <v>0.625</v>
      </c>
      <c r="J356" s="63">
        <f t="shared" si="20"/>
        <v>0.29166666666666669</v>
      </c>
      <c r="K356" s="60" t="s">
        <v>113</v>
      </c>
      <c r="L356" s="135">
        <f t="shared" si="21"/>
        <v>7</v>
      </c>
      <c r="M356" s="60"/>
      <c r="N356" s="60"/>
      <c r="O356" s="91" t="s">
        <v>360</v>
      </c>
      <c r="P356" s="88">
        <v>5</v>
      </c>
      <c r="Q356" s="60"/>
      <c r="R356" s="88"/>
      <c r="S356" s="88"/>
      <c r="T356" s="88"/>
      <c r="U356" s="88"/>
      <c r="V356" s="94"/>
      <c r="W356" s="88"/>
      <c r="X356" s="90"/>
      <c r="Y356" s="88"/>
      <c r="Z356" s="101"/>
      <c r="AA356" s="88"/>
      <c r="AB356" s="88"/>
      <c r="AC356" s="88"/>
      <c r="AD356" s="88"/>
      <c r="AE356" s="88"/>
      <c r="AF356" s="88"/>
      <c r="AG356" s="88"/>
      <c r="AH356" s="88"/>
      <c r="AI356" s="88"/>
      <c r="AJ356" s="88"/>
      <c r="AK356" s="88"/>
      <c r="AL356" s="88"/>
      <c r="AM356" s="88"/>
      <c r="AN356" s="88"/>
      <c r="AO356" s="88"/>
      <c r="AP356" s="88"/>
      <c r="AQ356" s="88"/>
      <c r="AR356" s="88"/>
      <c r="AS356" s="88"/>
      <c r="AT356" s="88"/>
      <c r="AU356" s="88"/>
      <c r="AV356" s="88"/>
      <c r="AW356" s="88"/>
      <c r="AX356" s="88"/>
      <c r="AY356" s="88"/>
      <c r="AZ356" s="88"/>
      <c r="BA356" s="88"/>
      <c r="BB356" s="88"/>
      <c r="BC356" s="88"/>
      <c r="BD356" s="88"/>
      <c r="BE356" s="88"/>
      <c r="BF356" s="88"/>
      <c r="BG356" s="88"/>
      <c r="BH356" s="88"/>
      <c r="BI356" s="88"/>
      <c r="BJ356" s="88"/>
      <c r="BK356" s="88"/>
      <c r="BL356" s="88"/>
      <c r="BM356" s="88"/>
      <c r="BN356" s="88"/>
      <c r="BO356" s="88"/>
      <c r="BP356" s="88"/>
      <c r="BQ356" s="88"/>
      <c r="BR356" s="88"/>
      <c r="BS356" s="88"/>
      <c r="BT356" s="88"/>
      <c r="BU356" s="88"/>
      <c r="BV356" s="88"/>
      <c r="BW356" s="88"/>
      <c r="BX356" s="88"/>
      <c r="BY356" s="88"/>
      <c r="BZ356" s="88"/>
      <c r="CA356" s="88"/>
      <c r="CB356" s="88"/>
      <c r="CC356" s="88"/>
      <c r="CD356" s="88"/>
      <c r="CE356" s="88"/>
      <c r="CF356" s="88"/>
      <c r="CG356" s="88"/>
      <c r="CH356" s="88"/>
      <c r="CI356" s="88"/>
      <c r="CJ356" s="88"/>
      <c r="CK356" s="88"/>
      <c r="CL356" s="88"/>
      <c r="CM356" s="88"/>
      <c r="CN356" s="88"/>
      <c r="CO356" s="88"/>
      <c r="CP356" s="88"/>
      <c r="CQ356" s="88"/>
      <c r="CR356" s="88"/>
      <c r="CS356" s="88"/>
      <c r="CT356" s="88"/>
      <c r="CU356" s="88"/>
      <c r="CV356" s="88"/>
      <c r="CW356" s="88"/>
      <c r="CX356" s="88"/>
      <c r="CY356" s="88"/>
      <c r="CZ356" s="88"/>
      <c r="DA356" s="88"/>
      <c r="DB356" s="88"/>
      <c r="DC356" s="88"/>
      <c r="DD356" s="88"/>
      <c r="DE356" s="88"/>
      <c r="DF356" s="88"/>
      <c r="DG356" s="88"/>
      <c r="DH356" s="88"/>
      <c r="DI356" s="88"/>
      <c r="DJ356" s="88"/>
      <c r="DK356" s="88"/>
      <c r="DL356" s="88"/>
      <c r="DM356" s="88"/>
      <c r="DN356" s="88"/>
      <c r="DO356" s="88"/>
      <c r="DP356" s="88"/>
      <c r="DQ356" s="88"/>
      <c r="DR356" s="88"/>
      <c r="DS356" s="88"/>
      <c r="DT356" s="88"/>
      <c r="DU356" s="88"/>
      <c r="DV356" s="88"/>
      <c r="DW356" s="88"/>
      <c r="DX356" s="88"/>
      <c r="DY356" s="88"/>
      <c r="DZ356" s="88"/>
      <c r="EA356" s="88"/>
      <c r="EB356" s="88"/>
      <c r="EC356" s="88"/>
      <c r="ED356" s="88"/>
      <c r="EE356" s="88"/>
      <c r="EF356" s="88"/>
      <c r="EG356" s="88"/>
    </row>
    <row r="357" spans="1:137" s="97" customFormat="1" ht="14.45" customHeight="1" x14ac:dyDescent="0.25">
      <c r="A357" s="99">
        <v>45383</v>
      </c>
      <c r="B357" s="82">
        <v>45388</v>
      </c>
      <c r="C357" s="88" t="s">
        <v>34</v>
      </c>
      <c r="D357" s="60" t="s">
        <v>830</v>
      </c>
      <c r="E357" s="115" t="s">
        <v>534</v>
      </c>
      <c r="F357" s="60" t="s">
        <v>589</v>
      </c>
      <c r="G357" s="72" t="s">
        <v>142</v>
      </c>
      <c r="H357" s="83">
        <v>0.41666666666666669</v>
      </c>
      <c r="I357" s="83">
        <v>0.70833333333333337</v>
      </c>
      <c r="J357" s="63">
        <f t="shared" si="20"/>
        <v>0.29166666666666669</v>
      </c>
      <c r="K357" s="60" t="s">
        <v>365</v>
      </c>
      <c r="L357" s="135">
        <v>0</v>
      </c>
      <c r="M357" s="60"/>
      <c r="N357" s="60"/>
      <c r="O357" s="91" t="s">
        <v>820</v>
      </c>
      <c r="P357" s="88">
        <v>5</v>
      </c>
      <c r="Q357" s="60"/>
      <c r="R357" s="88"/>
      <c r="S357" s="88"/>
      <c r="T357" s="88"/>
      <c r="U357" s="88"/>
      <c r="V357" s="94"/>
      <c r="W357" s="88"/>
      <c r="X357" s="90"/>
      <c r="Y357" s="88"/>
      <c r="Z357" s="101"/>
      <c r="AA357" s="88"/>
      <c r="AB357" s="88"/>
      <c r="AC357" s="88"/>
      <c r="AD357" s="88"/>
      <c r="AE357" s="88"/>
      <c r="AF357" s="88"/>
      <c r="AG357" s="88"/>
      <c r="AH357" s="88"/>
      <c r="AI357" s="88"/>
      <c r="AJ357" s="88"/>
      <c r="AK357" s="88"/>
      <c r="AL357" s="88"/>
      <c r="AM357" s="88"/>
      <c r="AN357" s="88"/>
      <c r="AO357" s="88"/>
      <c r="AP357" s="88"/>
      <c r="AQ357" s="88"/>
      <c r="AR357" s="88"/>
      <c r="AS357" s="88"/>
      <c r="AT357" s="88"/>
      <c r="AU357" s="88"/>
      <c r="AV357" s="88"/>
      <c r="AW357" s="88"/>
      <c r="AX357" s="88"/>
      <c r="AY357" s="88"/>
      <c r="AZ357" s="88"/>
      <c r="BA357" s="88"/>
      <c r="BB357" s="88"/>
      <c r="BC357" s="88"/>
      <c r="BD357" s="88"/>
      <c r="BE357" s="88"/>
      <c r="BF357" s="88"/>
      <c r="BG357" s="88"/>
      <c r="BH357" s="88"/>
      <c r="BI357" s="88"/>
      <c r="BJ357" s="88"/>
      <c r="BK357" s="88"/>
      <c r="BL357" s="88"/>
      <c r="BM357" s="88"/>
      <c r="BN357" s="88"/>
      <c r="BO357" s="88"/>
      <c r="BP357" s="88"/>
      <c r="BQ357" s="88"/>
      <c r="BR357" s="88"/>
      <c r="BS357" s="88"/>
      <c r="BT357" s="88"/>
      <c r="BU357" s="88"/>
      <c r="BV357" s="88"/>
      <c r="BW357" s="88"/>
      <c r="BX357" s="88"/>
      <c r="BY357" s="88"/>
      <c r="BZ357" s="88"/>
      <c r="CA357" s="88"/>
      <c r="CB357" s="88"/>
      <c r="CC357" s="88"/>
      <c r="CD357" s="88"/>
      <c r="CE357" s="88"/>
      <c r="CF357" s="88"/>
      <c r="CG357" s="88"/>
      <c r="CH357" s="88"/>
      <c r="CI357" s="88"/>
      <c r="CJ357" s="88"/>
      <c r="CK357" s="88"/>
      <c r="CL357" s="88"/>
      <c r="CM357" s="88"/>
      <c r="CN357" s="88"/>
      <c r="CO357" s="88"/>
      <c r="CP357" s="88"/>
      <c r="CQ357" s="88"/>
      <c r="CR357" s="88"/>
      <c r="CS357" s="88"/>
      <c r="CT357" s="88"/>
      <c r="CU357" s="88"/>
      <c r="CV357" s="88"/>
      <c r="CW357" s="88"/>
      <c r="CX357" s="88"/>
      <c r="CY357" s="88"/>
      <c r="CZ357" s="88"/>
      <c r="DA357" s="88"/>
      <c r="DB357" s="88"/>
      <c r="DC357" s="88"/>
      <c r="DD357" s="88"/>
      <c r="DE357" s="88"/>
      <c r="DF357" s="88"/>
      <c r="DG357" s="88"/>
      <c r="DH357" s="88"/>
      <c r="DI357" s="88"/>
      <c r="DJ357" s="88"/>
      <c r="DK357" s="88"/>
      <c r="DL357" s="88"/>
      <c r="DM357" s="88"/>
      <c r="DN357" s="88"/>
      <c r="DO357" s="88"/>
      <c r="DP357" s="88"/>
      <c r="DQ357" s="88"/>
      <c r="DR357" s="88"/>
      <c r="DS357" s="88"/>
      <c r="DT357" s="88"/>
      <c r="DU357" s="88"/>
      <c r="DV357" s="88"/>
      <c r="DW357" s="88"/>
      <c r="DX357" s="88"/>
      <c r="DY357" s="88"/>
      <c r="DZ357" s="88"/>
      <c r="EA357" s="88"/>
      <c r="EB357" s="88"/>
      <c r="EC357" s="88"/>
      <c r="ED357" s="88"/>
      <c r="EE357" s="88"/>
      <c r="EF357" s="88"/>
      <c r="EG357" s="88"/>
    </row>
    <row r="358" spans="1:137" s="97" customFormat="1" ht="14.45" customHeight="1" x14ac:dyDescent="0.25">
      <c r="A358" s="99">
        <v>45383</v>
      </c>
      <c r="B358" s="82">
        <v>45388</v>
      </c>
      <c r="C358" s="88" t="s">
        <v>34</v>
      </c>
      <c r="D358" s="60" t="s">
        <v>461</v>
      </c>
      <c r="E358" s="115" t="s">
        <v>602</v>
      </c>
      <c r="F358" s="60" t="s">
        <v>598</v>
      </c>
      <c r="G358" s="72" t="s">
        <v>142</v>
      </c>
      <c r="H358" s="83">
        <v>0.375</v>
      </c>
      <c r="I358" s="83">
        <v>0.58333333333333337</v>
      </c>
      <c r="J358" s="63">
        <f t="shared" si="20"/>
        <v>0.20833333333333337</v>
      </c>
      <c r="K358" s="60" t="s">
        <v>113</v>
      </c>
      <c r="L358" s="135">
        <f t="shared" ref="L358:L389" si="22">24*J358</f>
        <v>5.0000000000000009</v>
      </c>
      <c r="M358" s="60"/>
      <c r="N358" s="60"/>
      <c r="O358" s="91" t="s">
        <v>820</v>
      </c>
      <c r="P358" s="88">
        <v>5</v>
      </c>
      <c r="Q358" s="60"/>
      <c r="R358" s="88"/>
      <c r="S358" s="88"/>
      <c r="T358" s="88"/>
      <c r="U358" s="88"/>
      <c r="V358" s="94"/>
      <c r="W358" s="88"/>
      <c r="X358" s="90"/>
      <c r="Y358" s="88"/>
      <c r="Z358" s="101"/>
      <c r="AA358" s="88"/>
      <c r="AB358" s="88"/>
      <c r="AC358" s="88"/>
      <c r="AD358" s="88"/>
      <c r="AE358" s="88"/>
      <c r="AF358" s="88"/>
      <c r="AG358" s="88"/>
      <c r="AH358" s="88"/>
      <c r="AI358" s="88"/>
      <c r="AJ358" s="88"/>
      <c r="AK358" s="88"/>
      <c r="AL358" s="88"/>
      <c r="AM358" s="88"/>
      <c r="AN358" s="88"/>
      <c r="AO358" s="88"/>
      <c r="AP358" s="88"/>
      <c r="AQ358" s="88"/>
      <c r="AR358" s="88"/>
      <c r="AS358" s="88"/>
      <c r="AT358" s="88"/>
      <c r="AU358" s="88"/>
      <c r="AV358" s="88"/>
      <c r="AW358" s="88"/>
      <c r="AX358" s="88"/>
      <c r="AY358" s="88"/>
      <c r="AZ358" s="88"/>
      <c r="BA358" s="88"/>
      <c r="BB358" s="88"/>
      <c r="BC358" s="88"/>
      <c r="BD358" s="88"/>
      <c r="BE358" s="88"/>
      <c r="BF358" s="88"/>
      <c r="BG358" s="88"/>
      <c r="BH358" s="88"/>
      <c r="BI358" s="88"/>
      <c r="BJ358" s="88"/>
      <c r="BK358" s="88"/>
      <c r="BL358" s="88"/>
      <c r="BM358" s="88"/>
      <c r="BN358" s="88"/>
      <c r="BO358" s="88"/>
      <c r="BP358" s="88"/>
      <c r="BQ358" s="88"/>
      <c r="BR358" s="88"/>
      <c r="BS358" s="88"/>
      <c r="BT358" s="88"/>
      <c r="BU358" s="88"/>
      <c r="BV358" s="88"/>
      <c r="BW358" s="88"/>
      <c r="BX358" s="88"/>
      <c r="BY358" s="88"/>
      <c r="BZ358" s="88"/>
      <c r="CA358" s="88"/>
      <c r="CB358" s="88"/>
      <c r="CC358" s="88"/>
      <c r="CD358" s="88"/>
      <c r="CE358" s="88"/>
      <c r="CF358" s="88"/>
      <c r="CG358" s="88"/>
      <c r="CH358" s="88"/>
      <c r="CI358" s="88"/>
      <c r="CJ358" s="88"/>
      <c r="CK358" s="88"/>
      <c r="CL358" s="88"/>
      <c r="CM358" s="88"/>
      <c r="CN358" s="88"/>
      <c r="CO358" s="88"/>
      <c r="CP358" s="88"/>
      <c r="CQ358" s="88"/>
      <c r="CR358" s="88"/>
      <c r="CS358" s="88"/>
      <c r="CT358" s="88"/>
      <c r="CU358" s="88"/>
      <c r="CV358" s="88"/>
      <c r="CW358" s="88"/>
      <c r="CX358" s="88"/>
      <c r="CY358" s="88"/>
      <c r="CZ358" s="88"/>
      <c r="DA358" s="88"/>
      <c r="DB358" s="88"/>
      <c r="DC358" s="88"/>
      <c r="DD358" s="88"/>
      <c r="DE358" s="88"/>
      <c r="DF358" s="88"/>
      <c r="DG358" s="88"/>
      <c r="DH358" s="88"/>
      <c r="DI358" s="88"/>
      <c r="DJ358" s="88"/>
      <c r="DK358" s="88"/>
      <c r="DL358" s="88"/>
      <c r="DM358" s="88"/>
      <c r="DN358" s="88"/>
      <c r="DO358" s="88"/>
      <c r="DP358" s="88"/>
      <c r="DQ358" s="88"/>
      <c r="DR358" s="88"/>
      <c r="DS358" s="88"/>
      <c r="DT358" s="88"/>
      <c r="DU358" s="88"/>
      <c r="DV358" s="88"/>
      <c r="DW358" s="88"/>
      <c r="DX358" s="88"/>
      <c r="DY358" s="88"/>
      <c r="DZ358" s="88"/>
      <c r="EA358" s="88"/>
      <c r="EB358" s="88"/>
      <c r="EC358" s="88"/>
      <c r="ED358" s="88"/>
      <c r="EE358" s="88"/>
      <c r="EF358" s="88"/>
      <c r="EG358" s="88"/>
    </row>
    <row r="359" spans="1:137" s="88" customFormat="1" ht="14.45" customHeight="1" x14ac:dyDescent="0.25">
      <c r="A359" s="99">
        <v>45383</v>
      </c>
      <c r="B359" s="82">
        <v>45388</v>
      </c>
      <c r="C359" s="88" t="s">
        <v>34</v>
      </c>
      <c r="D359" s="60" t="s">
        <v>98</v>
      </c>
      <c r="E359" s="115" t="s">
        <v>604</v>
      </c>
      <c r="F359" s="60" t="s">
        <v>605</v>
      </c>
      <c r="G359" s="72" t="s">
        <v>142</v>
      </c>
      <c r="H359" s="83">
        <v>0</v>
      </c>
      <c r="I359" s="83">
        <v>0.29166666666666669</v>
      </c>
      <c r="J359" s="63">
        <f t="shared" si="20"/>
        <v>0.29166666666666669</v>
      </c>
      <c r="K359" s="60" t="s">
        <v>296</v>
      </c>
      <c r="L359" s="135">
        <f t="shared" si="22"/>
        <v>7</v>
      </c>
      <c r="M359" s="60"/>
      <c r="N359" s="60"/>
      <c r="O359" s="85" t="s">
        <v>304</v>
      </c>
      <c r="P359" s="88">
        <v>4</v>
      </c>
      <c r="Q359" s="60" t="s">
        <v>472</v>
      </c>
      <c r="V359" s="94"/>
      <c r="X359" s="90"/>
      <c r="Z359" s="101"/>
    </row>
    <row r="360" spans="1:137" s="88" customFormat="1" ht="14.45" customHeight="1" x14ac:dyDescent="0.25">
      <c r="A360" s="99">
        <v>45383</v>
      </c>
      <c r="B360" s="82">
        <v>45389</v>
      </c>
      <c r="C360" s="60" t="s">
        <v>31</v>
      </c>
      <c r="D360" s="60" t="s">
        <v>98</v>
      </c>
      <c r="E360" s="115" t="s">
        <v>604</v>
      </c>
      <c r="F360" s="60" t="s">
        <v>605</v>
      </c>
      <c r="G360" s="72" t="s">
        <v>142</v>
      </c>
      <c r="H360" s="83">
        <v>0.375</v>
      </c>
      <c r="I360" s="83">
        <v>0.875</v>
      </c>
      <c r="J360" s="63">
        <f t="shared" si="20"/>
        <v>0.5</v>
      </c>
      <c r="K360" s="60" t="s">
        <v>296</v>
      </c>
      <c r="L360" s="135">
        <f t="shared" si="22"/>
        <v>12</v>
      </c>
      <c r="M360" s="60"/>
      <c r="N360" s="60"/>
      <c r="O360" s="85" t="s">
        <v>304</v>
      </c>
      <c r="P360" s="88">
        <v>4</v>
      </c>
      <c r="Q360" s="60" t="s">
        <v>472</v>
      </c>
      <c r="V360" s="94"/>
      <c r="X360" s="90"/>
      <c r="Z360" s="101"/>
    </row>
    <row r="361" spans="1:137" s="88" customFormat="1" ht="14.45" customHeight="1" x14ac:dyDescent="0.25">
      <c r="A361" s="99">
        <v>45383</v>
      </c>
      <c r="B361" s="82">
        <v>45389</v>
      </c>
      <c r="C361" s="60" t="s">
        <v>31</v>
      </c>
      <c r="D361" s="60" t="s">
        <v>32</v>
      </c>
      <c r="E361" s="115" t="s">
        <v>652</v>
      </c>
      <c r="F361" s="60" t="s">
        <v>653</v>
      </c>
      <c r="G361" s="72" t="s">
        <v>142</v>
      </c>
      <c r="H361" s="83">
        <v>0.54166666666666663</v>
      </c>
      <c r="I361" s="83">
        <v>0.66666666666666663</v>
      </c>
      <c r="J361" s="63">
        <f t="shared" si="20"/>
        <v>0.125</v>
      </c>
      <c r="K361" s="60" t="s">
        <v>365</v>
      </c>
      <c r="L361" s="135">
        <f t="shared" si="22"/>
        <v>3</v>
      </c>
      <c r="M361" s="60"/>
      <c r="N361" s="60"/>
      <c r="O361" s="91" t="s">
        <v>359</v>
      </c>
      <c r="P361" s="88">
        <v>5</v>
      </c>
      <c r="Q361" s="60"/>
      <c r="V361" s="94"/>
      <c r="X361" s="90"/>
      <c r="Z361" s="101"/>
    </row>
    <row r="362" spans="1:137" s="97" customFormat="1" ht="14.45" customHeight="1" x14ac:dyDescent="0.25">
      <c r="A362" s="99">
        <v>45383</v>
      </c>
      <c r="B362" s="82">
        <v>45396</v>
      </c>
      <c r="C362" s="60" t="s">
        <v>31</v>
      </c>
      <c r="D362" s="60" t="s">
        <v>32</v>
      </c>
      <c r="E362" s="115" t="s">
        <v>388</v>
      </c>
      <c r="F362" s="60" t="s">
        <v>603</v>
      </c>
      <c r="G362" s="72" t="s">
        <v>142</v>
      </c>
      <c r="H362" s="83">
        <v>0.4375</v>
      </c>
      <c r="I362" s="83">
        <v>0.47916666666666669</v>
      </c>
      <c r="J362" s="63">
        <f t="shared" si="20"/>
        <v>4.1666666666666685E-2</v>
      </c>
      <c r="K362" s="60" t="s">
        <v>365</v>
      </c>
      <c r="L362" s="135">
        <f t="shared" si="22"/>
        <v>1.0000000000000004</v>
      </c>
      <c r="M362" s="60"/>
      <c r="N362" s="60"/>
      <c r="O362" s="91" t="s">
        <v>820</v>
      </c>
      <c r="P362" s="88">
        <v>5</v>
      </c>
      <c r="Q362" s="60"/>
      <c r="R362" s="88"/>
      <c r="S362" s="88"/>
      <c r="T362" s="88"/>
      <c r="U362" s="88"/>
      <c r="V362" s="94"/>
      <c r="W362" s="88"/>
      <c r="X362" s="90"/>
      <c r="Y362" s="88"/>
      <c r="Z362" s="101"/>
      <c r="AA362" s="88"/>
      <c r="AB362" s="88"/>
      <c r="AC362" s="88"/>
      <c r="AD362" s="88"/>
      <c r="AE362" s="88"/>
      <c r="AF362" s="88"/>
      <c r="AG362" s="88"/>
      <c r="AH362" s="88"/>
      <c r="AI362" s="88"/>
      <c r="AJ362" s="88"/>
      <c r="AK362" s="88"/>
      <c r="AL362" s="88"/>
      <c r="AM362" s="88"/>
      <c r="AN362" s="88"/>
      <c r="AO362" s="88"/>
      <c r="AP362" s="88"/>
      <c r="AQ362" s="88"/>
      <c r="AR362" s="88"/>
      <c r="AS362" s="88"/>
      <c r="AT362" s="88"/>
      <c r="AU362" s="88"/>
      <c r="AV362" s="88"/>
      <c r="AW362" s="88"/>
      <c r="AX362" s="88"/>
      <c r="AY362" s="88"/>
      <c r="AZ362" s="88"/>
      <c r="BA362" s="88"/>
      <c r="BB362" s="88"/>
      <c r="BC362" s="88"/>
      <c r="BD362" s="88"/>
      <c r="BE362" s="88"/>
      <c r="BF362" s="88"/>
      <c r="BG362" s="88"/>
      <c r="BH362" s="88"/>
      <c r="BI362" s="88"/>
      <c r="BJ362" s="88"/>
      <c r="BK362" s="88"/>
      <c r="BL362" s="88"/>
      <c r="BM362" s="88"/>
      <c r="BN362" s="88"/>
      <c r="BO362" s="88"/>
      <c r="BP362" s="88"/>
      <c r="BQ362" s="88"/>
      <c r="BR362" s="88"/>
      <c r="BS362" s="88"/>
      <c r="BT362" s="88"/>
      <c r="BU362" s="88"/>
      <c r="BV362" s="88"/>
      <c r="BW362" s="88"/>
      <c r="BX362" s="88"/>
      <c r="BY362" s="88"/>
      <c r="BZ362" s="88"/>
      <c r="CA362" s="88"/>
      <c r="CB362" s="88"/>
      <c r="CC362" s="88"/>
      <c r="CD362" s="88"/>
      <c r="CE362" s="88"/>
      <c r="CF362" s="88"/>
      <c r="CG362" s="88"/>
      <c r="CH362" s="88"/>
      <c r="CI362" s="88"/>
      <c r="CJ362" s="88"/>
      <c r="CK362" s="88"/>
      <c r="CL362" s="88"/>
      <c r="CM362" s="88"/>
      <c r="CN362" s="88"/>
      <c r="CO362" s="88"/>
      <c r="CP362" s="88"/>
      <c r="CQ362" s="88"/>
      <c r="CR362" s="88"/>
      <c r="CS362" s="88"/>
      <c r="CT362" s="88"/>
      <c r="CU362" s="88"/>
      <c r="CV362" s="88"/>
      <c r="CW362" s="88"/>
      <c r="CX362" s="88"/>
      <c r="CY362" s="88"/>
      <c r="CZ362" s="88"/>
      <c r="DA362" s="88"/>
      <c r="DB362" s="88"/>
      <c r="DC362" s="88"/>
      <c r="DD362" s="88"/>
      <c r="DE362" s="88"/>
      <c r="DF362" s="88"/>
      <c r="DG362" s="88"/>
      <c r="DH362" s="88"/>
      <c r="DI362" s="88"/>
      <c r="DJ362" s="88"/>
      <c r="DK362" s="88"/>
      <c r="DL362" s="88"/>
      <c r="DM362" s="88"/>
      <c r="DN362" s="88"/>
      <c r="DO362" s="88"/>
      <c r="DP362" s="88"/>
      <c r="DQ362" s="88"/>
      <c r="DR362" s="88"/>
      <c r="DS362" s="88"/>
      <c r="DT362" s="88"/>
      <c r="DU362" s="88"/>
      <c r="DV362" s="88"/>
      <c r="DW362" s="88"/>
      <c r="DX362" s="88"/>
      <c r="DY362" s="88"/>
      <c r="DZ362" s="88"/>
      <c r="EA362" s="88"/>
      <c r="EB362" s="88"/>
      <c r="EC362" s="88"/>
      <c r="ED362" s="88"/>
      <c r="EE362" s="88"/>
      <c r="EF362" s="88"/>
      <c r="EG362" s="88"/>
    </row>
    <row r="363" spans="1:137" ht="14.45" customHeight="1" x14ac:dyDescent="0.2">
      <c r="A363" s="99">
        <v>45383</v>
      </c>
      <c r="B363" s="82">
        <v>45397</v>
      </c>
      <c r="C363" s="88" t="s">
        <v>45</v>
      </c>
      <c r="D363" s="60" t="s">
        <v>313</v>
      </c>
      <c r="E363" s="115" t="s">
        <v>350</v>
      </c>
      <c r="F363" s="60" t="s">
        <v>379</v>
      </c>
      <c r="G363" s="72" t="s">
        <v>142</v>
      </c>
      <c r="H363" s="83">
        <v>0.5</v>
      </c>
      <c r="I363" s="83">
        <v>0.58333333333333337</v>
      </c>
      <c r="J363" s="63">
        <f t="shared" si="20"/>
        <v>8.333333333333337E-2</v>
      </c>
      <c r="K363" s="88" t="s">
        <v>365</v>
      </c>
      <c r="L363" s="135">
        <f t="shared" si="22"/>
        <v>2.0000000000000009</v>
      </c>
      <c r="M363" s="60"/>
      <c r="N363" s="60"/>
      <c r="O363" s="91" t="s">
        <v>363</v>
      </c>
      <c r="P363" s="88">
        <v>5</v>
      </c>
      <c r="Q363" s="60"/>
      <c r="Z363" s="100"/>
    </row>
    <row r="364" spans="1:137" ht="14.45" customHeight="1" x14ac:dyDescent="0.2">
      <c r="A364" s="99">
        <v>45383</v>
      </c>
      <c r="B364" s="82">
        <v>45398</v>
      </c>
      <c r="C364" s="88" t="s">
        <v>106</v>
      </c>
      <c r="D364" s="60" t="s">
        <v>313</v>
      </c>
      <c r="E364" s="115" t="s">
        <v>350</v>
      </c>
      <c r="F364" s="60" t="s">
        <v>379</v>
      </c>
      <c r="G364" s="72" t="s">
        <v>142</v>
      </c>
      <c r="H364" s="83">
        <v>0.5</v>
      </c>
      <c r="I364" s="83">
        <v>0.625</v>
      </c>
      <c r="J364" s="63">
        <f t="shared" si="20"/>
        <v>0.125</v>
      </c>
      <c r="K364" s="88" t="s">
        <v>365</v>
      </c>
      <c r="L364" s="135">
        <f t="shared" si="22"/>
        <v>3</v>
      </c>
      <c r="M364" s="60"/>
      <c r="N364" s="60"/>
      <c r="O364" s="91" t="s">
        <v>363</v>
      </c>
      <c r="P364" s="88">
        <v>5</v>
      </c>
      <c r="Q364" s="60"/>
      <c r="Z364" s="100"/>
    </row>
    <row r="365" spans="1:137" s="88" customFormat="1" ht="14.45" customHeight="1" x14ac:dyDescent="0.25">
      <c r="A365" s="99">
        <v>45383</v>
      </c>
      <c r="B365" s="82">
        <v>45398</v>
      </c>
      <c r="C365" s="88" t="s">
        <v>106</v>
      </c>
      <c r="D365" s="60" t="s">
        <v>98</v>
      </c>
      <c r="E365" s="115" t="s">
        <v>522</v>
      </c>
      <c r="F365" s="60" t="s">
        <v>619</v>
      </c>
      <c r="G365" s="72" t="s">
        <v>142</v>
      </c>
      <c r="H365" s="83">
        <v>0.5</v>
      </c>
      <c r="I365" s="83">
        <v>0.625</v>
      </c>
      <c r="J365" s="63">
        <f t="shared" si="20"/>
        <v>0.125</v>
      </c>
      <c r="K365" s="88" t="s">
        <v>113</v>
      </c>
      <c r="L365" s="135">
        <f t="shared" si="22"/>
        <v>3</v>
      </c>
      <c r="M365" s="60"/>
      <c r="N365" s="60"/>
      <c r="O365" s="91" t="s">
        <v>363</v>
      </c>
      <c r="P365" s="88">
        <v>4</v>
      </c>
      <c r="Q365" s="60" t="s">
        <v>472</v>
      </c>
      <c r="V365" s="94"/>
      <c r="X365" s="90"/>
      <c r="Z365" s="101"/>
    </row>
    <row r="366" spans="1:137" x14ac:dyDescent="0.2">
      <c r="A366" s="99">
        <v>45383</v>
      </c>
      <c r="B366" s="82">
        <v>45398</v>
      </c>
      <c r="C366" s="88" t="s">
        <v>106</v>
      </c>
      <c r="D366" s="60" t="s">
        <v>498</v>
      </c>
      <c r="E366" s="115" t="s">
        <v>446</v>
      </c>
      <c r="F366" s="60" t="s">
        <v>606</v>
      </c>
      <c r="G366" s="72" t="s">
        <v>142</v>
      </c>
      <c r="H366" s="83">
        <v>0.41666666666666669</v>
      </c>
      <c r="I366" s="83">
        <v>0.70833333333333337</v>
      </c>
      <c r="J366" s="63">
        <v>0.27079999999999999</v>
      </c>
      <c r="K366" s="88" t="s">
        <v>366</v>
      </c>
      <c r="L366" s="135">
        <f t="shared" si="22"/>
        <v>6.4992000000000001</v>
      </c>
      <c r="N366" s="60"/>
      <c r="O366" s="91" t="s">
        <v>360</v>
      </c>
      <c r="P366" s="88">
        <v>5</v>
      </c>
      <c r="Q366" s="60"/>
      <c r="V366" s="86"/>
      <c r="Z366" s="100"/>
    </row>
    <row r="367" spans="1:137" s="97" customFormat="1" ht="14.45" customHeight="1" x14ac:dyDescent="0.25">
      <c r="A367" s="99">
        <v>45383</v>
      </c>
      <c r="B367" s="82">
        <v>45398</v>
      </c>
      <c r="C367" s="88" t="s">
        <v>106</v>
      </c>
      <c r="D367" s="60" t="s">
        <v>32</v>
      </c>
      <c r="E367" s="115" t="s">
        <v>388</v>
      </c>
      <c r="F367" s="60" t="s">
        <v>607</v>
      </c>
      <c r="G367" s="72" t="s">
        <v>142</v>
      </c>
      <c r="H367" s="83">
        <v>0.54166666666666663</v>
      </c>
      <c r="I367" s="83">
        <v>0.66666666666666663</v>
      </c>
      <c r="J367" s="63">
        <f>I367-H367</f>
        <v>0.125</v>
      </c>
      <c r="K367" s="60" t="s">
        <v>365</v>
      </c>
      <c r="L367" s="135">
        <f t="shared" si="22"/>
        <v>3</v>
      </c>
      <c r="M367" s="60"/>
      <c r="N367" s="60"/>
      <c r="O367" s="91" t="s">
        <v>820</v>
      </c>
      <c r="P367" s="88">
        <v>5</v>
      </c>
      <c r="Q367" s="60"/>
      <c r="R367" s="88"/>
      <c r="S367" s="88"/>
      <c r="T367" s="88"/>
      <c r="U367" s="88"/>
      <c r="V367" s="94"/>
      <c r="W367" s="88"/>
      <c r="X367" s="90"/>
      <c r="Y367" s="88"/>
      <c r="Z367" s="101"/>
      <c r="AA367" s="88"/>
      <c r="AB367" s="88"/>
      <c r="AC367" s="88"/>
      <c r="AD367" s="88"/>
      <c r="AE367" s="88"/>
      <c r="AF367" s="88"/>
      <c r="AG367" s="88"/>
      <c r="AH367" s="88"/>
      <c r="AI367" s="88"/>
      <c r="AJ367" s="88"/>
      <c r="AK367" s="88"/>
      <c r="AL367" s="88"/>
      <c r="AM367" s="88"/>
      <c r="AN367" s="88"/>
      <c r="AO367" s="88"/>
      <c r="AP367" s="88"/>
      <c r="AQ367" s="88"/>
      <c r="AR367" s="88"/>
      <c r="AS367" s="88"/>
      <c r="AT367" s="88"/>
      <c r="AU367" s="88"/>
      <c r="AV367" s="88"/>
      <c r="AW367" s="88"/>
      <c r="AX367" s="88"/>
      <c r="AY367" s="88"/>
      <c r="AZ367" s="88"/>
      <c r="BA367" s="88"/>
      <c r="BB367" s="88"/>
      <c r="BC367" s="88"/>
      <c r="BD367" s="88"/>
      <c r="BE367" s="88"/>
      <c r="BF367" s="88"/>
      <c r="BG367" s="88"/>
      <c r="BH367" s="88"/>
      <c r="BI367" s="88"/>
      <c r="BJ367" s="88"/>
      <c r="BK367" s="88"/>
      <c r="BL367" s="88"/>
      <c r="BM367" s="88"/>
      <c r="BN367" s="88"/>
      <c r="BO367" s="88"/>
      <c r="BP367" s="88"/>
      <c r="BQ367" s="88"/>
      <c r="BR367" s="88"/>
      <c r="BS367" s="88"/>
      <c r="BT367" s="88"/>
      <c r="BU367" s="88"/>
      <c r="BV367" s="88"/>
      <c r="BW367" s="88"/>
      <c r="BX367" s="88"/>
      <c r="BY367" s="88"/>
      <c r="BZ367" s="88"/>
      <c r="CA367" s="88"/>
      <c r="CB367" s="88"/>
      <c r="CC367" s="88"/>
      <c r="CD367" s="88"/>
      <c r="CE367" s="88"/>
      <c r="CF367" s="88"/>
      <c r="CG367" s="88"/>
      <c r="CH367" s="88"/>
      <c r="CI367" s="88"/>
      <c r="CJ367" s="88"/>
      <c r="CK367" s="88"/>
      <c r="CL367" s="88"/>
      <c r="CM367" s="88"/>
      <c r="CN367" s="88"/>
      <c r="CO367" s="88"/>
      <c r="CP367" s="88"/>
      <c r="CQ367" s="88"/>
      <c r="CR367" s="88"/>
      <c r="CS367" s="88"/>
      <c r="CT367" s="88"/>
      <c r="CU367" s="88"/>
      <c r="CV367" s="88"/>
      <c r="CW367" s="88"/>
      <c r="CX367" s="88"/>
      <c r="CY367" s="88"/>
      <c r="CZ367" s="88"/>
      <c r="DA367" s="88"/>
      <c r="DB367" s="88"/>
      <c r="DC367" s="88"/>
      <c r="DD367" s="88"/>
      <c r="DE367" s="88"/>
      <c r="DF367" s="88"/>
      <c r="DG367" s="88"/>
      <c r="DH367" s="88"/>
      <c r="DI367" s="88"/>
      <c r="DJ367" s="88"/>
      <c r="DK367" s="88"/>
      <c r="DL367" s="88"/>
      <c r="DM367" s="88"/>
      <c r="DN367" s="88"/>
      <c r="DO367" s="88"/>
      <c r="DP367" s="88"/>
      <c r="DQ367" s="88"/>
      <c r="DR367" s="88"/>
      <c r="DS367" s="88"/>
      <c r="DT367" s="88"/>
      <c r="DU367" s="88"/>
      <c r="DV367" s="88"/>
      <c r="DW367" s="88"/>
      <c r="DX367" s="88"/>
      <c r="DY367" s="88"/>
      <c r="DZ367" s="88"/>
      <c r="EA367" s="88"/>
      <c r="EB367" s="88"/>
      <c r="EC367" s="88"/>
      <c r="ED367" s="88"/>
      <c r="EE367" s="88"/>
      <c r="EF367" s="88"/>
      <c r="EG367" s="88"/>
    </row>
    <row r="368" spans="1:137" ht="14.45" customHeight="1" x14ac:dyDescent="0.2">
      <c r="A368" s="99">
        <v>45383</v>
      </c>
      <c r="B368" s="82">
        <v>45399</v>
      </c>
      <c r="C368" s="60" t="s">
        <v>398</v>
      </c>
      <c r="D368" s="60" t="s">
        <v>313</v>
      </c>
      <c r="E368" s="115" t="s">
        <v>350</v>
      </c>
      <c r="F368" s="60" t="s">
        <v>379</v>
      </c>
      <c r="G368" s="72" t="s">
        <v>142</v>
      </c>
      <c r="H368" s="83">
        <v>0.45833333333333331</v>
      </c>
      <c r="I368" s="83">
        <v>0.625</v>
      </c>
      <c r="J368" s="63">
        <f>I368-H368</f>
        <v>0.16666666666666669</v>
      </c>
      <c r="K368" s="88" t="s">
        <v>365</v>
      </c>
      <c r="L368" s="135">
        <f t="shared" si="22"/>
        <v>4</v>
      </c>
      <c r="M368" s="60"/>
      <c r="N368" s="60"/>
      <c r="O368" s="91" t="s">
        <v>363</v>
      </c>
      <c r="P368" s="88">
        <v>5</v>
      </c>
      <c r="Q368" s="60"/>
      <c r="Z368" s="100"/>
    </row>
    <row r="369" spans="1:137" x14ac:dyDescent="0.2">
      <c r="A369" s="99">
        <v>45383</v>
      </c>
      <c r="B369" s="82">
        <v>45399</v>
      </c>
      <c r="C369" s="60" t="s">
        <v>398</v>
      </c>
      <c r="D369" s="60" t="s">
        <v>498</v>
      </c>
      <c r="E369" s="115" t="s">
        <v>446</v>
      </c>
      <c r="F369" s="60" t="s">
        <v>606</v>
      </c>
      <c r="G369" s="72" t="s">
        <v>142</v>
      </c>
      <c r="H369" s="83">
        <v>0.41666666666666669</v>
      </c>
      <c r="I369" s="83">
        <v>0.70833333333333337</v>
      </c>
      <c r="J369" s="63">
        <v>0.27079999999999999</v>
      </c>
      <c r="K369" s="88" t="s">
        <v>366</v>
      </c>
      <c r="L369" s="135">
        <f t="shared" si="22"/>
        <v>6.4992000000000001</v>
      </c>
      <c r="N369" s="60"/>
      <c r="O369" s="91" t="s">
        <v>360</v>
      </c>
      <c r="P369" s="88">
        <v>5</v>
      </c>
      <c r="Q369" s="60"/>
      <c r="V369" s="86"/>
      <c r="Z369" s="100"/>
    </row>
    <row r="370" spans="1:137" ht="14.45" customHeight="1" x14ac:dyDescent="0.2">
      <c r="A370" s="99">
        <v>45383</v>
      </c>
      <c r="B370" s="82">
        <v>45399</v>
      </c>
      <c r="C370" s="60" t="s">
        <v>398</v>
      </c>
      <c r="D370" s="60" t="s">
        <v>98</v>
      </c>
      <c r="E370" s="116" t="s">
        <v>409</v>
      </c>
      <c r="F370" s="72" t="s">
        <v>608</v>
      </c>
      <c r="G370" s="72" t="s">
        <v>142</v>
      </c>
      <c r="H370" s="83">
        <v>0.54166666666666663</v>
      </c>
      <c r="I370" s="83">
        <v>0.58333333333333337</v>
      </c>
      <c r="J370" s="63">
        <f t="shared" ref="J370:J376" si="23">I370-H370</f>
        <v>4.1666666666666741E-2</v>
      </c>
      <c r="K370" s="60" t="s">
        <v>365</v>
      </c>
      <c r="L370" s="135">
        <f t="shared" si="22"/>
        <v>1.0000000000000018</v>
      </c>
      <c r="M370" s="60"/>
      <c r="N370" s="60"/>
      <c r="O370" s="85" t="s">
        <v>361</v>
      </c>
      <c r="P370" s="88">
        <v>5</v>
      </c>
      <c r="Q370" s="60"/>
      <c r="Z370" s="100"/>
    </row>
    <row r="371" spans="1:137" s="97" customFormat="1" ht="14.45" customHeight="1" x14ac:dyDescent="0.25">
      <c r="A371" s="99">
        <v>45383</v>
      </c>
      <c r="B371" s="82">
        <v>45399</v>
      </c>
      <c r="C371" s="60" t="s">
        <v>398</v>
      </c>
      <c r="D371" s="60" t="s">
        <v>32</v>
      </c>
      <c r="E371" s="115" t="s">
        <v>388</v>
      </c>
      <c r="F371" s="60" t="s">
        <v>607</v>
      </c>
      <c r="G371" s="72" t="s">
        <v>142</v>
      </c>
      <c r="H371" s="83">
        <v>0.54166666666666663</v>
      </c>
      <c r="I371" s="83">
        <v>0.66666666666666663</v>
      </c>
      <c r="J371" s="63">
        <f t="shared" si="23"/>
        <v>0.125</v>
      </c>
      <c r="K371" s="60" t="s">
        <v>365</v>
      </c>
      <c r="L371" s="135">
        <f t="shared" si="22"/>
        <v>3</v>
      </c>
      <c r="M371" s="60"/>
      <c r="N371" s="60"/>
      <c r="O371" s="91" t="s">
        <v>820</v>
      </c>
      <c r="P371" s="88">
        <v>5</v>
      </c>
      <c r="Q371" s="60"/>
      <c r="R371" s="88"/>
      <c r="S371" s="88"/>
      <c r="T371" s="88"/>
      <c r="U371" s="88"/>
      <c r="V371" s="94"/>
      <c r="W371" s="88"/>
      <c r="X371" s="90"/>
      <c r="Y371" s="88"/>
      <c r="Z371" s="101"/>
      <c r="AA371" s="88"/>
      <c r="AB371" s="88"/>
      <c r="AC371" s="88"/>
      <c r="AD371" s="88"/>
      <c r="AE371" s="88"/>
      <c r="AF371" s="88"/>
      <c r="AG371" s="88"/>
      <c r="AH371" s="88"/>
      <c r="AI371" s="88"/>
      <c r="AJ371" s="88"/>
      <c r="AK371" s="88"/>
      <c r="AL371" s="88"/>
      <c r="AM371" s="88"/>
      <c r="AN371" s="88"/>
      <c r="AO371" s="88"/>
      <c r="AP371" s="88"/>
      <c r="AQ371" s="88"/>
      <c r="AR371" s="88"/>
      <c r="AS371" s="88"/>
      <c r="AT371" s="88"/>
      <c r="AU371" s="88"/>
      <c r="AV371" s="88"/>
      <c r="AW371" s="88"/>
      <c r="AX371" s="88"/>
      <c r="AY371" s="88"/>
      <c r="AZ371" s="88"/>
      <c r="BA371" s="88"/>
      <c r="BB371" s="88"/>
      <c r="BC371" s="88"/>
      <c r="BD371" s="88"/>
      <c r="BE371" s="88"/>
      <c r="BF371" s="88"/>
      <c r="BG371" s="88"/>
      <c r="BH371" s="88"/>
      <c r="BI371" s="88"/>
      <c r="BJ371" s="88"/>
      <c r="BK371" s="88"/>
      <c r="BL371" s="88"/>
      <c r="BM371" s="88"/>
      <c r="BN371" s="88"/>
      <c r="BO371" s="88"/>
      <c r="BP371" s="88"/>
      <c r="BQ371" s="88"/>
      <c r="BR371" s="88"/>
      <c r="BS371" s="88"/>
      <c r="BT371" s="88"/>
      <c r="BU371" s="88"/>
      <c r="BV371" s="88"/>
      <c r="BW371" s="88"/>
      <c r="BX371" s="88"/>
      <c r="BY371" s="88"/>
      <c r="BZ371" s="88"/>
      <c r="CA371" s="88"/>
      <c r="CB371" s="88"/>
      <c r="CC371" s="88"/>
      <c r="CD371" s="88"/>
      <c r="CE371" s="88"/>
      <c r="CF371" s="88"/>
      <c r="CG371" s="88"/>
      <c r="CH371" s="88"/>
      <c r="CI371" s="88"/>
      <c r="CJ371" s="88"/>
      <c r="CK371" s="88"/>
      <c r="CL371" s="88"/>
      <c r="CM371" s="88"/>
      <c r="CN371" s="88"/>
      <c r="CO371" s="88"/>
      <c r="CP371" s="88"/>
      <c r="CQ371" s="88"/>
      <c r="CR371" s="88"/>
      <c r="CS371" s="88"/>
      <c r="CT371" s="88"/>
      <c r="CU371" s="88"/>
      <c r="CV371" s="88"/>
      <c r="CW371" s="88"/>
      <c r="CX371" s="88"/>
      <c r="CY371" s="88"/>
      <c r="CZ371" s="88"/>
      <c r="DA371" s="88"/>
      <c r="DB371" s="88"/>
      <c r="DC371" s="88"/>
      <c r="DD371" s="88"/>
      <c r="DE371" s="88"/>
      <c r="DF371" s="88"/>
      <c r="DG371" s="88"/>
      <c r="DH371" s="88"/>
      <c r="DI371" s="88"/>
      <c r="DJ371" s="88"/>
      <c r="DK371" s="88"/>
      <c r="DL371" s="88"/>
      <c r="DM371" s="88"/>
      <c r="DN371" s="88"/>
      <c r="DO371" s="88"/>
      <c r="DP371" s="88"/>
      <c r="DQ371" s="88"/>
      <c r="DR371" s="88"/>
      <c r="DS371" s="88"/>
      <c r="DT371" s="88"/>
      <c r="DU371" s="88"/>
      <c r="DV371" s="88"/>
      <c r="DW371" s="88"/>
      <c r="DX371" s="88"/>
      <c r="DY371" s="88"/>
      <c r="DZ371" s="88"/>
      <c r="EA371" s="88"/>
      <c r="EB371" s="88"/>
      <c r="EC371" s="88"/>
      <c r="ED371" s="88"/>
      <c r="EE371" s="88"/>
      <c r="EF371" s="88"/>
      <c r="EG371" s="88"/>
    </row>
    <row r="372" spans="1:137" ht="14.45" customHeight="1" x14ac:dyDescent="0.2">
      <c r="A372" s="99">
        <v>45383</v>
      </c>
      <c r="B372" s="82">
        <v>45399</v>
      </c>
      <c r="C372" s="60" t="s">
        <v>398</v>
      </c>
      <c r="D372" s="60" t="s">
        <v>126</v>
      </c>
      <c r="E372" s="116" t="s">
        <v>620</v>
      </c>
      <c r="F372" s="72" t="s">
        <v>906</v>
      </c>
      <c r="G372" s="72" t="s">
        <v>142</v>
      </c>
      <c r="H372" s="83">
        <v>0.54166666666666663</v>
      </c>
      <c r="I372" s="83">
        <v>0.58333333333333337</v>
      </c>
      <c r="J372" s="63">
        <f t="shared" si="23"/>
        <v>4.1666666666666741E-2</v>
      </c>
      <c r="K372" s="88" t="s">
        <v>295</v>
      </c>
      <c r="L372" s="135">
        <f t="shared" si="22"/>
        <v>1.0000000000000018</v>
      </c>
      <c r="M372" s="60"/>
      <c r="N372" s="60"/>
      <c r="O372" s="91" t="s">
        <v>363</v>
      </c>
      <c r="P372" s="88">
        <v>5</v>
      </c>
      <c r="Q372" s="60"/>
      <c r="Z372" s="100"/>
    </row>
    <row r="373" spans="1:137" ht="14.45" customHeight="1" x14ac:dyDescent="0.2">
      <c r="A373" s="99">
        <v>45383</v>
      </c>
      <c r="B373" s="82">
        <v>45399</v>
      </c>
      <c r="C373" s="60" t="s">
        <v>398</v>
      </c>
      <c r="D373" s="60" t="s">
        <v>126</v>
      </c>
      <c r="E373" s="116" t="s">
        <v>620</v>
      </c>
      <c r="F373" s="72" t="s">
        <v>906</v>
      </c>
      <c r="G373" s="72" t="s">
        <v>142</v>
      </c>
      <c r="H373" s="83">
        <v>0.5</v>
      </c>
      <c r="I373" s="83">
        <v>0.54166666666666663</v>
      </c>
      <c r="J373" s="63">
        <f t="shared" si="23"/>
        <v>4.166666666666663E-2</v>
      </c>
      <c r="K373" s="88" t="s">
        <v>110</v>
      </c>
      <c r="L373" s="135">
        <f t="shared" si="22"/>
        <v>0.99999999999999911</v>
      </c>
      <c r="M373" s="60"/>
      <c r="N373" s="60"/>
      <c r="O373" s="91" t="s">
        <v>363</v>
      </c>
      <c r="P373" s="88">
        <v>5</v>
      </c>
      <c r="Q373" s="60"/>
      <c r="Z373" s="100"/>
    </row>
    <row r="374" spans="1:137" s="97" customFormat="1" ht="14.45" customHeight="1" x14ac:dyDescent="0.25">
      <c r="A374" s="99">
        <v>45383</v>
      </c>
      <c r="B374" s="82">
        <v>45399</v>
      </c>
      <c r="C374" s="60" t="s">
        <v>398</v>
      </c>
      <c r="D374" s="60" t="s">
        <v>609</v>
      </c>
      <c r="E374" s="115" t="s">
        <v>610</v>
      </c>
      <c r="F374" s="60" t="s">
        <v>611</v>
      </c>
      <c r="G374" s="72" t="s">
        <v>142</v>
      </c>
      <c r="H374" s="83">
        <v>0.52083333333333337</v>
      </c>
      <c r="I374" s="83">
        <v>0.70833333333333337</v>
      </c>
      <c r="J374" s="63">
        <f t="shared" si="23"/>
        <v>0.1875</v>
      </c>
      <c r="K374" s="60" t="s">
        <v>365</v>
      </c>
      <c r="L374" s="135">
        <f t="shared" si="22"/>
        <v>4.5</v>
      </c>
      <c r="M374" s="60"/>
      <c r="N374" s="60"/>
      <c r="O374" s="91" t="s">
        <v>539</v>
      </c>
      <c r="P374" s="88">
        <v>5</v>
      </c>
      <c r="Q374" s="60"/>
      <c r="R374" s="88"/>
      <c r="S374" s="88"/>
      <c r="T374" s="88"/>
      <c r="U374" s="88"/>
      <c r="V374" s="94"/>
      <c r="W374" s="88"/>
      <c r="X374" s="90"/>
      <c r="Y374" s="88"/>
      <c r="Z374" s="101"/>
      <c r="AA374" s="88"/>
      <c r="AB374" s="88"/>
      <c r="AC374" s="88"/>
      <c r="AD374" s="88"/>
      <c r="AE374" s="88"/>
      <c r="AF374" s="88"/>
      <c r="AG374" s="88"/>
      <c r="AH374" s="88"/>
      <c r="AI374" s="88"/>
      <c r="AJ374" s="88"/>
      <c r="AK374" s="88"/>
      <c r="AL374" s="88"/>
      <c r="AM374" s="88"/>
      <c r="AN374" s="88"/>
      <c r="AO374" s="88"/>
      <c r="AP374" s="88"/>
      <c r="AQ374" s="88"/>
      <c r="AR374" s="88"/>
      <c r="AS374" s="88"/>
      <c r="AT374" s="88"/>
      <c r="AU374" s="88"/>
      <c r="AV374" s="88"/>
      <c r="AW374" s="88"/>
      <c r="AX374" s="88"/>
      <c r="AY374" s="88"/>
      <c r="AZ374" s="88"/>
      <c r="BA374" s="88"/>
      <c r="BB374" s="88"/>
      <c r="BC374" s="88"/>
      <c r="BD374" s="88"/>
      <c r="BE374" s="88"/>
      <c r="BF374" s="88"/>
      <c r="BG374" s="88"/>
      <c r="BH374" s="88"/>
      <c r="BI374" s="88"/>
      <c r="BJ374" s="88"/>
      <c r="BK374" s="88"/>
      <c r="BL374" s="88"/>
      <c r="BM374" s="88"/>
      <c r="BN374" s="88"/>
      <c r="BO374" s="88"/>
      <c r="BP374" s="88"/>
      <c r="BQ374" s="88"/>
      <c r="BR374" s="88"/>
      <c r="BS374" s="88"/>
      <c r="BT374" s="88"/>
      <c r="BU374" s="88"/>
      <c r="BV374" s="88"/>
      <c r="BW374" s="88"/>
      <c r="BX374" s="88"/>
      <c r="BY374" s="88"/>
      <c r="BZ374" s="88"/>
      <c r="CA374" s="88"/>
      <c r="CB374" s="88"/>
      <c r="CC374" s="88"/>
      <c r="CD374" s="88"/>
      <c r="CE374" s="88"/>
      <c r="CF374" s="88"/>
      <c r="CG374" s="88"/>
      <c r="CH374" s="88"/>
      <c r="CI374" s="88"/>
      <c r="CJ374" s="88"/>
      <c r="CK374" s="88"/>
      <c r="CL374" s="88"/>
      <c r="CM374" s="88"/>
      <c r="CN374" s="88"/>
      <c r="CO374" s="88"/>
      <c r="CP374" s="88"/>
      <c r="CQ374" s="88"/>
      <c r="CR374" s="88"/>
      <c r="CS374" s="88"/>
      <c r="CT374" s="88"/>
      <c r="CU374" s="88"/>
      <c r="CV374" s="88"/>
      <c r="CW374" s="88"/>
      <c r="CX374" s="88"/>
      <c r="CY374" s="88"/>
      <c r="CZ374" s="88"/>
      <c r="DA374" s="88"/>
      <c r="DB374" s="88"/>
      <c r="DC374" s="88"/>
      <c r="DD374" s="88"/>
      <c r="DE374" s="88"/>
      <c r="DF374" s="88"/>
      <c r="DG374" s="88"/>
      <c r="DH374" s="88"/>
      <c r="DI374" s="88"/>
      <c r="DJ374" s="88"/>
      <c r="DK374" s="88"/>
      <c r="DL374" s="88"/>
      <c r="DM374" s="88"/>
      <c r="DN374" s="88"/>
      <c r="DO374" s="88"/>
      <c r="DP374" s="88"/>
      <c r="DQ374" s="88"/>
      <c r="DR374" s="88"/>
      <c r="DS374" s="88"/>
      <c r="DT374" s="88"/>
      <c r="DU374" s="88"/>
      <c r="DV374" s="88"/>
      <c r="DW374" s="88"/>
      <c r="DX374" s="88"/>
      <c r="DY374" s="88"/>
      <c r="DZ374" s="88"/>
      <c r="EA374" s="88"/>
      <c r="EB374" s="88"/>
      <c r="EC374" s="88"/>
      <c r="ED374" s="88"/>
      <c r="EE374" s="88"/>
      <c r="EF374" s="88"/>
      <c r="EG374" s="88"/>
    </row>
    <row r="375" spans="1:137" ht="14.45" customHeight="1" x14ac:dyDescent="0.2">
      <c r="A375" s="99">
        <v>45383</v>
      </c>
      <c r="B375" s="82">
        <v>45399</v>
      </c>
      <c r="C375" s="60" t="s">
        <v>398</v>
      </c>
      <c r="D375" s="60" t="s">
        <v>98</v>
      </c>
      <c r="E375" s="116" t="s">
        <v>612</v>
      </c>
      <c r="F375" s="72" t="s">
        <v>613</v>
      </c>
      <c r="G375" s="72" t="s">
        <v>142</v>
      </c>
      <c r="H375" s="83">
        <v>0.66666666666666663</v>
      </c>
      <c r="I375" s="83">
        <v>0.875</v>
      </c>
      <c r="J375" s="63">
        <f t="shared" si="23"/>
        <v>0.20833333333333337</v>
      </c>
      <c r="K375" s="60" t="s">
        <v>365</v>
      </c>
      <c r="L375" s="135">
        <f t="shared" si="22"/>
        <v>5.0000000000000009</v>
      </c>
      <c r="M375" s="60"/>
      <c r="N375" s="60"/>
      <c r="O375" s="91" t="s">
        <v>539</v>
      </c>
      <c r="P375" s="88">
        <v>5</v>
      </c>
      <c r="Q375" s="60"/>
      <c r="Z375" s="100"/>
    </row>
    <row r="376" spans="1:137" ht="14.45" customHeight="1" x14ac:dyDescent="0.2">
      <c r="A376" s="99">
        <v>45383</v>
      </c>
      <c r="B376" s="82">
        <v>45399</v>
      </c>
      <c r="C376" s="60" t="s">
        <v>398</v>
      </c>
      <c r="D376" s="60" t="s">
        <v>126</v>
      </c>
      <c r="E376" s="116" t="s">
        <v>494</v>
      </c>
      <c r="F376" s="72" t="s">
        <v>906</v>
      </c>
      <c r="G376" s="72" t="s">
        <v>142</v>
      </c>
      <c r="H376" s="83">
        <v>0.5</v>
      </c>
      <c r="I376" s="83">
        <v>0.625</v>
      </c>
      <c r="J376" s="63">
        <f t="shared" si="23"/>
        <v>0.125</v>
      </c>
      <c r="K376" s="60" t="s">
        <v>113</v>
      </c>
      <c r="L376" s="135">
        <f t="shared" si="22"/>
        <v>3</v>
      </c>
      <c r="M376" s="60"/>
      <c r="N376" s="60"/>
      <c r="O376" s="91" t="s">
        <v>539</v>
      </c>
      <c r="P376" s="88">
        <v>5</v>
      </c>
      <c r="Q376" s="60"/>
      <c r="Z376" s="100"/>
    </row>
    <row r="377" spans="1:137" ht="14.45" customHeight="1" x14ac:dyDescent="0.2">
      <c r="A377" s="99">
        <v>45383</v>
      </c>
      <c r="B377" s="82">
        <v>45400</v>
      </c>
      <c r="C377" s="82" t="s">
        <v>124</v>
      </c>
      <c r="D377" s="60" t="s">
        <v>498</v>
      </c>
      <c r="E377" s="115" t="s">
        <v>446</v>
      </c>
      <c r="F377" s="60" t="s">
        <v>606</v>
      </c>
      <c r="G377" s="72" t="s">
        <v>142</v>
      </c>
      <c r="H377" s="83">
        <v>0.41666666666666669</v>
      </c>
      <c r="I377" s="83">
        <v>0.70833333333333337</v>
      </c>
      <c r="J377" s="63">
        <v>0.27079999999999999</v>
      </c>
      <c r="K377" s="88" t="s">
        <v>366</v>
      </c>
      <c r="L377" s="135">
        <f t="shared" si="22"/>
        <v>6.4992000000000001</v>
      </c>
      <c r="N377" s="60"/>
      <c r="O377" s="91" t="s">
        <v>360</v>
      </c>
      <c r="P377" s="88">
        <v>5</v>
      </c>
      <c r="Q377" s="60"/>
      <c r="V377" s="86"/>
      <c r="Z377" s="100"/>
    </row>
    <row r="378" spans="1:137" x14ac:dyDescent="0.2">
      <c r="A378" s="99">
        <v>45383</v>
      </c>
      <c r="B378" s="82">
        <v>45400</v>
      </c>
      <c r="C378" s="82" t="s">
        <v>124</v>
      </c>
      <c r="D378" s="60" t="s">
        <v>98</v>
      </c>
      <c r="E378" s="116" t="s">
        <v>614</v>
      </c>
      <c r="F378" s="72" t="s">
        <v>615</v>
      </c>
      <c r="G378" s="72" t="s">
        <v>142</v>
      </c>
      <c r="H378" s="83">
        <v>0.54166666666666663</v>
      </c>
      <c r="I378" s="83">
        <v>0.70833333333333337</v>
      </c>
      <c r="J378" s="63">
        <f t="shared" ref="J378:J384" si="24">I378-H378</f>
        <v>0.16666666666666674</v>
      </c>
      <c r="K378" s="60" t="s">
        <v>365</v>
      </c>
      <c r="L378" s="135">
        <f t="shared" si="22"/>
        <v>4.0000000000000018</v>
      </c>
      <c r="M378" s="60"/>
      <c r="N378" s="60"/>
      <c r="O378" s="85" t="s">
        <v>361</v>
      </c>
      <c r="P378" s="88">
        <v>5</v>
      </c>
      <c r="Q378" s="60"/>
      <c r="Z378" s="100"/>
    </row>
    <row r="379" spans="1:137" x14ac:dyDescent="0.2">
      <c r="A379" s="99">
        <v>45383</v>
      </c>
      <c r="B379" s="82">
        <v>45400</v>
      </c>
      <c r="C379" s="82" t="s">
        <v>124</v>
      </c>
      <c r="D379" s="60" t="s">
        <v>406</v>
      </c>
      <c r="E379" s="116" t="s">
        <v>407</v>
      </c>
      <c r="F379" s="72" t="s">
        <v>616</v>
      </c>
      <c r="G379" s="72" t="s">
        <v>142</v>
      </c>
      <c r="H379" s="83">
        <v>0</v>
      </c>
      <c r="I379" s="83">
        <v>0.20833333333333334</v>
      </c>
      <c r="J379" s="63">
        <f t="shared" si="24"/>
        <v>0.20833333333333334</v>
      </c>
      <c r="K379" s="60" t="s">
        <v>365</v>
      </c>
      <c r="L379" s="135">
        <f t="shared" si="22"/>
        <v>5</v>
      </c>
      <c r="M379" s="60"/>
      <c r="N379" s="60"/>
      <c r="O379" s="85" t="s">
        <v>361</v>
      </c>
      <c r="P379" s="88">
        <v>5</v>
      </c>
      <c r="Q379" s="60"/>
      <c r="Z379" s="100"/>
    </row>
    <row r="380" spans="1:137" x14ac:dyDescent="0.2">
      <c r="A380" s="99">
        <v>45383</v>
      </c>
      <c r="B380" s="82">
        <v>45400</v>
      </c>
      <c r="C380" s="82" t="s">
        <v>124</v>
      </c>
      <c r="D380" s="60" t="s">
        <v>308</v>
      </c>
      <c r="E380" s="115" t="s">
        <v>377</v>
      </c>
      <c r="F380" s="60" t="s">
        <v>379</v>
      </c>
      <c r="G380" s="72" t="s">
        <v>142</v>
      </c>
      <c r="H380" s="83">
        <v>0.41666666666666669</v>
      </c>
      <c r="I380" s="83">
        <v>0.6875</v>
      </c>
      <c r="J380" s="63">
        <f t="shared" si="24"/>
        <v>0.27083333333333331</v>
      </c>
      <c r="K380" s="88" t="s">
        <v>365</v>
      </c>
      <c r="L380" s="135">
        <f t="shared" si="22"/>
        <v>6.5</v>
      </c>
      <c r="M380" s="60"/>
      <c r="N380" s="60"/>
      <c r="O380" s="91" t="s">
        <v>576</v>
      </c>
      <c r="P380" s="88">
        <v>5</v>
      </c>
      <c r="Q380" s="88"/>
      <c r="V380" s="93" t="s">
        <v>279</v>
      </c>
      <c r="Z380" s="100"/>
    </row>
    <row r="381" spans="1:137" x14ac:dyDescent="0.2">
      <c r="A381" s="99">
        <v>45383</v>
      </c>
      <c r="B381" s="82">
        <v>45400</v>
      </c>
      <c r="C381" s="82" t="s">
        <v>124</v>
      </c>
      <c r="D381" s="60" t="s">
        <v>483</v>
      </c>
      <c r="E381" s="116" t="s">
        <v>617</v>
      </c>
      <c r="F381" s="72" t="s">
        <v>618</v>
      </c>
      <c r="G381" s="72" t="s">
        <v>142</v>
      </c>
      <c r="H381" s="83">
        <v>0.47916666666666669</v>
      </c>
      <c r="I381" s="83">
        <v>0.5625</v>
      </c>
      <c r="J381" s="63">
        <f t="shared" si="24"/>
        <v>8.3333333333333315E-2</v>
      </c>
      <c r="K381" s="60" t="s">
        <v>365</v>
      </c>
      <c r="L381" s="135">
        <f t="shared" si="22"/>
        <v>1.9999999999999996</v>
      </c>
      <c r="M381" s="60"/>
      <c r="N381" s="60"/>
      <c r="O381" s="91" t="s">
        <v>576</v>
      </c>
      <c r="P381" s="88">
        <v>5</v>
      </c>
      <c r="Q381" s="60"/>
      <c r="Z381" s="100"/>
    </row>
    <row r="382" spans="1:137" ht="14.45" customHeight="1" x14ac:dyDescent="0.2">
      <c r="A382" s="99">
        <v>45383</v>
      </c>
      <c r="B382" s="82">
        <v>45400</v>
      </c>
      <c r="C382" s="82" t="s">
        <v>124</v>
      </c>
      <c r="D382" s="60" t="s">
        <v>98</v>
      </c>
      <c r="E382" s="116" t="s">
        <v>449</v>
      </c>
      <c r="F382" s="72" t="s">
        <v>621</v>
      </c>
      <c r="G382" s="72" t="s">
        <v>142</v>
      </c>
      <c r="H382" s="83">
        <v>0.70833333333333337</v>
      </c>
      <c r="I382" s="83">
        <v>0.75</v>
      </c>
      <c r="J382" s="63">
        <f t="shared" si="24"/>
        <v>4.166666666666663E-2</v>
      </c>
      <c r="K382" s="60" t="s">
        <v>365</v>
      </c>
      <c r="L382" s="135">
        <f t="shared" si="22"/>
        <v>0.99999999999999911</v>
      </c>
      <c r="M382" s="60"/>
      <c r="N382" s="60"/>
      <c r="O382" s="85" t="s">
        <v>361</v>
      </c>
      <c r="P382" s="88">
        <v>5</v>
      </c>
      <c r="Q382" s="60"/>
      <c r="Z382" s="100"/>
    </row>
    <row r="383" spans="1:137" s="97" customFormat="1" ht="14.45" customHeight="1" x14ac:dyDescent="0.25">
      <c r="A383" s="99">
        <v>45383</v>
      </c>
      <c r="B383" s="82">
        <v>45400</v>
      </c>
      <c r="C383" s="82" t="s">
        <v>124</v>
      </c>
      <c r="D383" s="60" t="s">
        <v>32</v>
      </c>
      <c r="E383" s="115" t="s">
        <v>622</v>
      </c>
      <c r="F383" s="60" t="s">
        <v>623</v>
      </c>
      <c r="G383" s="72" t="s">
        <v>142</v>
      </c>
      <c r="H383" s="83">
        <v>0.45833333333333331</v>
      </c>
      <c r="I383" s="83">
        <v>0.625</v>
      </c>
      <c r="J383" s="63">
        <f t="shared" si="24"/>
        <v>0.16666666666666669</v>
      </c>
      <c r="K383" s="88" t="s">
        <v>365</v>
      </c>
      <c r="L383" s="135">
        <f t="shared" si="22"/>
        <v>4</v>
      </c>
      <c r="M383" s="60"/>
      <c r="N383" s="60"/>
      <c r="O383" s="91" t="s">
        <v>363</v>
      </c>
      <c r="P383" s="88">
        <v>5</v>
      </c>
      <c r="Q383" s="60"/>
      <c r="R383" s="88"/>
      <c r="S383" s="88"/>
      <c r="T383" s="88"/>
      <c r="U383" s="88"/>
      <c r="V383" s="94"/>
      <c r="W383" s="88"/>
      <c r="X383" s="90"/>
      <c r="Y383" s="88"/>
      <c r="Z383" s="101"/>
      <c r="AA383" s="88"/>
      <c r="AB383" s="88"/>
      <c r="AC383" s="88"/>
      <c r="AD383" s="88"/>
      <c r="AE383" s="88"/>
      <c r="AF383" s="88"/>
      <c r="AG383" s="88"/>
      <c r="AH383" s="88"/>
      <c r="AI383" s="88"/>
      <c r="AJ383" s="88"/>
      <c r="AK383" s="88"/>
      <c r="AL383" s="88"/>
      <c r="AM383" s="88"/>
      <c r="AN383" s="88"/>
      <c r="AO383" s="88"/>
      <c r="AP383" s="88"/>
      <c r="AQ383" s="88"/>
      <c r="AR383" s="88"/>
      <c r="AS383" s="88"/>
      <c r="AT383" s="88"/>
      <c r="AU383" s="88"/>
      <c r="AV383" s="88"/>
      <c r="AW383" s="88"/>
      <c r="AX383" s="88"/>
      <c r="AY383" s="88"/>
      <c r="AZ383" s="88"/>
      <c r="BA383" s="88"/>
      <c r="BB383" s="88"/>
      <c r="BC383" s="88"/>
      <c r="BD383" s="88"/>
      <c r="BE383" s="88"/>
      <c r="BF383" s="88"/>
      <c r="BG383" s="88"/>
      <c r="BH383" s="88"/>
      <c r="BI383" s="88"/>
      <c r="BJ383" s="88"/>
      <c r="BK383" s="88"/>
      <c r="BL383" s="88"/>
      <c r="BM383" s="88"/>
      <c r="BN383" s="88"/>
      <c r="BO383" s="88"/>
      <c r="BP383" s="88"/>
      <c r="BQ383" s="88"/>
      <c r="BR383" s="88"/>
      <c r="BS383" s="88"/>
      <c r="BT383" s="88"/>
      <c r="BU383" s="88"/>
      <c r="BV383" s="88"/>
      <c r="BW383" s="88"/>
      <c r="BX383" s="88"/>
      <c r="BY383" s="88"/>
      <c r="BZ383" s="88"/>
      <c r="CA383" s="88"/>
      <c r="CB383" s="88"/>
      <c r="CC383" s="88"/>
      <c r="CD383" s="88"/>
      <c r="CE383" s="88"/>
      <c r="CF383" s="88"/>
      <c r="CG383" s="88"/>
      <c r="CH383" s="88"/>
      <c r="CI383" s="88"/>
      <c r="CJ383" s="88"/>
      <c r="CK383" s="88"/>
      <c r="CL383" s="88"/>
      <c r="CM383" s="88"/>
      <c r="CN383" s="88"/>
      <c r="CO383" s="88"/>
      <c r="CP383" s="88"/>
      <c r="CQ383" s="88"/>
      <c r="CR383" s="88"/>
      <c r="CS383" s="88"/>
      <c r="CT383" s="88"/>
      <c r="CU383" s="88"/>
      <c r="CV383" s="88"/>
      <c r="CW383" s="88"/>
      <c r="CX383" s="88"/>
      <c r="CY383" s="88"/>
      <c r="CZ383" s="88"/>
      <c r="DA383" s="88"/>
      <c r="DB383" s="88"/>
      <c r="DC383" s="88"/>
      <c r="DD383" s="88"/>
      <c r="DE383" s="88"/>
      <c r="DF383" s="88"/>
      <c r="DG383" s="88"/>
      <c r="DH383" s="88"/>
      <c r="DI383" s="88"/>
      <c r="DJ383" s="88"/>
      <c r="DK383" s="88"/>
      <c r="DL383" s="88"/>
      <c r="DM383" s="88"/>
      <c r="DN383" s="88"/>
      <c r="DO383" s="88"/>
      <c r="DP383" s="88"/>
      <c r="DQ383" s="88"/>
      <c r="DR383" s="88"/>
      <c r="DS383" s="88"/>
      <c r="DT383" s="88"/>
      <c r="DU383" s="88"/>
      <c r="DV383" s="88"/>
      <c r="DW383" s="88"/>
      <c r="DX383" s="88"/>
      <c r="DY383" s="88"/>
      <c r="DZ383" s="88"/>
      <c r="EA383" s="88"/>
      <c r="EB383" s="88"/>
      <c r="EC383" s="88"/>
      <c r="ED383" s="88"/>
      <c r="EE383" s="88"/>
      <c r="EF383" s="88"/>
      <c r="EG383" s="88"/>
    </row>
    <row r="384" spans="1:137" ht="14.45" customHeight="1" x14ac:dyDescent="0.2">
      <c r="A384" s="99">
        <v>45383</v>
      </c>
      <c r="B384" s="82">
        <v>45400</v>
      </c>
      <c r="C384" s="82" t="s">
        <v>124</v>
      </c>
      <c r="D384" s="60" t="s">
        <v>98</v>
      </c>
      <c r="E384" s="116" t="s">
        <v>612</v>
      </c>
      <c r="F384" s="72" t="s">
        <v>613</v>
      </c>
      <c r="G384" s="72" t="s">
        <v>142</v>
      </c>
      <c r="H384" s="83">
        <v>0.41666666666666669</v>
      </c>
      <c r="I384" s="83">
        <v>0.58333333333333337</v>
      </c>
      <c r="J384" s="63">
        <f t="shared" si="24"/>
        <v>0.16666666666666669</v>
      </c>
      <c r="K384" s="60" t="s">
        <v>365</v>
      </c>
      <c r="L384" s="135">
        <f t="shared" si="22"/>
        <v>4</v>
      </c>
      <c r="M384" s="60"/>
      <c r="N384" s="60"/>
      <c r="O384" s="91" t="s">
        <v>539</v>
      </c>
      <c r="P384" s="88">
        <v>5</v>
      </c>
      <c r="Q384" s="60"/>
      <c r="Z384" s="100"/>
    </row>
    <row r="385" spans="1:137" x14ac:dyDescent="0.2">
      <c r="A385" s="99">
        <v>45383</v>
      </c>
      <c r="B385" s="82">
        <v>45402</v>
      </c>
      <c r="C385" s="88" t="s">
        <v>34</v>
      </c>
      <c r="D385" s="60" t="s">
        <v>498</v>
      </c>
      <c r="E385" s="115" t="s">
        <v>446</v>
      </c>
      <c r="F385" s="60" t="s">
        <v>627</v>
      </c>
      <c r="G385" s="72" t="s">
        <v>142</v>
      </c>
      <c r="H385" s="83">
        <v>0.45833333333333331</v>
      </c>
      <c r="I385" s="83">
        <v>0.625</v>
      </c>
      <c r="J385" s="63">
        <v>0.27079999999999999</v>
      </c>
      <c r="K385" s="88" t="s">
        <v>110</v>
      </c>
      <c r="L385" s="135">
        <f t="shared" si="22"/>
        <v>6.4992000000000001</v>
      </c>
      <c r="N385" s="60"/>
      <c r="O385" s="91" t="s">
        <v>363</v>
      </c>
      <c r="P385" s="88">
        <v>5</v>
      </c>
      <c r="Q385" s="60"/>
      <c r="V385" s="86"/>
      <c r="Z385" s="100"/>
    </row>
    <row r="386" spans="1:137" s="97" customFormat="1" ht="14.45" customHeight="1" x14ac:dyDescent="0.25">
      <c r="A386" s="99">
        <v>45383</v>
      </c>
      <c r="B386" s="82">
        <v>45402</v>
      </c>
      <c r="C386" s="88" t="s">
        <v>34</v>
      </c>
      <c r="D386" s="60" t="s">
        <v>461</v>
      </c>
      <c r="E386" s="115" t="s">
        <v>561</v>
      </c>
      <c r="F386" s="60" t="s">
        <v>624</v>
      </c>
      <c r="G386" s="72" t="s">
        <v>142</v>
      </c>
      <c r="H386" s="83">
        <v>0.47916666666666669</v>
      </c>
      <c r="I386" s="83">
        <v>0.6875</v>
      </c>
      <c r="J386" s="63">
        <f>I386-H386</f>
        <v>0.20833333333333331</v>
      </c>
      <c r="K386" s="60" t="s">
        <v>113</v>
      </c>
      <c r="L386" s="135">
        <f t="shared" si="22"/>
        <v>5</v>
      </c>
      <c r="M386" s="60"/>
      <c r="N386" s="60"/>
      <c r="O386" s="91" t="s">
        <v>820</v>
      </c>
      <c r="P386" s="88">
        <v>5</v>
      </c>
      <c r="Q386" s="60"/>
      <c r="R386" s="88"/>
      <c r="S386" s="88"/>
      <c r="T386" s="88"/>
      <c r="U386" s="88"/>
      <c r="V386" s="94"/>
      <c r="W386" s="88"/>
      <c r="X386" s="90"/>
      <c r="Y386" s="88"/>
      <c r="Z386" s="101"/>
      <c r="AA386" s="88"/>
      <c r="AB386" s="88"/>
      <c r="AC386" s="88"/>
      <c r="AD386" s="88"/>
      <c r="AE386" s="88"/>
      <c r="AF386" s="88"/>
      <c r="AG386" s="88"/>
      <c r="AH386" s="88"/>
      <c r="AI386" s="88"/>
      <c r="AJ386" s="88"/>
      <c r="AK386" s="88"/>
      <c r="AL386" s="88"/>
      <c r="AM386" s="88"/>
      <c r="AN386" s="88"/>
      <c r="AO386" s="88"/>
      <c r="AP386" s="88"/>
      <c r="AQ386" s="88"/>
      <c r="AR386" s="88"/>
      <c r="AS386" s="88"/>
      <c r="AT386" s="88"/>
      <c r="AU386" s="88"/>
      <c r="AV386" s="88"/>
      <c r="AW386" s="88"/>
      <c r="AX386" s="88"/>
      <c r="AY386" s="88"/>
      <c r="AZ386" s="88"/>
      <c r="BA386" s="88"/>
      <c r="BB386" s="88"/>
      <c r="BC386" s="88"/>
      <c r="BD386" s="88"/>
      <c r="BE386" s="88"/>
      <c r="BF386" s="88"/>
      <c r="BG386" s="88"/>
      <c r="BH386" s="88"/>
      <c r="BI386" s="88"/>
      <c r="BJ386" s="88"/>
      <c r="BK386" s="88"/>
      <c r="BL386" s="88"/>
      <c r="BM386" s="88"/>
      <c r="BN386" s="88"/>
      <c r="BO386" s="88"/>
      <c r="BP386" s="88"/>
      <c r="BQ386" s="88"/>
      <c r="BR386" s="88"/>
      <c r="BS386" s="88"/>
      <c r="BT386" s="88"/>
      <c r="BU386" s="88"/>
      <c r="BV386" s="88"/>
      <c r="BW386" s="88"/>
      <c r="BX386" s="88"/>
      <c r="BY386" s="88"/>
      <c r="BZ386" s="88"/>
      <c r="CA386" s="88"/>
      <c r="CB386" s="88"/>
      <c r="CC386" s="88"/>
      <c r="CD386" s="88"/>
      <c r="CE386" s="88"/>
      <c r="CF386" s="88"/>
      <c r="CG386" s="88"/>
      <c r="CH386" s="88"/>
      <c r="CI386" s="88"/>
      <c r="CJ386" s="88"/>
      <c r="CK386" s="88"/>
      <c r="CL386" s="88"/>
      <c r="CM386" s="88"/>
      <c r="CN386" s="88"/>
      <c r="CO386" s="88"/>
      <c r="CP386" s="88"/>
      <c r="CQ386" s="88"/>
      <c r="CR386" s="88"/>
      <c r="CS386" s="88"/>
      <c r="CT386" s="88"/>
      <c r="CU386" s="88"/>
      <c r="CV386" s="88"/>
      <c r="CW386" s="88"/>
      <c r="CX386" s="88"/>
      <c r="CY386" s="88"/>
      <c r="CZ386" s="88"/>
      <c r="DA386" s="88"/>
      <c r="DB386" s="88"/>
      <c r="DC386" s="88"/>
      <c r="DD386" s="88"/>
      <c r="DE386" s="88"/>
      <c r="DF386" s="88"/>
      <c r="DG386" s="88"/>
      <c r="DH386" s="88"/>
      <c r="DI386" s="88"/>
      <c r="DJ386" s="88"/>
      <c r="DK386" s="88"/>
      <c r="DL386" s="88"/>
      <c r="DM386" s="88"/>
      <c r="DN386" s="88"/>
      <c r="DO386" s="88"/>
      <c r="DP386" s="88"/>
      <c r="DQ386" s="88"/>
      <c r="DR386" s="88"/>
      <c r="DS386" s="88"/>
      <c r="DT386" s="88"/>
      <c r="DU386" s="88"/>
      <c r="DV386" s="88"/>
      <c r="DW386" s="88"/>
      <c r="DX386" s="88"/>
      <c r="DY386" s="88"/>
      <c r="DZ386" s="88"/>
      <c r="EA386" s="88"/>
      <c r="EB386" s="88"/>
      <c r="EC386" s="88"/>
      <c r="ED386" s="88"/>
      <c r="EE386" s="88"/>
      <c r="EF386" s="88"/>
      <c r="EG386" s="88"/>
    </row>
    <row r="387" spans="1:137" ht="14.45" customHeight="1" x14ac:dyDescent="0.2">
      <c r="A387" s="99">
        <v>45383</v>
      </c>
      <c r="B387" s="82">
        <v>45403</v>
      </c>
      <c r="C387" s="60" t="s">
        <v>31</v>
      </c>
      <c r="D387" s="60" t="s">
        <v>445</v>
      </c>
      <c r="E387" s="115" t="s">
        <v>625</v>
      </c>
      <c r="F387" s="60" t="s">
        <v>379</v>
      </c>
      <c r="G387" s="72" t="s">
        <v>142</v>
      </c>
      <c r="H387" s="83">
        <v>0.5625</v>
      </c>
      <c r="I387" s="83">
        <v>0.60416666666666663</v>
      </c>
      <c r="J387" s="63">
        <f>I387-H387</f>
        <v>4.166666666666663E-2</v>
      </c>
      <c r="K387" s="88" t="s">
        <v>365</v>
      </c>
      <c r="L387" s="135">
        <f t="shared" si="22"/>
        <v>0.99999999999999911</v>
      </c>
      <c r="M387" s="60"/>
      <c r="N387" s="60"/>
      <c r="O387" s="91" t="s">
        <v>314</v>
      </c>
      <c r="P387" s="88">
        <v>5</v>
      </c>
      <c r="Q387" s="88"/>
      <c r="V387" s="93" t="s">
        <v>279</v>
      </c>
      <c r="Z387" s="100"/>
    </row>
    <row r="388" spans="1:137" ht="14.45" customHeight="1" x14ac:dyDescent="0.2">
      <c r="A388" s="99">
        <v>45383</v>
      </c>
      <c r="B388" s="82">
        <v>45403</v>
      </c>
      <c r="C388" s="60" t="s">
        <v>31</v>
      </c>
      <c r="D388" s="60" t="s">
        <v>308</v>
      </c>
      <c r="E388" s="115" t="s">
        <v>377</v>
      </c>
      <c r="F388" s="60" t="s">
        <v>379</v>
      </c>
      <c r="G388" s="72" t="s">
        <v>142</v>
      </c>
      <c r="H388" s="83">
        <v>0.625</v>
      </c>
      <c r="I388" s="83">
        <v>0.75</v>
      </c>
      <c r="J388" s="63">
        <f>I388-H388</f>
        <v>0.125</v>
      </c>
      <c r="K388" s="88" t="s">
        <v>365</v>
      </c>
      <c r="L388" s="135">
        <f t="shared" si="22"/>
        <v>3</v>
      </c>
      <c r="M388" s="60"/>
      <c r="N388" s="60"/>
      <c r="O388" s="91" t="s">
        <v>314</v>
      </c>
      <c r="P388" s="88">
        <v>5</v>
      </c>
      <c r="Q388" s="88"/>
      <c r="V388" s="93" t="s">
        <v>279</v>
      </c>
      <c r="Z388" s="100"/>
    </row>
    <row r="389" spans="1:137" ht="14.45" customHeight="1" x14ac:dyDescent="0.2">
      <c r="A389" s="99">
        <v>45383</v>
      </c>
      <c r="B389" s="82">
        <v>45403</v>
      </c>
      <c r="C389" s="60" t="s">
        <v>31</v>
      </c>
      <c r="D389" s="60" t="s">
        <v>483</v>
      </c>
      <c r="E389" s="116" t="s">
        <v>617</v>
      </c>
      <c r="F389" s="72" t="s">
        <v>618</v>
      </c>
      <c r="G389" s="72" t="s">
        <v>142</v>
      </c>
      <c r="H389" s="83">
        <v>0.54166666666666663</v>
      </c>
      <c r="I389" s="83">
        <v>0.66666666666666663</v>
      </c>
      <c r="J389" s="63">
        <f>I389-H389</f>
        <v>0.125</v>
      </c>
      <c r="K389" s="88" t="s">
        <v>365</v>
      </c>
      <c r="L389" s="135">
        <f t="shared" si="22"/>
        <v>3</v>
      </c>
      <c r="M389" s="60"/>
      <c r="N389" s="60"/>
      <c r="O389" s="91" t="s">
        <v>363</v>
      </c>
      <c r="P389" s="88">
        <v>5</v>
      </c>
      <c r="Q389" s="60"/>
      <c r="Z389" s="100"/>
    </row>
    <row r="390" spans="1:137" x14ac:dyDescent="0.2">
      <c r="A390" s="99">
        <v>45383</v>
      </c>
      <c r="B390" s="82">
        <v>45403</v>
      </c>
      <c r="C390" s="60" t="s">
        <v>31</v>
      </c>
      <c r="D390" s="60" t="s">
        <v>498</v>
      </c>
      <c r="E390" s="115" t="s">
        <v>446</v>
      </c>
      <c r="F390" s="60" t="s">
        <v>627</v>
      </c>
      <c r="G390" s="72" t="s">
        <v>142</v>
      </c>
      <c r="H390" s="83">
        <v>0.41666666666666669</v>
      </c>
      <c r="I390" s="83">
        <v>0.66666666666666663</v>
      </c>
      <c r="J390" s="63">
        <v>0.27079999999999999</v>
      </c>
      <c r="K390" s="88" t="s">
        <v>110</v>
      </c>
      <c r="L390" s="135">
        <f t="shared" ref="L390:L421" si="25">24*J390</f>
        <v>6.4992000000000001</v>
      </c>
      <c r="N390" s="60"/>
      <c r="O390" s="91" t="s">
        <v>363</v>
      </c>
      <c r="P390" s="88">
        <v>5</v>
      </c>
      <c r="Q390" s="60"/>
      <c r="V390" s="86"/>
      <c r="Z390" s="100"/>
    </row>
    <row r="391" spans="1:137" s="97" customFormat="1" ht="14.45" customHeight="1" x14ac:dyDescent="0.25">
      <c r="A391" s="99">
        <v>45383</v>
      </c>
      <c r="B391" s="82">
        <v>45403</v>
      </c>
      <c r="C391" s="60" t="s">
        <v>31</v>
      </c>
      <c r="D391" s="60" t="s">
        <v>461</v>
      </c>
      <c r="E391" s="115" t="s">
        <v>561</v>
      </c>
      <c r="F391" s="60" t="s">
        <v>626</v>
      </c>
      <c r="G391" s="72" t="s">
        <v>142</v>
      </c>
      <c r="H391" s="83">
        <v>0.41666666666666669</v>
      </c>
      <c r="I391" s="83">
        <v>0.79166666666666663</v>
      </c>
      <c r="J391" s="63">
        <f t="shared" ref="J391:J398" si="26">I391-H391</f>
        <v>0.37499999999999994</v>
      </c>
      <c r="K391" s="60" t="s">
        <v>110</v>
      </c>
      <c r="L391" s="135">
        <f t="shared" si="25"/>
        <v>8.9999999999999982</v>
      </c>
      <c r="M391" s="60"/>
      <c r="N391" s="60"/>
      <c r="O391" s="91" t="s">
        <v>539</v>
      </c>
      <c r="P391" s="88">
        <v>5</v>
      </c>
      <c r="Q391" s="60"/>
      <c r="R391" s="88"/>
      <c r="S391" s="88"/>
      <c r="T391" s="88"/>
      <c r="U391" s="88"/>
      <c r="V391" s="94"/>
      <c r="W391" s="88"/>
      <c r="X391" s="90"/>
      <c r="Y391" s="88"/>
      <c r="Z391" s="101"/>
      <c r="AA391" s="88"/>
      <c r="AB391" s="88"/>
      <c r="AC391" s="88"/>
      <c r="AD391" s="88"/>
      <c r="AE391" s="88"/>
      <c r="AF391" s="88"/>
      <c r="AG391" s="88"/>
      <c r="AH391" s="88"/>
      <c r="AI391" s="88"/>
      <c r="AJ391" s="88"/>
      <c r="AK391" s="88"/>
      <c r="AL391" s="88"/>
      <c r="AM391" s="88"/>
      <c r="AN391" s="88"/>
      <c r="AO391" s="88"/>
      <c r="AP391" s="88"/>
      <c r="AQ391" s="88"/>
      <c r="AR391" s="88"/>
      <c r="AS391" s="88"/>
      <c r="AT391" s="88"/>
      <c r="AU391" s="88"/>
      <c r="AV391" s="88"/>
      <c r="AW391" s="88"/>
      <c r="AX391" s="88"/>
      <c r="AY391" s="88"/>
      <c r="AZ391" s="88"/>
      <c r="BA391" s="88"/>
      <c r="BB391" s="88"/>
      <c r="BC391" s="88"/>
      <c r="BD391" s="88"/>
      <c r="BE391" s="88"/>
      <c r="BF391" s="88"/>
      <c r="BG391" s="88"/>
      <c r="BH391" s="88"/>
      <c r="BI391" s="88"/>
      <c r="BJ391" s="88"/>
      <c r="BK391" s="88"/>
      <c r="BL391" s="88"/>
      <c r="BM391" s="88"/>
      <c r="BN391" s="88"/>
      <c r="BO391" s="88"/>
      <c r="BP391" s="88"/>
      <c r="BQ391" s="88"/>
      <c r="BR391" s="88"/>
      <c r="BS391" s="88"/>
      <c r="BT391" s="88"/>
      <c r="BU391" s="88"/>
      <c r="BV391" s="88"/>
      <c r="BW391" s="88"/>
      <c r="BX391" s="88"/>
      <c r="BY391" s="88"/>
      <c r="BZ391" s="88"/>
      <c r="CA391" s="88"/>
      <c r="CB391" s="88"/>
      <c r="CC391" s="88"/>
      <c r="CD391" s="88"/>
      <c r="CE391" s="88"/>
      <c r="CF391" s="88"/>
      <c r="CG391" s="88"/>
      <c r="CH391" s="88"/>
      <c r="CI391" s="88"/>
      <c r="CJ391" s="88"/>
      <c r="CK391" s="88"/>
      <c r="CL391" s="88"/>
      <c r="CM391" s="88"/>
      <c r="CN391" s="88"/>
      <c r="CO391" s="88"/>
      <c r="CP391" s="88"/>
      <c r="CQ391" s="88"/>
      <c r="CR391" s="88"/>
      <c r="CS391" s="88"/>
      <c r="CT391" s="88"/>
      <c r="CU391" s="88"/>
      <c r="CV391" s="88"/>
      <c r="CW391" s="88"/>
      <c r="CX391" s="88"/>
      <c r="CY391" s="88"/>
      <c r="CZ391" s="88"/>
      <c r="DA391" s="88"/>
      <c r="DB391" s="88"/>
      <c r="DC391" s="88"/>
      <c r="DD391" s="88"/>
      <c r="DE391" s="88"/>
      <c r="DF391" s="88"/>
      <c r="DG391" s="88"/>
      <c r="DH391" s="88"/>
      <c r="DI391" s="88"/>
      <c r="DJ391" s="88"/>
      <c r="DK391" s="88"/>
      <c r="DL391" s="88"/>
      <c r="DM391" s="88"/>
      <c r="DN391" s="88"/>
      <c r="DO391" s="88"/>
      <c r="DP391" s="88"/>
      <c r="DQ391" s="88"/>
      <c r="DR391" s="88"/>
      <c r="DS391" s="88"/>
      <c r="DT391" s="88"/>
      <c r="DU391" s="88"/>
      <c r="DV391" s="88"/>
      <c r="DW391" s="88"/>
      <c r="DX391" s="88"/>
      <c r="DY391" s="88"/>
      <c r="DZ391" s="88"/>
      <c r="EA391" s="88"/>
      <c r="EB391" s="88"/>
      <c r="EC391" s="88"/>
      <c r="ED391" s="88"/>
      <c r="EE391" s="88"/>
      <c r="EF391" s="88"/>
      <c r="EG391" s="88"/>
    </row>
    <row r="392" spans="1:137" ht="14.45" customHeight="1" x14ac:dyDescent="0.2">
      <c r="A392" s="99">
        <v>45383</v>
      </c>
      <c r="B392" s="82">
        <v>45403</v>
      </c>
      <c r="C392" s="60" t="s">
        <v>31</v>
      </c>
      <c r="D392" s="60" t="s">
        <v>445</v>
      </c>
      <c r="E392" s="115" t="s">
        <v>625</v>
      </c>
      <c r="F392" s="60" t="s">
        <v>379</v>
      </c>
      <c r="G392" s="72" t="s">
        <v>142</v>
      </c>
      <c r="H392" s="83">
        <v>0.625</v>
      </c>
      <c r="I392" s="83">
        <v>0.66666666666666663</v>
      </c>
      <c r="J392" s="63">
        <f t="shared" si="26"/>
        <v>4.166666666666663E-2</v>
      </c>
      <c r="K392" s="88" t="s">
        <v>365</v>
      </c>
      <c r="L392" s="135">
        <f t="shared" si="25"/>
        <v>0.99999999999999911</v>
      </c>
      <c r="M392" s="60"/>
      <c r="N392" s="60"/>
      <c r="O392" s="91" t="s">
        <v>363</v>
      </c>
      <c r="P392" s="88">
        <v>5</v>
      </c>
      <c r="Q392" s="88"/>
      <c r="V392" s="93" t="s">
        <v>279</v>
      </c>
      <c r="Z392" s="100"/>
    </row>
    <row r="393" spans="1:137" ht="14.45" customHeight="1" x14ac:dyDescent="0.2">
      <c r="A393" s="99">
        <v>45383</v>
      </c>
      <c r="B393" s="82">
        <v>45403</v>
      </c>
      <c r="C393" s="60" t="s">
        <v>31</v>
      </c>
      <c r="D393" s="60" t="s">
        <v>98</v>
      </c>
      <c r="E393" s="116" t="s">
        <v>612</v>
      </c>
      <c r="F393" s="72" t="s">
        <v>628</v>
      </c>
      <c r="G393" s="72" t="s">
        <v>142</v>
      </c>
      <c r="H393" s="83">
        <v>0.58333333333333337</v>
      </c>
      <c r="I393" s="83">
        <v>0.625</v>
      </c>
      <c r="J393" s="63">
        <f t="shared" si="26"/>
        <v>4.166666666666663E-2</v>
      </c>
      <c r="K393" s="88" t="s">
        <v>365</v>
      </c>
      <c r="L393" s="135">
        <f t="shared" si="25"/>
        <v>0.99999999999999911</v>
      </c>
      <c r="M393" s="60"/>
      <c r="N393" s="60"/>
      <c r="O393" s="91" t="s">
        <v>363</v>
      </c>
      <c r="P393" s="88">
        <v>5</v>
      </c>
      <c r="Q393" s="60"/>
      <c r="Z393" s="100"/>
    </row>
    <row r="394" spans="1:137" s="97" customFormat="1" ht="14.45" customHeight="1" x14ac:dyDescent="0.25">
      <c r="A394" s="99">
        <v>45383</v>
      </c>
      <c r="B394" s="82">
        <v>45404</v>
      </c>
      <c r="C394" s="88" t="s">
        <v>45</v>
      </c>
      <c r="D394" s="60" t="s">
        <v>461</v>
      </c>
      <c r="E394" s="115" t="s">
        <v>561</v>
      </c>
      <c r="F394" s="60" t="s">
        <v>629</v>
      </c>
      <c r="G394" s="72" t="s">
        <v>142</v>
      </c>
      <c r="H394" s="83">
        <v>0.41666666666666669</v>
      </c>
      <c r="I394" s="83">
        <v>0.6875</v>
      </c>
      <c r="J394" s="63">
        <f t="shared" si="26"/>
        <v>0.27083333333333331</v>
      </c>
      <c r="K394" s="60" t="s">
        <v>110</v>
      </c>
      <c r="L394" s="135">
        <f t="shared" si="25"/>
        <v>6.5</v>
      </c>
      <c r="M394" s="60"/>
      <c r="N394" s="60"/>
      <c r="O394" s="91" t="s">
        <v>539</v>
      </c>
      <c r="P394" s="88">
        <v>5</v>
      </c>
      <c r="Q394" s="60"/>
      <c r="R394" s="88"/>
      <c r="S394" s="88"/>
      <c r="T394" s="88"/>
      <c r="U394" s="88"/>
      <c r="V394" s="94"/>
      <c r="W394" s="88"/>
      <c r="X394" s="90"/>
      <c r="Y394" s="88"/>
      <c r="Z394" s="101"/>
      <c r="AA394" s="88"/>
      <c r="AB394" s="88"/>
      <c r="AC394" s="88"/>
      <c r="AD394" s="88"/>
      <c r="AE394" s="88"/>
      <c r="AF394" s="88"/>
      <c r="AG394" s="88"/>
      <c r="AH394" s="88"/>
      <c r="AI394" s="88"/>
      <c r="AJ394" s="88"/>
      <c r="AK394" s="88"/>
      <c r="AL394" s="88"/>
      <c r="AM394" s="88"/>
      <c r="AN394" s="88"/>
      <c r="AO394" s="88"/>
      <c r="AP394" s="88"/>
      <c r="AQ394" s="88"/>
      <c r="AR394" s="88"/>
      <c r="AS394" s="88"/>
      <c r="AT394" s="88"/>
      <c r="AU394" s="88"/>
      <c r="AV394" s="88"/>
      <c r="AW394" s="88"/>
      <c r="AX394" s="88"/>
      <c r="AY394" s="88"/>
      <c r="AZ394" s="88"/>
      <c r="BA394" s="88"/>
      <c r="BB394" s="88"/>
      <c r="BC394" s="88"/>
      <c r="BD394" s="88"/>
      <c r="BE394" s="88"/>
      <c r="BF394" s="88"/>
      <c r="BG394" s="88"/>
      <c r="BH394" s="88"/>
      <c r="BI394" s="88"/>
      <c r="BJ394" s="88"/>
      <c r="BK394" s="88"/>
      <c r="BL394" s="88"/>
      <c r="BM394" s="88"/>
      <c r="BN394" s="88"/>
      <c r="BO394" s="88"/>
      <c r="BP394" s="88"/>
      <c r="BQ394" s="88"/>
      <c r="BR394" s="88"/>
      <c r="BS394" s="88"/>
      <c r="BT394" s="88"/>
      <c r="BU394" s="88"/>
      <c r="BV394" s="88"/>
      <c r="BW394" s="88"/>
      <c r="BX394" s="88"/>
      <c r="BY394" s="88"/>
      <c r="BZ394" s="88"/>
      <c r="CA394" s="88"/>
      <c r="CB394" s="88"/>
      <c r="CC394" s="88"/>
      <c r="CD394" s="88"/>
      <c r="CE394" s="88"/>
      <c r="CF394" s="88"/>
      <c r="CG394" s="88"/>
      <c r="CH394" s="88"/>
      <c r="CI394" s="88"/>
      <c r="CJ394" s="88"/>
      <c r="CK394" s="88"/>
      <c r="CL394" s="88"/>
      <c r="CM394" s="88"/>
      <c r="CN394" s="88"/>
      <c r="CO394" s="88"/>
      <c r="CP394" s="88"/>
      <c r="CQ394" s="88"/>
      <c r="CR394" s="88"/>
      <c r="CS394" s="88"/>
      <c r="CT394" s="88"/>
      <c r="CU394" s="88"/>
      <c r="CV394" s="88"/>
      <c r="CW394" s="88"/>
      <c r="CX394" s="88"/>
      <c r="CY394" s="88"/>
      <c r="CZ394" s="88"/>
      <c r="DA394" s="88"/>
      <c r="DB394" s="88"/>
      <c r="DC394" s="88"/>
      <c r="DD394" s="88"/>
      <c r="DE394" s="88"/>
      <c r="DF394" s="88"/>
      <c r="DG394" s="88"/>
      <c r="DH394" s="88"/>
      <c r="DI394" s="88"/>
      <c r="DJ394" s="88"/>
      <c r="DK394" s="88"/>
      <c r="DL394" s="88"/>
      <c r="DM394" s="88"/>
      <c r="DN394" s="88"/>
      <c r="DO394" s="88"/>
      <c r="DP394" s="88"/>
      <c r="DQ394" s="88"/>
      <c r="DR394" s="88"/>
      <c r="DS394" s="88"/>
      <c r="DT394" s="88"/>
      <c r="DU394" s="88"/>
      <c r="DV394" s="88"/>
      <c r="DW394" s="88"/>
      <c r="DX394" s="88"/>
      <c r="DY394" s="88"/>
      <c r="DZ394" s="88"/>
      <c r="EA394" s="88"/>
      <c r="EB394" s="88"/>
      <c r="EC394" s="88"/>
      <c r="ED394" s="88"/>
      <c r="EE394" s="88"/>
      <c r="EF394" s="88"/>
      <c r="EG394" s="88"/>
    </row>
    <row r="395" spans="1:137" s="97" customFormat="1" ht="14.45" customHeight="1" x14ac:dyDescent="0.25">
      <c r="A395" s="99">
        <v>45383</v>
      </c>
      <c r="B395" s="82">
        <v>45404</v>
      </c>
      <c r="C395" s="88" t="s">
        <v>45</v>
      </c>
      <c r="D395" s="60" t="s">
        <v>632</v>
      </c>
      <c r="E395" s="115" t="s">
        <v>630</v>
      </c>
      <c r="F395" s="60" t="s">
        <v>631</v>
      </c>
      <c r="G395" s="72" t="s">
        <v>142</v>
      </c>
      <c r="H395" s="83">
        <v>0.6875</v>
      </c>
      <c r="I395" s="83">
        <v>0.72916666666666663</v>
      </c>
      <c r="J395" s="63">
        <f t="shared" si="26"/>
        <v>4.166666666666663E-2</v>
      </c>
      <c r="K395" s="88" t="s">
        <v>365</v>
      </c>
      <c r="L395" s="135">
        <f t="shared" si="25"/>
        <v>0.99999999999999911</v>
      </c>
      <c r="M395" s="60"/>
      <c r="N395" s="60"/>
      <c r="O395" s="91" t="s">
        <v>359</v>
      </c>
      <c r="P395" s="88">
        <v>5</v>
      </c>
      <c r="Q395" s="60"/>
      <c r="R395" s="88"/>
      <c r="S395" s="88"/>
      <c r="T395" s="88"/>
      <c r="U395" s="88"/>
      <c r="V395" s="94"/>
      <c r="W395" s="88"/>
      <c r="X395" s="90"/>
      <c r="Y395" s="88"/>
      <c r="Z395" s="101"/>
      <c r="AA395" s="88"/>
      <c r="AB395" s="88"/>
      <c r="AC395" s="88"/>
      <c r="AD395" s="88"/>
      <c r="AE395" s="88"/>
      <c r="AF395" s="88"/>
      <c r="AG395" s="88"/>
      <c r="AH395" s="88"/>
      <c r="AI395" s="88"/>
      <c r="AJ395" s="88"/>
      <c r="AK395" s="88"/>
      <c r="AL395" s="88"/>
      <c r="AM395" s="88"/>
      <c r="AN395" s="88"/>
      <c r="AO395" s="88"/>
      <c r="AP395" s="88"/>
      <c r="AQ395" s="88"/>
      <c r="AR395" s="88"/>
      <c r="AS395" s="88"/>
      <c r="AT395" s="88"/>
      <c r="AU395" s="88"/>
      <c r="AV395" s="88"/>
      <c r="AW395" s="88"/>
      <c r="AX395" s="88"/>
      <c r="AY395" s="88"/>
      <c r="AZ395" s="88"/>
      <c r="BA395" s="88"/>
      <c r="BB395" s="88"/>
      <c r="BC395" s="88"/>
      <c r="BD395" s="88"/>
      <c r="BE395" s="88"/>
      <c r="BF395" s="88"/>
      <c r="BG395" s="88"/>
      <c r="BH395" s="88"/>
      <c r="BI395" s="88"/>
      <c r="BJ395" s="88"/>
      <c r="BK395" s="88"/>
      <c r="BL395" s="88"/>
      <c r="BM395" s="88"/>
      <c r="BN395" s="88"/>
      <c r="BO395" s="88"/>
      <c r="BP395" s="88"/>
      <c r="BQ395" s="88"/>
      <c r="BR395" s="88"/>
      <c r="BS395" s="88"/>
      <c r="BT395" s="88"/>
      <c r="BU395" s="88"/>
      <c r="BV395" s="88"/>
      <c r="BW395" s="88"/>
      <c r="BX395" s="88"/>
      <c r="BY395" s="88"/>
      <c r="BZ395" s="88"/>
      <c r="CA395" s="88"/>
      <c r="CB395" s="88"/>
      <c r="CC395" s="88"/>
      <c r="CD395" s="88"/>
      <c r="CE395" s="88"/>
      <c r="CF395" s="88"/>
      <c r="CG395" s="88"/>
      <c r="CH395" s="88"/>
      <c r="CI395" s="88"/>
      <c r="CJ395" s="88"/>
      <c r="CK395" s="88"/>
      <c r="CL395" s="88"/>
      <c r="CM395" s="88"/>
      <c r="CN395" s="88"/>
      <c r="CO395" s="88"/>
      <c r="CP395" s="88"/>
      <c r="CQ395" s="88"/>
      <c r="CR395" s="88"/>
      <c r="CS395" s="88"/>
      <c r="CT395" s="88"/>
      <c r="CU395" s="88"/>
      <c r="CV395" s="88"/>
      <c r="CW395" s="88"/>
      <c r="CX395" s="88"/>
      <c r="CY395" s="88"/>
      <c r="CZ395" s="88"/>
      <c r="DA395" s="88"/>
      <c r="DB395" s="88"/>
      <c r="DC395" s="88"/>
      <c r="DD395" s="88"/>
      <c r="DE395" s="88"/>
      <c r="DF395" s="88"/>
      <c r="DG395" s="88"/>
      <c r="DH395" s="88"/>
      <c r="DI395" s="88"/>
      <c r="DJ395" s="88"/>
      <c r="DK395" s="88"/>
      <c r="DL395" s="88"/>
      <c r="DM395" s="88"/>
      <c r="DN395" s="88"/>
      <c r="DO395" s="88"/>
      <c r="DP395" s="88"/>
      <c r="DQ395" s="88"/>
      <c r="DR395" s="88"/>
      <c r="DS395" s="88"/>
      <c r="DT395" s="88"/>
      <c r="DU395" s="88"/>
      <c r="DV395" s="88"/>
      <c r="DW395" s="88"/>
      <c r="DX395" s="88"/>
      <c r="DY395" s="88"/>
      <c r="DZ395" s="88"/>
      <c r="EA395" s="88"/>
      <c r="EB395" s="88"/>
      <c r="EC395" s="88"/>
      <c r="ED395" s="88"/>
      <c r="EE395" s="88"/>
      <c r="EF395" s="88"/>
      <c r="EG395" s="88"/>
    </row>
    <row r="396" spans="1:137" ht="14.45" customHeight="1" x14ac:dyDescent="0.2">
      <c r="A396" s="99">
        <v>45383</v>
      </c>
      <c r="B396" s="82">
        <v>45404</v>
      </c>
      <c r="C396" s="88" t="s">
        <v>45</v>
      </c>
      <c r="D396" s="60" t="s">
        <v>483</v>
      </c>
      <c r="E396" s="116" t="s">
        <v>633</v>
      </c>
      <c r="F396" s="72" t="s">
        <v>618</v>
      </c>
      <c r="G396" s="72" t="s">
        <v>142</v>
      </c>
      <c r="H396" s="83">
        <v>0.4375</v>
      </c>
      <c r="I396" s="83">
        <v>0.625</v>
      </c>
      <c r="J396" s="63">
        <f t="shared" si="26"/>
        <v>0.1875</v>
      </c>
      <c r="K396" s="88" t="s">
        <v>365</v>
      </c>
      <c r="L396" s="135">
        <f t="shared" si="25"/>
        <v>4.5</v>
      </c>
      <c r="M396" s="60"/>
      <c r="N396" s="60"/>
      <c r="O396" s="91" t="s">
        <v>314</v>
      </c>
      <c r="P396" s="88">
        <v>5</v>
      </c>
      <c r="Q396" s="60"/>
      <c r="Z396" s="100"/>
    </row>
    <row r="397" spans="1:137" ht="14.45" customHeight="1" x14ac:dyDescent="0.2">
      <c r="A397" s="99">
        <v>45383</v>
      </c>
      <c r="B397" s="82">
        <v>45404</v>
      </c>
      <c r="C397" s="88" t="s">
        <v>45</v>
      </c>
      <c r="D397" s="60" t="s">
        <v>406</v>
      </c>
      <c r="E397" s="116" t="s">
        <v>407</v>
      </c>
      <c r="F397" s="72" t="s">
        <v>634</v>
      </c>
      <c r="G397" s="72" t="s">
        <v>142</v>
      </c>
      <c r="H397" s="83">
        <v>0.45833333333333331</v>
      </c>
      <c r="I397" s="83">
        <v>0.66666666666666663</v>
      </c>
      <c r="J397" s="63">
        <f t="shared" si="26"/>
        <v>0.20833333333333331</v>
      </c>
      <c r="K397" s="88" t="s">
        <v>365</v>
      </c>
      <c r="L397" s="135">
        <f t="shared" si="25"/>
        <v>5</v>
      </c>
      <c r="M397" s="60"/>
      <c r="N397" s="60"/>
      <c r="O397" s="91" t="s">
        <v>359</v>
      </c>
      <c r="P397" s="88">
        <v>5</v>
      </c>
      <c r="Q397" s="60"/>
      <c r="Z397" s="100"/>
    </row>
    <row r="398" spans="1:137" s="97" customFormat="1" ht="14.45" customHeight="1" x14ac:dyDescent="0.25">
      <c r="A398" s="99">
        <v>45383</v>
      </c>
      <c r="B398" s="82">
        <v>45404</v>
      </c>
      <c r="C398" s="88" t="s">
        <v>45</v>
      </c>
      <c r="D398" s="60" t="s">
        <v>32</v>
      </c>
      <c r="E398" s="115" t="s">
        <v>635</v>
      </c>
      <c r="F398" s="60" t="s">
        <v>636</v>
      </c>
      <c r="G398" s="72" t="s">
        <v>142</v>
      </c>
      <c r="H398" s="83">
        <v>0.41666666666666669</v>
      </c>
      <c r="I398" s="83">
        <v>0.66666666666666663</v>
      </c>
      <c r="J398" s="63">
        <f t="shared" si="26"/>
        <v>0.24999999999999994</v>
      </c>
      <c r="K398" s="88" t="s">
        <v>365</v>
      </c>
      <c r="L398" s="135">
        <f t="shared" si="25"/>
        <v>5.9999999999999982</v>
      </c>
      <c r="M398" s="60"/>
      <c r="N398" s="60"/>
      <c r="O398" s="91" t="s">
        <v>359</v>
      </c>
      <c r="P398" s="88">
        <v>5</v>
      </c>
      <c r="Q398" s="60"/>
      <c r="R398" s="88"/>
      <c r="S398" s="88"/>
      <c r="T398" s="88"/>
      <c r="U398" s="88"/>
      <c r="V398" s="94"/>
      <c r="W398" s="88"/>
      <c r="X398" s="90"/>
      <c r="Y398" s="88"/>
      <c r="Z398" s="101"/>
      <c r="AA398" s="88"/>
      <c r="AB398" s="88"/>
      <c r="AC398" s="88"/>
      <c r="AD398" s="88"/>
      <c r="AE398" s="88"/>
      <c r="AF398" s="88"/>
      <c r="AG398" s="88"/>
      <c r="AH398" s="88"/>
      <c r="AI398" s="88"/>
      <c r="AJ398" s="88"/>
      <c r="AK398" s="88"/>
      <c r="AL398" s="88"/>
      <c r="AM398" s="88"/>
      <c r="AN398" s="88"/>
      <c r="AO398" s="88"/>
      <c r="AP398" s="88"/>
      <c r="AQ398" s="88"/>
      <c r="AR398" s="88"/>
      <c r="AS398" s="88"/>
      <c r="AT398" s="88"/>
      <c r="AU398" s="88"/>
      <c r="AV398" s="88"/>
      <c r="AW398" s="88"/>
      <c r="AX398" s="88"/>
      <c r="AY398" s="88"/>
      <c r="AZ398" s="88"/>
      <c r="BA398" s="88"/>
      <c r="BB398" s="88"/>
      <c r="BC398" s="88"/>
      <c r="BD398" s="88"/>
      <c r="BE398" s="88"/>
      <c r="BF398" s="88"/>
      <c r="BG398" s="88"/>
      <c r="BH398" s="88"/>
      <c r="BI398" s="88"/>
      <c r="BJ398" s="88"/>
      <c r="BK398" s="88"/>
      <c r="BL398" s="88"/>
      <c r="BM398" s="88"/>
      <c r="BN398" s="88"/>
      <c r="BO398" s="88"/>
      <c r="BP398" s="88"/>
      <c r="BQ398" s="88"/>
      <c r="BR398" s="88"/>
      <c r="BS398" s="88"/>
      <c r="BT398" s="88"/>
      <c r="BU398" s="88"/>
      <c r="BV398" s="88"/>
      <c r="BW398" s="88"/>
      <c r="BX398" s="88"/>
      <c r="BY398" s="88"/>
      <c r="BZ398" s="88"/>
      <c r="CA398" s="88"/>
      <c r="CB398" s="88"/>
      <c r="CC398" s="88"/>
      <c r="CD398" s="88"/>
      <c r="CE398" s="88"/>
      <c r="CF398" s="88"/>
      <c r="CG398" s="88"/>
      <c r="CH398" s="88"/>
      <c r="CI398" s="88"/>
      <c r="CJ398" s="88"/>
      <c r="CK398" s="88"/>
      <c r="CL398" s="88"/>
      <c r="CM398" s="88"/>
      <c r="CN398" s="88"/>
      <c r="CO398" s="88"/>
      <c r="CP398" s="88"/>
      <c r="CQ398" s="88"/>
      <c r="CR398" s="88"/>
      <c r="CS398" s="88"/>
      <c r="CT398" s="88"/>
      <c r="CU398" s="88"/>
      <c r="CV398" s="88"/>
      <c r="CW398" s="88"/>
      <c r="CX398" s="88"/>
      <c r="CY398" s="88"/>
      <c r="CZ398" s="88"/>
      <c r="DA398" s="88"/>
      <c r="DB398" s="88"/>
      <c r="DC398" s="88"/>
      <c r="DD398" s="88"/>
      <c r="DE398" s="88"/>
      <c r="DF398" s="88"/>
      <c r="DG398" s="88"/>
      <c r="DH398" s="88"/>
      <c r="DI398" s="88"/>
      <c r="DJ398" s="88"/>
      <c r="DK398" s="88"/>
      <c r="DL398" s="88"/>
      <c r="DM398" s="88"/>
      <c r="DN398" s="88"/>
      <c r="DO398" s="88"/>
      <c r="DP398" s="88"/>
      <c r="DQ398" s="88"/>
      <c r="DR398" s="88"/>
      <c r="DS398" s="88"/>
      <c r="DT398" s="88"/>
      <c r="DU398" s="88"/>
      <c r="DV398" s="88"/>
      <c r="DW398" s="88"/>
      <c r="DX398" s="88"/>
      <c r="DY398" s="88"/>
      <c r="DZ398" s="88"/>
      <c r="EA398" s="88"/>
      <c r="EB398" s="88"/>
      <c r="EC398" s="88"/>
      <c r="ED398" s="88"/>
      <c r="EE398" s="88"/>
      <c r="EF398" s="88"/>
      <c r="EG398" s="88"/>
    </row>
    <row r="399" spans="1:137" s="16" customFormat="1" x14ac:dyDescent="0.2">
      <c r="A399" s="99">
        <v>45383</v>
      </c>
      <c r="B399" s="82">
        <v>45405</v>
      </c>
      <c r="C399" s="88" t="s">
        <v>106</v>
      </c>
      <c r="D399" s="60" t="s">
        <v>830</v>
      </c>
      <c r="E399" s="115" t="s">
        <v>637</v>
      </c>
      <c r="F399" s="60" t="s">
        <v>638</v>
      </c>
      <c r="G399" s="72" t="s">
        <v>142</v>
      </c>
      <c r="H399" s="83">
        <v>0.47916666666666669</v>
      </c>
      <c r="I399" s="83">
        <v>0.52083333333333337</v>
      </c>
      <c r="J399" s="63">
        <v>0.27079999999999999</v>
      </c>
      <c r="K399" s="88" t="s">
        <v>365</v>
      </c>
      <c r="L399" s="135">
        <f t="shared" si="25"/>
        <v>6.4992000000000001</v>
      </c>
      <c r="M399" s="61"/>
      <c r="N399" s="60"/>
      <c r="O399" s="91" t="s">
        <v>820</v>
      </c>
      <c r="P399" s="88">
        <v>5</v>
      </c>
      <c r="Q399" s="60"/>
      <c r="R399" s="61"/>
      <c r="S399" s="61"/>
      <c r="T399" s="61"/>
      <c r="U399" s="61"/>
      <c r="V399" s="92"/>
      <c r="W399" s="61"/>
      <c r="X399" s="89"/>
      <c r="Y399" s="61"/>
      <c r="Z399" s="100"/>
      <c r="AA399" s="61"/>
      <c r="AB399" s="61"/>
      <c r="AC399" s="61"/>
      <c r="AD399" s="61"/>
      <c r="AE399" s="61"/>
      <c r="AF399" s="61"/>
      <c r="AG399" s="61"/>
      <c r="AH399" s="61"/>
      <c r="AI399" s="61"/>
      <c r="AJ399" s="61"/>
      <c r="AK399" s="61"/>
      <c r="AL399" s="61"/>
      <c r="AM399" s="61"/>
      <c r="AN399" s="61"/>
      <c r="AO399" s="61"/>
      <c r="AP399" s="61"/>
      <c r="AQ399" s="61"/>
      <c r="AR399" s="61"/>
      <c r="AS399" s="61"/>
      <c r="AT399" s="61"/>
      <c r="AU399" s="61"/>
      <c r="AV399" s="61"/>
      <c r="AW399" s="61"/>
      <c r="AX399" s="61"/>
      <c r="AY399" s="61"/>
      <c r="AZ399" s="61"/>
      <c r="BA399" s="61"/>
      <c r="BB399" s="61"/>
      <c r="BC399" s="61"/>
      <c r="BD399" s="61"/>
      <c r="BE399" s="61"/>
      <c r="BF399" s="61"/>
      <c r="BG399" s="61"/>
      <c r="BH399" s="61"/>
      <c r="BI399" s="61"/>
      <c r="BJ399" s="61"/>
      <c r="BK399" s="61"/>
      <c r="BL399" s="61"/>
      <c r="BM399" s="61"/>
      <c r="BN399" s="61"/>
      <c r="BO399" s="61"/>
      <c r="BP399" s="61"/>
      <c r="BQ399" s="61"/>
      <c r="BR399" s="61"/>
      <c r="BS399" s="61"/>
      <c r="BT399" s="61"/>
      <c r="BU399" s="61"/>
      <c r="BV399" s="61"/>
      <c r="BW399" s="61"/>
      <c r="BX399" s="61"/>
      <c r="BY399" s="61"/>
      <c r="BZ399" s="61"/>
      <c r="CA399" s="61"/>
      <c r="CB399" s="61"/>
      <c r="CC399" s="61"/>
      <c r="CD399" s="61"/>
      <c r="CE399" s="61"/>
      <c r="CF399" s="61"/>
      <c r="CG399" s="61"/>
      <c r="CH399" s="61"/>
      <c r="CI399" s="61"/>
      <c r="CJ399" s="61"/>
      <c r="CK399" s="61"/>
      <c r="CL399" s="61"/>
      <c r="CM399" s="61"/>
      <c r="CN399" s="61"/>
      <c r="CO399" s="61"/>
      <c r="CP399" s="61"/>
      <c r="CQ399" s="61"/>
      <c r="CR399" s="61"/>
      <c r="CS399" s="61"/>
      <c r="CT399" s="61"/>
      <c r="CU399" s="61"/>
      <c r="CV399" s="61"/>
      <c r="CW399" s="61"/>
      <c r="CX399" s="61"/>
      <c r="CY399" s="61"/>
      <c r="CZ399" s="61"/>
      <c r="DA399" s="61"/>
      <c r="DB399" s="61"/>
      <c r="DC399" s="61"/>
      <c r="DD399" s="61"/>
      <c r="DE399" s="61"/>
      <c r="DF399" s="61"/>
      <c r="DG399" s="61"/>
      <c r="DH399" s="61"/>
      <c r="DI399" s="61"/>
      <c r="DJ399" s="61"/>
      <c r="DK399" s="61"/>
      <c r="DL399" s="61"/>
      <c r="DM399" s="61"/>
      <c r="DN399" s="61"/>
      <c r="DO399" s="61"/>
      <c r="DP399" s="61"/>
      <c r="DQ399" s="61"/>
      <c r="DR399" s="61"/>
      <c r="DS399" s="61"/>
      <c r="DT399" s="61"/>
      <c r="DU399" s="61"/>
      <c r="DV399" s="61"/>
      <c r="DW399" s="61"/>
      <c r="DX399" s="61"/>
      <c r="DY399" s="61"/>
      <c r="DZ399" s="61"/>
      <c r="EA399" s="61"/>
      <c r="EB399" s="61"/>
      <c r="EC399" s="61"/>
      <c r="ED399" s="61"/>
      <c r="EE399" s="61"/>
      <c r="EF399" s="61"/>
      <c r="EG399" s="61"/>
    </row>
    <row r="400" spans="1:137" s="16" customFormat="1" x14ac:dyDescent="0.2">
      <c r="A400" s="99">
        <v>45383</v>
      </c>
      <c r="B400" s="82">
        <v>45405</v>
      </c>
      <c r="C400" s="88" t="s">
        <v>106</v>
      </c>
      <c r="D400" s="60" t="s">
        <v>639</v>
      </c>
      <c r="E400" s="115" t="s">
        <v>640</v>
      </c>
      <c r="F400" s="60" t="s">
        <v>641</v>
      </c>
      <c r="G400" s="72" t="s">
        <v>142</v>
      </c>
      <c r="H400" s="83">
        <v>0</v>
      </c>
      <c r="I400" s="83">
        <v>0.58333333333333337</v>
      </c>
      <c r="J400" s="63">
        <v>0.27079999999999999</v>
      </c>
      <c r="K400" s="88" t="s">
        <v>365</v>
      </c>
      <c r="L400" s="135">
        <f t="shared" si="25"/>
        <v>6.4992000000000001</v>
      </c>
      <c r="M400" s="61"/>
      <c r="N400" s="60"/>
      <c r="O400" s="91" t="s">
        <v>314</v>
      </c>
      <c r="P400" s="88">
        <v>5</v>
      </c>
      <c r="Q400" s="60"/>
      <c r="R400" s="61"/>
      <c r="S400" s="61"/>
      <c r="T400" s="61"/>
      <c r="U400" s="61"/>
      <c r="V400" s="92"/>
      <c r="W400" s="61"/>
      <c r="X400" s="89"/>
      <c r="Y400" s="61"/>
      <c r="Z400" s="100"/>
      <c r="AA400" s="61"/>
      <c r="AB400" s="61"/>
      <c r="AC400" s="61"/>
      <c r="AD400" s="61"/>
      <c r="AE400" s="61"/>
      <c r="AF400" s="61"/>
      <c r="AG400" s="61"/>
      <c r="AH400" s="61"/>
      <c r="AI400" s="61"/>
      <c r="AJ400" s="61"/>
      <c r="AK400" s="61"/>
      <c r="AL400" s="61"/>
      <c r="AM400" s="61"/>
      <c r="AN400" s="61"/>
      <c r="AO400" s="61"/>
      <c r="AP400" s="61"/>
      <c r="AQ400" s="61"/>
      <c r="AR400" s="61"/>
      <c r="AS400" s="61"/>
      <c r="AT400" s="61"/>
      <c r="AU400" s="61"/>
      <c r="AV400" s="61"/>
      <c r="AW400" s="61"/>
      <c r="AX400" s="61"/>
      <c r="AY400" s="61"/>
      <c r="AZ400" s="61"/>
      <c r="BA400" s="61"/>
      <c r="BB400" s="61"/>
      <c r="BC400" s="61"/>
      <c r="BD400" s="61"/>
      <c r="BE400" s="61"/>
      <c r="BF400" s="61"/>
      <c r="BG400" s="61"/>
      <c r="BH400" s="61"/>
      <c r="BI400" s="61"/>
      <c r="BJ400" s="61"/>
      <c r="BK400" s="61"/>
      <c r="BL400" s="61"/>
      <c r="BM400" s="61"/>
      <c r="BN400" s="61"/>
      <c r="BO400" s="61"/>
      <c r="BP400" s="61"/>
      <c r="BQ400" s="61"/>
      <c r="BR400" s="61"/>
      <c r="BS400" s="61"/>
      <c r="BT400" s="61"/>
      <c r="BU400" s="61"/>
      <c r="BV400" s="61"/>
      <c r="BW400" s="61"/>
      <c r="BX400" s="61"/>
      <c r="BY400" s="61"/>
      <c r="BZ400" s="61"/>
      <c r="CA400" s="61"/>
      <c r="CB400" s="61"/>
      <c r="CC400" s="61"/>
      <c r="CD400" s="61"/>
      <c r="CE400" s="61"/>
      <c r="CF400" s="61"/>
      <c r="CG400" s="61"/>
      <c r="CH400" s="61"/>
      <c r="CI400" s="61"/>
      <c r="CJ400" s="61"/>
      <c r="CK400" s="61"/>
      <c r="CL400" s="61"/>
      <c r="CM400" s="61"/>
      <c r="CN400" s="61"/>
      <c r="CO400" s="61"/>
      <c r="CP400" s="61"/>
      <c r="CQ400" s="61"/>
      <c r="CR400" s="61"/>
      <c r="CS400" s="61"/>
      <c r="CT400" s="61"/>
      <c r="CU400" s="61"/>
      <c r="CV400" s="61"/>
      <c r="CW400" s="61"/>
      <c r="CX400" s="61"/>
      <c r="CY400" s="61"/>
      <c r="CZ400" s="61"/>
      <c r="DA400" s="61"/>
      <c r="DB400" s="61"/>
      <c r="DC400" s="61"/>
      <c r="DD400" s="61"/>
      <c r="DE400" s="61"/>
      <c r="DF400" s="61"/>
      <c r="DG400" s="61"/>
      <c r="DH400" s="61"/>
      <c r="DI400" s="61"/>
      <c r="DJ400" s="61"/>
      <c r="DK400" s="61"/>
      <c r="DL400" s="61"/>
      <c r="DM400" s="61"/>
      <c r="DN400" s="61"/>
      <c r="DO400" s="61"/>
      <c r="DP400" s="61"/>
      <c r="DQ400" s="61"/>
      <c r="DR400" s="61"/>
      <c r="DS400" s="61"/>
      <c r="DT400" s="61"/>
      <c r="DU400" s="61"/>
      <c r="DV400" s="61"/>
      <c r="DW400" s="61"/>
      <c r="DX400" s="61"/>
      <c r="DY400" s="61"/>
      <c r="DZ400" s="61"/>
      <c r="EA400" s="61"/>
      <c r="EB400" s="61"/>
      <c r="EC400" s="61"/>
      <c r="ED400" s="61"/>
      <c r="EE400" s="61"/>
      <c r="EF400" s="61"/>
      <c r="EG400" s="61"/>
    </row>
    <row r="401" spans="1:137" s="97" customFormat="1" ht="14.45" customHeight="1" x14ac:dyDescent="0.25">
      <c r="A401" s="99">
        <v>45383</v>
      </c>
      <c r="B401" s="82">
        <v>45404</v>
      </c>
      <c r="C401" s="88" t="s">
        <v>106</v>
      </c>
      <c r="D401" s="60" t="s">
        <v>461</v>
      </c>
      <c r="E401" s="115" t="s">
        <v>644</v>
      </c>
      <c r="F401" s="60" t="s">
        <v>645</v>
      </c>
      <c r="G401" s="72" t="s">
        <v>142</v>
      </c>
      <c r="H401" s="83">
        <v>0.45833333333333331</v>
      </c>
      <c r="I401" s="83">
        <v>0.58333333333333337</v>
      </c>
      <c r="J401" s="63">
        <f>I401-H401</f>
        <v>0.12500000000000006</v>
      </c>
      <c r="K401" s="88" t="s">
        <v>110</v>
      </c>
      <c r="L401" s="135">
        <f t="shared" si="25"/>
        <v>3.0000000000000013</v>
      </c>
      <c r="M401" s="60"/>
      <c r="N401" s="60"/>
      <c r="O401" s="91" t="s">
        <v>363</v>
      </c>
      <c r="P401" s="88">
        <v>5</v>
      </c>
      <c r="Q401" s="60"/>
      <c r="R401" s="88"/>
      <c r="S401" s="88"/>
      <c r="T401" s="88"/>
      <c r="U401" s="88"/>
      <c r="V401" s="94"/>
      <c r="W401" s="88"/>
      <c r="X401" s="90"/>
      <c r="Y401" s="88"/>
      <c r="Z401" s="101"/>
      <c r="AA401" s="88"/>
      <c r="AB401" s="88"/>
      <c r="AC401" s="88"/>
      <c r="AD401" s="88"/>
      <c r="AE401" s="88"/>
      <c r="AF401" s="88"/>
      <c r="AG401" s="88"/>
      <c r="AH401" s="88"/>
      <c r="AI401" s="88"/>
      <c r="AJ401" s="88"/>
      <c r="AK401" s="88"/>
      <c r="AL401" s="88"/>
      <c r="AM401" s="88"/>
      <c r="AN401" s="88"/>
      <c r="AO401" s="88"/>
      <c r="AP401" s="88"/>
      <c r="AQ401" s="88"/>
      <c r="AR401" s="88"/>
      <c r="AS401" s="88"/>
      <c r="AT401" s="88"/>
      <c r="AU401" s="88"/>
      <c r="AV401" s="88"/>
      <c r="AW401" s="88"/>
      <c r="AX401" s="88"/>
      <c r="AY401" s="88"/>
      <c r="AZ401" s="88"/>
      <c r="BA401" s="88"/>
      <c r="BB401" s="88"/>
      <c r="BC401" s="88"/>
      <c r="BD401" s="88"/>
      <c r="BE401" s="88"/>
      <c r="BF401" s="88"/>
      <c r="BG401" s="88"/>
      <c r="BH401" s="88"/>
      <c r="BI401" s="88"/>
      <c r="BJ401" s="88"/>
      <c r="BK401" s="88"/>
      <c r="BL401" s="88"/>
      <c r="BM401" s="88"/>
      <c r="BN401" s="88"/>
      <c r="BO401" s="88"/>
      <c r="BP401" s="88"/>
      <c r="BQ401" s="88"/>
      <c r="BR401" s="88"/>
      <c r="BS401" s="88"/>
      <c r="BT401" s="88"/>
      <c r="BU401" s="88"/>
      <c r="BV401" s="88"/>
      <c r="BW401" s="88"/>
      <c r="BX401" s="88"/>
      <c r="BY401" s="88"/>
      <c r="BZ401" s="88"/>
      <c r="CA401" s="88"/>
      <c r="CB401" s="88"/>
      <c r="CC401" s="88"/>
      <c r="CD401" s="88"/>
      <c r="CE401" s="88"/>
      <c r="CF401" s="88"/>
      <c r="CG401" s="88"/>
      <c r="CH401" s="88"/>
      <c r="CI401" s="88"/>
      <c r="CJ401" s="88"/>
      <c r="CK401" s="88"/>
      <c r="CL401" s="88"/>
      <c r="CM401" s="88"/>
      <c r="CN401" s="88"/>
      <c r="CO401" s="88"/>
      <c r="CP401" s="88"/>
      <c r="CQ401" s="88"/>
      <c r="CR401" s="88"/>
      <c r="CS401" s="88"/>
      <c r="CT401" s="88"/>
      <c r="CU401" s="88"/>
      <c r="CV401" s="88"/>
      <c r="CW401" s="88"/>
      <c r="CX401" s="88"/>
      <c r="CY401" s="88"/>
      <c r="CZ401" s="88"/>
      <c r="DA401" s="88"/>
      <c r="DB401" s="88"/>
      <c r="DC401" s="88"/>
      <c r="DD401" s="88"/>
      <c r="DE401" s="88"/>
      <c r="DF401" s="88"/>
      <c r="DG401" s="88"/>
      <c r="DH401" s="88"/>
      <c r="DI401" s="88"/>
      <c r="DJ401" s="88"/>
      <c r="DK401" s="88"/>
      <c r="DL401" s="88"/>
      <c r="DM401" s="88"/>
      <c r="DN401" s="88"/>
      <c r="DO401" s="88"/>
      <c r="DP401" s="88"/>
      <c r="DQ401" s="88"/>
      <c r="DR401" s="88"/>
      <c r="DS401" s="88"/>
      <c r="DT401" s="88"/>
      <c r="DU401" s="88"/>
      <c r="DV401" s="88"/>
      <c r="DW401" s="88"/>
      <c r="DX401" s="88"/>
      <c r="DY401" s="88"/>
      <c r="DZ401" s="88"/>
      <c r="EA401" s="88"/>
      <c r="EB401" s="88"/>
      <c r="EC401" s="88"/>
      <c r="ED401" s="88"/>
      <c r="EE401" s="88"/>
      <c r="EF401" s="88"/>
      <c r="EG401" s="88"/>
    </row>
    <row r="402" spans="1:137" ht="14.45" customHeight="1" x14ac:dyDescent="0.2">
      <c r="A402" s="99">
        <v>45383</v>
      </c>
      <c r="B402" s="82">
        <v>45405</v>
      </c>
      <c r="C402" s="88" t="s">
        <v>106</v>
      </c>
      <c r="D402" s="60" t="s">
        <v>498</v>
      </c>
      <c r="E402" s="115" t="s">
        <v>446</v>
      </c>
      <c r="F402" s="60" t="s">
        <v>627</v>
      </c>
      <c r="G402" s="72" t="s">
        <v>142</v>
      </c>
      <c r="H402" s="83">
        <v>0.41666666666666669</v>
      </c>
      <c r="I402" s="83">
        <v>0.66666666666666663</v>
      </c>
      <c r="J402" s="63">
        <v>0.27079999999999999</v>
      </c>
      <c r="K402" s="88" t="s">
        <v>110</v>
      </c>
      <c r="L402" s="135">
        <f t="shared" si="25"/>
        <v>6.4992000000000001</v>
      </c>
      <c r="N402" s="60"/>
      <c r="O402" s="91" t="s">
        <v>363</v>
      </c>
      <c r="P402" s="88">
        <v>5</v>
      </c>
      <c r="Q402" s="60"/>
      <c r="V402" s="86"/>
      <c r="Z402" s="100"/>
    </row>
    <row r="403" spans="1:137" x14ac:dyDescent="0.2">
      <c r="A403" s="99">
        <v>45383</v>
      </c>
      <c r="B403" s="82">
        <v>45405</v>
      </c>
      <c r="C403" s="88" t="s">
        <v>106</v>
      </c>
      <c r="D403" s="60" t="s">
        <v>308</v>
      </c>
      <c r="E403" s="115" t="s">
        <v>377</v>
      </c>
      <c r="F403" s="60" t="s">
        <v>379</v>
      </c>
      <c r="G403" s="72" t="s">
        <v>142</v>
      </c>
      <c r="H403" s="83">
        <v>0.41666666666666669</v>
      </c>
      <c r="I403" s="83">
        <v>0.54166666666666663</v>
      </c>
      <c r="J403" s="63">
        <f t="shared" ref="J403:J408" si="27">I403-H403</f>
        <v>0.12499999999999994</v>
      </c>
      <c r="K403" s="88" t="s">
        <v>365</v>
      </c>
      <c r="L403" s="135">
        <f t="shared" si="25"/>
        <v>2.9999999999999987</v>
      </c>
      <c r="M403" s="60"/>
      <c r="N403" s="60"/>
      <c r="O403" s="91" t="s">
        <v>314</v>
      </c>
      <c r="P403" s="88">
        <v>5</v>
      </c>
      <c r="Q403" s="88"/>
      <c r="V403" s="93" t="s">
        <v>279</v>
      </c>
      <c r="Z403" s="100"/>
    </row>
    <row r="404" spans="1:137" s="97" customFormat="1" x14ac:dyDescent="0.25">
      <c r="A404" s="99">
        <v>45383</v>
      </c>
      <c r="B404" s="82">
        <v>45405</v>
      </c>
      <c r="C404" s="88" t="s">
        <v>106</v>
      </c>
      <c r="D404" s="60" t="s">
        <v>461</v>
      </c>
      <c r="E404" s="115" t="s">
        <v>561</v>
      </c>
      <c r="F404" s="60" t="s">
        <v>629</v>
      </c>
      <c r="G404" s="72" t="s">
        <v>142</v>
      </c>
      <c r="H404" s="83">
        <v>0.41666666666666669</v>
      </c>
      <c r="I404" s="83">
        <v>0.70833333333333337</v>
      </c>
      <c r="J404" s="63">
        <f t="shared" si="27"/>
        <v>0.29166666666666669</v>
      </c>
      <c r="K404" s="60" t="s">
        <v>113</v>
      </c>
      <c r="L404" s="135">
        <f t="shared" si="25"/>
        <v>7</v>
      </c>
      <c r="M404" s="60"/>
      <c r="N404" s="60"/>
      <c r="O404" s="91" t="s">
        <v>539</v>
      </c>
      <c r="P404" s="88">
        <v>5</v>
      </c>
      <c r="Q404" s="60"/>
      <c r="R404" s="88"/>
      <c r="S404" s="88"/>
      <c r="T404" s="88"/>
      <c r="U404" s="88"/>
      <c r="V404" s="94"/>
      <c r="W404" s="88"/>
      <c r="X404" s="90"/>
      <c r="Y404" s="88"/>
      <c r="Z404" s="101"/>
      <c r="AA404" s="88"/>
      <c r="AB404" s="88"/>
      <c r="AC404" s="88"/>
      <c r="AD404" s="88"/>
      <c r="AE404" s="88"/>
      <c r="AF404" s="88"/>
      <c r="AG404" s="88"/>
      <c r="AH404" s="88"/>
      <c r="AI404" s="88"/>
      <c r="AJ404" s="88"/>
      <c r="AK404" s="88"/>
      <c r="AL404" s="88"/>
      <c r="AM404" s="88"/>
      <c r="AN404" s="88"/>
      <c r="AO404" s="88"/>
      <c r="AP404" s="88"/>
      <c r="AQ404" s="88"/>
      <c r="AR404" s="88"/>
      <c r="AS404" s="88"/>
      <c r="AT404" s="88"/>
      <c r="AU404" s="88"/>
      <c r="AV404" s="88"/>
      <c r="AW404" s="88"/>
      <c r="AX404" s="88"/>
      <c r="AY404" s="88"/>
      <c r="AZ404" s="88"/>
      <c r="BA404" s="88"/>
      <c r="BB404" s="88"/>
      <c r="BC404" s="88"/>
      <c r="BD404" s="88"/>
      <c r="BE404" s="88"/>
      <c r="BF404" s="88"/>
      <c r="BG404" s="88"/>
      <c r="BH404" s="88"/>
      <c r="BI404" s="88"/>
      <c r="BJ404" s="88"/>
      <c r="BK404" s="88"/>
      <c r="BL404" s="88"/>
      <c r="BM404" s="88"/>
      <c r="BN404" s="88"/>
      <c r="BO404" s="88"/>
      <c r="BP404" s="88"/>
      <c r="BQ404" s="88"/>
      <c r="BR404" s="88"/>
      <c r="BS404" s="88"/>
      <c r="BT404" s="88"/>
      <c r="BU404" s="88"/>
      <c r="BV404" s="88"/>
      <c r="BW404" s="88"/>
      <c r="BX404" s="88"/>
      <c r="BY404" s="88"/>
      <c r="BZ404" s="88"/>
      <c r="CA404" s="88"/>
      <c r="CB404" s="88"/>
      <c r="CC404" s="88"/>
      <c r="CD404" s="88"/>
      <c r="CE404" s="88"/>
      <c r="CF404" s="88"/>
      <c r="CG404" s="88"/>
      <c r="CH404" s="88"/>
      <c r="CI404" s="88"/>
      <c r="CJ404" s="88"/>
      <c r="CK404" s="88"/>
      <c r="CL404" s="88"/>
      <c r="CM404" s="88"/>
      <c r="CN404" s="88"/>
      <c r="CO404" s="88"/>
      <c r="CP404" s="88"/>
      <c r="CQ404" s="88"/>
      <c r="CR404" s="88"/>
      <c r="CS404" s="88"/>
      <c r="CT404" s="88"/>
      <c r="CU404" s="88"/>
      <c r="CV404" s="88"/>
      <c r="CW404" s="88"/>
      <c r="CX404" s="88"/>
      <c r="CY404" s="88"/>
      <c r="CZ404" s="88"/>
      <c r="DA404" s="88"/>
      <c r="DB404" s="88"/>
      <c r="DC404" s="88"/>
      <c r="DD404" s="88"/>
      <c r="DE404" s="88"/>
      <c r="DF404" s="88"/>
      <c r="DG404" s="88"/>
      <c r="DH404" s="88"/>
      <c r="DI404" s="88"/>
      <c r="DJ404" s="88"/>
      <c r="DK404" s="88"/>
      <c r="DL404" s="88"/>
      <c r="DM404" s="88"/>
      <c r="DN404" s="88"/>
      <c r="DO404" s="88"/>
      <c r="DP404" s="88"/>
      <c r="DQ404" s="88"/>
      <c r="DR404" s="88"/>
      <c r="DS404" s="88"/>
      <c r="DT404" s="88"/>
      <c r="DU404" s="88"/>
      <c r="DV404" s="88"/>
      <c r="DW404" s="88"/>
      <c r="DX404" s="88"/>
      <c r="DY404" s="88"/>
      <c r="DZ404" s="88"/>
      <c r="EA404" s="88"/>
      <c r="EB404" s="88"/>
      <c r="EC404" s="88"/>
      <c r="ED404" s="88"/>
      <c r="EE404" s="88"/>
      <c r="EF404" s="88"/>
      <c r="EG404" s="88"/>
    </row>
    <row r="405" spans="1:137" x14ac:dyDescent="0.2">
      <c r="A405" s="99">
        <v>45383</v>
      </c>
      <c r="B405" s="82">
        <v>45406</v>
      </c>
      <c r="C405" s="60" t="s">
        <v>398</v>
      </c>
      <c r="D405" s="60" t="s">
        <v>406</v>
      </c>
      <c r="E405" s="116" t="s">
        <v>407</v>
      </c>
      <c r="F405" s="72" t="s">
        <v>634</v>
      </c>
      <c r="G405" s="72" t="s">
        <v>142</v>
      </c>
      <c r="H405" s="83">
        <v>0.5</v>
      </c>
      <c r="I405" s="83">
        <v>0.70833333333333337</v>
      </c>
      <c r="J405" s="63">
        <f t="shared" si="27"/>
        <v>0.20833333333333337</v>
      </c>
      <c r="K405" s="88" t="s">
        <v>365</v>
      </c>
      <c r="L405" s="135">
        <f t="shared" si="25"/>
        <v>5.0000000000000009</v>
      </c>
      <c r="M405" s="60"/>
      <c r="N405" s="60"/>
      <c r="O405" s="91" t="s">
        <v>314</v>
      </c>
      <c r="P405" s="88">
        <v>5</v>
      </c>
      <c r="Q405" s="60"/>
      <c r="Z405" s="100"/>
    </row>
    <row r="406" spans="1:137" s="97" customFormat="1" x14ac:dyDescent="0.25">
      <c r="A406" s="99">
        <v>45383</v>
      </c>
      <c r="B406" s="82">
        <v>45406</v>
      </c>
      <c r="C406" s="60" t="s">
        <v>398</v>
      </c>
      <c r="D406" s="60" t="s">
        <v>32</v>
      </c>
      <c r="E406" s="115" t="s">
        <v>642</v>
      </c>
      <c r="F406" s="60" t="s">
        <v>643</v>
      </c>
      <c r="G406" s="72" t="s">
        <v>142</v>
      </c>
      <c r="H406" s="83">
        <v>0.6875</v>
      </c>
      <c r="I406" s="83">
        <v>0.70833333333333337</v>
      </c>
      <c r="J406" s="63">
        <f t="shared" si="27"/>
        <v>2.083333333333337E-2</v>
      </c>
      <c r="K406" s="88" t="s">
        <v>365</v>
      </c>
      <c r="L406" s="135">
        <f t="shared" si="25"/>
        <v>0.50000000000000089</v>
      </c>
      <c r="M406" s="60"/>
      <c r="N406" s="60"/>
      <c r="O406" s="91" t="s">
        <v>359</v>
      </c>
      <c r="P406" s="88">
        <v>5</v>
      </c>
      <c r="Q406" s="60"/>
      <c r="R406" s="88"/>
      <c r="S406" s="88"/>
      <c r="T406" s="88"/>
      <c r="U406" s="88"/>
      <c r="V406" s="94"/>
      <c r="W406" s="88"/>
      <c r="X406" s="90"/>
      <c r="Y406" s="88"/>
      <c r="Z406" s="101"/>
      <c r="AA406" s="88"/>
      <c r="AB406" s="88"/>
      <c r="AC406" s="88"/>
      <c r="AD406" s="88"/>
      <c r="AE406" s="88"/>
      <c r="AF406" s="88"/>
      <c r="AG406" s="88"/>
      <c r="AH406" s="88"/>
      <c r="AI406" s="88"/>
      <c r="AJ406" s="88"/>
      <c r="AK406" s="88"/>
      <c r="AL406" s="88"/>
      <c r="AM406" s="88"/>
      <c r="AN406" s="88"/>
      <c r="AO406" s="88"/>
      <c r="AP406" s="88"/>
      <c r="AQ406" s="88"/>
      <c r="AR406" s="88"/>
      <c r="AS406" s="88"/>
      <c r="AT406" s="88"/>
      <c r="AU406" s="88"/>
      <c r="AV406" s="88"/>
      <c r="AW406" s="88"/>
      <c r="AX406" s="88"/>
      <c r="AY406" s="88"/>
      <c r="AZ406" s="88"/>
      <c r="BA406" s="88"/>
      <c r="BB406" s="88"/>
      <c r="BC406" s="88"/>
      <c r="BD406" s="88"/>
      <c r="BE406" s="88"/>
      <c r="BF406" s="88"/>
      <c r="BG406" s="88"/>
      <c r="BH406" s="88"/>
      <c r="BI406" s="88"/>
      <c r="BJ406" s="88"/>
      <c r="BK406" s="88"/>
      <c r="BL406" s="88"/>
      <c r="BM406" s="88"/>
      <c r="BN406" s="88"/>
      <c r="BO406" s="88"/>
      <c r="BP406" s="88"/>
      <c r="BQ406" s="88"/>
      <c r="BR406" s="88"/>
      <c r="BS406" s="88"/>
      <c r="BT406" s="88"/>
      <c r="BU406" s="88"/>
      <c r="BV406" s="88"/>
      <c r="BW406" s="88"/>
      <c r="BX406" s="88"/>
      <c r="BY406" s="88"/>
      <c r="BZ406" s="88"/>
      <c r="CA406" s="88"/>
      <c r="CB406" s="88"/>
      <c r="CC406" s="88"/>
      <c r="CD406" s="88"/>
      <c r="CE406" s="88"/>
      <c r="CF406" s="88"/>
      <c r="CG406" s="88"/>
      <c r="CH406" s="88"/>
      <c r="CI406" s="88"/>
      <c r="CJ406" s="88"/>
      <c r="CK406" s="88"/>
      <c r="CL406" s="88"/>
      <c r="CM406" s="88"/>
      <c r="CN406" s="88"/>
      <c r="CO406" s="88"/>
      <c r="CP406" s="88"/>
      <c r="CQ406" s="88"/>
      <c r="CR406" s="88"/>
      <c r="CS406" s="88"/>
      <c r="CT406" s="88"/>
      <c r="CU406" s="88"/>
      <c r="CV406" s="88"/>
      <c r="CW406" s="88"/>
      <c r="CX406" s="88"/>
      <c r="CY406" s="88"/>
      <c r="CZ406" s="88"/>
      <c r="DA406" s="88"/>
      <c r="DB406" s="88"/>
      <c r="DC406" s="88"/>
      <c r="DD406" s="88"/>
      <c r="DE406" s="88"/>
      <c r="DF406" s="88"/>
      <c r="DG406" s="88"/>
      <c r="DH406" s="88"/>
      <c r="DI406" s="88"/>
      <c r="DJ406" s="88"/>
      <c r="DK406" s="88"/>
      <c r="DL406" s="88"/>
      <c r="DM406" s="88"/>
      <c r="DN406" s="88"/>
      <c r="DO406" s="88"/>
      <c r="DP406" s="88"/>
      <c r="DQ406" s="88"/>
      <c r="DR406" s="88"/>
      <c r="DS406" s="88"/>
      <c r="DT406" s="88"/>
      <c r="DU406" s="88"/>
      <c r="DV406" s="88"/>
      <c r="DW406" s="88"/>
      <c r="DX406" s="88"/>
      <c r="DY406" s="88"/>
      <c r="DZ406" s="88"/>
      <c r="EA406" s="88"/>
      <c r="EB406" s="88"/>
      <c r="EC406" s="88"/>
      <c r="ED406" s="88"/>
      <c r="EE406" s="88"/>
      <c r="EF406" s="88"/>
      <c r="EG406" s="88"/>
    </row>
    <row r="407" spans="1:137" x14ac:dyDescent="0.2">
      <c r="A407" s="99">
        <v>45383</v>
      </c>
      <c r="B407" s="82">
        <v>45406</v>
      </c>
      <c r="C407" s="60" t="s">
        <v>398</v>
      </c>
      <c r="D407" s="60" t="s">
        <v>126</v>
      </c>
      <c r="E407" s="116" t="s">
        <v>646</v>
      </c>
      <c r="F407" s="72" t="s">
        <v>907</v>
      </c>
      <c r="G407" s="72" t="s">
        <v>142</v>
      </c>
      <c r="H407" s="83">
        <v>0.79166666666666663</v>
      </c>
      <c r="I407" s="83">
        <v>0.9375</v>
      </c>
      <c r="J407" s="63">
        <f t="shared" si="27"/>
        <v>0.14583333333333337</v>
      </c>
      <c r="K407" s="88" t="s">
        <v>365</v>
      </c>
      <c r="L407" s="135">
        <f t="shared" si="25"/>
        <v>3.5000000000000009</v>
      </c>
      <c r="M407" s="60"/>
      <c r="N407" s="60"/>
      <c r="O407" s="91" t="s">
        <v>363</v>
      </c>
      <c r="P407" s="88">
        <v>5</v>
      </c>
      <c r="Q407" s="60"/>
      <c r="Z407" s="100"/>
    </row>
    <row r="408" spans="1:137" x14ac:dyDescent="0.2">
      <c r="A408" s="99">
        <v>45383</v>
      </c>
      <c r="B408" s="82">
        <v>45406</v>
      </c>
      <c r="C408" s="60" t="s">
        <v>398</v>
      </c>
      <c r="D408" s="60" t="s">
        <v>126</v>
      </c>
      <c r="E408" s="116" t="s">
        <v>497</v>
      </c>
      <c r="F408" s="72" t="s">
        <v>906</v>
      </c>
      <c r="G408" s="72" t="s">
        <v>142</v>
      </c>
      <c r="H408" s="83">
        <v>0.45833333333333331</v>
      </c>
      <c r="I408" s="83">
        <v>0.70833333333333337</v>
      </c>
      <c r="J408" s="63">
        <f t="shared" si="27"/>
        <v>0.25000000000000006</v>
      </c>
      <c r="K408" s="88" t="s">
        <v>365</v>
      </c>
      <c r="L408" s="135">
        <f t="shared" si="25"/>
        <v>6.0000000000000018</v>
      </c>
      <c r="M408" s="60"/>
      <c r="N408" s="60"/>
      <c r="O408" s="85" t="s">
        <v>361</v>
      </c>
      <c r="P408" s="88">
        <v>5</v>
      </c>
      <c r="Q408" s="60"/>
      <c r="Z408" s="100"/>
    </row>
    <row r="409" spans="1:137" ht="14.45" customHeight="1" x14ac:dyDescent="0.2">
      <c r="A409" s="99">
        <v>45383</v>
      </c>
      <c r="B409" s="82">
        <v>45406</v>
      </c>
      <c r="C409" s="60" t="s">
        <v>398</v>
      </c>
      <c r="D409" s="60" t="s">
        <v>498</v>
      </c>
      <c r="E409" s="115" t="s">
        <v>446</v>
      </c>
      <c r="F409" s="60" t="s">
        <v>627</v>
      </c>
      <c r="G409" s="72" t="s">
        <v>142</v>
      </c>
      <c r="H409" s="83">
        <v>0.41666666666666669</v>
      </c>
      <c r="I409" s="83">
        <v>0.625</v>
      </c>
      <c r="J409" s="63">
        <v>0.27079999999999999</v>
      </c>
      <c r="K409" s="88" t="s">
        <v>110</v>
      </c>
      <c r="L409" s="135">
        <f t="shared" si="25"/>
        <v>6.4992000000000001</v>
      </c>
      <c r="N409" s="60"/>
      <c r="O409" s="91" t="s">
        <v>363</v>
      </c>
      <c r="P409" s="88">
        <v>5</v>
      </c>
      <c r="Q409" s="60"/>
      <c r="V409" s="86"/>
      <c r="Z409" s="100"/>
    </row>
    <row r="410" spans="1:137" s="97" customFormat="1" x14ac:dyDescent="0.25">
      <c r="A410" s="99">
        <v>45383</v>
      </c>
      <c r="B410" s="82">
        <v>45406</v>
      </c>
      <c r="C410" s="60" t="s">
        <v>398</v>
      </c>
      <c r="D410" s="60" t="s">
        <v>461</v>
      </c>
      <c r="E410" s="115" t="s">
        <v>561</v>
      </c>
      <c r="F410" s="60" t="s">
        <v>647</v>
      </c>
      <c r="G410" s="72" t="s">
        <v>142</v>
      </c>
      <c r="H410" s="83">
        <v>0.41666666666666669</v>
      </c>
      <c r="I410" s="83">
        <v>0.70833333333333337</v>
      </c>
      <c r="J410" s="63">
        <f>I410-H410</f>
        <v>0.29166666666666669</v>
      </c>
      <c r="K410" s="60" t="s">
        <v>113</v>
      </c>
      <c r="L410" s="135">
        <f t="shared" si="25"/>
        <v>7</v>
      </c>
      <c r="M410" s="60"/>
      <c r="N410" s="60"/>
      <c r="O410" s="91" t="s">
        <v>539</v>
      </c>
      <c r="P410" s="88">
        <v>5</v>
      </c>
      <c r="Q410" s="60"/>
      <c r="R410" s="88"/>
      <c r="S410" s="88"/>
      <c r="T410" s="88"/>
      <c r="U410" s="88"/>
      <c r="V410" s="94"/>
      <c r="W410" s="88"/>
      <c r="X410" s="90"/>
      <c r="Y410" s="88"/>
      <c r="Z410" s="101"/>
      <c r="AA410" s="88"/>
      <c r="AB410" s="88"/>
      <c r="AC410" s="88"/>
      <c r="AD410" s="88"/>
      <c r="AE410" s="88"/>
      <c r="AF410" s="88"/>
      <c r="AG410" s="88"/>
      <c r="AH410" s="88"/>
      <c r="AI410" s="88"/>
      <c r="AJ410" s="88"/>
      <c r="AK410" s="88"/>
      <c r="AL410" s="88"/>
      <c r="AM410" s="88"/>
      <c r="AN410" s="88"/>
      <c r="AO410" s="88"/>
      <c r="AP410" s="88"/>
      <c r="AQ410" s="88"/>
      <c r="AR410" s="88"/>
      <c r="AS410" s="88"/>
      <c r="AT410" s="88"/>
      <c r="AU410" s="88"/>
      <c r="AV410" s="88"/>
      <c r="AW410" s="88"/>
      <c r="AX410" s="88"/>
      <c r="AY410" s="88"/>
      <c r="AZ410" s="88"/>
      <c r="BA410" s="88"/>
      <c r="BB410" s="88"/>
      <c r="BC410" s="88"/>
      <c r="BD410" s="88"/>
      <c r="BE410" s="88"/>
      <c r="BF410" s="88"/>
      <c r="BG410" s="88"/>
      <c r="BH410" s="88"/>
      <c r="BI410" s="88"/>
      <c r="BJ410" s="88"/>
      <c r="BK410" s="88"/>
      <c r="BL410" s="88"/>
      <c r="BM410" s="88"/>
      <c r="BN410" s="88"/>
      <c r="BO410" s="88"/>
      <c r="BP410" s="88"/>
      <c r="BQ410" s="88"/>
      <c r="BR410" s="88"/>
      <c r="BS410" s="88"/>
      <c r="BT410" s="88"/>
      <c r="BU410" s="88"/>
      <c r="BV410" s="88"/>
      <c r="BW410" s="88"/>
      <c r="BX410" s="88"/>
      <c r="BY410" s="88"/>
      <c r="BZ410" s="88"/>
      <c r="CA410" s="88"/>
      <c r="CB410" s="88"/>
      <c r="CC410" s="88"/>
      <c r="CD410" s="88"/>
      <c r="CE410" s="88"/>
      <c r="CF410" s="88"/>
      <c r="CG410" s="88"/>
      <c r="CH410" s="88"/>
      <c r="CI410" s="88"/>
      <c r="CJ410" s="88"/>
      <c r="CK410" s="88"/>
      <c r="CL410" s="88"/>
      <c r="CM410" s="88"/>
      <c r="CN410" s="88"/>
      <c r="CO410" s="88"/>
      <c r="CP410" s="88"/>
      <c r="CQ410" s="88"/>
      <c r="CR410" s="88"/>
      <c r="CS410" s="88"/>
      <c r="CT410" s="88"/>
      <c r="CU410" s="88"/>
      <c r="CV410" s="88"/>
      <c r="CW410" s="88"/>
      <c r="CX410" s="88"/>
      <c r="CY410" s="88"/>
      <c r="CZ410" s="88"/>
      <c r="DA410" s="88"/>
      <c r="DB410" s="88"/>
      <c r="DC410" s="88"/>
      <c r="DD410" s="88"/>
      <c r="DE410" s="88"/>
      <c r="DF410" s="88"/>
      <c r="DG410" s="88"/>
      <c r="DH410" s="88"/>
      <c r="DI410" s="88"/>
      <c r="DJ410" s="88"/>
      <c r="DK410" s="88"/>
      <c r="DL410" s="88"/>
      <c r="DM410" s="88"/>
      <c r="DN410" s="88"/>
      <c r="DO410" s="88"/>
      <c r="DP410" s="88"/>
      <c r="DQ410" s="88"/>
      <c r="DR410" s="88"/>
      <c r="DS410" s="88"/>
      <c r="DT410" s="88"/>
      <c r="DU410" s="88"/>
      <c r="DV410" s="88"/>
      <c r="DW410" s="88"/>
      <c r="DX410" s="88"/>
      <c r="DY410" s="88"/>
      <c r="DZ410" s="88"/>
      <c r="EA410" s="88"/>
      <c r="EB410" s="88"/>
      <c r="EC410" s="88"/>
      <c r="ED410" s="88"/>
      <c r="EE410" s="88"/>
      <c r="EF410" s="88"/>
      <c r="EG410" s="88"/>
    </row>
    <row r="411" spans="1:137" x14ac:dyDescent="0.2">
      <c r="A411" s="99">
        <v>45383</v>
      </c>
      <c r="B411" s="82">
        <v>45406</v>
      </c>
      <c r="C411" s="60" t="s">
        <v>398</v>
      </c>
      <c r="D411" s="60" t="s">
        <v>98</v>
      </c>
      <c r="E411" s="116" t="s">
        <v>612</v>
      </c>
      <c r="F411" s="72" t="s">
        <v>648</v>
      </c>
      <c r="G411" s="72" t="s">
        <v>142</v>
      </c>
      <c r="H411" s="83">
        <v>0.6875</v>
      </c>
      <c r="I411" s="83">
        <v>0.85416666666666663</v>
      </c>
      <c r="J411" s="63">
        <f>I411-H411</f>
        <v>0.16666666666666663</v>
      </c>
      <c r="K411" s="60" t="s">
        <v>365</v>
      </c>
      <c r="L411" s="135">
        <f t="shared" si="25"/>
        <v>3.9999999999999991</v>
      </c>
      <c r="M411" s="60"/>
      <c r="N411" s="60"/>
      <c r="O411" s="91" t="s">
        <v>539</v>
      </c>
      <c r="P411" s="88">
        <v>5</v>
      </c>
      <c r="Q411" s="60"/>
      <c r="Z411" s="100"/>
    </row>
    <row r="412" spans="1:137" ht="14.45" customHeight="1" x14ac:dyDescent="0.2">
      <c r="A412" s="99">
        <v>45383</v>
      </c>
      <c r="B412" s="82">
        <v>45407</v>
      </c>
      <c r="C412" s="82" t="s">
        <v>124</v>
      </c>
      <c r="D412" s="60" t="s">
        <v>126</v>
      </c>
      <c r="E412" s="116" t="s">
        <v>497</v>
      </c>
      <c r="F412" s="72" t="s">
        <v>906</v>
      </c>
      <c r="G412" s="72" t="s">
        <v>142</v>
      </c>
      <c r="H412" s="83">
        <v>0.5</v>
      </c>
      <c r="I412" s="83">
        <v>0.66666666666666663</v>
      </c>
      <c r="J412" s="63">
        <f>I412-H412</f>
        <v>0.16666666666666663</v>
      </c>
      <c r="K412" s="88" t="s">
        <v>365</v>
      </c>
      <c r="L412" s="135">
        <f t="shared" si="25"/>
        <v>3.9999999999999991</v>
      </c>
      <c r="M412" s="60"/>
      <c r="N412" s="60"/>
      <c r="O412" s="85" t="s">
        <v>361</v>
      </c>
      <c r="P412" s="88">
        <v>5</v>
      </c>
      <c r="Q412" s="60"/>
      <c r="Z412" s="100"/>
    </row>
    <row r="413" spans="1:137" x14ac:dyDescent="0.2">
      <c r="A413" s="99">
        <v>45383</v>
      </c>
      <c r="B413" s="82">
        <v>45407</v>
      </c>
      <c r="C413" s="82" t="s">
        <v>124</v>
      </c>
      <c r="D413" s="60" t="s">
        <v>98</v>
      </c>
      <c r="E413" s="116" t="s">
        <v>649</v>
      </c>
      <c r="F413" s="72" t="s">
        <v>650</v>
      </c>
      <c r="G413" s="72" t="s">
        <v>142</v>
      </c>
      <c r="H413" s="83">
        <v>0.60416666666666663</v>
      </c>
      <c r="I413" s="83">
        <v>0.66666666666666663</v>
      </c>
      <c r="J413" s="63">
        <f>I413-H413</f>
        <v>6.25E-2</v>
      </c>
      <c r="K413" s="60" t="s">
        <v>365</v>
      </c>
      <c r="L413" s="135">
        <f t="shared" si="25"/>
        <v>1.5</v>
      </c>
      <c r="M413" s="60"/>
      <c r="N413" s="60"/>
      <c r="O413" s="91" t="s">
        <v>539</v>
      </c>
      <c r="P413" s="88">
        <v>5</v>
      </c>
      <c r="Q413" s="60"/>
      <c r="Z413" s="100"/>
    </row>
    <row r="414" spans="1:137" ht="14.45" customHeight="1" x14ac:dyDescent="0.2">
      <c r="A414" s="99">
        <v>45383</v>
      </c>
      <c r="B414" s="82">
        <v>45407</v>
      </c>
      <c r="C414" s="82" t="s">
        <v>124</v>
      </c>
      <c r="D414" s="60" t="s">
        <v>98</v>
      </c>
      <c r="E414" s="116" t="s">
        <v>612</v>
      </c>
      <c r="F414" s="72" t="s">
        <v>651</v>
      </c>
      <c r="G414" s="72" t="s">
        <v>142</v>
      </c>
      <c r="H414" s="83">
        <v>0.41666666666666669</v>
      </c>
      <c r="I414" s="83">
        <v>0.45833333333333331</v>
      </c>
      <c r="J414" s="63">
        <f>I414-H414</f>
        <v>4.166666666666663E-2</v>
      </c>
      <c r="K414" s="60" t="s">
        <v>365</v>
      </c>
      <c r="L414" s="135">
        <f t="shared" si="25"/>
        <v>0.99999999999999911</v>
      </c>
      <c r="M414" s="60"/>
      <c r="N414" s="60"/>
      <c r="O414" s="91" t="s">
        <v>539</v>
      </c>
      <c r="P414" s="88">
        <v>5</v>
      </c>
      <c r="Q414" s="60"/>
      <c r="Z414" s="100"/>
    </row>
    <row r="415" spans="1:137" ht="14.45" customHeight="1" x14ac:dyDescent="0.2">
      <c r="A415" s="99">
        <v>45383</v>
      </c>
      <c r="B415" s="82">
        <v>45409</v>
      </c>
      <c r="C415" s="88" t="s">
        <v>34</v>
      </c>
      <c r="D415" s="60" t="s">
        <v>498</v>
      </c>
      <c r="E415" s="115" t="s">
        <v>446</v>
      </c>
      <c r="F415" s="60" t="s">
        <v>627</v>
      </c>
      <c r="G415" s="72" t="s">
        <v>142</v>
      </c>
      <c r="H415" s="83">
        <v>0.39583333333333331</v>
      </c>
      <c r="I415" s="83">
        <v>0.625</v>
      </c>
      <c r="J415" s="63">
        <v>0.27079999999999999</v>
      </c>
      <c r="K415" s="88" t="s">
        <v>110</v>
      </c>
      <c r="L415" s="135">
        <f t="shared" si="25"/>
        <v>6.4992000000000001</v>
      </c>
      <c r="N415" s="60"/>
      <c r="O415" s="91" t="s">
        <v>314</v>
      </c>
      <c r="P415" s="88">
        <v>5</v>
      </c>
      <c r="Q415" s="60"/>
      <c r="V415" s="86"/>
      <c r="Z415" s="100"/>
    </row>
    <row r="416" spans="1:137" x14ac:dyDescent="0.2">
      <c r="A416" s="99">
        <v>45383</v>
      </c>
      <c r="B416" s="82">
        <v>45409</v>
      </c>
      <c r="C416" s="88" t="s">
        <v>34</v>
      </c>
      <c r="D416" s="60" t="s">
        <v>126</v>
      </c>
      <c r="E416" s="116" t="s">
        <v>497</v>
      </c>
      <c r="F416" s="72" t="s">
        <v>906</v>
      </c>
      <c r="G416" s="72" t="s">
        <v>142</v>
      </c>
      <c r="H416" s="83">
        <v>0.39583333333333331</v>
      </c>
      <c r="I416" s="83">
        <v>0.70833333333333337</v>
      </c>
      <c r="J416" s="63">
        <f>I416-H416</f>
        <v>0.31250000000000006</v>
      </c>
      <c r="K416" s="88" t="s">
        <v>365</v>
      </c>
      <c r="L416" s="135">
        <f t="shared" si="25"/>
        <v>7.5000000000000018</v>
      </c>
      <c r="M416" s="60"/>
      <c r="N416" s="60"/>
      <c r="O416" s="91" t="s">
        <v>359</v>
      </c>
      <c r="P416" s="88">
        <v>5</v>
      </c>
      <c r="Q416" s="60"/>
      <c r="Z416" s="100"/>
    </row>
    <row r="417" spans="1:137" s="97" customFormat="1" x14ac:dyDescent="0.25">
      <c r="A417" s="99">
        <v>45383</v>
      </c>
      <c r="B417" s="82">
        <v>45410</v>
      </c>
      <c r="C417" s="88" t="s">
        <v>31</v>
      </c>
      <c r="D417" s="60" t="s">
        <v>658</v>
      </c>
      <c r="E417" s="115" t="s">
        <v>417</v>
      </c>
      <c r="F417" s="60" t="s">
        <v>659</v>
      </c>
      <c r="G417" s="72" t="s">
        <v>142</v>
      </c>
      <c r="H417" s="83">
        <v>0.5</v>
      </c>
      <c r="I417" s="83">
        <v>0.70833333333333337</v>
      </c>
      <c r="J417" s="63">
        <f>I417-H417</f>
        <v>0.20833333333333337</v>
      </c>
      <c r="K417" s="60" t="s">
        <v>113</v>
      </c>
      <c r="L417" s="135">
        <f t="shared" si="25"/>
        <v>5.0000000000000009</v>
      </c>
      <c r="M417" s="60"/>
      <c r="N417" s="60"/>
      <c r="O417" s="91" t="s">
        <v>539</v>
      </c>
      <c r="P417" s="88">
        <v>5</v>
      </c>
      <c r="Q417" s="60"/>
      <c r="R417" s="88"/>
      <c r="S417" s="88"/>
      <c r="T417" s="88"/>
      <c r="U417" s="88"/>
      <c r="V417" s="94"/>
      <c r="W417" s="88"/>
      <c r="X417" s="90"/>
      <c r="Y417" s="88"/>
      <c r="Z417" s="101"/>
      <c r="AA417" s="88"/>
      <c r="AB417" s="88"/>
      <c r="AC417" s="88"/>
      <c r="AD417" s="88"/>
      <c r="AE417" s="88"/>
      <c r="AF417" s="88"/>
      <c r="AG417" s="88"/>
      <c r="AH417" s="88"/>
      <c r="AI417" s="88"/>
      <c r="AJ417" s="88"/>
      <c r="AK417" s="88"/>
      <c r="AL417" s="88"/>
      <c r="AM417" s="88"/>
      <c r="AN417" s="88"/>
      <c r="AO417" s="88"/>
      <c r="AP417" s="88"/>
      <c r="AQ417" s="88"/>
      <c r="AR417" s="88"/>
      <c r="AS417" s="88"/>
      <c r="AT417" s="88"/>
      <c r="AU417" s="88"/>
      <c r="AV417" s="88"/>
      <c r="AW417" s="88"/>
      <c r="AX417" s="88"/>
      <c r="AY417" s="88"/>
      <c r="AZ417" s="88"/>
      <c r="BA417" s="88"/>
      <c r="BB417" s="88"/>
      <c r="BC417" s="88"/>
      <c r="BD417" s="88"/>
      <c r="BE417" s="88"/>
      <c r="BF417" s="88"/>
      <c r="BG417" s="88"/>
      <c r="BH417" s="88"/>
      <c r="BI417" s="88"/>
      <c r="BJ417" s="88"/>
      <c r="BK417" s="88"/>
      <c r="BL417" s="88"/>
      <c r="BM417" s="88"/>
      <c r="BN417" s="88"/>
      <c r="BO417" s="88"/>
      <c r="BP417" s="88"/>
      <c r="BQ417" s="88"/>
      <c r="BR417" s="88"/>
      <c r="BS417" s="88"/>
      <c r="BT417" s="88"/>
      <c r="BU417" s="88"/>
      <c r="BV417" s="88"/>
      <c r="BW417" s="88"/>
      <c r="BX417" s="88"/>
      <c r="BY417" s="88"/>
      <c r="BZ417" s="88"/>
      <c r="CA417" s="88"/>
      <c r="CB417" s="88"/>
      <c r="CC417" s="88"/>
      <c r="CD417" s="88"/>
      <c r="CE417" s="88"/>
      <c r="CF417" s="88"/>
      <c r="CG417" s="88"/>
      <c r="CH417" s="88"/>
      <c r="CI417" s="88"/>
      <c r="CJ417" s="88"/>
      <c r="CK417" s="88"/>
      <c r="CL417" s="88"/>
      <c r="CM417" s="88"/>
      <c r="CN417" s="88"/>
      <c r="CO417" s="88"/>
      <c r="CP417" s="88"/>
      <c r="CQ417" s="88"/>
      <c r="CR417" s="88"/>
      <c r="CS417" s="88"/>
      <c r="CT417" s="88"/>
      <c r="CU417" s="88"/>
      <c r="CV417" s="88"/>
      <c r="CW417" s="88"/>
      <c r="CX417" s="88"/>
      <c r="CY417" s="88"/>
      <c r="CZ417" s="88"/>
      <c r="DA417" s="88"/>
      <c r="DB417" s="88"/>
      <c r="DC417" s="88"/>
      <c r="DD417" s="88"/>
      <c r="DE417" s="88"/>
      <c r="DF417" s="88"/>
      <c r="DG417" s="88"/>
      <c r="DH417" s="88"/>
      <c r="DI417" s="88"/>
      <c r="DJ417" s="88"/>
      <c r="DK417" s="88"/>
      <c r="DL417" s="88"/>
      <c r="DM417" s="88"/>
      <c r="DN417" s="88"/>
      <c r="DO417" s="88"/>
      <c r="DP417" s="88"/>
      <c r="DQ417" s="88"/>
      <c r="DR417" s="88"/>
      <c r="DS417" s="88"/>
      <c r="DT417" s="88"/>
      <c r="DU417" s="88"/>
      <c r="DV417" s="88"/>
      <c r="DW417" s="88"/>
      <c r="DX417" s="88"/>
      <c r="DY417" s="88"/>
      <c r="DZ417" s="88"/>
      <c r="EA417" s="88"/>
      <c r="EB417" s="88"/>
      <c r="EC417" s="88"/>
      <c r="ED417" s="88"/>
      <c r="EE417" s="88"/>
      <c r="EF417" s="88"/>
      <c r="EG417" s="88"/>
    </row>
    <row r="418" spans="1:137" s="97" customFormat="1" x14ac:dyDescent="0.25">
      <c r="A418" s="99">
        <v>45383</v>
      </c>
      <c r="B418" s="82">
        <v>45410</v>
      </c>
      <c r="C418" s="88" t="s">
        <v>31</v>
      </c>
      <c r="D418" s="60" t="s">
        <v>461</v>
      </c>
      <c r="E418" s="115" t="s">
        <v>561</v>
      </c>
      <c r="F418" s="60" t="s">
        <v>647</v>
      </c>
      <c r="G418" s="72" t="s">
        <v>142</v>
      </c>
      <c r="H418" s="83">
        <v>0.41666666666666669</v>
      </c>
      <c r="I418" s="83">
        <v>0.66666666666666663</v>
      </c>
      <c r="J418" s="63">
        <f>I418-H418</f>
        <v>0.24999999999999994</v>
      </c>
      <c r="K418" s="60" t="s">
        <v>113</v>
      </c>
      <c r="L418" s="135">
        <f t="shared" si="25"/>
        <v>5.9999999999999982</v>
      </c>
      <c r="M418" s="60"/>
      <c r="N418" s="60"/>
      <c r="O418" s="91" t="s">
        <v>539</v>
      </c>
      <c r="P418" s="88">
        <v>5</v>
      </c>
      <c r="Q418" s="60"/>
      <c r="R418" s="88"/>
      <c r="S418" s="88"/>
      <c r="T418" s="88"/>
      <c r="U418" s="88"/>
      <c r="V418" s="94"/>
      <c r="W418" s="88"/>
      <c r="X418" s="90"/>
      <c r="Y418" s="88"/>
      <c r="Z418" s="101"/>
      <c r="AA418" s="88"/>
      <c r="AB418" s="88"/>
      <c r="AC418" s="88"/>
      <c r="AD418" s="88"/>
      <c r="AE418" s="88"/>
      <c r="AF418" s="88"/>
      <c r="AG418" s="88"/>
      <c r="AH418" s="88"/>
      <c r="AI418" s="88"/>
      <c r="AJ418" s="88"/>
      <c r="AK418" s="88"/>
      <c r="AL418" s="88"/>
      <c r="AM418" s="88"/>
      <c r="AN418" s="88"/>
      <c r="AO418" s="88"/>
      <c r="AP418" s="88"/>
      <c r="AQ418" s="88"/>
      <c r="AR418" s="88"/>
      <c r="AS418" s="88"/>
      <c r="AT418" s="88"/>
      <c r="AU418" s="88"/>
      <c r="AV418" s="88"/>
      <c r="AW418" s="88"/>
      <c r="AX418" s="88"/>
      <c r="AY418" s="88"/>
      <c r="AZ418" s="88"/>
      <c r="BA418" s="88"/>
      <c r="BB418" s="88"/>
      <c r="BC418" s="88"/>
      <c r="BD418" s="88"/>
      <c r="BE418" s="88"/>
      <c r="BF418" s="88"/>
      <c r="BG418" s="88"/>
      <c r="BH418" s="88"/>
      <c r="BI418" s="88"/>
      <c r="BJ418" s="88"/>
      <c r="BK418" s="88"/>
      <c r="BL418" s="88"/>
      <c r="BM418" s="88"/>
      <c r="BN418" s="88"/>
      <c r="BO418" s="88"/>
      <c r="BP418" s="88"/>
      <c r="BQ418" s="88"/>
      <c r="BR418" s="88"/>
      <c r="BS418" s="88"/>
      <c r="BT418" s="88"/>
      <c r="BU418" s="88"/>
      <c r="BV418" s="88"/>
      <c r="BW418" s="88"/>
      <c r="BX418" s="88"/>
      <c r="BY418" s="88"/>
      <c r="BZ418" s="88"/>
      <c r="CA418" s="88"/>
      <c r="CB418" s="88"/>
      <c r="CC418" s="88"/>
      <c r="CD418" s="88"/>
      <c r="CE418" s="88"/>
      <c r="CF418" s="88"/>
      <c r="CG418" s="88"/>
      <c r="CH418" s="88"/>
      <c r="CI418" s="88"/>
      <c r="CJ418" s="88"/>
      <c r="CK418" s="88"/>
      <c r="CL418" s="88"/>
      <c r="CM418" s="88"/>
      <c r="CN418" s="88"/>
      <c r="CO418" s="88"/>
      <c r="CP418" s="88"/>
      <c r="CQ418" s="88"/>
      <c r="CR418" s="88"/>
      <c r="CS418" s="88"/>
      <c r="CT418" s="88"/>
      <c r="CU418" s="88"/>
      <c r="CV418" s="88"/>
      <c r="CW418" s="88"/>
      <c r="CX418" s="88"/>
      <c r="CY418" s="88"/>
      <c r="CZ418" s="88"/>
      <c r="DA418" s="88"/>
      <c r="DB418" s="88"/>
      <c r="DC418" s="88"/>
      <c r="DD418" s="88"/>
      <c r="DE418" s="88"/>
      <c r="DF418" s="88"/>
      <c r="DG418" s="88"/>
      <c r="DH418" s="88"/>
      <c r="DI418" s="88"/>
      <c r="DJ418" s="88"/>
      <c r="DK418" s="88"/>
      <c r="DL418" s="88"/>
      <c r="DM418" s="88"/>
      <c r="DN418" s="88"/>
      <c r="DO418" s="88"/>
      <c r="DP418" s="88"/>
      <c r="DQ418" s="88"/>
      <c r="DR418" s="88"/>
      <c r="DS418" s="88"/>
      <c r="DT418" s="88"/>
      <c r="DU418" s="88"/>
      <c r="DV418" s="88"/>
      <c r="DW418" s="88"/>
      <c r="DX418" s="88"/>
      <c r="DY418" s="88"/>
      <c r="DZ418" s="88"/>
      <c r="EA418" s="88"/>
      <c r="EB418" s="88"/>
      <c r="EC418" s="88"/>
      <c r="ED418" s="88"/>
      <c r="EE418" s="88"/>
      <c r="EF418" s="88"/>
      <c r="EG418" s="88"/>
    </row>
    <row r="419" spans="1:137" s="16" customFormat="1" ht="14.45" customHeight="1" x14ac:dyDescent="0.2">
      <c r="A419" s="99">
        <v>45383</v>
      </c>
      <c r="B419" s="82">
        <v>45411</v>
      </c>
      <c r="C419" s="88" t="s">
        <v>45</v>
      </c>
      <c r="D419" s="60" t="s">
        <v>830</v>
      </c>
      <c r="E419" s="115" t="s">
        <v>534</v>
      </c>
      <c r="F419" s="60" t="s">
        <v>910</v>
      </c>
      <c r="G419" s="72" t="s">
        <v>142</v>
      </c>
      <c r="H419" s="83">
        <v>0.41666666666666669</v>
      </c>
      <c r="I419" s="83">
        <v>0.97916666666666663</v>
      </c>
      <c r="J419" s="63">
        <v>0.27079999999999999</v>
      </c>
      <c r="K419" s="88" t="s">
        <v>365</v>
      </c>
      <c r="L419" s="135">
        <f t="shared" si="25"/>
        <v>6.4992000000000001</v>
      </c>
      <c r="M419" s="61"/>
      <c r="N419" s="60"/>
      <c r="O419" s="91" t="s">
        <v>820</v>
      </c>
      <c r="P419" s="88">
        <v>5</v>
      </c>
      <c r="Q419" s="60"/>
      <c r="R419" s="61"/>
      <c r="S419" s="61"/>
      <c r="T419" s="61"/>
      <c r="U419" s="61"/>
      <c r="V419" s="92"/>
      <c r="W419" s="61"/>
      <c r="X419" s="89"/>
      <c r="Y419" s="61"/>
      <c r="Z419" s="100"/>
      <c r="AA419" s="61"/>
      <c r="AB419" s="61"/>
      <c r="AC419" s="61"/>
      <c r="AD419" s="61"/>
      <c r="AE419" s="61"/>
      <c r="AF419" s="61"/>
      <c r="AG419" s="61"/>
      <c r="AH419" s="61"/>
      <c r="AI419" s="61"/>
      <c r="AJ419" s="61"/>
      <c r="AK419" s="61"/>
      <c r="AL419" s="61"/>
      <c r="AM419" s="61"/>
      <c r="AN419" s="61"/>
      <c r="AO419" s="61"/>
      <c r="AP419" s="61"/>
      <c r="AQ419" s="61"/>
      <c r="AR419" s="61"/>
      <c r="AS419" s="61"/>
      <c r="AT419" s="61"/>
      <c r="AU419" s="61"/>
      <c r="AV419" s="61"/>
      <c r="AW419" s="61"/>
      <c r="AX419" s="61"/>
      <c r="AY419" s="61"/>
      <c r="AZ419" s="61"/>
      <c r="BA419" s="61"/>
      <c r="BB419" s="61"/>
      <c r="BC419" s="61"/>
      <c r="BD419" s="61"/>
      <c r="BE419" s="61"/>
      <c r="BF419" s="61"/>
      <c r="BG419" s="61"/>
      <c r="BH419" s="61"/>
      <c r="BI419" s="61"/>
      <c r="BJ419" s="61"/>
      <c r="BK419" s="61"/>
      <c r="BL419" s="61"/>
      <c r="BM419" s="61"/>
      <c r="BN419" s="61"/>
      <c r="BO419" s="61"/>
      <c r="BP419" s="61"/>
      <c r="BQ419" s="61"/>
      <c r="BR419" s="61"/>
      <c r="BS419" s="61"/>
      <c r="BT419" s="61"/>
      <c r="BU419" s="61"/>
      <c r="BV419" s="61"/>
      <c r="BW419" s="61"/>
      <c r="BX419" s="61"/>
      <c r="BY419" s="61"/>
      <c r="BZ419" s="61"/>
      <c r="CA419" s="61"/>
      <c r="CB419" s="61"/>
      <c r="CC419" s="61"/>
      <c r="CD419" s="61"/>
      <c r="CE419" s="61"/>
      <c r="CF419" s="61"/>
      <c r="CG419" s="61"/>
      <c r="CH419" s="61"/>
      <c r="CI419" s="61"/>
      <c r="CJ419" s="61"/>
      <c r="CK419" s="61"/>
      <c r="CL419" s="61"/>
      <c r="CM419" s="61"/>
      <c r="CN419" s="61"/>
      <c r="CO419" s="61"/>
      <c r="CP419" s="61"/>
      <c r="CQ419" s="61"/>
      <c r="CR419" s="61"/>
      <c r="CS419" s="61"/>
      <c r="CT419" s="61"/>
      <c r="CU419" s="61"/>
      <c r="CV419" s="61"/>
      <c r="CW419" s="61"/>
      <c r="CX419" s="61"/>
      <c r="CY419" s="61"/>
      <c r="CZ419" s="61"/>
      <c r="DA419" s="61"/>
      <c r="DB419" s="61"/>
      <c r="DC419" s="61"/>
      <c r="DD419" s="61"/>
      <c r="DE419" s="61"/>
      <c r="DF419" s="61"/>
      <c r="DG419" s="61"/>
      <c r="DH419" s="61"/>
      <c r="DI419" s="61"/>
      <c r="DJ419" s="61"/>
      <c r="DK419" s="61"/>
      <c r="DL419" s="61"/>
      <c r="DM419" s="61"/>
      <c r="DN419" s="61"/>
      <c r="DO419" s="61"/>
      <c r="DP419" s="61"/>
      <c r="DQ419" s="61"/>
      <c r="DR419" s="61"/>
      <c r="DS419" s="61"/>
      <c r="DT419" s="61"/>
      <c r="DU419" s="61"/>
      <c r="DV419" s="61"/>
      <c r="DW419" s="61"/>
      <c r="DX419" s="61"/>
      <c r="DY419" s="61"/>
      <c r="DZ419" s="61"/>
      <c r="EA419" s="61"/>
      <c r="EB419" s="61"/>
      <c r="EC419" s="61"/>
      <c r="ED419" s="61"/>
      <c r="EE419" s="61"/>
      <c r="EF419" s="61"/>
      <c r="EG419" s="61"/>
    </row>
    <row r="420" spans="1:137" s="97" customFormat="1" x14ac:dyDescent="0.25">
      <c r="A420" s="99">
        <v>45383</v>
      </c>
      <c r="B420" s="82">
        <v>45411</v>
      </c>
      <c r="C420" s="88" t="s">
        <v>45</v>
      </c>
      <c r="D420" s="60" t="s">
        <v>658</v>
      </c>
      <c r="E420" s="115" t="s">
        <v>417</v>
      </c>
      <c r="F420" s="60" t="s">
        <v>659</v>
      </c>
      <c r="G420" s="72" t="s">
        <v>142</v>
      </c>
      <c r="H420" s="83">
        <v>0.41666666666666669</v>
      </c>
      <c r="I420" s="83">
        <v>0.70833333333333337</v>
      </c>
      <c r="J420" s="63">
        <f t="shared" ref="J420:J427" si="28">I420-H420</f>
        <v>0.29166666666666669</v>
      </c>
      <c r="K420" s="60" t="s">
        <v>110</v>
      </c>
      <c r="L420" s="135">
        <f t="shared" si="25"/>
        <v>7</v>
      </c>
      <c r="M420" s="60"/>
      <c r="N420" s="60"/>
      <c r="O420" s="91" t="s">
        <v>539</v>
      </c>
      <c r="P420" s="88">
        <v>5</v>
      </c>
      <c r="Q420" s="60"/>
      <c r="R420" s="88"/>
      <c r="S420" s="88"/>
      <c r="T420" s="88"/>
      <c r="U420" s="88"/>
      <c r="V420" s="94"/>
      <c r="W420" s="88"/>
      <c r="X420" s="90"/>
      <c r="Y420" s="88"/>
      <c r="Z420" s="101"/>
      <c r="AA420" s="88"/>
      <c r="AB420" s="88"/>
      <c r="AC420" s="88"/>
      <c r="AD420" s="88"/>
      <c r="AE420" s="88"/>
      <c r="AF420" s="88"/>
      <c r="AG420" s="88"/>
      <c r="AH420" s="88"/>
      <c r="AI420" s="88"/>
      <c r="AJ420" s="88"/>
      <c r="AK420" s="88"/>
      <c r="AL420" s="88"/>
      <c r="AM420" s="88"/>
      <c r="AN420" s="88"/>
      <c r="AO420" s="88"/>
      <c r="AP420" s="88"/>
      <c r="AQ420" s="88"/>
      <c r="AR420" s="88"/>
      <c r="AS420" s="88"/>
      <c r="AT420" s="88"/>
      <c r="AU420" s="88"/>
      <c r="AV420" s="88"/>
      <c r="AW420" s="88"/>
      <c r="AX420" s="88"/>
      <c r="AY420" s="88"/>
      <c r="AZ420" s="88"/>
      <c r="BA420" s="88"/>
      <c r="BB420" s="88"/>
      <c r="BC420" s="88"/>
      <c r="BD420" s="88"/>
      <c r="BE420" s="88"/>
      <c r="BF420" s="88"/>
      <c r="BG420" s="88"/>
      <c r="BH420" s="88"/>
      <c r="BI420" s="88"/>
      <c r="BJ420" s="88"/>
      <c r="BK420" s="88"/>
      <c r="BL420" s="88"/>
      <c r="BM420" s="88"/>
      <c r="BN420" s="88"/>
      <c r="BO420" s="88"/>
      <c r="BP420" s="88"/>
      <c r="BQ420" s="88"/>
      <c r="BR420" s="88"/>
      <c r="BS420" s="88"/>
      <c r="BT420" s="88"/>
      <c r="BU420" s="88"/>
      <c r="BV420" s="88"/>
      <c r="BW420" s="88"/>
      <c r="BX420" s="88"/>
      <c r="BY420" s="88"/>
      <c r="BZ420" s="88"/>
      <c r="CA420" s="88"/>
      <c r="CB420" s="88"/>
      <c r="CC420" s="88"/>
      <c r="CD420" s="88"/>
      <c r="CE420" s="88"/>
      <c r="CF420" s="88"/>
      <c r="CG420" s="88"/>
      <c r="CH420" s="88"/>
      <c r="CI420" s="88"/>
      <c r="CJ420" s="88"/>
      <c r="CK420" s="88"/>
      <c r="CL420" s="88"/>
      <c r="CM420" s="88"/>
      <c r="CN420" s="88"/>
      <c r="CO420" s="88"/>
      <c r="CP420" s="88"/>
      <c r="CQ420" s="88"/>
      <c r="CR420" s="88"/>
      <c r="CS420" s="88"/>
      <c r="CT420" s="88"/>
      <c r="CU420" s="88"/>
      <c r="CV420" s="88"/>
      <c r="CW420" s="88"/>
      <c r="CX420" s="88"/>
      <c r="CY420" s="88"/>
      <c r="CZ420" s="88"/>
      <c r="DA420" s="88"/>
      <c r="DB420" s="88"/>
      <c r="DC420" s="88"/>
      <c r="DD420" s="88"/>
      <c r="DE420" s="88"/>
      <c r="DF420" s="88"/>
      <c r="DG420" s="88"/>
      <c r="DH420" s="88"/>
      <c r="DI420" s="88"/>
      <c r="DJ420" s="88"/>
      <c r="DK420" s="88"/>
      <c r="DL420" s="88"/>
      <c r="DM420" s="88"/>
      <c r="DN420" s="88"/>
      <c r="DO420" s="88"/>
      <c r="DP420" s="88"/>
      <c r="DQ420" s="88"/>
      <c r="DR420" s="88"/>
      <c r="DS420" s="88"/>
      <c r="DT420" s="88"/>
      <c r="DU420" s="88"/>
      <c r="DV420" s="88"/>
      <c r="DW420" s="88"/>
      <c r="DX420" s="88"/>
      <c r="DY420" s="88"/>
      <c r="DZ420" s="88"/>
      <c r="EA420" s="88"/>
      <c r="EB420" s="88"/>
      <c r="EC420" s="88"/>
      <c r="ED420" s="88"/>
      <c r="EE420" s="88"/>
      <c r="EF420" s="88"/>
      <c r="EG420" s="88"/>
    </row>
    <row r="421" spans="1:137" x14ac:dyDescent="0.2">
      <c r="A421" s="99">
        <v>45383</v>
      </c>
      <c r="B421" s="82">
        <v>45411</v>
      </c>
      <c r="C421" s="88" t="s">
        <v>45</v>
      </c>
      <c r="D421" s="60" t="s">
        <v>126</v>
      </c>
      <c r="E421" s="116" t="s">
        <v>352</v>
      </c>
      <c r="F421" s="72" t="s">
        <v>906</v>
      </c>
      <c r="G421" s="72" t="s">
        <v>142</v>
      </c>
      <c r="H421" s="83">
        <v>0.41666666666666669</v>
      </c>
      <c r="I421" s="83">
        <v>0.45833333333333331</v>
      </c>
      <c r="J421" s="63">
        <f t="shared" si="28"/>
        <v>4.166666666666663E-2</v>
      </c>
      <c r="K421" s="88" t="s">
        <v>110</v>
      </c>
      <c r="L421" s="135">
        <f t="shared" si="25"/>
        <v>0.99999999999999911</v>
      </c>
      <c r="M421" s="60"/>
      <c r="N421" s="60"/>
      <c r="O421" s="91" t="s">
        <v>363</v>
      </c>
      <c r="P421" s="88">
        <v>5</v>
      </c>
      <c r="Q421" s="60"/>
      <c r="Z421" s="100"/>
    </row>
    <row r="422" spans="1:137" x14ac:dyDescent="0.2">
      <c r="A422" s="99">
        <v>45383</v>
      </c>
      <c r="B422" s="82">
        <v>45411</v>
      </c>
      <c r="C422" s="88" t="s">
        <v>45</v>
      </c>
      <c r="D422" s="60" t="s">
        <v>126</v>
      </c>
      <c r="E422" s="116" t="s">
        <v>352</v>
      </c>
      <c r="F422" s="72" t="s">
        <v>906</v>
      </c>
      <c r="G422" s="72" t="s">
        <v>142</v>
      </c>
      <c r="H422" s="83">
        <v>0.5</v>
      </c>
      <c r="I422" s="83">
        <v>0.54166666666666663</v>
      </c>
      <c r="J422" s="63">
        <f t="shared" si="28"/>
        <v>4.166666666666663E-2</v>
      </c>
      <c r="K422" s="88" t="s">
        <v>295</v>
      </c>
      <c r="L422" s="135">
        <f t="shared" ref="L422:L453" si="29">24*J422</f>
        <v>0.99999999999999911</v>
      </c>
      <c r="M422" s="60"/>
      <c r="N422" s="60"/>
      <c r="O422" s="91" t="s">
        <v>363</v>
      </c>
      <c r="P422" s="88">
        <v>5</v>
      </c>
      <c r="Q422" s="60"/>
      <c r="Z422" s="100"/>
    </row>
    <row r="423" spans="1:137" x14ac:dyDescent="0.2">
      <c r="A423" s="99">
        <v>45383</v>
      </c>
      <c r="B423" s="82">
        <v>45412</v>
      </c>
      <c r="C423" s="88" t="s">
        <v>106</v>
      </c>
      <c r="D423" s="60" t="s">
        <v>98</v>
      </c>
      <c r="E423" s="116" t="s">
        <v>612</v>
      </c>
      <c r="F423" s="72" t="s">
        <v>660</v>
      </c>
      <c r="G423" s="72" t="s">
        <v>142</v>
      </c>
      <c r="H423" s="83">
        <v>0.625</v>
      </c>
      <c r="I423" s="83">
        <v>0.70833333333333337</v>
      </c>
      <c r="J423" s="63">
        <f t="shared" si="28"/>
        <v>8.333333333333337E-2</v>
      </c>
      <c r="K423" s="60" t="s">
        <v>365</v>
      </c>
      <c r="L423" s="135">
        <f t="shared" si="29"/>
        <v>2.0000000000000009</v>
      </c>
      <c r="M423" s="60"/>
      <c r="N423" s="60"/>
      <c r="O423" s="91" t="s">
        <v>539</v>
      </c>
      <c r="P423" s="88">
        <v>5</v>
      </c>
      <c r="Q423" s="60"/>
      <c r="Z423" s="100"/>
    </row>
    <row r="424" spans="1:137" x14ac:dyDescent="0.2">
      <c r="A424" s="99">
        <v>45383</v>
      </c>
      <c r="B424" s="82">
        <v>45412</v>
      </c>
      <c r="C424" s="88" t="s">
        <v>106</v>
      </c>
      <c r="D424" s="60" t="s">
        <v>313</v>
      </c>
      <c r="E424" s="115" t="s">
        <v>350</v>
      </c>
      <c r="F424" s="60" t="s">
        <v>379</v>
      </c>
      <c r="G424" s="72" t="s">
        <v>142</v>
      </c>
      <c r="H424" s="83">
        <v>0.45833333333333331</v>
      </c>
      <c r="I424" s="83">
        <v>0.58333333333333337</v>
      </c>
      <c r="J424" s="63">
        <f t="shared" si="28"/>
        <v>0.12500000000000006</v>
      </c>
      <c r="K424" s="60" t="s">
        <v>365</v>
      </c>
      <c r="L424" s="135">
        <f t="shared" si="29"/>
        <v>3.0000000000000013</v>
      </c>
      <c r="M424" s="60"/>
      <c r="N424" s="60"/>
      <c r="O424" s="91" t="s">
        <v>314</v>
      </c>
      <c r="P424" s="88">
        <v>5</v>
      </c>
      <c r="Q424" s="60"/>
      <c r="Z424" s="100"/>
    </row>
    <row r="425" spans="1:137" s="97" customFormat="1" x14ac:dyDescent="0.25">
      <c r="A425" s="99">
        <v>45383</v>
      </c>
      <c r="B425" s="82">
        <v>45412</v>
      </c>
      <c r="C425" s="88" t="s">
        <v>106</v>
      </c>
      <c r="D425" s="60" t="s">
        <v>658</v>
      </c>
      <c r="E425" s="115" t="s">
        <v>417</v>
      </c>
      <c r="F425" s="60" t="s">
        <v>659</v>
      </c>
      <c r="G425" s="72" t="s">
        <v>142</v>
      </c>
      <c r="H425" s="83">
        <v>0.5625</v>
      </c>
      <c r="I425" s="83">
        <v>0.625</v>
      </c>
      <c r="J425" s="63">
        <f t="shared" si="28"/>
        <v>6.25E-2</v>
      </c>
      <c r="K425" s="60" t="s">
        <v>113</v>
      </c>
      <c r="L425" s="135">
        <f t="shared" si="29"/>
        <v>1.5</v>
      </c>
      <c r="M425" s="60"/>
      <c r="N425" s="60"/>
      <c r="O425" s="91" t="s">
        <v>314</v>
      </c>
      <c r="P425" s="88">
        <v>5</v>
      </c>
      <c r="Q425" s="60"/>
      <c r="R425" s="88"/>
      <c r="S425" s="88"/>
      <c r="T425" s="88"/>
      <c r="U425" s="88"/>
      <c r="V425" s="94"/>
      <c r="W425" s="88"/>
      <c r="X425" s="90"/>
      <c r="Y425" s="88"/>
      <c r="Z425" s="101"/>
      <c r="AA425" s="88"/>
      <c r="AB425" s="88"/>
      <c r="AC425" s="88"/>
      <c r="AD425" s="88"/>
      <c r="AE425" s="88"/>
      <c r="AF425" s="88"/>
      <c r="AG425" s="88"/>
      <c r="AH425" s="88"/>
      <c r="AI425" s="88"/>
      <c r="AJ425" s="88"/>
      <c r="AK425" s="88"/>
      <c r="AL425" s="88"/>
      <c r="AM425" s="88"/>
      <c r="AN425" s="88"/>
      <c r="AO425" s="88"/>
      <c r="AP425" s="88"/>
      <c r="AQ425" s="88"/>
      <c r="AR425" s="88"/>
      <c r="AS425" s="88"/>
      <c r="AT425" s="88"/>
      <c r="AU425" s="88"/>
      <c r="AV425" s="88"/>
      <c r="AW425" s="88"/>
      <c r="AX425" s="88"/>
      <c r="AY425" s="88"/>
      <c r="AZ425" s="88"/>
      <c r="BA425" s="88"/>
      <c r="BB425" s="88"/>
      <c r="BC425" s="88"/>
      <c r="BD425" s="88"/>
      <c r="BE425" s="88"/>
      <c r="BF425" s="88"/>
      <c r="BG425" s="88"/>
      <c r="BH425" s="88"/>
      <c r="BI425" s="88"/>
      <c r="BJ425" s="88"/>
      <c r="BK425" s="88"/>
      <c r="BL425" s="88"/>
      <c r="BM425" s="88"/>
      <c r="BN425" s="88"/>
      <c r="BO425" s="88"/>
      <c r="BP425" s="88"/>
      <c r="BQ425" s="88"/>
      <c r="BR425" s="88"/>
      <c r="BS425" s="88"/>
      <c r="BT425" s="88"/>
      <c r="BU425" s="88"/>
      <c r="BV425" s="88"/>
      <c r="BW425" s="88"/>
      <c r="BX425" s="88"/>
      <c r="BY425" s="88"/>
      <c r="BZ425" s="88"/>
      <c r="CA425" s="88"/>
      <c r="CB425" s="88"/>
      <c r="CC425" s="88"/>
      <c r="CD425" s="88"/>
      <c r="CE425" s="88"/>
      <c r="CF425" s="88"/>
      <c r="CG425" s="88"/>
      <c r="CH425" s="88"/>
      <c r="CI425" s="88"/>
      <c r="CJ425" s="88"/>
      <c r="CK425" s="88"/>
      <c r="CL425" s="88"/>
      <c r="CM425" s="88"/>
      <c r="CN425" s="88"/>
      <c r="CO425" s="88"/>
      <c r="CP425" s="88"/>
      <c r="CQ425" s="88"/>
      <c r="CR425" s="88"/>
      <c r="CS425" s="88"/>
      <c r="CT425" s="88"/>
      <c r="CU425" s="88"/>
      <c r="CV425" s="88"/>
      <c r="CW425" s="88"/>
      <c r="CX425" s="88"/>
      <c r="CY425" s="88"/>
      <c r="CZ425" s="88"/>
      <c r="DA425" s="88"/>
      <c r="DB425" s="88"/>
      <c r="DC425" s="88"/>
      <c r="DD425" s="88"/>
      <c r="DE425" s="88"/>
      <c r="DF425" s="88"/>
      <c r="DG425" s="88"/>
      <c r="DH425" s="88"/>
      <c r="DI425" s="88"/>
      <c r="DJ425" s="88"/>
      <c r="DK425" s="88"/>
      <c r="DL425" s="88"/>
      <c r="DM425" s="88"/>
      <c r="DN425" s="88"/>
      <c r="DO425" s="88"/>
      <c r="DP425" s="88"/>
      <c r="DQ425" s="88"/>
      <c r="DR425" s="88"/>
      <c r="DS425" s="88"/>
      <c r="DT425" s="88"/>
      <c r="DU425" s="88"/>
      <c r="DV425" s="88"/>
      <c r="DW425" s="88"/>
      <c r="DX425" s="88"/>
      <c r="DY425" s="88"/>
      <c r="DZ425" s="88"/>
      <c r="EA425" s="88"/>
      <c r="EB425" s="88"/>
      <c r="EC425" s="88"/>
      <c r="ED425" s="88"/>
      <c r="EE425" s="88"/>
      <c r="EF425" s="88"/>
      <c r="EG425" s="88"/>
    </row>
    <row r="426" spans="1:137" x14ac:dyDescent="0.2">
      <c r="A426" s="99">
        <v>45383</v>
      </c>
      <c r="B426" s="82">
        <v>45412</v>
      </c>
      <c r="C426" s="88" t="s">
        <v>106</v>
      </c>
      <c r="D426" s="60" t="s">
        <v>406</v>
      </c>
      <c r="E426" s="116" t="s">
        <v>407</v>
      </c>
      <c r="F426" s="72" t="s">
        <v>634</v>
      </c>
      <c r="G426" s="72" t="s">
        <v>142</v>
      </c>
      <c r="H426" s="83">
        <v>0.54166666666666663</v>
      </c>
      <c r="I426" s="83">
        <v>0.72916666666666663</v>
      </c>
      <c r="J426" s="63">
        <f t="shared" si="28"/>
        <v>0.1875</v>
      </c>
      <c r="K426" s="88" t="s">
        <v>365</v>
      </c>
      <c r="L426" s="135">
        <f t="shared" si="29"/>
        <v>4.5</v>
      </c>
      <c r="M426" s="60"/>
      <c r="N426" s="60"/>
      <c r="O426" s="91" t="s">
        <v>360</v>
      </c>
      <c r="P426" s="88">
        <v>5</v>
      </c>
      <c r="Q426" s="60"/>
      <c r="Z426" s="100"/>
    </row>
    <row r="427" spans="1:137" s="97" customFormat="1" x14ac:dyDescent="0.25">
      <c r="A427" s="99">
        <v>45383</v>
      </c>
      <c r="B427" s="82">
        <v>45412</v>
      </c>
      <c r="C427" s="88" t="s">
        <v>106</v>
      </c>
      <c r="D427" s="60" t="s">
        <v>32</v>
      </c>
      <c r="E427" s="115" t="s">
        <v>661</v>
      </c>
      <c r="F427" s="60" t="s">
        <v>645</v>
      </c>
      <c r="G427" s="72" t="s">
        <v>142</v>
      </c>
      <c r="H427" s="83">
        <v>0.47916666666666669</v>
      </c>
      <c r="I427" s="83">
        <v>0.54166666666666663</v>
      </c>
      <c r="J427" s="63">
        <f t="shared" si="28"/>
        <v>6.2499999999999944E-2</v>
      </c>
      <c r="K427" s="88" t="s">
        <v>110</v>
      </c>
      <c r="L427" s="135">
        <f t="shared" si="29"/>
        <v>1.4999999999999987</v>
      </c>
      <c r="M427" s="60"/>
      <c r="N427" s="60"/>
      <c r="O427" s="91" t="s">
        <v>363</v>
      </c>
      <c r="P427" s="88">
        <v>5</v>
      </c>
      <c r="Q427" s="60"/>
      <c r="R427" s="88"/>
      <c r="S427" s="88"/>
      <c r="T427" s="88"/>
      <c r="U427" s="88"/>
      <c r="V427" s="94"/>
      <c r="W427" s="88"/>
      <c r="X427" s="90"/>
      <c r="Y427" s="88"/>
      <c r="Z427" s="101"/>
      <c r="AA427" s="88"/>
      <c r="AB427" s="88"/>
      <c r="AC427" s="88"/>
      <c r="AD427" s="88"/>
      <c r="AE427" s="88"/>
      <c r="AF427" s="88"/>
      <c r="AG427" s="88"/>
      <c r="AH427" s="88"/>
      <c r="AI427" s="88"/>
      <c r="AJ427" s="88"/>
      <c r="AK427" s="88"/>
      <c r="AL427" s="88"/>
      <c r="AM427" s="88"/>
      <c r="AN427" s="88"/>
      <c r="AO427" s="88"/>
      <c r="AP427" s="88"/>
      <c r="AQ427" s="88"/>
      <c r="AR427" s="88"/>
      <c r="AS427" s="88"/>
      <c r="AT427" s="88"/>
      <c r="AU427" s="88"/>
      <c r="AV427" s="88"/>
      <c r="AW427" s="88"/>
      <c r="AX427" s="88"/>
      <c r="AY427" s="88"/>
      <c r="AZ427" s="88"/>
      <c r="BA427" s="88"/>
      <c r="BB427" s="88"/>
      <c r="BC427" s="88"/>
      <c r="BD427" s="88"/>
      <c r="BE427" s="88"/>
      <c r="BF427" s="88"/>
      <c r="BG427" s="88"/>
      <c r="BH427" s="88"/>
      <c r="BI427" s="88"/>
      <c r="BJ427" s="88"/>
      <c r="BK427" s="88"/>
      <c r="BL427" s="88"/>
      <c r="BM427" s="88"/>
      <c r="BN427" s="88"/>
      <c r="BO427" s="88"/>
      <c r="BP427" s="88"/>
      <c r="BQ427" s="88"/>
      <c r="BR427" s="88"/>
      <c r="BS427" s="88"/>
      <c r="BT427" s="88"/>
      <c r="BU427" s="88"/>
      <c r="BV427" s="88"/>
      <c r="BW427" s="88"/>
      <c r="BX427" s="88"/>
      <c r="BY427" s="88"/>
      <c r="BZ427" s="88"/>
      <c r="CA427" s="88"/>
      <c r="CB427" s="88"/>
      <c r="CC427" s="88"/>
      <c r="CD427" s="88"/>
      <c r="CE427" s="88"/>
      <c r="CF427" s="88"/>
      <c r="CG427" s="88"/>
      <c r="CH427" s="88"/>
      <c r="CI427" s="88"/>
      <c r="CJ427" s="88"/>
      <c r="CK427" s="88"/>
      <c r="CL427" s="88"/>
      <c r="CM427" s="88"/>
      <c r="CN427" s="88"/>
      <c r="CO427" s="88"/>
      <c r="CP427" s="88"/>
      <c r="CQ427" s="88"/>
      <c r="CR427" s="88"/>
      <c r="CS427" s="88"/>
      <c r="CT427" s="88"/>
      <c r="CU427" s="88"/>
      <c r="CV427" s="88"/>
      <c r="CW427" s="88"/>
      <c r="CX427" s="88"/>
      <c r="CY427" s="88"/>
      <c r="CZ427" s="88"/>
      <c r="DA427" s="88"/>
      <c r="DB427" s="88"/>
      <c r="DC427" s="88"/>
      <c r="DD427" s="88"/>
      <c r="DE427" s="88"/>
      <c r="DF427" s="88"/>
      <c r="DG427" s="88"/>
      <c r="DH427" s="88"/>
      <c r="DI427" s="88"/>
      <c r="DJ427" s="88"/>
      <c r="DK427" s="88"/>
      <c r="DL427" s="88"/>
      <c r="DM427" s="88"/>
      <c r="DN427" s="88"/>
      <c r="DO427" s="88"/>
      <c r="DP427" s="88"/>
      <c r="DQ427" s="88"/>
      <c r="DR427" s="88"/>
      <c r="DS427" s="88"/>
      <c r="DT427" s="88"/>
      <c r="DU427" s="88"/>
      <c r="DV427" s="88"/>
      <c r="DW427" s="88"/>
      <c r="DX427" s="88"/>
      <c r="DY427" s="88"/>
      <c r="DZ427" s="88"/>
      <c r="EA427" s="88"/>
      <c r="EB427" s="88"/>
      <c r="EC427" s="88"/>
      <c r="ED427" s="88"/>
      <c r="EE427" s="88"/>
      <c r="EF427" s="88"/>
      <c r="EG427" s="88"/>
    </row>
    <row r="428" spans="1:137" ht="14.45" customHeight="1" x14ac:dyDescent="0.2">
      <c r="A428" s="99">
        <v>45383</v>
      </c>
      <c r="B428" s="82">
        <v>45412</v>
      </c>
      <c r="C428" s="88" t="s">
        <v>106</v>
      </c>
      <c r="D428" s="60" t="s">
        <v>498</v>
      </c>
      <c r="E428" s="115" t="s">
        <v>446</v>
      </c>
      <c r="F428" s="60" t="s">
        <v>627</v>
      </c>
      <c r="G428" s="72" t="s">
        <v>142</v>
      </c>
      <c r="H428" s="83">
        <v>0.39583333333333331</v>
      </c>
      <c r="I428" s="83">
        <v>0.64583333333333337</v>
      </c>
      <c r="J428" s="63">
        <v>0.27079999999999999</v>
      </c>
      <c r="K428" s="88" t="s">
        <v>110</v>
      </c>
      <c r="L428" s="135">
        <f t="shared" si="29"/>
        <v>6.4992000000000001</v>
      </c>
      <c r="N428" s="60"/>
      <c r="O428" s="91" t="s">
        <v>820</v>
      </c>
      <c r="P428" s="88">
        <v>5</v>
      </c>
      <c r="Q428" s="60"/>
      <c r="V428" s="86"/>
      <c r="Z428" s="100"/>
    </row>
    <row r="429" spans="1:137" s="97" customFormat="1" x14ac:dyDescent="0.25">
      <c r="A429" s="99">
        <v>45383</v>
      </c>
      <c r="B429" s="82">
        <v>45412</v>
      </c>
      <c r="C429" s="88" t="s">
        <v>106</v>
      </c>
      <c r="D429" s="60" t="s">
        <v>662</v>
      </c>
      <c r="E429" s="115" t="s">
        <v>663</v>
      </c>
      <c r="F429" s="60" t="s">
        <v>645</v>
      </c>
      <c r="G429" s="72" t="s">
        <v>142</v>
      </c>
      <c r="H429" s="83">
        <v>0.41666666666666669</v>
      </c>
      <c r="I429" s="83">
        <v>0.5</v>
      </c>
      <c r="J429" s="63">
        <f t="shared" ref="J429:J440" si="30">I429-H429</f>
        <v>8.3333333333333315E-2</v>
      </c>
      <c r="K429" s="88" t="s">
        <v>110</v>
      </c>
      <c r="L429" s="135">
        <f t="shared" si="29"/>
        <v>1.9999999999999996</v>
      </c>
      <c r="M429" s="60"/>
      <c r="N429" s="60"/>
      <c r="O429" s="91" t="s">
        <v>820</v>
      </c>
      <c r="P429" s="88">
        <v>5</v>
      </c>
      <c r="Q429" s="60"/>
      <c r="R429" s="88"/>
      <c r="S429" s="88"/>
      <c r="T429" s="88"/>
      <c r="U429" s="88"/>
      <c r="V429" s="94"/>
      <c r="W429" s="88"/>
      <c r="X429" s="90"/>
      <c r="Y429" s="88"/>
      <c r="Z429" s="101"/>
      <c r="AA429" s="88"/>
      <c r="AB429" s="88"/>
      <c r="AC429" s="88"/>
      <c r="AD429" s="88"/>
      <c r="AE429" s="88"/>
      <c r="AF429" s="88"/>
      <c r="AG429" s="88"/>
      <c r="AH429" s="88"/>
      <c r="AI429" s="88"/>
      <c r="AJ429" s="88"/>
      <c r="AK429" s="88"/>
      <c r="AL429" s="88"/>
      <c r="AM429" s="88"/>
      <c r="AN429" s="88"/>
      <c r="AO429" s="88"/>
      <c r="AP429" s="88"/>
      <c r="AQ429" s="88"/>
      <c r="AR429" s="88"/>
      <c r="AS429" s="88"/>
      <c r="AT429" s="88"/>
      <c r="AU429" s="88"/>
      <c r="AV429" s="88"/>
      <c r="AW429" s="88"/>
      <c r="AX429" s="88"/>
      <c r="AY429" s="88"/>
      <c r="AZ429" s="88"/>
      <c r="BA429" s="88"/>
      <c r="BB429" s="88"/>
      <c r="BC429" s="88"/>
      <c r="BD429" s="88"/>
      <c r="BE429" s="88"/>
      <c r="BF429" s="88"/>
      <c r="BG429" s="88"/>
      <c r="BH429" s="88"/>
      <c r="BI429" s="88"/>
      <c r="BJ429" s="88"/>
      <c r="BK429" s="88"/>
      <c r="BL429" s="88"/>
      <c r="BM429" s="88"/>
      <c r="BN429" s="88"/>
      <c r="BO429" s="88"/>
      <c r="BP429" s="88"/>
      <c r="BQ429" s="88"/>
      <c r="BR429" s="88"/>
      <c r="BS429" s="88"/>
      <c r="BT429" s="88"/>
      <c r="BU429" s="88"/>
      <c r="BV429" s="88"/>
      <c r="BW429" s="88"/>
      <c r="BX429" s="88"/>
      <c r="BY429" s="88"/>
      <c r="BZ429" s="88"/>
      <c r="CA429" s="88"/>
      <c r="CB429" s="88"/>
      <c r="CC429" s="88"/>
      <c r="CD429" s="88"/>
      <c r="CE429" s="88"/>
      <c r="CF429" s="88"/>
      <c r="CG429" s="88"/>
      <c r="CH429" s="88"/>
      <c r="CI429" s="88"/>
      <c r="CJ429" s="88"/>
      <c r="CK429" s="88"/>
      <c r="CL429" s="88"/>
      <c r="CM429" s="88"/>
      <c r="CN429" s="88"/>
      <c r="CO429" s="88"/>
      <c r="CP429" s="88"/>
      <c r="CQ429" s="88"/>
      <c r="CR429" s="88"/>
      <c r="CS429" s="88"/>
      <c r="CT429" s="88"/>
      <c r="CU429" s="88"/>
      <c r="CV429" s="88"/>
      <c r="CW429" s="88"/>
      <c r="CX429" s="88"/>
      <c r="CY429" s="88"/>
      <c r="CZ429" s="88"/>
      <c r="DA429" s="88"/>
      <c r="DB429" s="88"/>
      <c r="DC429" s="88"/>
      <c r="DD429" s="88"/>
      <c r="DE429" s="88"/>
      <c r="DF429" s="88"/>
      <c r="DG429" s="88"/>
      <c r="DH429" s="88"/>
      <c r="DI429" s="88"/>
      <c r="DJ429" s="88"/>
      <c r="DK429" s="88"/>
      <c r="DL429" s="88"/>
      <c r="DM429" s="88"/>
      <c r="DN429" s="88"/>
      <c r="DO429" s="88"/>
      <c r="DP429" s="88"/>
      <c r="DQ429" s="88"/>
      <c r="DR429" s="88"/>
      <c r="DS429" s="88"/>
      <c r="DT429" s="88"/>
      <c r="DU429" s="88"/>
      <c r="DV429" s="88"/>
      <c r="DW429" s="88"/>
      <c r="DX429" s="88"/>
      <c r="DY429" s="88"/>
      <c r="DZ429" s="88"/>
      <c r="EA429" s="88"/>
      <c r="EB429" s="88"/>
      <c r="EC429" s="88"/>
      <c r="ED429" s="88"/>
      <c r="EE429" s="88"/>
      <c r="EF429" s="88"/>
      <c r="EG429" s="88"/>
    </row>
    <row r="430" spans="1:137" x14ac:dyDescent="0.2">
      <c r="A430" s="99">
        <v>45383</v>
      </c>
      <c r="B430" s="82">
        <v>45412</v>
      </c>
      <c r="C430" s="88" t="s">
        <v>106</v>
      </c>
      <c r="D430" s="60" t="s">
        <v>483</v>
      </c>
      <c r="E430" s="116" t="s">
        <v>664</v>
      </c>
      <c r="F430" s="72" t="s">
        <v>618</v>
      </c>
      <c r="G430" s="72" t="s">
        <v>142</v>
      </c>
      <c r="H430" s="83">
        <v>0.4375</v>
      </c>
      <c r="I430" s="83">
        <v>0.72916666666666663</v>
      </c>
      <c r="J430" s="63">
        <f t="shared" si="30"/>
        <v>0.29166666666666663</v>
      </c>
      <c r="K430" s="88" t="s">
        <v>365</v>
      </c>
      <c r="L430" s="135">
        <f t="shared" si="29"/>
        <v>6.9999999999999991</v>
      </c>
      <c r="M430" s="60"/>
      <c r="N430" s="60"/>
      <c r="O430" s="91" t="s">
        <v>360</v>
      </c>
      <c r="P430" s="88">
        <v>5</v>
      </c>
      <c r="Q430" s="60"/>
      <c r="Z430" s="100"/>
    </row>
    <row r="431" spans="1:137" x14ac:dyDescent="0.2">
      <c r="A431" s="99">
        <v>45413</v>
      </c>
      <c r="B431" s="82">
        <v>45413</v>
      </c>
      <c r="C431" s="60" t="s">
        <v>398</v>
      </c>
      <c r="D431" s="60" t="s">
        <v>483</v>
      </c>
      <c r="E431" s="116" t="s">
        <v>665</v>
      </c>
      <c r="F431" s="72" t="s">
        <v>618</v>
      </c>
      <c r="G431" s="72" t="s">
        <v>142</v>
      </c>
      <c r="H431" s="83">
        <v>0.45833333333333331</v>
      </c>
      <c r="I431" s="83">
        <v>0.66666666666666663</v>
      </c>
      <c r="J431" s="63">
        <f t="shared" si="30"/>
        <v>0.20833333333333331</v>
      </c>
      <c r="K431" s="88" t="s">
        <v>365</v>
      </c>
      <c r="L431" s="135">
        <f t="shared" si="29"/>
        <v>5</v>
      </c>
      <c r="M431" s="60"/>
      <c r="N431" s="60"/>
      <c r="O431" s="91" t="s">
        <v>359</v>
      </c>
      <c r="P431" s="88">
        <v>5</v>
      </c>
      <c r="Q431" s="60"/>
      <c r="Z431" s="100"/>
    </row>
    <row r="432" spans="1:137" x14ac:dyDescent="0.2">
      <c r="A432" s="99">
        <v>45413</v>
      </c>
      <c r="B432" s="82">
        <v>45413</v>
      </c>
      <c r="C432" s="60" t="s">
        <v>398</v>
      </c>
      <c r="D432" s="60" t="s">
        <v>639</v>
      </c>
      <c r="E432" s="116" t="s">
        <v>666</v>
      </c>
      <c r="F432" s="72" t="s">
        <v>667</v>
      </c>
      <c r="G432" s="72" t="s">
        <v>142</v>
      </c>
      <c r="H432" s="83">
        <v>0.45833333333333331</v>
      </c>
      <c r="I432" s="83">
        <v>0.58333333333333337</v>
      </c>
      <c r="J432" s="63">
        <f t="shared" si="30"/>
        <v>0.12500000000000006</v>
      </c>
      <c r="K432" s="88" t="s">
        <v>365</v>
      </c>
      <c r="L432" s="135">
        <f t="shared" si="29"/>
        <v>3.0000000000000013</v>
      </c>
      <c r="M432" s="60"/>
      <c r="N432" s="60"/>
      <c r="O432" s="85" t="s">
        <v>361</v>
      </c>
      <c r="P432" s="88">
        <v>5</v>
      </c>
      <c r="Q432" s="60"/>
      <c r="Z432" s="100"/>
    </row>
    <row r="433" spans="1:137" x14ac:dyDescent="0.2">
      <c r="A433" s="99">
        <v>45413</v>
      </c>
      <c r="B433" s="82">
        <v>45413</v>
      </c>
      <c r="C433" s="60" t="s">
        <v>398</v>
      </c>
      <c r="D433" s="60" t="s">
        <v>98</v>
      </c>
      <c r="E433" s="116" t="s">
        <v>612</v>
      </c>
      <c r="F433" s="72" t="s">
        <v>668</v>
      </c>
      <c r="G433" s="72" t="s">
        <v>142</v>
      </c>
      <c r="H433" s="83">
        <v>0.45833333333333331</v>
      </c>
      <c r="I433" s="83">
        <v>0.625</v>
      </c>
      <c r="J433" s="63">
        <f t="shared" si="30"/>
        <v>0.16666666666666669</v>
      </c>
      <c r="K433" s="88" t="s">
        <v>365</v>
      </c>
      <c r="L433" s="135">
        <f t="shared" si="29"/>
        <v>4</v>
      </c>
      <c r="M433" s="60"/>
      <c r="N433" s="60"/>
      <c r="O433" s="91" t="s">
        <v>314</v>
      </c>
      <c r="P433" s="88">
        <v>5</v>
      </c>
      <c r="Q433" s="60"/>
      <c r="Z433" s="100"/>
    </row>
    <row r="434" spans="1:137" s="97" customFormat="1" x14ac:dyDescent="0.25">
      <c r="A434" s="99">
        <v>45413</v>
      </c>
      <c r="B434" s="82">
        <v>45413</v>
      </c>
      <c r="C434" s="60" t="s">
        <v>398</v>
      </c>
      <c r="D434" s="60" t="s">
        <v>658</v>
      </c>
      <c r="E434" s="115" t="s">
        <v>417</v>
      </c>
      <c r="F434" s="60" t="s">
        <v>669</v>
      </c>
      <c r="G434" s="72" t="s">
        <v>142</v>
      </c>
      <c r="H434" s="83">
        <v>0.58333333333333337</v>
      </c>
      <c r="I434" s="83">
        <v>0.70833333333333337</v>
      </c>
      <c r="J434" s="63">
        <f t="shared" si="30"/>
        <v>0.125</v>
      </c>
      <c r="K434" s="60" t="s">
        <v>113</v>
      </c>
      <c r="L434" s="135">
        <f t="shared" si="29"/>
        <v>3</v>
      </c>
      <c r="M434" s="60"/>
      <c r="N434" s="60"/>
      <c r="O434" s="91" t="s">
        <v>539</v>
      </c>
      <c r="P434" s="88">
        <v>5</v>
      </c>
      <c r="Q434" s="60"/>
      <c r="R434" s="88"/>
      <c r="S434" s="88"/>
      <c r="T434" s="88"/>
      <c r="U434" s="88"/>
      <c r="V434" s="94"/>
      <c r="W434" s="88"/>
      <c r="X434" s="90"/>
      <c r="Y434" s="88"/>
      <c r="Z434" s="101"/>
      <c r="AA434" s="88"/>
      <c r="AB434" s="88"/>
      <c r="AC434" s="88"/>
      <c r="AD434" s="88"/>
      <c r="AE434" s="88"/>
      <c r="AF434" s="88"/>
      <c r="AG434" s="88"/>
      <c r="AH434" s="88"/>
      <c r="AI434" s="88"/>
      <c r="AJ434" s="88"/>
      <c r="AK434" s="88"/>
      <c r="AL434" s="88"/>
      <c r="AM434" s="88"/>
      <c r="AN434" s="88"/>
      <c r="AO434" s="88"/>
      <c r="AP434" s="88"/>
      <c r="AQ434" s="88"/>
      <c r="AR434" s="88"/>
      <c r="AS434" s="88"/>
      <c r="AT434" s="88"/>
      <c r="AU434" s="88"/>
      <c r="AV434" s="88"/>
      <c r="AW434" s="88"/>
      <c r="AX434" s="88"/>
      <c r="AY434" s="88"/>
      <c r="AZ434" s="88"/>
      <c r="BA434" s="88"/>
      <c r="BB434" s="88"/>
      <c r="BC434" s="88"/>
      <c r="BD434" s="88"/>
      <c r="BE434" s="88"/>
      <c r="BF434" s="88"/>
      <c r="BG434" s="88"/>
      <c r="BH434" s="88"/>
      <c r="BI434" s="88"/>
      <c r="BJ434" s="88"/>
      <c r="BK434" s="88"/>
      <c r="BL434" s="88"/>
      <c r="BM434" s="88"/>
      <c r="BN434" s="88"/>
      <c r="BO434" s="88"/>
      <c r="BP434" s="88"/>
      <c r="BQ434" s="88"/>
      <c r="BR434" s="88"/>
      <c r="BS434" s="88"/>
      <c r="BT434" s="88"/>
      <c r="BU434" s="88"/>
      <c r="BV434" s="88"/>
      <c r="BW434" s="88"/>
      <c r="BX434" s="88"/>
      <c r="BY434" s="88"/>
      <c r="BZ434" s="88"/>
      <c r="CA434" s="88"/>
      <c r="CB434" s="88"/>
      <c r="CC434" s="88"/>
      <c r="CD434" s="88"/>
      <c r="CE434" s="88"/>
      <c r="CF434" s="88"/>
      <c r="CG434" s="88"/>
      <c r="CH434" s="88"/>
      <c r="CI434" s="88"/>
      <c r="CJ434" s="88"/>
      <c r="CK434" s="88"/>
      <c r="CL434" s="88"/>
      <c r="CM434" s="88"/>
      <c r="CN434" s="88"/>
      <c r="CO434" s="88"/>
      <c r="CP434" s="88"/>
      <c r="CQ434" s="88"/>
      <c r="CR434" s="88"/>
      <c r="CS434" s="88"/>
      <c r="CT434" s="88"/>
      <c r="CU434" s="88"/>
      <c r="CV434" s="88"/>
      <c r="CW434" s="88"/>
      <c r="CX434" s="88"/>
      <c r="CY434" s="88"/>
      <c r="CZ434" s="88"/>
      <c r="DA434" s="88"/>
      <c r="DB434" s="88"/>
      <c r="DC434" s="88"/>
      <c r="DD434" s="88"/>
      <c r="DE434" s="88"/>
      <c r="DF434" s="88"/>
      <c r="DG434" s="88"/>
      <c r="DH434" s="88"/>
      <c r="DI434" s="88"/>
      <c r="DJ434" s="88"/>
      <c r="DK434" s="88"/>
      <c r="DL434" s="88"/>
      <c r="DM434" s="88"/>
      <c r="DN434" s="88"/>
      <c r="DO434" s="88"/>
      <c r="DP434" s="88"/>
      <c r="DQ434" s="88"/>
      <c r="DR434" s="88"/>
      <c r="DS434" s="88"/>
      <c r="DT434" s="88"/>
      <c r="DU434" s="88"/>
      <c r="DV434" s="88"/>
      <c r="DW434" s="88"/>
      <c r="DX434" s="88"/>
      <c r="DY434" s="88"/>
      <c r="DZ434" s="88"/>
      <c r="EA434" s="88"/>
      <c r="EB434" s="88"/>
      <c r="EC434" s="88"/>
      <c r="ED434" s="88"/>
      <c r="EE434" s="88"/>
      <c r="EF434" s="88"/>
      <c r="EG434" s="88"/>
    </row>
    <row r="435" spans="1:137" x14ac:dyDescent="0.2">
      <c r="A435" s="99">
        <v>45413</v>
      </c>
      <c r="B435" s="82">
        <v>45414</v>
      </c>
      <c r="C435" s="82" t="s">
        <v>124</v>
      </c>
      <c r="D435" s="60" t="s">
        <v>445</v>
      </c>
      <c r="E435" s="115" t="s">
        <v>625</v>
      </c>
      <c r="F435" s="60" t="s">
        <v>379</v>
      </c>
      <c r="G435" s="72" t="s">
        <v>142</v>
      </c>
      <c r="H435" s="83">
        <v>0.625</v>
      </c>
      <c r="I435" s="83">
        <v>0.66666666666666663</v>
      </c>
      <c r="J435" s="63">
        <f t="shared" si="30"/>
        <v>4.166666666666663E-2</v>
      </c>
      <c r="K435" s="88" t="s">
        <v>365</v>
      </c>
      <c r="L435" s="135">
        <f t="shared" si="29"/>
        <v>0.99999999999999911</v>
      </c>
      <c r="M435" s="60"/>
      <c r="N435" s="60"/>
      <c r="O435" s="91" t="s">
        <v>363</v>
      </c>
      <c r="P435" s="88">
        <v>5</v>
      </c>
      <c r="Q435" s="88"/>
      <c r="Z435" s="100"/>
    </row>
    <row r="436" spans="1:137" s="88" customFormat="1" x14ac:dyDescent="0.25">
      <c r="A436" s="99">
        <v>45413</v>
      </c>
      <c r="B436" s="82">
        <v>45414</v>
      </c>
      <c r="C436" s="82" t="s">
        <v>124</v>
      </c>
      <c r="D436" s="60" t="s">
        <v>122</v>
      </c>
      <c r="E436" s="115" t="s">
        <v>453</v>
      </c>
      <c r="F436" s="60" t="s">
        <v>670</v>
      </c>
      <c r="G436" s="72" t="s">
        <v>142</v>
      </c>
      <c r="H436" s="83">
        <v>0.5</v>
      </c>
      <c r="I436" s="83">
        <v>0.54166666666666663</v>
      </c>
      <c r="J436" s="63">
        <f t="shared" si="30"/>
        <v>4.166666666666663E-2</v>
      </c>
      <c r="K436" s="60" t="s">
        <v>295</v>
      </c>
      <c r="L436" s="135">
        <f t="shared" si="29"/>
        <v>0.99999999999999911</v>
      </c>
      <c r="M436" s="60"/>
      <c r="N436" s="60"/>
      <c r="O436" s="91" t="s">
        <v>314</v>
      </c>
      <c r="P436" s="88">
        <v>5</v>
      </c>
      <c r="Q436" s="60"/>
      <c r="V436" s="94"/>
      <c r="X436" s="90"/>
      <c r="Z436" s="101"/>
    </row>
    <row r="437" spans="1:137" x14ac:dyDescent="0.2">
      <c r="A437" s="99">
        <v>45413</v>
      </c>
      <c r="B437" s="82">
        <v>45414</v>
      </c>
      <c r="C437" s="82" t="s">
        <v>124</v>
      </c>
      <c r="D437" s="60" t="s">
        <v>98</v>
      </c>
      <c r="E437" s="116" t="s">
        <v>612</v>
      </c>
      <c r="F437" s="72" t="s">
        <v>668</v>
      </c>
      <c r="G437" s="72" t="s">
        <v>142</v>
      </c>
      <c r="H437" s="83">
        <v>0.60416666666666663</v>
      </c>
      <c r="I437" s="83">
        <v>0.66666666666666663</v>
      </c>
      <c r="J437" s="63">
        <f t="shared" si="30"/>
        <v>6.25E-2</v>
      </c>
      <c r="K437" s="88" t="s">
        <v>365</v>
      </c>
      <c r="L437" s="135">
        <f t="shared" si="29"/>
        <v>1.5</v>
      </c>
      <c r="M437" s="60"/>
      <c r="N437" s="60"/>
      <c r="O437" s="91" t="s">
        <v>314</v>
      </c>
      <c r="P437" s="88">
        <v>5</v>
      </c>
      <c r="Q437" s="60"/>
      <c r="Z437" s="100"/>
    </row>
    <row r="438" spans="1:137" s="88" customFormat="1" x14ac:dyDescent="0.25">
      <c r="A438" s="99">
        <v>45413</v>
      </c>
      <c r="B438" s="82">
        <v>45414</v>
      </c>
      <c r="C438" s="82" t="s">
        <v>124</v>
      </c>
      <c r="D438" s="60" t="s">
        <v>122</v>
      </c>
      <c r="E438" s="115" t="s">
        <v>453</v>
      </c>
      <c r="F438" s="60" t="s">
        <v>671</v>
      </c>
      <c r="G438" s="72" t="s">
        <v>142</v>
      </c>
      <c r="H438" s="83">
        <v>0.45833333333333331</v>
      </c>
      <c r="I438" s="83">
        <v>0.5</v>
      </c>
      <c r="J438" s="63">
        <f t="shared" si="30"/>
        <v>4.1666666666666685E-2</v>
      </c>
      <c r="K438" s="60" t="s">
        <v>295</v>
      </c>
      <c r="L438" s="135">
        <f t="shared" si="29"/>
        <v>1.0000000000000004</v>
      </c>
      <c r="M438" s="60"/>
      <c r="N438" s="60"/>
      <c r="O438" s="91" t="s">
        <v>314</v>
      </c>
      <c r="P438" s="88">
        <v>5</v>
      </c>
      <c r="Q438" s="60"/>
      <c r="V438" s="94"/>
      <c r="X438" s="90"/>
      <c r="Z438" s="101"/>
    </row>
    <row r="439" spans="1:137" s="88" customFormat="1" x14ac:dyDescent="0.25">
      <c r="A439" s="99">
        <v>45413</v>
      </c>
      <c r="B439" s="82">
        <v>45414</v>
      </c>
      <c r="C439" s="82" t="s">
        <v>124</v>
      </c>
      <c r="D439" s="60" t="s">
        <v>672</v>
      </c>
      <c r="E439" s="115" t="s">
        <v>673</v>
      </c>
      <c r="F439" s="60" t="s">
        <v>674</v>
      </c>
      <c r="G439" s="72" t="s">
        <v>142</v>
      </c>
      <c r="H439" s="83">
        <v>0.375</v>
      </c>
      <c r="I439" s="83">
        <v>0.58333333333333337</v>
      </c>
      <c r="J439" s="63">
        <f t="shared" si="30"/>
        <v>0.20833333333333337</v>
      </c>
      <c r="K439" s="88" t="s">
        <v>366</v>
      </c>
      <c r="L439" s="135">
        <f t="shared" si="29"/>
        <v>5.0000000000000009</v>
      </c>
      <c r="M439" s="60"/>
      <c r="N439" s="60"/>
      <c r="O439" s="91" t="s">
        <v>360</v>
      </c>
      <c r="P439" s="88">
        <v>5</v>
      </c>
      <c r="Q439" s="60"/>
      <c r="V439" s="94"/>
      <c r="X439" s="90"/>
      <c r="Z439" s="101"/>
    </row>
    <row r="440" spans="1:137" s="88" customFormat="1" x14ac:dyDescent="0.25">
      <c r="A440" s="99">
        <v>45413</v>
      </c>
      <c r="B440" s="82">
        <v>45415</v>
      </c>
      <c r="C440" s="88" t="s">
        <v>33</v>
      </c>
      <c r="D440" s="60" t="s">
        <v>98</v>
      </c>
      <c r="E440" s="115" t="s">
        <v>675</v>
      </c>
      <c r="F440" s="60" t="s">
        <v>676</v>
      </c>
      <c r="G440" s="72" t="s">
        <v>142</v>
      </c>
      <c r="H440" s="83">
        <v>0.5</v>
      </c>
      <c r="I440" s="83">
        <v>0.97916666666666663</v>
      </c>
      <c r="J440" s="63">
        <f t="shared" si="30"/>
        <v>0.47916666666666663</v>
      </c>
      <c r="K440" s="60" t="s">
        <v>296</v>
      </c>
      <c r="L440" s="135">
        <f t="shared" si="29"/>
        <v>11.5</v>
      </c>
      <c r="M440" s="60"/>
      <c r="N440" s="60"/>
      <c r="O440" s="85" t="s">
        <v>304</v>
      </c>
      <c r="P440" s="60">
        <v>5</v>
      </c>
      <c r="Q440" s="60"/>
      <c r="V440" s="94"/>
      <c r="X440" s="90"/>
      <c r="Z440" s="101"/>
    </row>
    <row r="441" spans="1:137" ht="14.45" customHeight="1" x14ac:dyDescent="0.2">
      <c r="A441" s="99">
        <v>45413</v>
      </c>
      <c r="B441" s="82">
        <v>45416</v>
      </c>
      <c r="C441" s="88" t="s">
        <v>34</v>
      </c>
      <c r="D441" s="60" t="s">
        <v>498</v>
      </c>
      <c r="E441" s="115" t="s">
        <v>446</v>
      </c>
      <c r="F441" s="60" t="s">
        <v>627</v>
      </c>
      <c r="G441" s="72" t="s">
        <v>142</v>
      </c>
      <c r="H441" s="83">
        <v>0.41666666666666669</v>
      </c>
      <c r="I441" s="83">
        <v>0.625</v>
      </c>
      <c r="J441" s="63">
        <v>0.27079999999999999</v>
      </c>
      <c r="K441" s="88" t="s">
        <v>110</v>
      </c>
      <c r="L441" s="135">
        <f t="shared" si="29"/>
        <v>6.4992000000000001</v>
      </c>
      <c r="N441" s="60"/>
      <c r="O441" s="91" t="s">
        <v>363</v>
      </c>
      <c r="P441" s="88">
        <v>5</v>
      </c>
      <c r="Q441" s="60"/>
      <c r="V441" s="86"/>
      <c r="Z441" s="100"/>
    </row>
    <row r="442" spans="1:137" x14ac:dyDescent="0.2">
      <c r="A442" s="99">
        <v>45413</v>
      </c>
      <c r="B442" s="82">
        <v>45417</v>
      </c>
      <c r="C442" s="88" t="s">
        <v>31</v>
      </c>
      <c r="D442" s="60" t="s">
        <v>406</v>
      </c>
      <c r="E442" s="116" t="s">
        <v>407</v>
      </c>
      <c r="F442" s="72" t="s">
        <v>634</v>
      </c>
      <c r="G442" s="72" t="s">
        <v>142</v>
      </c>
      <c r="H442" s="83">
        <v>0.5</v>
      </c>
      <c r="I442" s="83">
        <v>0.70833333333333337</v>
      </c>
      <c r="J442" s="63">
        <f>I442-H442</f>
        <v>0.20833333333333337</v>
      </c>
      <c r="K442" s="88" t="s">
        <v>365</v>
      </c>
      <c r="L442" s="135">
        <f t="shared" si="29"/>
        <v>5.0000000000000009</v>
      </c>
      <c r="M442" s="60"/>
      <c r="N442" s="60"/>
      <c r="O442" s="91" t="s">
        <v>820</v>
      </c>
      <c r="P442" s="88">
        <v>5</v>
      </c>
      <c r="Q442" s="60"/>
      <c r="Z442" s="100"/>
    </row>
    <row r="443" spans="1:137" x14ac:dyDescent="0.2">
      <c r="A443" s="99">
        <v>45413</v>
      </c>
      <c r="B443" s="82">
        <v>45417</v>
      </c>
      <c r="C443" s="88" t="s">
        <v>31</v>
      </c>
      <c r="D443" s="60" t="s">
        <v>311</v>
      </c>
      <c r="E443" s="116" t="s">
        <v>677</v>
      </c>
      <c r="F443" s="72" t="s">
        <v>678</v>
      </c>
      <c r="G443" s="72" t="s">
        <v>142</v>
      </c>
      <c r="H443" s="83">
        <v>0.60416666666666663</v>
      </c>
      <c r="I443" s="83">
        <v>0.72916666666666663</v>
      </c>
      <c r="J443" s="63">
        <f>I443-H443</f>
        <v>0.125</v>
      </c>
      <c r="K443" s="88" t="s">
        <v>365</v>
      </c>
      <c r="L443" s="135">
        <f t="shared" si="29"/>
        <v>3</v>
      </c>
      <c r="M443" s="60"/>
      <c r="N443" s="60"/>
      <c r="O443" s="91" t="s">
        <v>820</v>
      </c>
      <c r="P443" s="88">
        <v>5</v>
      </c>
      <c r="Q443" s="60"/>
      <c r="Z443" s="100"/>
    </row>
    <row r="444" spans="1:137" ht="14.45" customHeight="1" x14ac:dyDescent="0.2">
      <c r="A444" s="99">
        <v>45413</v>
      </c>
      <c r="B444" s="82">
        <v>45417</v>
      </c>
      <c r="C444" s="88" t="s">
        <v>31</v>
      </c>
      <c r="D444" s="60" t="s">
        <v>481</v>
      </c>
      <c r="E444" s="115" t="s">
        <v>446</v>
      </c>
      <c r="F444" s="60" t="s">
        <v>627</v>
      </c>
      <c r="G444" s="72" t="s">
        <v>142</v>
      </c>
      <c r="H444" s="83">
        <v>0.39583333333333331</v>
      </c>
      <c r="I444" s="83">
        <v>0.625</v>
      </c>
      <c r="J444" s="63">
        <v>0.27079999999999999</v>
      </c>
      <c r="K444" s="88" t="s">
        <v>110</v>
      </c>
      <c r="L444" s="135">
        <f t="shared" si="29"/>
        <v>6.4992000000000001</v>
      </c>
      <c r="N444" s="60"/>
      <c r="O444" s="91" t="s">
        <v>539</v>
      </c>
      <c r="P444" s="88">
        <v>5</v>
      </c>
      <c r="Q444" s="60"/>
      <c r="V444" s="86"/>
      <c r="Z444" s="100"/>
    </row>
    <row r="445" spans="1:137" x14ac:dyDescent="0.2">
      <c r="A445" s="99">
        <v>45413</v>
      </c>
      <c r="B445" s="82">
        <v>45419</v>
      </c>
      <c r="C445" s="88" t="s">
        <v>106</v>
      </c>
      <c r="D445" s="60" t="s">
        <v>483</v>
      </c>
      <c r="E445" s="116" t="s">
        <v>665</v>
      </c>
      <c r="F445" s="72" t="s">
        <v>679</v>
      </c>
      <c r="G445" s="72" t="s">
        <v>142</v>
      </c>
      <c r="H445" s="83">
        <v>0.45833333333333331</v>
      </c>
      <c r="I445" s="83">
        <v>0.58333333333333337</v>
      </c>
      <c r="J445" s="63">
        <f>I445-H445</f>
        <v>0.12500000000000006</v>
      </c>
      <c r="K445" s="88" t="s">
        <v>365</v>
      </c>
      <c r="L445" s="135">
        <f t="shared" si="29"/>
        <v>3.0000000000000013</v>
      </c>
      <c r="M445" s="60"/>
      <c r="N445" s="60"/>
      <c r="O445" s="91" t="s">
        <v>820</v>
      </c>
      <c r="P445" s="88">
        <v>5</v>
      </c>
      <c r="Q445" s="60"/>
      <c r="Z445" s="100"/>
    </row>
    <row r="446" spans="1:137" ht="14.45" customHeight="1" x14ac:dyDescent="0.2">
      <c r="A446" s="99">
        <v>45413</v>
      </c>
      <c r="B446" s="82">
        <v>45419</v>
      </c>
      <c r="C446" s="88" t="s">
        <v>106</v>
      </c>
      <c r="D446" s="60" t="s">
        <v>498</v>
      </c>
      <c r="E446" s="115" t="s">
        <v>446</v>
      </c>
      <c r="F446" s="60" t="s">
        <v>683</v>
      </c>
      <c r="G446" s="72" t="s">
        <v>142</v>
      </c>
      <c r="H446" s="83">
        <v>0.375</v>
      </c>
      <c r="I446" s="83">
        <v>0.625</v>
      </c>
      <c r="J446" s="63">
        <v>0.27079999999999999</v>
      </c>
      <c r="K446" s="88" t="s">
        <v>366</v>
      </c>
      <c r="L446" s="135">
        <f t="shared" si="29"/>
        <v>6.4992000000000001</v>
      </c>
      <c r="N446" s="60"/>
      <c r="O446" s="91" t="s">
        <v>358</v>
      </c>
      <c r="P446" s="88">
        <v>5</v>
      </c>
      <c r="Q446" s="60"/>
      <c r="V446" s="86"/>
      <c r="Z446" s="100"/>
    </row>
    <row r="447" spans="1:137" s="16" customFormat="1" ht="14.45" customHeight="1" x14ac:dyDescent="0.2">
      <c r="A447" s="99">
        <v>45413</v>
      </c>
      <c r="B447" s="82">
        <v>45419</v>
      </c>
      <c r="C447" s="88" t="s">
        <v>106</v>
      </c>
      <c r="D447" s="60" t="s">
        <v>830</v>
      </c>
      <c r="E447" s="115" t="s">
        <v>688</v>
      </c>
      <c r="F447" s="60" t="s">
        <v>911</v>
      </c>
      <c r="G447" s="72" t="s">
        <v>142</v>
      </c>
      <c r="H447" s="83">
        <v>0.41666666666666669</v>
      </c>
      <c r="I447" s="83">
        <v>0.625</v>
      </c>
      <c r="J447" s="63">
        <v>0.27079999999999999</v>
      </c>
      <c r="K447" s="88" t="s">
        <v>110</v>
      </c>
      <c r="L447" s="135">
        <f t="shared" si="29"/>
        <v>6.4992000000000001</v>
      </c>
      <c r="M447" s="61"/>
      <c r="N447" s="60"/>
      <c r="O447" s="91" t="s">
        <v>363</v>
      </c>
      <c r="P447" s="88">
        <v>5</v>
      </c>
      <c r="Q447" s="60"/>
      <c r="R447" s="61"/>
      <c r="S447" s="61"/>
      <c r="T447" s="61"/>
      <c r="U447" s="61"/>
      <c r="V447" s="92"/>
      <c r="W447" s="61"/>
      <c r="X447" s="89"/>
      <c r="Y447" s="61"/>
      <c r="Z447" s="100"/>
      <c r="AA447" s="61"/>
      <c r="AB447" s="61"/>
      <c r="AC447" s="61"/>
      <c r="AD447" s="61"/>
      <c r="AE447" s="61"/>
      <c r="AF447" s="61"/>
      <c r="AG447" s="61"/>
      <c r="AH447" s="61"/>
      <c r="AI447" s="61"/>
      <c r="AJ447" s="61"/>
      <c r="AK447" s="61"/>
      <c r="AL447" s="61"/>
      <c r="AM447" s="61"/>
      <c r="AN447" s="61"/>
      <c r="AO447" s="61"/>
      <c r="AP447" s="61"/>
      <c r="AQ447" s="61"/>
      <c r="AR447" s="61"/>
      <c r="AS447" s="61"/>
      <c r="AT447" s="61"/>
      <c r="AU447" s="61"/>
      <c r="AV447" s="61"/>
      <c r="AW447" s="61"/>
      <c r="AX447" s="61"/>
      <c r="AY447" s="61"/>
      <c r="AZ447" s="61"/>
      <c r="BA447" s="61"/>
      <c r="BB447" s="61"/>
      <c r="BC447" s="61"/>
      <c r="BD447" s="61"/>
      <c r="BE447" s="61"/>
      <c r="BF447" s="61"/>
      <c r="BG447" s="61"/>
      <c r="BH447" s="61"/>
      <c r="BI447" s="61"/>
      <c r="BJ447" s="61"/>
      <c r="BK447" s="61"/>
      <c r="BL447" s="61"/>
      <c r="BM447" s="61"/>
      <c r="BN447" s="61"/>
      <c r="BO447" s="61"/>
      <c r="BP447" s="61"/>
      <c r="BQ447" s="61"/>
      <c r="BR447" s="61"/>
      <c r="BS447" s="61"/>
      <c r="BT447" s="61"/>
      <c r="BU447" s="61"/>
      <c r="BV447" s="61"/>
      <c r="BW447" s="61"/>
      <c r="BX447" s="61"/>
      <c r="BY447" s="61"/>
      <c r="BZ447" s="61"/>
      <c r="CA447" s="61"/>
      <c r="CB447" s="61"/>
      <c r="CC447" s="61"/>
      <c r="CD447" s="61"/>
      <c r="CE447" s="61"/>
      <c r="CF447" s="61"/>
      <c r="CG447" s="61"/>
      <c r="CH447" s="61"/>
      <c r="CI447" s="61"/>
      <c r="CJ447" s="61"/>
      <c r="CK447" s="61"/>
      <c r="CL447" s="61"/>
      <c r="CM447" s="61"/>
      <c r="CN447" s="61"/>
      <c r="CO447" s="61"/>
      <c r="CP447" s="61"/>
      <c r="CQ447" s="61"/>
      <c r="CR447" s="61"/>
      <c r="CS447" s="61"/>
      <c r="CT447" s="61"/>
      <c r="CU447" s="61"/>
      <c r="CV447" s="61"/>
      <c r="CW447" s="61"/>
      <c r="CX447" s="61"/>
      <c r="CY447" s="61"/>
      <c r="CZ447" s="61"/>
      <c r="DA447" s="61"/>
      <c r="DB447" s="61"/>
      <c r="DC447" s="61"/>
      <c r="DD447" s="61"/>
      <c r="DE447" s="61"/>
      <c r="DF447" s="61"/>
      <c r="DG447" s="61"/>
      <c r="DH447" s="61"/>
      <c r="DI447" s="61"/>
      <c r="DJ447" s="61"/>
      <c r="DK447" s="61"/>
      <c r="DL447" s="61"/>
      <c r="DM447" s="61"/>
      <c r="DN447" s="61"/>
      <c r="DO447" s="61"/>
      <c r="DP447" s="61"/>
      <c r="DQ447" s="61"/>
      <c r="DR447" s="61"/>
      <c r="DS447" s="61"/>
      <c r="DT447" s="61"/>
      <c r="DU447" s="61"/>
      <c r="DV447" s="61"/>
      <c r="DW447" s="61"/>
      <c r="DX447" s="61"/>
      <c r="DY447" s="61"/>
      <c r="DZ447" s="61"/>
      <c r="EA447" s="61"/>
      <c r="EB447" s="61"/>
      <c r="EC447" s="61"/>
      <c r="ED447" s="61"/>
      <c r="EE447" s="61"/>
      <c r="EF447" s="61"/>
      <c r="EG447" s="61"/>
    </row>
    <row r="448" spans="1:137" x14ac:dyDescent="0.2">
      <c r="A448" s="99">
        <v>45413</v>
      </c>
      <c r="B448" s="82">
        <v>45419</v>
      </c>
      <c r="C448" s="88" t="s">
        <v>106</v>
      </c>
      <c r="D448" s="60" t="s">
        <v>98</v>
      </c>
      <c r="E448" s="116" t="s">
        <v>612</v>
      </c>
      <c r="F448" s="72" t="s">
        <v>680</v>
      </c>
      <c r="G448" s="72" t="s">
        <v>142</v>
      </c>
      <c r="H448" s="83">
        <v>0.45833333333333331</v>
      </c>
      <c r="I448" s="83">
        <v>0.70833333333333337</v>
      </c>
      <c r="J448" s="63">
        <f>I448-H448</f>
        <v>0.25000000000000006</v>
      </c>
      <c r="K448" s="60" t="s">
        <v>365</v>
      </c>
      <c r="L448" s="135">
        <f t="shared" si="29"/>
        <v>6.0000000000000018</v>
      </c>
      <c r="M448" s="60"/>
      <c r="N448" s="60"/>
      <c r="O448" s="91" t="s">
        <v>539</v>
      </c>
      <c r="P448" s="88">
        <v>5</v>
      </c>
      <c r="Q448" s="60"/>
      <c r="Z448" s="100"/>
    </row>
    <row r="449" spans="1:26" x14ac:dyDescent="0.2">
      <c r="A449" s="99">
        <v>45413</v>
      </c>
      <c r="B449" s="82">
        <v>45419</v>
      </c>
      <c r="C449" s="88" t="s">
        <v>106</v>
      </c>
      <c r="D449" s="60" t="s">
        <v>609</v>
      </c>
      <c r="E449" s="116" t="s">
        <v>681</v>
      </c>
      <c r="F449" s="72" t="s">
        <v>682</v>
      </c>
      <c r="G449" s="72" t="s">
        <v>142</v>
      </c>
      <c r="H449" s="83">
        <v>0.6875</v>
      </c>
      <c r="I449" s="83">
        <v>0.79166666666666663</v>
      </c>
      <c r="J449" s="63">
        <f>I449-H449</f>
        <v>0.10416666666666663</v>
      </c>
      <c r="K449" s="88" t="s">
        <v>365</v>
      </c>
      <c r="L449" s="135">
        <f t="shared" si="29"/>
        <v>2.4999999999999991</v>
      </c>
      <c r="M449" s="60"/>
      <c r="N449" s="60"/>
      <c r="O449" s="91" t="s">
        <v>820</v>
      </c>
      <c r="P449" s="88">
        <v>5</v>
      </c>
      <c r="Q449" s="60"/>
      <c r="Z449" s="100"/>
    </row>
    <row r="450" spans="1:26" x14ac:dyDescent="0.2">
      <c r="A450" s="99">
        <v>45413</v>
      </c>
      <c r="B450" s="82">
        <v>45420</v>
      </c>
      <c r="C450" s="60" t="s">
        <v>398</v>
      </c>
      <c r="D450" s="60" t="s">
        <v>98</v>
      </c>
      <c r="E450" s="116" t="s">
        <v>612</v>
      </c>
      <c r="F450" s="72" t="s">
        <v>687</v>
      </c>
      <c r="G450" s="72" t="s">
        <v>142</v>
      </c>
      <c r="H450" s="83">
        <v>0.5</v>
      </c>
      <c r="I450" s="83">
        <v>0.70833333333333337</v>
      </c>
      <c r="J450" s="63">
        <f>I450-H450</f>
        <v>0.20833333333333337</v>
      </c>
      <c r="K450" s="60" t="s">
        <v>365</v>
      </c>
      <c r="L450" s="135">
        <f t="shared" si="29"/>
        <v>5.0000000000000009</v>
      </c>
      <c r="M450" s="60"/>
      <c r="N450" s="60"/>
      <c r="O450" s="91" t="s">
        <v>539</v>
      </c>
      <c r="P450" s="88">
        <v>5</v>
      </c>
      <c r="Q450" s="60"/>
      <c r="Z450" s="100"/>
    </row>
    <row r="451" spans="1:26" ht="14.45" customHeight="1" x14ac:dyDescent="0.2">
      <c r="A451" s="99">
        <v>45413</v>
      </c>
      <c r="B451" s="82">
        <v>45420</v>
      </c>
      <c r="C451" s="60" t="s">
        <v>398</v>
      </c>
      <c r="D451" s="60" t="s">
        <v>498</v>
      </c>
      <c r="E451" s="115" t="s">
        <v>446</v>
      </c>
      <c r="F451" s="60" t="s">
        <v>627</v>
      </c>
      <c r="G451" s="72" t="s">
        <v>142</v>
      </c>
      <c r="H451" s="83">
        <v>0.41666666666666669</v>
      </c>
      <c r="I451" s="83">
        <v>0.58333333333333337</v>
      </c>
      <c r="J451" s="63">
        <v>0.27079999999999999</v>
      </c>
      <c r="K451" s="88" t="s">
        <v>110</v>
      </c>
      <c r="L451" s="135">
        <f t="shared" si="29"/>
        <v>6.4992000000000001</v>
      </c>
      <c r="N451" s="60"/>
      <c r="O451" s="91" t="s">
        <v>363</v>
      </c>
      <c r="P451" s="88">
        <v>5</v>
      </c>
      <c r="Q451" s="60"/>
      <c r="V451" s="86"/>
      <c r="Z451" s="100"/>
    </row>
    <row r="452" spans="1:26" x14ac:dyDescent="0.2">
      <c r="A452" s="99">
        <v>45413</v>
      </c>
      <c r="B452" s="82">
        <v>45420</v>
      </c>
      <c r="C452" s="60" t="s">
        <v>398</v>
      </c>
      <c r="D452" s="60" t="s">
        <v>483</v>
      </c>
      <c r="E452" s="116" t="s">
        <v>665</v>
      </c>
      <c r="F452" s="72" t="s">
        <v>679</v>
      </c>
      <c r="G452" s="72" t="s">
        <v>142</v>
      </c>
      <c r="H452" s="83">
        <v>0.47916666666666669</v>
      </c>
      <c r="I452" s="83">
        <v>0.58333333333333337</v>
      </c>
      <c r="J452" s="63">
        <f>I452-H452</f>
        <v>0.10416666666666669</v>
      </c>
      <c r="K452" s="88" t="s">
        <v>365</v>
      </c>
      <c r="L452" s="135">
        <f t="shared" si="29"/>
        <v>2.5000000000000004</v>
      </c>
      <c r="M452" s="60"/>
      <c r="N452" s="60"/>
      <c r="O452" s="91" t="s">
        <v>363</v>
      </c>
      <c r="P452" s="88">
        <v>5</v>
      </c>
      <c r="Q452" s="60"/>
      <c r="Z452" s="100"/>
    </row>
    <row r="453" spans="1:26" ht="14.45" customHeight="1" x14ac:dyDescent="0.2">
      <c r="A453" s="99">
        <v>45413</v>
      </c>
      <c r="B453" s="82">
        <v>45420</v>
      </c>
      <c r="C453" s="60" t="s">
        <v>398</v>
      </c>
      <c r="D453" s="60" t="s">
        <v>498</v>
      </c>
      <c r="E453" s="115" t="s">
        <v>446</v>
      </c>
      <c r="F453" s="60" t="s">
        <v>684</v>
      </c>
      <c r="G453" s="72" t="s">
        <v>142</v>
      </c>
      <c r="H453" s="83">
        <v>0.375</v>
      </c>
      <c r="I453" s="83">
        <v>0.70833333333333337</v>
      </c>
      <c r="J453" s="63">
        <v>0.27079999999999999</v>
      </c>
      <c r="K453" s="88" t="s">
        <v>110</v>
      </c>
      <c r="L453" s="135">
        <f t="shared" si="29"/>
        <v>6.4992000000000001</v>
      </c>
      <c r="N453" s="60"/>
      <c r="O453" s="91" t="s">
        <v>576</v>
      </c>
      <c r="P453" s="88">
        <v>5</v>
      </c>
      <c r="Q453" s="60"/>
      <c r="V453" s="86"/>
      <c r="Z453" s="100"/>
    </row>
    <row r="454" spans="1:26" x14ac:dyDescent="0.2">
      <c r="A454" s="99">
        <v>45413</v>
      </c>
      <c r="B454" s="82">
        <v>45420</v>
      </c>
      <c r="C454" s="60" t="s">
        <v>398</v>
      </c>
      <c r="D454" s="60" t="s">
        <v>98</v>
      </c>
      <c r="E454" s="115" t="s">
        <v>686</v>
      </c>
      <c r="F454" s="60" t="s">
        <v>685</v>
      </c>
      <c r="G454" s="72" t="s">
        <v>142</v>
      </c>
      <c r="H454" s="83">
        <v>0.4375</v>
      </c>
      <c r="I454" s="83">
        <v>0.72916666666666663</v>
      </c>
      <c r="J454" s="63">
        <v>8.3299999999999999E-2</v>
      </c>
      <c r="K454" s="88" t="s">
        <v>365</v>
      </c>
      <c r="L454" s="135">
        <v>2</v>
      </c>
      <c r="M454" s="60"/>
      <c r="N454" s="60"/>
      <c r="O454" s="85" t="s">
        <v>304</v>
      </c>
      <c r="P454" s="88">
        <v>5</v>
      </c>
      <c r="Q454" s="60"/>
      <c r="Z454" s="100"/>
    </row>
    <row r="455" spans="1:26" x14ac:dyDescent="0.2">
      <c r="A455" s="99">
        <v>45413</v>
      </c>
      <c r="B455" s="82">
        <v>45421</v>
      </c>
      <c r="C455" s="82" t="s">
        <v>124</v>
      </c>
      <c r="D455" s="60" t="s">
        <v>483</v>
      </c>
      <c r="E455" s="116" t="s">
        <v>665</v>
      </c>
      <c r="F455" s="72" t="s">
        <v>618</v>
      </c>
      <c r="G455" s="72" t="s">
        <v>142</v>
      </c>
      <c r="H455" s="83">
        <v>0.47916666666666669</v>
      </c>
      <c r="I455" s="83">
        <v>0.5</v>
      </c>
      <c r="J455" s="63">
        <f>I455-H455</f>
        <v>2.0833333333333315E-2</v>
      </c>
      <c r="K455" s="88" t="s">
        <v>365</v>
      </c>
      <c r="L455" s="135">
        <f t="shared" ref="L455:L486" si="31">24*J455</f>
        <v>0.49999999999999956</v>
      </c>
      <c r="M455" s="60"/>
      <c r="N455" s="60"/>
      <c r="O455" s="91" t="s">
        <v>576</v>
      </c>
      <c r="P455" s="88">
        <v>5</v>
      </c>
      <c r="Q455" s="60"/>
      <c r="Z455" s="100"/>
    </row>
    <row r="456" spans="1:26" ht="14.45" customHeight="1" x14ac:dyDescent="0.2">
      <c r="A456" s="99">
        <v>45413</v>
      </c>
      <c r="B456" s="82">
        <v>45421</v>
      </c>
      <c r="C456" s="82" t="s">
        <v>124</v>
      </c>
      <c r="D456" s="60" t="s">
        <v>498</v>
      </c>
      <c r="E456" s="115" t="s">
        <v>446</v>
      </c>
      <c r="F456" s="60" t="s">
        <v>684</v>
      </c>
      <c r="G456" s="72" t="s">
        <v>142</v>
      </c>
      <c r="H456" s="83">
        <v>0.375</v>
      </c>
      <c r="I456" s="83">
        <v>0.70833333333333337</v>
      </c>
      <c r="J456" s="63">
        <v>0.27079999999999999</v>
      </c>
      <c r="K456" s="88" t="s">
        <v>110</v>
      </c>
      <c r="L456" s="135">
        <f t="shared" si="31"/>
        <v>6.4992000000000001</v>
      </c>
      <c r="N456" s="60"/>
      <c r="O456" s="91" t="s">
        <v>358</v>
      </c>
      <c r="P456" s="88">
        <v>5</v>
      </c>
      <c r="Q456" s="60"/>
      <c r="V456" s="86"/>
      <c r="Z456" s="100"/>
    </row>
    <row r="457" spans="1:26" ht="14.45" customHeight="1" x14ac:dyDescent="0.2">
      <c r="A457" s="99">
        <v>45413</v>
      </c>
      <c r="B457" s="82">
        <v>45421</v>
      </c>
      <c r="C457" s="82" t="s">
        <v>124</v>
      </c>
      <c r="D457" s="60" t="s">
        <v>498</v>
      </c>
      <c r="E457" s="115" t="s">
        <v>446</v>
      </c>
      <c r="F457" s="60" t="s">
        <v>627</v>
      </c>
      <c r="G457" s="72" t="s">
        <v>142</v>
      </c>
      <c r="H457" s="83">
        <v>0.41666666666666669</v>
      </c>
      <c r="I457" s="83">
        <v>0.625</v>
      </c>
      <c r="J457" s="63">
        <v>0.27079999999999999</v>
      </c>
      <c r="K457" s="88" t="s">
        <v>110</v>
      </c>
      <c r="L457" s="135">
        <f t="shared" si="31"/>
        <v>6.4992000000000001</v>
      </c>
      <c r="N457" s="60"/>
      <c r="O457" s="91" t="s">
        <v>363</v>
      </c>
      <c r="P457" s="88">
        <v>5</v>
      </c>
      <c r="Q457" s="60"/>
      <c r="V457" s="86"/>
      <c r="Z457" s="100"/>
    </row>
    <row r="458" spans="1:26" x14ac:dyDescent="0.2">
      <c r="A458" s="99">
        <v>45413</v>
      </c>
      <c r="B458" s="82">
        <v>45423</v>
      </c>
      <c r="C458" s="88" t="s">
        <v>34</v>
      </c>
      <c r="D458" s="60" t="s">
        <v>126</v>
      </c>
      <c r="E458" s="116" t="s">
        <v>352</v>
      </c>
      <c r="F458" s="72" t="s">
        <v>916</v>
      </c>
      <c r="G458" s="72" t="s">
        <v>142</v>
      </c>
      <c r="H458" s="83">
        <v>0.47916666666666669</v>
      </c>
      <c r="I458" s="83">
        <v>0.58333333333333337</v>
      </c>
      <c r="J458" s="63">
        <f>I458-H458</f>
        <v>0.10416666666666669</v>
      </c>
      <c r="K458" s="88" t="s">
        <v>365</v>
      </c>
      <c r="L458" s="135">
        <f t="shared" si="31"/>
        <v>2.5000000000000004</v>
      </c>
      <c r="M458" s="60"/>
      <c r="N458" s="60"/>
      <c r="O458" s="91" t="s">
        <v>362</v>
      </c>
      <c r="P458" s="88">
        <v>5</v>
      </c>
      <c r="Q458" s="60"/>
      <c r="Z458" s="100"/>
    </row>
    <row r="459" spans="1:26" x14ac:dyDescent="0.2">
      <c r="A459" s="99">
        <v>45413</v>
      </c>
      <c r="B459" s="82">
        <v>45423</v>
      </c>
      <c r="C459" s="88" t="s">
        <v>34</v>
      </c>
      <c r="D459" s="60" t="s">
        <v>483</v>
      </c>
      <c r="E459" s="116" t="s">
        <v>665</v>
      </c>
      <c r="F459" s="72" t="s">
        <v>618</v>
      </c>
      <c r="G459" s="72" t="s">
        <v>142</v>
      </c>
      <c r="H459" s="83">
        <v>0.5</v>
      </c>
      <c r="I459" s="83">
        <v>0.72916666666666663</v>
      </c>
      <c r="J459" s="63">
        <f>I459-H459</f>
        <v>0.22916666666666663</v>
      </c>
      <c r="K459" s="88" t="s">
        <v>365</v>
      </c>
      <c r="L459" s="135">
        <f t="shared" si="31"/>
        <v>5.4999999999999991</v>
      </c>
      <c r="M459" s="60"/>
      <c r="N459" s="60"/>
      <c r="O459" s="91" t="s">
        <v>362</v>
      </c>
      <c r="P459" s="88">
        <v>5</v>
      </c>
      <c r="Q459" s="60"/>
      <c r="Z459" s="100"/>
    </row>
    <row r="460" spans="1:26" ht="14.45" customHeight="1" x14ac:dyDescent="0.2">
      <c r="A460" s="99">
        <v>45413</v>
      </c>
      <c r="B460" s="82">
        <v>45424</v>
      </c>
      <c r="C460" s="88" t="s">
        <v>31</v>
      </c>
      <c r="D460" s="60" t="s">
        <v>658</v>
      </c>
      <c r="E460" s="115" t="s">
        <v>622</v>
      </c>
      <c r="F460" s="60" t="s">
        <v>706</v>
      </c>
      <c r="G460" s="72" t="s">
        <v>142</v>
      </c>
      <c r="H460" s="83">
        <v>0</v>
      </c>
      <c r="I460" s="83">
        <v>0.625</v>
      </c>
      <c r="J460" s="63">
        <v>0.27079999999999999</v>
      </c>
      <c r="K460" s="88" t="s">
        <v>110</v>
      </c>
      <c r="L460" s="135">
        <f t="shared" si="31"/>
        <v>6.4992000000000001</v>
      </c>
      <c r="N460" s="60"/>
      <c r="O460" s="91" t="s">
        <v>363</v>
      </c>
      <c r="P460" s="88">
        <v>5</v>
      </c>
      <c r="Q460" s="60"/>
      <c r="V460" s="86"/>
      <c r="Z460" s="100"/>
    </row>
    <row r="461" spans="1:26" ht="14.45" customHeight="1" x14ac:dyDescent="0.2">
      <c r="A461" s="99">
        <v>45413</v>
      </c>
      <c r="B461" s="82">
        <v>45424</v>
      </c>
      <c r="C461" s="88" t="s">
        <v>31</v>
      </c>
      <c r="D461" s="60" t="s">
        <v>498</v>
      </c>
      <c r="E461" s="115" t="s">
        <v>446</v>
      </c>
      <c r="F461" s="60" t="s">
        <v>627</v>
      </c>
      <c r="G461" s="72" t="s">
        <v>142</v>
      </c>
      <c r="H461" s="83">
        <v>0.41666666666666669</v>
      </c>
      <c r="I461" s="83">
        <v>0.625</v>
      </c>
      <c r="J461" s="63">
        <v>0.27079999999999999</v>
      </c>
      <c r="K461" s="88" t="s">
        <v>110</v>
      </c>
      <c r="L461" s="135">
        <f t="shared" si="31"/>
        <v>6.4992000000000001</v>
      </c>
      <c r="N461" s="60"/>
      <c r="O461" s="91" t="s">
        <v>363</v>
      </c>
      <c r="P461" s="88">
        <v>5</v>
      </c>
      <c r="Q461" s="60"/>
      <c r="V461" s="86"/>
      <c r="Z461" s="100"/>
    </row>
    <row r="462" spans="1:26" s="88" customFormat="1" x14ac:dyDescent="0.25">
      <c r="A462" s="99">
        <v>45413</v>
      </c>
      <c r="B462" s="82">
        <v>45424</v>
      </c>
      <c r="C462" s="88" t="s">
        <v>31</v>
      </c>
      <c r="D462" s="60" t="s">
        <v>98</v>
      </c>
      <c r="E462" s="115" t="s">
        <v>591</v>
      </c>
      <c r="F462" s="60" t="s">
        <v>690</v>
      </c>
      <c r="G462" s="72" t="s">
        <v>142</v>
      </c>
      <c r="H462" s="83">
        <v>0.41666666666666669</v>
      </c>
      <c r="I462" s="83">
        <v>0.83333333333333337</v>
      </c>
      <c r="J462" s="63">
        <f>I462-H462</f>
        <v>0.41666666666666669</v>
      </c>
      <c r="K462" s="60" t="s">
        <v>296</v>
      </c>
      <c r="L462" s="135">
        <f t="shared" si="31"/>
        <v>10</v>
      </c>
      <c r="M462" s="60"/>
      <c r="N462" s="60"/>
      <c r="O462" s="85" t="s">
        <v>304</v>
      </c>
      <c r="P462" s="88">
        <v>4</v>
      </c>
      <c r="Q462" s="60" t="s">
        <v>692</v>
      </c>
      <c r="V462" s="94"/>
      <c r="X462" s="90"/>
      <c r="Z462" s="101"/>
    </row>
    <row r="463" spans="1:26" ht="14.45" customHeight="1" x14ac:dyDescent="0.2">
      <c r="A463" s="99">
        <v>45413</v>
      </c>
      <c r="B463" s="82">
        <v>45424</v>
      </c>
      <c r="C463" s="88" t="s">
        <v>31</v>
      </c>
      <c r="D463" s="60" t="s">
        <v>498</v>
      </c>
      <c r="E463" s="115" t="s">
        <v>446</v>
      </c>
      <c r="F463" s="60" t="s">
        <v>691</v>
      </c>
      <c r="G463" s="72" t="s">
        <v>142</v>
      </c>
      <c r="H463" s="83">
        <v>0.375</v>
      </c>
      <c r="I463" s="83">
        <v>0.66666666666666663</v>
      </c>
      <c r="J463" s="63">
        <v>0.27079999999999999</v>
      </c>
      <c r="K463" s="88" t="s">
        <v>110</v>
      </c>
      <c r="L463" s="135">
        <f t="shared" si="31"/>
        <v>6.4992000000000001</v>
      </c>
      <c r="N463" s="60"/>
      <c r="O463" s="91" t="s">
        <v>358</v>
      </c>
      <c r="P463" s="88">
        <v>5</v>
      </c>
      <c r="Q463" s="60"/>
      <c r="V463" s="86"/>
      <c r="Z463" s="100"/>
    </row>
    <row r="464" spans="1:26" s="88" customFormat="1" x14ac:dyDescent="0.25">
      <c r="A464" s="99">
        <v>45413</v>
      </c>
      <c r="B464" s="82">
        <v>45425</v>
      </c>
      <c r="C464" s="88" t="s">
        <v>45</v>
      </c>
      <c r="D464" s="60" t="s">
        <v>98</v>
      </c>
      <c r="E464" s="115" t="s">
        <v>689</v>
      </c>
      <c r="F464" s="60" t="s">
        <v>690</v>
      </c>
      <c r="G464" s="72" t="s">
        <v>142</v>
      </c>
      <c r="H464" s="83">
        <v>0.41666666666666669</v>
      </c>
      <c r="I464" s="83">
        <v>0.91666666666666663</v>
      </c>
      <c r="J464" s="63">
        <f>I464-H464</f>
        <v>0.49999999999999994</v>
      </c>
      <c r="K464" s="60" t="s">
        <v>365</v>
      </c>
      <c r="L464" s="135">
        <f t="shared" si="31"/>
        <v>11.999999999999998</v>
      </c>
      <c r="M464" s="60"/>
      <c r="N464" s="60"/>
      <c r="O464" s="85" t="s">
        <v>304</v>
      </c>
      <c r="P464" s="88">
        <v>4</v>
      </c>
      <c r="Q464" s="60" t="s">
        <v>692</v>
      </c>
      <c r="V464" s="94"/>
      <c r="X464" s="90"/>
      <c r="Z464" s="101"/>
    </row>
    <row r="465" spans="1:137" s="16" customFormat="1" ht="14.45" customHeight="1" x14ac:dyDescent="0.2">
      <c r="A465" s="99">
        <v>45413</v>
      </c>
      <c r="B465" s="82">
        <v>45425</v>
      </c>
      <c r="C465" s="88" t="s">
        <v>45</v>
      </c>
      <c r="D465" s="60" t="s">
        <v>830</v>
      </c>
      <c r="E465" s="115" t="s">
        <v>693</v>
      </c>
      <c r="F465" s="60" t="s">
        <v>913</v>
      </c>
      <c r="G465" s="72" t="s">
        <v>142</v>
      </c>
      <c r="H465" s="83">
        <v>0</v>
      </c>
      <c r="I465" s="83">
        <v>0.54166666666666663</v>
      </c>
      <c r="J465" s="63">
        <v>0.27079999999999999</v>
      </c>
      <c r="K465" s="88" t="s">
        <v>110</v>
      </c>
      <c r="L465" s="135">
        <f t="shared" si="31"/>
        <v>6.4992000000000001</v>
      </c>
      <c r="M465" s="61"/>
      <c r="N465" s="60"/>
      <c r="O465" s="91" t="s">
        <v>363</v>
      </c>
      <c r="P465" s="88">
        <v>5</v>
      </c>
      <c r="Q465" s="60"/>
      <c r="R465" s="61"/>
      <c r="S465" s="61"/>
      <c r="T465" s="61"/>
      <c r="U465" s="61"/>
      <c r="V465" s="92"/>
      <c r="W465" s="61"/>
      <c r="X465" s="89"/>
      <c r="Y465" s="61"/>
      <c r="Z465" s="100"/>
      <c r="AA465" s="61"/>
      <c r="AB465" s="61"/>
      <c r="AC465" s="61"/>
      <c r="AD465" s="61"/>
      <c r="AE465" s="61"/>
      <c r="AF465" s="61"/>
      <c r="AG465" s="61"/>
      <c r="AH465" s="61"/>
      <c r="AI465" s="61"/>
      <c r="AJ465" s="61"/>
      <c r="AK465" s="61"/>
      <c r="AL465" s="61"/>
      <c r="AM465" s="61"/>
      <c r="AN465" s="61"/>
      <c r="AO465" s="61"/>
      <c r="AP465" s="61"/>
      <c r="AQ465" s="61"/>
      <c r="AR465" s="61"/>
      <c r="AS465" s="61"/>
      <c r="AT465" s="61"/>
      <c r="AU465" s="61"/>
      <c r="AV465" s="61"/>
      <c r="AW465" s="61"/>
      <c r="AX465" s="61"/>
      <c r="AY465" s="61"/>
      <c r="AZ465" s="61"/>
      <c r="BA465" s="61"/>
      <c r="BB465" s="61"/>
      <c r="BC465" s="61"/>
      <c r="BD465" s="61"/>
      <c r="BE465" s="61"/>
      <c r="BF465" s="61"/>
      <c r="BG465" s="61"/>
      <c r="BH465" s="61"/>
      <c r="BI465" s="61"/>
      <c r="BJ465" s="61"/>
      <c r="BK465" s="61"/>
      <c r="BL465" s="61"/>
      <c r="BM465" s="61"/>
      <c r="BN465" s="61"/>
      <c r="BO465" s="61"/>
      <c r="BP465" s="61"/>
      <c r="BQ465" s="61"/>
      <c r="BR465" s="61"/>
      <c r="BS465" s="61"/>
      <c r="BT465" s="61"/>
      <c r="BU465" s="61"/>
      <c r="BV465" s="61"/>
      <c r="BW465" s="61"/>
      <c r="BX465" s="61"/>
      <c r="BY465" s="61"/>
      <c r="BZ465" s="61"/>
      <c r="CA465" s="61"/>
      <c r="CB465" s="61"/>
      <c r="CC465" s="61"/>
      <c r="CD465" s="61"/>
      <c r="CE465" s="61"/>
      <c r="CF465" s="61"/>
      <c r="CG465" s="61"/>
      <c r="CH465" s="61"/>
      <c r="CI465" s="61"/>
      <c r="CJ465" s="61"/>
      <c r="CK465" s="61"/>
      <c r="CL465" s="61"/>
      <c r="CM465" s="61"/>
      <c r="CN465" s="61"/>
      <c r="CO465" s="61"/>
      <c r="CP465" s="61"/>
      <c r="CQ465" s="61"/>
      <c r="CR465" s="61"/>
      <c r="CS465" s="61"/>
      <c r="CT465" s="61"/>
      <c r="CU465" s="61"/>
      <c r="CV465" s="61"/>
      <c r="CW465" s="61"/>
      <c r="CX465" s="61"/>
      <c r="CY465" s="61"/>
      <c r="CZ465" s="61"/>
      <c r="DA465" s="61"/>
      <c r="DB465" s="61"/>
      <c r="DC465" s="61"/>
      <c r="DD465" s="61"/>
      <c r="DE465" s="61"/>
      <c r="DF465" s="61"/>
      <c r="DG465" s="61"/>
      <c r="DH465" s="61"/>
      <c r="DI465" s="61"/>
      <c r="DJ465" s="61"/>
      <c r="DK465" s="61"/>
      <c r="DL465" s="61"/>
      <c r="DM465" s="61"/>
      <c r="DN465" s="61"/>
      <c r="DO465" s="61"/>
      <c r="DP465" s="61"/>
      <c r="DQ465" s="61"/>
      <c r="DR465" s="61"/>
      <c r="DS465" s="61"/>
      <c r="DT465" s="61"/>
      <c r="DU465" s="61"/>
      <c r="DV465" s="61"/>
      <c r="DW465" s="61"/>
      <c r="DX465" s="61"/>
      <c r="DY465" s="61"/>
      <c r="DZ465" s="61"/>
      <c r="EA465" s="61"/>
      <c r="EB465" s="61"/>
      <c r="EC465" s="61"/>
      <c r="ED465" s="61"/>
      <c r="EE465" s="61"/>
      <c r="EF465" s="61"/>
      <c r="EG465" s="61"/>
    </row>
    <row r="466" spans="1:137" ht="14.45" customHeight="1" x14ac:dyDescent="0.2">
      <c r="A466" s="99">
        <v>45413</v>
      </c>
      <c r="B466" s="82">
        <v>45425</v>
      </c>
      <c r="C466" s="88" t="s">
        <v>45</v>
      </c>
      <c r="D466" s="60" t="s">
        <v>498</v>
      </c>
      <c r="E466" s="115" t="s">
        <v>446</v>
      </c>
      <c r="F466" s="60" t="s">
        <v>627</v>
      </c>
      <c r="G466" s="72" t="s">
        <v>142</v>
      </c>
      <c r="H466" s="83">
        <v>0.41666666666666669</v>
      </c>
      <c r="I466" s="83">
        <v>0.625</v>
      </c>
      <c r="J466" s="63">
        <v>0.27079999999999999</v>
      </c>
      <c r="K466" s="88" t="s">
        <v>110</v>
      </c>
      <c r="L466" s="135">
        <f t="shared" si="31"/>
        <v>6.4992000000000001</v>
      </c>
      <c r="N466" s="60"/>
      <c r="O466" s="91" t="s">
        <v>363</v>
      </c>
      <c r="P466" s="88">
        <v>5</v>
      </c>
      <c r="Q466" s="60"/>
      <c r="V466" s="86"/>
      <c r="Z466" s="100"/>
    </row>
    <row r="467" spans="1:137" s="16" customFormat="1" ht="14.45" customHeight="1" x14ac:dyDescent="0.2">
      <c r="A467" s="99">
        <v>45413</v>
      </c>
      <c r="B467" s="82">
        <v>45425</v>
      </c>
      <c r="C467" s="88" t="s">
        <v>45</v>
      </c>
      <c r="D467" s="60" t="s">
        <v>830</v>
      </c>
      <c r="E467" s="115" t="s">
        <v>693</v>
      </c>
      <c r="F467" s="60" t="s">
        <v>912</v>
      </c>
      <c r="G467" s="72" t="s">
        <v>142</v>
      </c>
      <c r="H467" s="83">
        <v>0.41666666666666669</v>
      </c>
      <c r="I467" s="83">
        <v>0.54166666666666663</v>
      </c>
      <c r="J467" s="63">
        <v>0.27079999999999999</v>
      </c>
      <c r="K467" s="88" t="s">
        <v>113</v>
      </c>
      <c r="L467" s="135">
        <f t="shared" si="31"/>
        <v>6.4992000000000001</v>
      </c>
      <c r="M467" s="61"/>
      <c r="N467" s="60"/>
      <c r="O467" s="91" t="s">
        <v>539</v>
      </c>
      <c r="P467" s="88">
        <v>5</v>
      </c>
      <c r="Q467" s="60"/>
      <c r="R467" s="61"/>
      <c r="S467" s="61"/>
      <c r="T467" s="61"/>
      <c r="U467" s="61"/>
      <c r="V467" s="92"/>
      <c r="W467" s="61"/>
      <c r="X467" s="89"/>
      <c r="Y467" s="61"/>
      <c r="Z467" s="100"/>
      <c r="AA467" s="61"/>
      <c r="AB467" s="61"/>
      <c r="AC467" s="61"/>
      <c r="AD467" s="61"/>
      <c r="AE467" s="61"/>
      <c r="AF467" s="61"/>
      <c r="AG467" s="61"/>
      <c r="AH467" s="61"/>
      <c r="AI467" s="61"/>
      <c r="AJ467" s="61"/>
      <c r="AK467" s="61"/>
      <c r="AL467" s="61"/>
      <c r="AM467" s="61"/>
      <c r="AN467" s="61"/>
      <c r="AO467" s="61"/>
      <c r="AP467" s="61"/>
      <c r="AQ467" s="61"/>
      <c r="AR467" s="61"/>
      <c r="AS467" s="61"/>
      <c r="AT467" s="61"/>
      <c r="AU467" s="61"/>
      <c r="AV467" s="61"/>
      <c r="AW467" s="61"/>
      <c r="AX467" s="61"/>
      <c r="AY467" s="61"/>
      <c r="AZ467" s="61"/>
      <c r="BA467" s="61"/>
      <c r="BB467" s="61"/>
      <c r="BC467" s="61"/>
      <c r="BD467" s="61"/>
      <c r="BE467" s="61"/>
      <c r="BF467" s="61"/>
      <c r="BG467" s="61"/>
      <c r="BH467" s="61"/>
      <c r="BI467" s="61"/>
      <c r="BJ467" s="61"/>
      <c r="BK467" s="61"/>
      <c r="BL467" s="61"/>
      <c r="BM467" s="61"/>
      <c r="BN467" s="61"/>
      <c r="BO467" s="61"/>
      <c r="BP467" s="61"/>
      <c r="BQ467" s="61"/>
      <c r="BR467" s="61"/>
      <c r="BS467" s="61"/>
      <c r="BT467" s="61"/>
      <c r="BU467" s="61"/>
      <c r="BV467" s="61"/>
      <c r="BW467" s="61"/>
      <c r="BX467" s="61"/>
      <c r="BY467" s="61"/>
      <c r="BZ467" s="61"/>
      <c r="CA467" s="61"/>
      <c r="CB467" s="61"/>
      <c r="CC467" s="61"/>
      <c r="CD467" s="61"/>
      <c r="CE467" s="61"/>
      <c r="CF467" s="61"/>
      <c r="CG467" s="61"/>
      <c r="CH467" s="61"/>
      <c r="CI467" s="61"/>
      <c r="CJ467" s="61"/>
      <c r="CK467" s="61"/>
      <c r="CL467" s="61"/>
      <c r="CM467" s="61"/>
      <c r="CN467" s="61"/>
      <c r="CO467" s="61"/>
      <c r="CP467" s="61"/>
      <c r="CQ467" s="61"/>
      <c r="CR467" s="61"/>
      <c r="CS467" s="61"/>
      <c r="CT467" s="61"/>
      <c r="CU467" s="61"/>
      <c r="CV467" s="61"/>
      <c r="CW467" s="61"/>
      <c r="CX467" s="61"/>
      <c r="CY467" s="61"/>
      <c r="CZ467" s="61"/>
      <c r="DA467" s="61"/>
      <c r="DB467" s="61"/>
      <c r="DC467" s="61"/>
      <c r="DD467" s="61"/>
      <c r="DE467" s="61"/>
      <c r="DF467" s="61"/>
      <c r="DG467" s="61"/>
      <c r="DH467" s="61"/>
      <c r="DI467" s="61"/>
      <c r="DJ467" s="61"/>
      <c r="DK467" s="61"/>
      <c r="DL467" s="61"/>
      <c r="DM467" s="61"/>
      <c r="DN467" s="61"/>
      <c r="DO467" s="61"/>
      <c r="DP467" s="61"/>
      <c r="DQ467" s="61"/>
      <c r="DR467" s="61"/>
      <c r="DS467" s="61"/>
      <c r="DT467" s="61"/>
      <c r="DU467" s="61"/>
      <c r="DV467" s="61"/>
      <c r="DW467" s="61"/>
      <c r="DX467" s="61"/>
      <c r="DY467" s="61"/>
      <c r="DZ467" s="61"/>
      <c r="EA467" s="61"/>
      <c r="EB467" s="61"/>
      <c r="EC467" s="61"/>
      <c r="ED467" s="61"/>
      <c r="EE467" s="61"/>
      <c r="EF467" s="61"/>
      <c r="EG467" s="61"/>
    </row>
    <row r="468" spans="1:137" x14ac:dyDescent="0.2">
      <c r="A468" s="99">
        <v>45413</v>
      </c>
      <c r="B468" s="82">
        <v>45425</v>
      </c>
      <c r="C468" s="88" t="s">
        <v>45</v>
      </c>
      <c r="D468" s="60" t="s">
        <v>499</v>
      </c>
      <c r="E468" s="116" t="s">
        <v>694</v>
      </c>
      <c r="F468" s="72" t="s">
        <v>695</v>
      </c>
      <c r="G468" s="72" t="s">
        <v>142</v>
      </c>
      <c r="H468" s="83">
        <v>0.52083333333333337</v>
      </c>
      <c r="I468" s="83">
        <v>0.625</v>
      </c>
      <c r="J468" s="63">
        <f>I468-H468</f>
        <v>0.10416666666666663</v>
      </c>
      <c r="K468" s="88" t="s">
        <v>300</v>
      </c>
      <c r="L468" s="135">
        <f t="shared" si="31"/>
        <v>2.4999999999999991</v>
      </c>
      <c r="M468" s="60"/>
      <c r="N468" s="60"/>
      <c r="O468" s="91" t="s">
        <v>576</v>
      </c>
      <c r="P468" s="88">
        <v>5</v>
      </c>
      <c r="Q468" s="60"/>
      <c r="Z468" s="100"/>
    </row>
    <row r="469" spans="1:137" s="97" customFormat="1" x14ac:dyDescent="0.25">
      <c r="A469" s="99">
        <v>45413</v>
      </c>
      <c r="B469" s="82">
        <v>45425</v>
      </c>
      <c r="C469" s="88" t="s">
        <v>45</v>
      </c>
      <c r="D469" s="60" t="s">
        <v>32</v>
      </c>
      <c r="E469" s="115" t="s">
        <v>555</v>
      </c>
      <c r="F469" s="60" t="s">
        <v>696</v>
      </c>
      <c r="G469" s="72" t="s">
        <v>142</v>
      </c>
      <c r="H469" s="83">
        <v>0.47916666666666669</v>
      </c>
      <c r="I469" s="83">
        <v>0.5625</v>
      </c>
      <c r="J469" s="63">
        <f>I469-H469</f>
        <v>8.3333333333333315E-2</v>
      </c>
      <c r="K469" s="88" t="s">
        <v>365</v>
      </c>
      <c r="L469" s="135">
        <f t="shared" si="31"/>
        <v>1.9999999999999996</v>
      </c>
      <c r="M469" s="60"/>
      <c r="N469" s="60"/>
      <c r="O469" s="91" t="s">
        <v>576</v>
      </c>
      <c r="P469" s="88">
        <v>5</v>
      </c>
      <c r="Q469" s="60"/>
      <c r="R469" s="88"/>
      <c r="S469" s="88"/>
      <c r="T469" s="88"/>
      <c r="U469" s="88"/>
      <c r="V469" s="94"/>
      <c r="W469" s="88"/>
      <c r="X469" s="90"/>
      <c r="Y469" s="88"/>
      <c r="Z469" s="101"/>
      <c r="AA469" s="88"/>
      <c r="AB469" s="88"/>
      <c r="AC469" s="88"/>
      <c r="AD469" s="88"/>
      <c r="AE469" s="88"/>
      <c r="AF469" s="88"/>
      <c r="AG469" s="88"/>
      <c r="AH469" s="88"/>
      <c r="AI469" s="88"/>
      <c r="AJ469" s="88"/>
      <c r="AK469" s="88"/>
      <c r="AL469" s="88"/>
      <c r="AM469" s="88"/>
      <c r="AN469" s="88"/>
      <c r="AO469" s="88"/>
      <c r="AP469" s="88"/>
      <c r="AQ469" s="88"/>
      <c r="AR469" s="88"/>
      <c r="AS469" s="88"/>
      <c r="AT469" s="88"/>
      <c r="AU469" s="88"/>
      <c r="AV469" s="88"/>
      <c r="AW469" s="88"/>
      <c r="AX469" s="88"/>
      <c r="AY469" s="88"/>
      <c r="AZ469" s="88"/>
      <c r="BA469" s="88"/>
      <c r="BB469" s="88"/>
      <c r="BC469" s="88"/>
      <c r="BD469" s="88"/>
      <c r="BE469" s="88"/>
      <c r="BF469" s="88"/>
      <c r="BG469" s="88"/>
      <c r="BH469" s="88"/>
      <c r="BI469" s="88"/>
      <c r="BJ469" s="88"/>
      <c r="BK469" s="88"/>
      <c r="BL469" s="88"/>
      <c r="BM469" s="88"/>
      <c r="BN469" s="88"/>
      <c r="BO469" s="88"/>
      <c r="BP469" s="88"/>
      <c r="BQ469" s="88"/>
      <c r="BR469" s="88"/>
      <c r="BS469" s="88"/>
      <c r="BT469" s="88"/>
      <c r="BU469" s="88"/>
      <c r="BV469" s="88"/>
      <c r="BW469" s="88"/>
      <c r="BX469" s="88"/>
      <c r="BY469" s="88"/>
      <c r="BZ469" s="88"/>
      <c r="CA469" s="88"/>
      <c r="CB469" s="88"/>
      <c r="CC469" s="88"/>
      <c r="CD469" s="88"/>
      <c r="CE469" s="88"/>
      <c r="CF469" s="88"/>
      <c r="CG469" s="88"/>
      <c r="CH469" s="88"/>
      <c r="CI469" s="88"/>
      <c r="CJ469" s="88"/>
      <c r="CK469" s="88"/>
      <c r="CL469" s="88"/>
      <c r="CM469" s="88"/>
      <c r="CN469" s="88"/>
      <c r="CO469" s="88"/>
      <c r="CP469" s="88"/>
      <c r="CQ469" s="88"/>
      <c r="CR469" s="88"/>
      <c r="CS469" s="88"/>
      <c r="CT469" s="88"/>
      <c r="CU469" s="88"/>
      <c r="CV469" s="88"/>
      <c r="CW469" s="88"/>
      <c r="CX469" s="88"/>
      <c r="CY469" s="88"/>
      <c r="CZ469" s="88"/>
      <c r="DA469" s="88"/>
      <c r="DB469" s="88"/>
      <c r="DC469" s="88"/>
      <c r="DD469" s="88"/>
      <c r="DE469" s="88"/>
      <c r="DF469" s="88"/>
      <c r="DG469" s="88"/>
      <c r="DH469" s="88"/>
      <c r="DI469" s="88"/>
      <c r="DJ469" s="88"/>
      <c r="DK469" s="88"/>
      <c r="DL469" s="88"/>
      <c r="DM469" s="88"/>
      <c r="DN469" s="88"/>
      <c r="DO469" s="88"/>
      <c r="DP469" s="88"/>
      <c r="DQ469" s="88"/>
      <c r="DR469" s="88"/>
      <c r="DS469" s="88"/>
      <c r="DT469" s="88"/>
      <c r="DU469" s="88"/>
      <c r="DV469" s="88"/>
      <c r="DW469" s="88"/>
      <c r="DX469" s="88"/>
      <c r="DY469" s="88"/>
      <c r="DZ469" s="88"/>
      <c r="EA469" s="88"/>
      <c r="EB469" s="88"/>
      <c r="EC469" s="88"/>
      <c r="ED469" s="88"/>
      <c r="EE469" s="88"/>
      <c r="EF469" s="88"/>
      <c r="EG469" s="88"/>
    </row>
    <row r="470" spans="1:137" s="97" customFormat="1" x14ac:dyDescent="0.25">
      <c r="A470" s="99">
        <v>45413</v>
      </c>
      <c r="B470" s="82">
        <v>45426</v>
      </c>
      <c r="C470" s="88" t="s">
        <v>106</v>
      </c>
      <c r="D470" s="60" t="s">
        <v>32</v>
      </c>
      <c r="E470" s="115" t="s">
        <v>661</v>
      </c>
      <c r="F470" s="60" t="s">
        <v>697</v>
      </c>
      <c r="G470" s="72" t="s">
        <v>142</v>
      </c>
      <c r="H470" s="83">
        <v>0.47916666666666669</v>
      </c>
      <c r="I470" s="83">
        <v>0.5</v>
      </c>
      <c r="J470" s="63">
        <f>I470-H470</f>
        <v>2.0833333333333315E-2</v>
      </c>
      <c r="K470" s="88" t="s">
        <v>365</v>
      </c>
      <c r="L470" s="135">
        <f t="shared" si="31"/>
        <v>0.49999999999999956</v>
      </c>
      <c r="M470" s="60"/>
      <c r="N470" s="60"/>
      <c r="O470" s="91" t="s">
        <v>820</v>
      </c>
      <c r="P470" s="88">
        <v>5</v>
      </c>
      <c r="Q470" s="60"/>
      <c r="R470" s="88"/>
      <c r="S470" s="88"/>
      <c r="T470" s="88"/>
      <c r="U470" s="88"/>
      <c r="V470" s="94"/>
      <c r="W470" s="88"/>
      <c r="X470" s="90"/>
      <c r="Y470" s="88"/>
      <c r="Z470" s="101"/>
      <c r="AA470" s="88"/>
      <c r="AB470" s="88"/>
      <c r="AC470" s="88"/>
      <c r="AD470" s="88"/>
      <c r="AE470" s="88"/>
      <c r="AF470" s="88"/>
      <c r="AG470" s="88"/>
      <c r="AH470" s="88"/>
      <c r="AI470" s="88"/>
      <c r="AJ470" s="88"/>
      <c r="AK470" s="88"/>
      <c r="AL470" s="88"/>
      <c r="AM470" s="88"/>
      <c r="AN470" s="88"/>
      <c r="AO470" s="88"/>
      <c r="AP470" s="88"/>
      <c r="AQ470" s="88"/>
      <c r="AR470" s="88"/>
      <c r="AS470" s="88"/>
      <c r="AT470" s="88"/>
      <c r="AU470" s="88"/>
      <c r="AV470" s="88"/>
      <c r="AW470" s="88"/>
      <c r="AX470" s="88"/>
      <c r="AY470" s="88"/>
      <c r="AZ470" s="88"/>
      <c r="BA470" s="88"/>
      <c r="BB470" s="88"/>
      <c r="BC470" s="88"/>
      <c r="BD470" s="88"/>
      <c r="BE470" s="88"/>
      <c r="BF470" s="88"/>
      <c r="BG470" s="88"/>
      <c r="BH470" s="88"/>
      <c r="BI470" s="88"/>
      <c r="BJ470" s="88"/>
      <c r="BK470" s="88"/>
      <c r="BL470" s="88"/>
      <c r="BM470" s="88"/>
      <c r="BN470" s="88"/>
      <c r="BO470" s="88"/>
      <c r="BP470" s="88"/>
      <c r="BQ470" s="88"/>
      <c r="BR470" s="88"/>
      <c r="BS470" s="88"/>
      <c r="BT470" s="88"/>
      <c r="BU470" s="88"/>
      <c r="BV470" s="88"/>
      <c r="BW470" s="88"/>
      <c r="BX470" s="88"/>
      <c r="BY470" s="88"/>
      <c r="BZ470" s="88"/>
      <c r="CA470" s="88"/>
      <c r="CB470" s="88"/>
      <c r="CC470" s="88"/>
      <c r="CD470" s="88"/>
      <c r="CE470" s="88"/>
      <c r="CF470" s="88"/>
      <c r="CG470" s="88"/>
      <c r="CH470" s="88"/>
      <c r="CI470" s="88"/>
      <c r="CJ470" s="88"/>
      <c r="CK470" s="88"/>
      <c r="CL470" s="88"/>
      <c r="CM470" s="88"/>
      <c r="CN470" s="88"/>
      <c r="CO470" s="88"/>
      <c r="CP470" s="88"/>
      <c r="CQ470" s="88"/>
      <c r="CR470" s="88"/>
      <c r="CS470" s="88"/>
      <c r="CT470" s="88"/>
      <c r="CU470" s="88"/>
      <c r="CV470" s="88"/>
      <c r="CW470" s="88"/>
      <c r="CX470" s="88"/>
      <c r="CY470" s="88"/>
      <c r="CZ470" s="88"/>
      <c r="DA470" s="88"/>
      <c r="DB470" s="88"/>
      <c r="DC470" s="88"/>
      <c r="DD470" s="88"/>
      <c r="DE470" s="88"/>
      <c r="DF470" s="88"/>
      <c r="DG470" s="88"/>
      <c r="DH470" s="88"/>
      <c r="DI470" s="88"/>
      <c r="DJ470" s="88"/>
      <c r="DK470" s="88"/>
      <c r="DL470" s="88"/>
      <c r="DM470" s="88"/>
      <c r="DN470" s="88"/>
      <c r="DO470" s="88"/>
      <c r="DP470" s="88"/>
      <c r="DQ470" s="88"/>
      <c r="DR470" s="88"/>
      <c r="DS470" s="88"/>
      <c r="DT470" s="88"/>
      <c r="DU470" s="88"/>
      <c r="DV470" s="88"/>
      <c r="DW470" s="88"/>
      <c r="DX470" s="88"/>
      <c r="DY470" s="88"/>
      <c r="DZ470" s="88"/>
      <c r="EA470" s="88"/>
      <c r="EB470" s="88"/>
      <c r="EC470" s="88"/>
      <c r="ED470" s="88"/>
      <c r="EE470" s="88"/>
      <c r="EF470" s="88"/>
      <c r="EG470" s="88"/>
    </row>
    <row r="471" spans="1:137" s="88" customFormat="1" x14ac:dyDescent="0.25">
      <c r="A471" s="99">
        <v>45413</v>
      </c>
      <c r="B471" s="82">
        <v>45426</v>
      </c>
      <c r="C471" s="88" t="s">
        <v>106</v>
      </c>
      <c r="D471" s="60" t="s">
        <v>98</v>
      </c>
      <c r="E471" s="115" t="s">
        <v>449</v>
      </c>
      <c r="F471" s="60" t="s">
        <v>690</v>
      </c>
      <c r="G471" s="72" t="s">
        <v>142</v>
      </c>
      <c r="H471" s="83">
        <v>0.4375</v>
      </c>
      <c r="I471" s="83">
        <v>0.625</v>
      </c>
      <c r="J471" s="63">
        <f>I471-H471</f>
        <v>0.1875</v>
      </c>
      <c r="K471" s="60" t="s">
        <v>113</v>
      </c>
      <c r="L471" s="135">
        <f t="shared" si="31"/>
        <v>4.5</v>
      </c>
      <c r="M471" s="60"/>
      <c r="N471" s="60"/>
      <c r="O471" s="91" t="s">
        <v>576</v>
      </c>
      <c r="P471" s="88">
        <v>4</v>
      </c>
      <c r="Q471" s="60" t="s">
        <v>334</v>
      </c>
      <c r="V471" s="94"/>
      <c r="X471" s="90"/>
      <c r="Z471" s="101"/>
    </row>
    <row r="472" spans="1:137" x14ac:dyDescent="0.2">
      <c r="A472" s="99">
        <v>45413</v>
      </c>
      <c r="B472" s="82">
        <v>45426</v>
      </c>
      <c r="C472" s="88" t="s">
        <v>106</v>
      </c>
      <c r="D472" s="60" t="s">
        <v>445</v>
      </c>
      <c r="E472" s="115" t="s">
        <v>625</v>
      </c>
      <c r="F472" s="60" t="s">
        <v>379</v>
      </c>
      <c r="G472" s="72" t="s">
        <v>142</v>
      </c>
      <c r="H472" s="83">
        <v>0.54166666666666663</v>
      </c>
      <c r="I472" s="83">
        <v>0.625</v>
      </c>
      <c r="J472" s="63">
        <f>I472-H472</f>
        <v>8.333333333333337E-2</v>
      </c>
      <c r="K472" s="88" t="s">
        <v>365</v>
      </c>
      <c r="L472" s="135">
        <f t="shared" si="31"/>
        <v>2.0000000000000009</v>
      </c>
      <c r="M472" s="60"/>
      <c r="N472" s="60"/>
      <c r="O472" s="91" t="s">
        <v>363</v>
      </c>
      <c r="P472" s="88">
        <v>5</v>
      </c>
      <c r="Q472" s="88"/>
      <c r="V472" s="93" t="s">
        <v>279</v>
      </c>
      <c r="Z472" s="100"/>
    </row>
    <row r="473" spans="1:137" ht="14.45" customHeight="1" x14ac:dyDescent="0.2">
      <c r="A473" s="99">
        <v>45413</v>
      </c>
      <c r="B473" s="82">
        <v>45426</v>
      </c>
      <c r="C473" s="88" t="s">
        <v>106</v>
      </c>
      <c r="D473" s="60" t="s">
        <v>498</v>
      </c>
      <c r="E473" s="115" t="s">
        <v>446</v>
      </c>
      <c r="F473" s="60" t="s">
        <v>627</v>
      </c>
      <c r="G473" s="72" t="s">
        <v>142</v>
      </c>
      <c r="H473" s="83">
        <v>0.41666666666666669</v>
      </c>
      <c r="I473" s="83">
        <v>0.625</v>
      </c>
      <c r="J473" s="63">
        <v>0.27079999999999999</v>
      </c>
      <c r="K473" s="88" t="s">
        <v>110</v>
      </c>
      <c r="L473" s="135">
        <f t="shared" si="31"/>
        <v>6.4992000000000001</v>
      </c>
      <c r="N473" s="60"/>
      <c r="O473" s="91" t="s">
        <v>363</v>
      </c>
      <c r="P473" s="88">
        <v>5</v>
      </c>
      <c r="Q473" s="60"/>
      <c r="V473" s="86"/>
      <c r="Z473" s="100"/>
    </row>
    <row r="474" spans="1:137" s="88" customFormat="1" x14ac:dyDescent="0.25">
      <c r="A474" s="99">
        <v>45413</v>
      </c>
      <c r="B474" s="82">
        <v>45426</v>
      </c>
      <c r="C474" s="88" t="s">
        <v>106</v>
      </c>
      <c r="D474" s="60" t="s">
        <v>98</v>
      </c>
      <c r="E474" s="115" t="s">
        <v>689</v>
      </c>
      <c r="F474" s="60" t="s">
        <v>690</v>
      </c>
      <c r="G474" s="72" t="s">
        <v>142</v>
      </c>
      <c r="H474" s="83">
        <v>0.41666666666666669</v>
      </c>
      <c r="I474" s="83">
        <v>0.91666666666666663</v>
      </c>
      <c r="J474" s="63">
        <f t="shared" ref="J474:J488" si="32">I474-H474</f>
        <v>0.49999999999999994</v>
      </c>
      <c r="K474" s="60" t="s">
        <v>365</v>
      </c>
      <c r="L474" s="135">
        <f t="shared" si="31"/>
        <v>11.999999999999998</v>
      </c>
      <c r="M474" s="60"/>
      <c r="N474" s="60"/>
      <c r="O474" s="85" t="s">
        <v>304</v>
      </c>
      <c r="P474" s="88">
        <v>5</v>
      </c>
      <c r="Q474" s="60"/>
      <c r="V474" s="94"/>
      <c r="X474" s="90"/>
      <c r="Z474" s="101"/>
    </row>
    <row r="475" spans="1:137" s="88" customFormat="1" x14ac:dyDescent="0.25">
      <c r="A475" s="99">
        <v>45413</v>
      </c>
      <c r="B475" s="82">
        <v>45426</v>
      </c>
      <c r="C475" s="88" t="s">
        <v>106</v>
      </c>
      <c r="D475" s="60" t="s">
        <v>98</v>
      </c>
      <c r="E475" s="115" t="s">
        <v>698</v>
      </c>
      <c r="F475" s="60" t="s">
        <v>699</v>
      </c>
      <c r="G475" s="72" t="s">
        <v>142</v>
      </c>
      <c r="H475" s="83">
        <v>0.70833333333333337</v>
      </c>
      <c r="I475" s="83">
        <v>0.75</v>
      </c>
      <c r="J475" s="63">
        <f t="shared" si="32"/>
        <v>4.166666666666663E-2</v>
      </c>
      <c r="K475" s="60" t="s">
        <v>365</v>
      </c>
      <c r="L475" s="135">
        <f t="shared" si="31"/>
        <v>0.99999999999999911</v>
      </c>
      <c r="M475" s="60"/>
      <c r="N475" s="60"/>
      <c r="O475" s="85" t="s">
        <v>304</v>
      </c>
      <c r="P475" s="88">
        <v>5</v>
      </c>
      <c r="Q475" s="60"/>
      <c r="V475" s="94"/>
      <c r="X475" s="90"/>
      <c r="Z475" s="101"/>
    </row>
    <row r="476" spans="1:137" s="88" customFormat="1" x14ac:dyDescent="0.25">
      <c r="A476" s="99">
        <v>45413</v>
      </c>
      <c r="B476" s="82">
        <v>45426</v>
      </c>
      <c r="C476" s="88" t="s">
        <v>106</v>
      </c>
      <c r="D476" s="60" t="s">
        <v>702</v>
      </c>
      <c r="E476" s="115" t="s">
        <v>700</v>
      </c>
      <c r="F476" s="60" t="s">
        <v>701</v>
      </c>
      <c r="G476" s="72" t="s">
        <v>142</v>
      </c>
      <c r="H476" s="83">
        <v>0.41666666666666669</v>
      </c>
      <c r="I476" s="83">
        <v>0.83333333333333337</v>
      </c>
      <c r="J476" s="63">
        <f t="shared" si="32"/>
        <v>0.41666666666666669</v>
      </c>
      <c r="K476" s="88" t="s">
        <v>366</v>
      </c>
      <c r="L476" s="135">
        <f t="shared" si="31"/>
        <v>10</v>
      </c>
      <c r="M476" s="60"/>
      <c r="N476" s="60"/>
      <c r="O476" s="91" t="s">
        <v>358</v>
      </c>
      <c r="P476" s="88">
        <v>5</v>
      </c>
      <c r="Q476" s="60"/>
      <c r="V476" s="94"/>
      <c r="X476" s="90"/>
      <c r="Z476" s="101"/>
    </row>
    <row r="477" spans="1:137" s="88" customFormat="1" x14ac:dyDescent="0.25">
      <c r="A477" s="99">
        <v>45413</v>
      </c>
      <c r="B477" s="82">
        <v>45426</v>
      </c>
      <c r="C477" s="88" t="s">
        <v>106</v>
      </c>
      <c r="D477" s="60" t="s">
        <v>325</v>
      </c>
      <c r="E477" s="115" t="s">
        <v>703</v>
      </c>
      <c r="F477" s="60" t="s">
        <v>704</v>
      </c>
      <c r="G477" s="72" t="s">
        <v>142</v>
      </c>
      <c r="H477" s="83">
        <v>0.45833333333333331</v>
      </c>
      <c r="I477" s="83">
        <v>0.70833333333333337</v>
      </c>
      <c r="J477" s="63">
        <f t="shared" si="32"/>
        <v>0.25000000000000006</v>
      </c>
      <c r="K477" s="88" t="s">
        <v>113</v>
      </c>
      <c r="L477" s="135">
        <f t="shared" si="31"/>
        <v>6.0000000000000018</v>
      </c>
      <c r="M477" s="60"/>
      <c r="N477" s="60"/>
      <c r="O477" s="91" t="s">
        <v>539</v>
      </c>
      <c r="P477" s="88">
        <v>5</v>
      </c>
      <c r="Q477" s="60"/>
      <c r="V477" s="94"/>
      <c r="X477" s="90"/>
      <c r="Z477" s="101"/>
    </row>
    <row r="478" spans="1:137" s="97" customFormat="1" x14ac:dyDescent="0.25">
      <c r="A478" s="99">
        <v>45413</v>
      </c>
      <c r="B478" s="82">
        <v>45427</v>
      </c>
      <c r="C478" s="60" t="s">
        <v>398</v>
      </c>
      <c r="D478" s="60" t="s">
        <v>32</v>
      </c>
      <c r="E478" s="115" t="s">
        <v>661</v>
      </c>
      <c r="F478" s="60" t="s">
        <v>705</v>
      </c>
      <c r="G478" s="72" t="s">
        <v>142</v>
      </c>
      <c r="H478" s="83">
        <v>0.52083333333333337</v>
      </c>
      <c r="I478" s="83">
        <v>0.625</v>
      </c>
      <c r="J478" s="63">
        <f t="shared" si="32"/>
        <v>0.10416666666666663</v>
      </c>
      <c r="K478" s="88" t="s">
        <v>365</v>
      </c>
      <c r="L478" s="135">
        <f t="shared" si="31"/>
        <v>2.4999999999999991</v>
      </c>
      <c r="M478" s="60"/>
      <c r="N478" s="60"/>
      <c r="O478" s="91" t="s">
        <v>359</v>
      </c>
      <c r="P478" s="88">
        <v>5</v>
      </c>
      <c r="Q478" s="60"/>
      <c r="R478" s="88"/>
      <c r="S478" s="88"/>
      <c r="T478" s="88"/>
      <c r="U478" s="88"/>
      <c r="V478" s="94"/>
      <c r="W478" s="88"/>
      <c r="X478" s="90"/>
      <c r="Y478" s="88"/>
      <c r="Z478" s="101"/>
      <c r="AA478" s="88"/>
      <c r="AB478" s="88"/>
      <c r="AC478" s="88"/>
      <c r="AD478" s="88"/>
      <c r="AE478" s="88"/>
      <c r="AF478" s="88"/>
      <c r="AG478" s="88"/>
      <c r="AH478" s="88"/>
      <c r="AI478" s="88"/>
      <c r="AJ478" s="88"/>
      <c r="AK478" s="88"/>
      <c r="AL478" s="88"/>
      <c r="AM478" s="88"/>
      <c r="AN478" s="88"/>
      <c r="AO478" s="88"/>
      <c r="AP478" s="88"/>
      <c r="AQ478" s="88"/>
      <c r="AR478" s="88"/>
      <c r="AS478" s="88"/>
      <c r="AT478" s="88"/>
      <c r="AU478" s="88"/>
      <c r="AV478" s="88"/>
      <c r="AW478" s="88"/>
      <c r="AX478" s="88"/>
      <c r="AY478" s="88"/>
      <c r="AZ478" s="88"/>
      <c r="BA478" s="88"/>
      <c r="BB478" s="88"/>
      <c r="BC478" s="88"/>
      <c r="BD478" s="88"/>
      <c r="BE478" s="88"/>
      <c r="BF478" s="88"/>
      <c r="BG478" s="88"/>
      <c r="BH478" s="88"/>
      <c r="BI478" s="88"/>
      <c r="BJ478" s="88"/>
      <c r="BK478" s="88"/>
      <c r="BL478" s="88"/>
      <c r="BM478" s="88"/>
      <c r="BN478" s="88"/>
      <c r="BO478" s="88"/>
      <c r="BP478" s="88"/>
      <c r="BQ478" s="88"/>
      <c r="BR478" s="88"/>
      <c r="BS478" s="88"/>
      <c r="BT478" s="88"/>
      <c r="BU478" s="88"/>
      <c r="BV478" s="88"/>
      <c r="BW478" s="88"/>
      <c r="BX478" s="88"/>
      <c r="BY478" s="88"/>
      <c r="BZ478" s="88"/>
      <c r="CA478" s="88"/>
      <c r="CB478" s="88"/>
      <c r="CC478" s="88"/>
      <c r="CD478" s="88"/>
      <c r="CE478" s="88"/>
      <c r="CF478" s="88"/>
      <c r="CG478" s="88"/>
      <c r="CH478" s="88"/>
      <c r="CI478" s="88"/>
      <c r="CJ478" s="88"/>
      <c r="CK478" s="88"/>
      <c r="CL478" s="88"/>
      <c r="CM478" s="88"/>
      <c r="CN478" s="88"/>
      <c r="CO478" s="88"/>
      <c r="CP478" s="88"/>
      <c r="CQ478" s="88"/>
      <c r="CR478" s="88"/>
      <c r="CS478" s="88"/>
      <c r="CT478" s="88"/>
      <c r="CU478" s="88"/>
      <c r="CV478" s="88"/>
      <c r="CW478" s="88"/>
      <c r="CX478" s="88"/>
      <c r="CY478" s="88"/>
      <c r="CZ478" s="88"/>
      <c r="DA478" s="88"/>
      <c r="DB478" s="88"/>
      <c r="DC478" s="88"/>
      <c r="DD478" s="88"/>
      <c r="DE478" s="88"/>
      <c r="DF478" s="88"/>
      <c r="DG478" s="88"/>
      <c r="DH478" s="88"/>
      <c r="DI478" s="88"/>
      <c r="DJ478" s="88"/>
      <c r="DK478" s="88"/>
      <c r="DL478" s="88"/>
      <c r="DM478" s="88"/>
      <c r="DN478" s="88"/>
      <c r="DO478" s="88"/>
      <c r="DP478" s="88"/>
      <c r="DQ478" s="88"/>
      <c r="DR478" s="88"/>
      <c r="DS478" s="88"/>
      <c r="DT478" s="88"/>
      <c r="DU478" s="88"/>
      <c r="DV478" s="88"/>
      <c r="DW478" s="88"/>
      <c r="DX478" s="88"/>
      <c r="DY478" s="88"/>
      <c r="DZ478" s="88"/>
      <c r="EA478" s="88"/>
      <c r="EB478" s="88"/>
      <c r="EC478" s="88"/>
      <c r="ED478" s="88"/>
      <c r="EE478" s="88"/>
      <c r="EF478" s="88"/>
      <c r="EG478" s="88"/>
    </row>
    <row r="479" spans="1:137" s="88" customFormat="1" x14ac:dyDescent="0.25">
      <c r="A479" s="99">
        <v>45413</v>
      </c>
      <c r="B479" s="82">
        <v>45427</v>
      </c>
      <c r="C479" s="60" t="s">
        <v>398</v>
      </c>
      <c r="D479" s="60" t="s">
        <v>702</v>
      </c>
      <c r="E479" s="115" t="s">
        <v>700</v>
      </c>
      <c r="F479" s="60" t="s">
        <v>701</v>
      </c>
      <c r="G479" s="84" t="s">
        <v>822</v>
      </c>
      <c r="H479" s="83">
        <v>0.41666666666666669</v>
      </c>
      <c r="I479" s="83">
        <v>0.45833333333333331</v>
      </c>
      <c r="J479" s="63">
        <f t="shared" si="32"/>
        <v>4.166666666666663E-2</v>
      </c>
      <c r="K479" s="88" t="s">
        <v>366</v>
      </c>
      <c r="L479" s="135">
        <f t="shared" si="31"/>
        <v>0.99999999999999911</v>
      </c>
      <c r="M479" s="60"/>
      <c r="N479" s="60"/>
      <c r="O479" s="91" t="s">
        <v>363</v>
      </c>
      <c r="P479" s="88">
        <v>5</v>
      </c>
      <c r="Q479" s="60"/>
      <c r="V479" s="94"/>
      <c r="X479" s="90"/>
      <c r="Z479" s="101"/>
    </row>
    <row r="480" spans="1:137" s="97" customFormat="1" x14ac:dyDescent="0.25">
      <c r="A480" s="99">
        <v>45413</v>
      </c>
      <c r="B480" s="82">
        <v>45427</v>
      </c>
      <c r="C480" s="60" t="s">
        <v>398</v>
      </c>
      <c r="D480" s="60" t="s">
        <v>32</v>
      </c>
      <c r="E480" s="115" t="s">
        <v>707</v>
      </c>
      <c r="F480" s="60" t="s">
        <v>708</v>
      </c>
      <c r="G480" s="72" t="s">
        <v>142</v>
      </c>
      <c r="H480" s="83">
        <v>0.41666666666666669</v>
      </c>
      <c r="I480" s="83">
        <v>0.625</v>
      </c>
      <c r="J480" s="63">
        <f t="shared" si="32"/>
        <v>0.20833333333333331</v>
      </c>
      <c r="K480" s="88" t="s">
        <v>110</v>
      </c>
      <c r="L480" s="135">
        <f t="shared" si="31"/>
        <v>5</v>
      </c>
      <c r="M480" s="60"/>
      <c r="N480" s="60"/>
      <c r="O480" s="91" t="s">
        <v>820</v>
      </c>
      <c r="P480" s="88">
        <v>5</v>
      </c>
      <c r="Q480" s="60"/>
      <c r="R480" s="88"/>
      <c r="S480" s="88"/>
      <c r="T480" s="88"/>
      <c r="U480" s="88"/>
      <c r="V480" s="94"/>
      <c r="W480" s="88"/>
      <c r="X480" s="90"/>
      <c r="Y480" s="88"/>
      <c r="Z480" s="101"/>
      <c r="AA480" s="88"/>
      <c r="AB480" s="88"/>
      <c r="AC480" s="88"/>
      <c r="AD480" s="88"/>
      <c r="AE480" s="88"/>
      <c r="AF480" s="88"/>
      <c r="AG480" s="88"/>
      <c r="AH480" s="88"/>
      <c r="AI480" s="88"/>
      <c r="AJ480" s="88"/>
      <c r="AK480" s="88"/>
      <c r="AL480" s="88"/>
      <c r="AM480" s="88"/>
      <c r="AN480" s="88"/>
      <c r="AO480" s="88"/>
      <c r="AP480" s="88"/>
      <c r="AQ480" s="88"/>
      <c r="AR480" s="88"/>
      <c r="AS480" s="88"/>
      <c r="AT480" s="88"/>
      <c r="AU480" s="88"/>
      <c r="AV480" s="88"/>
      <c r="AW480" s="88"/>
      <c r="AX480" s="88"/>
      <c r="AY480" s="88"/>
      <c r="AZ480" s="88"/>
      <c r="BA480" s="88"/>
      <c r="BB480" s="88"/>
      <c r="BC480" s="88"/>
      <c r="BD480" s="88"/>
      <c r="BE480" s="88"/>
      <c r="BF480" s="88"/>
      <c r="BG480" s="88"/>
      <c r="BH480" s="88"/>
      <c r="BI480" s="88"/>
      <c r="BJ480" s="88"/>
      <c r="BK480" s="88"/>
      <c r="BL480" s="88"/>
      <c r="BM480" s="88"/>
      <c r="BN480" s="88"/>
      <c r="BO480" s="88"/>
      <c r="BP480" s="88"/>
      <c r="BQ480" s="88"/>
      <c r="BR480" s="88"/>
      <c r="BS480" s="88"/>
      <c r="BT480" s="88"/>
      <c r="BU480" s="88"/>
      <c r="BV480" s="88"/>
      <c r="BW480" s="88"/>
      <c r="BX480" s="88"/>
      <c r="BY480" s="88"/>
      <c r="BZ480" s="88"/>
      <c r="CA480" s="88"/>
      <c r="CB480" s="88"/>
      <c r="CC480" s="88"/>
      <c r="CD480" s="88"/>
      <c r="CE480" s="88"/>
      <c r="CF480" s="88"/>
      <c r="CG480" s="88"/>
      <c r="CH480" s="88"/>
      <c r="CI480" s="88"/>
      <c r="CJ480" s="88"/>
      <c r="CK480" s="88"/>
      <c r="CL480" s="88"/>
      <c r="CM480" s="88"/>
      <c r="CN480" s="88"/>
      <c r="CO480" s="88"/>
      <c r="CP480" s="88"/>
      <c r="CQ480" s="88"/>
      <c r="CR480" s="88"/>
      <c r="CS480" s="88"/>
      <c r="CT480" s="88"/>
      <c r="CU480" s="88"/>
      <c r="CV480" s="88"/>
      <c r="CW480" s="88"/>
      <c r="CX480" s="88"/>
      <c r="CY480" s="88"/>
      <c r="CZ480" s="88"/>
      <c r="DA480" s="88"/>
      <c r="DB480" s="88"/>
      <c r="DC480" s="88"/>
      <c r="DD480" s="88"/>
      <c r="DE480" s="88"/>
      <c r="DF480" s="88"/>
      <c r="DG480" s="88"/>
      <c r="DH480" s="88"/>
      <c r="DI480" s="88"/>
      <c r="DJ480" s="88"/>
      <c r="DK480" s="88"/>
      <c r="DL480" s="88"/>
      <c r="DM480" s="88"/>
      <c r="DN480" s="88"/>
      <c r="DO480" s="88"/>
      <c r="DP480" s="88"/>
      <c r="DQ480" s="88"/>
      <c r="DR480" s="88"/>
      <c r="DS480" s="88"/>
      <c r="DT480" s="88"/>
      <c r="DU480" s="88"/>
      <c r="DV480" s="88"/>
      <c r="DW480" s="88"/>
      <c r="DX480" s="88"/>
      <c r="DY480" s="88"/>
      <c r="DZ480" s="88"/>
      <c r="EA480" s="88"/>
      <c r="EB480" s="88"/>
      <c r="EC480" s="88"/>
      <c r="ED480" s="88"/>
      <c r="EE480" s="88"/>
      <c r="EF480" s="88"/>
      <c r="EG480" s="88"/>
    </row>
    <row r="481" spans="1:137" x14ac:dyDescent="0.2">
      <c r="A481" s="99">
        <v>45413</v>
      </c>
      <c r="B481" s="82">
        <v>45427</v>
      </c>
      <c r="C481" s="60" t="s">
        <v>398</v>
      </c>
      <c r="D481" s="60" t="s">
        <v>126</v>
      </c>
      <c r="E481" s="116" t="s">
        <v>709</v>
      </c>
      <c r="F481" s="72" t="s">
        <v>917</v>
      </c>
      <c r="G481" s="72" t="s">
        <v>142</v>
      </c>
      <c r="H481" s="83">
        <v>0.47916666666666669</v>
      </c>
      <c r="I481" s="83">
        <v>0.5</v>
      </c>
      <c r="J481" s="63">
        <f t="shared" si="32"/>
        <v>2.0833333333333315E-2</v>
      </c>
      <c r="K481" s="88" t="s">
        <v>110</v>
      </c>
      <c r="L481" s="135">
        <f t="shared" si="31"/>
        <v>0.49999999999999956</v>
      </c>
      <c r="M481" s="60"/>
      <c r="N481" s="60"/>
      <c r="O481" s="91" t="s">
        <v>363</v>
      </c>
      <c r="P481" s="88">
        <v>5</v>
      </c>
      <c r="Q481" s="60"/>
      <c r="Z481" s="100"/>
    </row>
    <row r="482" spans="1:137" s="88" customFormat="1" x14ac:dyDescent="0.25">
      <c r="A482" s="99">
        <v>45413</v>
      </c>
      <c r="B482" s="82">
        <v>45427</v>
      </c>
      <c r="C482" s="60" t="s">
        <v>398</v>
      </c>
      <c r="D482" s="60" t="s">
        <v>325</v>
      </c>
      <c r="E482" s="115" t="s">
        <v>703</v>
      </c>
      <c r="F482" s="60" t="s">
        <v>704</v>
      </c>
      <c r="G482" s="72" t="s">
        <v>142</v>
      </c>
      <c r="H482" s="83">
        <v>0.45833333333333331</v>
      </c>
      <c r="I482" s="83">
        <v>0.60416666666666663</v>
      </c>
      <c r="J482" s="63">
        <f t="shared" si="32"/>
        <v>0.14583333333333331</v>
      </c>
      <c r="K482" s="60" t="s">
        <v>113</v>
      </c>
      <c r="L482" s="135">
        <f t="shared" si="31"/>
        <v>3.4999999999999996</v>
      </c>
      <c r="M482" s="60"/>
      <c r="N482" s="60"/>
      <c r="O482" s="91" t="s">
        <v>539</v>
      </c>
      <c r="P482" s="88">
        <v>4</v>
      </c>
      <c r="Q482" s="60" t="s">
        <v>710</v>
      </c>
      <c r="V482" s="94"/>
      <c r="X482" s="90"/>
      <c r="Z482" s="101"/>
    </row>
    <row r="483" spans="1:137" s="88" customFormat="1" x14ac:dyDescent="0.25">
      <c r="A483" s="99">
        <v>45413</v>
      </c>
      <c r="B483" s="82">
        <v>45428</v>
      </c>
      <c r="C483" s="82" t="s">
        <v>124</v>
      </c>
      <c r="D483" s="60" t="s">
        <v>98</v>
      </c>
      <c r="E483" s="115" t="s">
        <v>723</v>
      </c>
      <c r="F483" s="60" t="s">
        <v>690</v>
      </c>
      <c r="G483" s="72" t="s">
        <v>142</v>
      </c>
      <c r="H483" s="83">
        <v>0.375</v>
      </c>
      <c r="I483" s="83">
        <v>0.875</v>
      </c>
      <c r="J483" s="63">
        <f t="shared" si="32"/>
        <v>0.5</v>
      </c>
      <c r="K483" s="88" t="s">
        <v>296</v>
      </c>
      <c r="L483" s="135">
        <f t="shared" si="31"/>
        <v>12</v>
      </c>
      <c r="M483" s="60"/>
      <c r="N483" s="60"/>
      <c r="O483" s="85" t="s">
        <v>304</v>
      </c>
      <c r="P483" s="88">
        <v>4</v>
      </c>
      <c r="Q483" s="60" t="s">
        <v>692</v>
      </c>
      <c r="V483" s="94"/>
      <c r="X483" s="90"/>
      <c r="Z483" s="101"/>
    </row>
    <row r="484" spans="1:137" s="88" customFormat="1" x14ac:dyDescent="0.25">
      <c r="A484" s="99">
        <v>45413</v>
      </c>
      <c r="B484" s="82">
        <v>45429</v>
      </c>
      <c r="C484" s="88" t="s">
        <v>33</v>
      </c>
      <c r="D484" s="60" t="s">
        <v>98</v>
      </c>
      <c r="E484" s="115" t="s">
        <v>723</v>
      </c>
      <c r="F484" s="60" t="s">
        <v>690</v>
      </c>
      <c r="G484" s="72" t="s">
        <v>142</v>
      </c>
      <c r="H484" s="83">
        <v>0.375</v>
      </c>
      <c r="I484" s="83">
        <v>0.79166666666666663</v>
      </c>
      <c r="J484" s="63">
        <f t="shared" si="32"/>
        <v>0.41666666666666663</v>
      </c>
      <c r="K484" s="88" t="s">
        <v>296</v>
      </c>
      <c r="L484" s="135">
        <f t="shared" si="31"/>
        <v>10</v>
      </c>
      <c r="M484" s="60"/>
      <c r="N484" s="60"/>
      <c r="O484" s="85" t="s">
        <v>304</v>
      </c>
      <c r="P484" s="88">
        <v>4</v>
      </c>
      <c r="Q484" s="60" t="s">
        <v>692</v>
      </c>
      <c r="V484" s="94"/>
      <c r="X484" s="90"/>
      <c r="Z484" s="101"/>
    </row>
    <row r="485" spans="1:137" x14ac:dyDescent="0.2">
      <c r="A485" s="99">
        <v>45413</v>
      </c>
      <c r="B485" s="82">
        <v>45429</v>
      </c>
      <c r="C485" s="88" t="s">
        <v>33</v>
      </c>
      <c r="D485" s="60" t="s">
        <v>719</v>
      </c>
      <c r="E485" s="115" t="s">
        <v>721</v>
      </c>
      <c r="F485" s="96" t="s">
        <v>718</v>
      </c>
      <c r="G485" s="59" t="s">
        <v>142</v>
      </c>
      <c r="H485" s="83">
        <v>0.375</v>
      </c>
      <c r="I485" s="83">
        <v>0.66666666666666663</v>
      </c>
      <c r="J485" s="63">
        <f t="shared" si="32"/>
        <v>0.29166666666666663</v>
      </c>
      <c r="K485" s="88" t="s">
        <v>300</v>
      </c>
      <c r="L485" s="135">
        <f t="shared" si="31"/>
        <v>6.9999999999999991</v>
      </c>
      <c r="O485" s="91" t="s">
        <v>362</v>
      </c>
      <c r="P485" s="88">
        <v>5</v>
      </c>
      <c r="R485" s="88"/>
      <c r="U485" s="60"/>
      <c r="W485" s="60"/>
      <c r="X485" s="86"/>
      <c r="Z485" s="100"/>
    </row>
    <row r="486" spans="1:137" x14ac:dyDescent="0.2">
      <c r="A486" s="99">
        <v>45413</v>
      </c>
      <c r="B486" s="82">
        <v>45429</v>
      </c>
      <c r="C486" s="88" t="s">
        <v>33</v>
      </c>
      <c r="D486" s="60" t="s">
        <v>720</v>
      </c>
      <c r="E486" s="115" t="s">
        <v>717</v>
      </c>
      <c r="F486" s="96" t="s">
        <v>718</v>
      </c>
      <c r="G486" s="59" t="s">
        <v>142</v>
      </c>
      <c r="H486" s="83">
        <v>0.45833333333333331</v>
      </c>
      <c r="I486" s="83">
        <v>0.77083333333333337</v>
      </c>
      <c r="J486" s="63">
        <f t="shared" si="32"/>
        <v>0.31250000000000006</v>
      </c>
      <c r="K486" s="88" t="s">
        <v>300</v>
      </c>
      <c r="L486" s="135">
        <f t="shared" si="31"/>
        <v>7.5000000000000018</v>
      </c>
      <c r="O486" s="91" t="s">
        <v>362</v>
      </c>
      <c r="P486" s="88">
        <v>5</v>
      </c>
      <c r="R486" s="88"/>
      <c r="U486" s="60"/>
      <c r="W486" s="60"/>
      <c r="X486" s="86"/>
      <c r="Z486" s="100"/>
    </row>
    <row r="487" spans="1:137" x14ac:dyDescent="0.2">
      <c r="A487" s="99">
        <v>45413</v>
      </c>
      <c r="B487" s="82">
        <v>45430</v>
      </c>
      <c r="C487" s="88" t="s">
        <v>34</v>
      </c>
      <c r="D487" s="60" t="s">
        <v>719</v>
      </c>
      <c r="E487" s="115" t="s">
        <v>721</v>
      </c>
      <c r="F487" s="96" t="s">
        <v>718</v>
      </c>
      <c r="G487" s="59" t="s">
        <v>142</v>
      </c>
      <c r="H487" s="83">
        <v>0.5</v>
      </c>
      <c r="I487" s="83">
        <v>0.77083333333333337</v>
      </c>
      <c r="J487" s="63">
        <f t="shared" si="32"/>
        <v>0.27083333333333337</v>
      </c>
      <c r="K487" s="88" t="s">
        <v>300</v>
      </c>
      <c r="L487" s="135">
        <f t="shared" ref="L487:L511" si="33">24*J487</f>
        <v>6.5000000000000009</v>
      </c>
      <c r="O487" s="91" t="s">
        <v>362</v>
      </c>
      <c r="P487" s="88">
        <v>5</v>
      </c>
      <c r="R487" s="88"/>
      <c r="U487" s="60"/>
      <c r="W487" s="60"/>
      <c r="X487" s="86"/>
      <c r="Z487" s="100"/>
    </row>
    <row r="488" spans="1:137" s="88" customFormat="1" x14ac:dyDescent="0.25">
      <c r="A488" s="99">
        <v>45413</v>
      </c>
      <c r="B488" s="82">
        <v>45430</v>
      </c>
      <c r="C488" s="88" t="s">
        <v>34</v>
      </c>
      <c r="D488" s="60" t="s">
        <v>98</v>
      </c>
      <c r="E488" s="115" t="s">
        <v>724</v>
      </c>
      <c r="F488" s="60" t="s">
        <v>725</v>
      </c>
      <c r="G488" s="72" t="s">
        <v>142</v>
      </c>
      <c r="H488" s="83">
        <v>0.625</v>
      </c>
      <c r="I488" s="83">
        <v>0.91666666666666663</v>
      </c>
      <c r="J488" s="63">
        <f t="shared" si="32"/>
        <v>0.29166666666666663</v>
      </c>
      <c r="K488" s="88" t="s">
        <v>365</v>
      </c>
      <c r="L488" s="135">
        <f t="shared" si="33"/>
        <v>6.9999999999999991</v>
      </c>
      <c r="M488" s="60"/>
      <c r="N488" s="60"/>
      <c r="O488" s="85" t="s">
        <v>304</v>
      </c>
      <c r="P488" s="88">
        <v>4</v>
      </c>
      <c r="Q488" s="60" t="s">
        <v>692</v>
      </c>
      <c r="V488" s="94"/>
      <c r="X488" s="90"/>
      <c r="Z488" s="101"/>
    </row>
    <row r="489" spans="1:137" ht="14.45" customHeight="1" x14ac:dyDescent="0.2">
      <c r="A489" s="99">
        <v>45413</v>
      </c>
      <c r="B489" s="82">
        <v>45430</v>
      </c>
      <c r="C489" s="88" t="s">
        <v>34</v>
      </c>
      <c r="D489" s="60" t="s">
        <v>481</v>
      </c>
      <c r="E489" s="115" t="s">
        <v>711</v>
      </c>
      <c r="F489" s="60" t="s">
        <v>627</v>
      </c>
      <c r="G489" s="72" t="s">
        <v>142</v>
      </c>
      <c r="H489" s="83">
        <v>0.39583333333333331</v>
      </c>
      <c r="I489" s="83">
        <v>0.625</v>
      </c>
      <c r="J489" s="63">
        <v>0.27079999999999999</v>
      </c>
      <c r="K489" s="88" t="s">
        <v>110</v>
      </c>
      <c r="L489" s="135">
        <f t="shared" si="33"/>
        <v>6.4992000000000001</v>
      </c>
      <c r="N489" s="60"/>
      <c r="O489" s="91" t="s">
        <v>539</v>
      </c>
      <c r="P489" s="88">
        <v>5</v>
      </c>
      <c r="Q489" s="60"/>
      <c r="V489" s="86"/>
      <c r="Z489" s="100"/>
    </row>
    <row r="490" spans="1:137" x14ac:dyDescent="0.2">
      <c r="A490" s="99">
        <v>45413</v>
      </c>
      <c r="B490" s="82">
        <v>45430</v>
      </c>
      <c r="C490" s="88" t="s">
        <v>34</v>
      </c>
      <c r="D490" s="60" t="s">
        <v>483</v>
      </c>
      <c r="E490" s="116" t="s">
        <v>665</v>
      </c>
      <c r="F490" s="72" t="s">
        <v>618</v>
      </c>
      <c r="G490" s="72" t="s">
        <v>142</v>
      </c>
      <c r="H490" s="83">
        <v>0.4375</v>
      </c>
      <c r="I490" s="83">
        <v>0.5</v>
      </c>
      <c r="J490" s="63">
        <f>I490-H490</f>
        <v>6.25E-2</v>
      </c>
      <c r="K490" s="88" t="s">
        <v>365</v>
      </c>
      <c r="L490" s="135">
        <f t="shared" si="33"/>
        <v>1.5</v>
      </c>
      <c r="M490" s="60"/>
      <c r="N490" s="60"/>
      <c r="O490" s="91" t="s">
        <v>820</v>
      </c>
      <c r="P490" s="88">
        <v>5</v>
      </c>
      <c r="Q490" s="60"/>
      <c r="Z490" s="100"/>
    </row>
    <row r="491" spans="1:137" s="88" customFormat="1" x14ac:dyDescent="0.25">
      <c r="A491" s="99">
        <v>45413</v>
      </c>
      <c r="B491" s="82">
        <v>45430</v>
      </c>
      <c r="C491" s="88" t="s">
        <v>34</v>
      </c>
      <c r="D491" s="60" t="s">
        <v>98</v>
      </c>
      <c r="E491" s="115" t="s">
        <v>712</v>
      </c>
      <c r="F491" s="60" t="s">
        <v>713</v>
      </c>
      <c r="G491" s="72" t="s">
        <v>142</v>
      </c>
      <c r="H491" s="83">
        <v>0.4375</v>
      </c>
      <c r="I491" s="83">
        <v>0.5</v>
      </c>
      <c r="J491" s="63">
        <f>I491-H491</f>
        <v>6.25E-2</v>
      </c>
      <c r="K491" s="88" t="s">
        <v>365</v>
      </c>
      <c r="L491" s="135">
        <f t="shared" si="33"/>
        <v>1.5</v>
      </c>
      <c r="M491" s="60"/>
      <c r="N491" s="60"/>
      <c r="O491" s="91" t="s">
        <v>820</v>
      </c>
      <c r="P491" s="88">
        <v>5</v>
      </c>
      <c r="Q491" s="60"/>
      <c r="V491" s="94"/>
      <c r="X491" s="90"/>
      <c r="Z491" s="101"/>
    </row>
    <row r="492" spans="1:137" x14ac:dyDescent="0.2">
      <c r="A492" s="99">
        <v>45413</v>
      </c>
      <c r="B492" s="82">
        <v>45431</v>
      </c>
      <c r="C492" s="88" t="s">
        <v>31</v>
      </c>
      <c r="D492" s="60" t="s">
        <v>483</v>
      </c>
      <c r="E492" s="116" t="s">
        <v>665</v>
      </c>
      <c r="F492" s="72" t="s">
        <v>618</v>
      </c>
      <c r="G492" s="72" t="s">
        <v>142</v>
      </c>
      <c r="H492" s="83">
        <v>0.5</v>
      </c>
      <c r="I492" s="83">
        <v>0.70833333333333337</v>
      </c>
      <c r="J492" s="63">
        <f>I492-H492</f>
        <v>0.20833333333333337</v>
      </c>
      <c r="K492" s="88" t="s">
        <v>365</v>
      </c>
      <c r="L492" s="135">
        <f t="shared" si="33"/>
        <v>5.0000000000000009</v>
      </c>
      <c r="M492" s="60"/>
      <c r="N492" s="60"/>
      <c r="O492" s="91" t="s">
        <v>361</v>
      </c>
      <c r="P492" s="88">
        <v>5</v>
      </c>
      <c r="Q492" s="60"/>
      <c r="Z492" s="100"/>
    </row>
    <row r="493" spans="1:137" s="97" customFormat="1" x14ac:dyDescent="0.25">
      <c r="A493" s="99">
        <v>45413</v>
      </c>
      <c r="B493" s="82">
        <v>45431</v>
      </c>
      <c r="C493" s="88" t="s">
        <v>31</v>
      </c>
      <c r="D493" s="60" t="s">
        <v>32</v>
      </c>
      <c r="E493" s="115" t="s">
        <v>714</v>
      </c>
      <c r="F493" s="60" t="s">
        <v>715</v>
      </c>
      <c r="G493" s="72" t="s">
        <v>142</v>
      </c>
      <c r="H493" s="83">
        <v>0.45833333333333331</v>
      </c>
      <c r="I493" s="83">
        <v>0.47916666666666669</v>
      </c>
      <c r="J493" s="63">
        <f>I493-H493</f>
        <v>2.083333333333337E-2</v>
      </c>
      <c r="K493" s="88" t="s">
        <v>365</v>
      </c>
      <c r="L493" s="135">
        <f t="shared" si="33"/>
        <v>0.50000000000000089</v>
      </c>
      <c r="M493" s="60"/>
      <c r="N493" s="60"/>
      <c r="O493" s="91" t="s">
        <v>576</v>
      </c>
      <c r="P493" s="88">
        <v>5</v>
      </c>
      <c r="Q493" s="60"/>
      <c r="R493" s="88"/>
      <c r="S493" s="88"/>
      <c r="T493" s="88"/>
      <c r="U493" s="88"/>
      <c r="V493" s="94"/>
      <c r="W493" s="88"/>
      <c r="X493" s="90"/>
      <c r="Y493" s="88"/>
      <c r="Z493" s="101"/>
      <c r="AA493" s="88"/>
      <c r="AB493" s="88"/>
      <c r="AC493" s="88"/>
      <c r="AD493" s="88"/>
      <c r="AE493" s="88"/>
      <c r="AF493" s="88"/>
      <c r="AG493" s="88"/>
      <c r="AH493" s="88"/>
      <c r="AI493" s="88"/>
      <c r="AJ493" s="88"/>
      <c r="AK493" s="88"/>
      <c r="AL493" s="88"/>
      <c r="AM493" s="88"/>
      <c r="AN493" s="88"/>
      <c r="AO493" s="88"/>
      <c r="AP493" s="88"/>
      <c r="AQ493" s="88"/>
      <c r="AR493" s="88"/>
      <c r="AS493" s="88"/>
      <c r="AT493" s="88"/>
      <c r="AU493" s="88"/>
      <c r="AV493" s="88"/>
      <c r="AW493" s="88"/>
      <c r="AX493" s="88"/>
      <c r="AY493" s="88"/>
      <c r="AZ493" s="88"/>
      <c r="BA493" s="88"/>
      <c r="BB493" s="88"/>
      <c r="BC493" s="88"/>
      <c r="BD493" s="88"/>
      <c r="BE493" s="88"/>
      <c r="BF493" s="88"/>
      <c r="BG493" s="88"/>
      <c r="BH493" s="88"/>
      <c r="BI493" s="88"/>
      <c r="BJ493" s="88"/>
      <c r="BK493" s="88"/>
      <c r="BL493" s="88"/>
      <c r="BM493" s="88"/>
      <c r="BN493" s="88"/>
      <c r="BO493" s="88"/>
      <c r="BP493" s="88"/>
      <c r="BQ493" s="88"/>
      <c r="BR493" s="88"/>
      <c r="BS493" s="88"/>
      <c r="BT493" s="88"/>
      <c r="BU493" s="88"/>
      <c r="BV493" s="88"/>
      <c r="BW493" s="88"/>
      <c r="BX493" s="88"/>
      <c r="BY493" s="88"/>
      <c r="BZ493" s="88"/>
      <c r="CA493" s="88"/>
      <c r="CB493" s="88"/>
      <c r="CC493" s="88"/>
      <c r="CD493" s="88"/>
      <c r="CE493" s="88"/>
      <c r="CF493" s="88"/>
      <c r="CG493" s="88"/>
      <c r="CH493" s="88"/>
      <c r="CI493" s="88"/>
      <c r="CJ493" s="88"/>
      <c r="CK493" s="88"/>
      <c r="CL493" s="88"/>
      <c r="CM493" s="88"/>
      <c r="CN493" s="88"/>
      <c r="CO493" s="88"/>
      <c r="CP493" s="88"/>
      <c r="CQ493" s="88"/>
      <c r="CR493" s="88"/>
      <c r="CS493" s="88"/>
      <c r="CT493" s="88"/>
      <c r="CU493" s="88"/>
      <c r="CV493" s="88"/>
      <c r="CW493" s="88"/>
      <c r="CX493" s="88"/>
      <c r="CY493" s="88"/>
      <c r="CZ493" s="88"/>
      <c r="DA493" s="88"/>
      <c r="DB493" s="88"/>
      <c r="DC493" s="88"/>
      <c r="DD493" s="88"/>
      <c r="DE493" s="88"/>
      <c r="DF493" s="88"/>
      <c r="DG493" s="88"/>
      <c r="DH493" s="88"/>
      <c r="DI493" s="88"/>
      <c r="DJ493" s="88"/>
      <c r="DK493" s="88"/>
      <c r="DL493" s="88"/>
      <c r="DM493" s="88"/>
      <c r="DN493" s="88"/>
      <c r="DO493" s="88"/>
      <c r="DP493" s="88"/>
      <c r="DQ493" s="88"/>
      <c r="DR493" s="88"/>
      <c r="DS493" s="88"/>
      <c r="DT493" s="88"/>
      <c r="DU493" s="88"/>
      <c r="DV493" s="88"/>
      <c r="DW493" s="88"/>
      <c r="DX493" s="88"/>
      <c r="DY493" s="88"/>
      <c r="DZ493" s="88"/>
      <c r="EA493" s="88"/>
      <c r="EB493" s="88"/>
      <c r="EC493" s="88"/>
      <c r="ED493" s="88"/>
      <c r="EE493" s="88"/>
      <c r="EF493" s="88"/>
      <c r="EG493" s="88"/>
    </row>
    <row r="494" spans="1:137" x14ac:dyDescent="0.2">
      <c r="A494" s="99">
        <v>45413</v>
      </c>
      <c r="B494" s="82">
        <v>45431</v>
      </c>
      <c r="C494" s="88" t="s">
        <v>31</v>
      </c>
      <c r="D494" s="60" t="s">
        <v>32</v>
      </c>
      <c r="E494" s="115" t="s">
        <v>622</v>
      </c>
      <c r="F494" s="60" t="s">
        <v>716</v>
      </c>
      <c r="G494" s="72" t="s">
        <v>142</v>
      </c>
      <c r="H494" s="83">
        <v>0</v>
      </c>
      <c r="I494" s="83">
        <v>0.66666666666666663</v>
      </c>
      <c r="J494" s="63">
        <v>0.27079999999999999</v>
      </c>
      <c r="K494" s="88" t="s">
        <v>110</v>
      </c>
      <c r="L494" s="135">
        <f t="shared" si="33"/>
        <v>6.4992000000000001</v>
      </c>
      <c r="N494" s="60"/>
      <c r="O494" s="91" t="s">
        <v>363</v>
      </c>
      <c r="P494" s="88">
        <v>5</v>
      </c>
      <c r="Q494" s="60"/>
      <c r="V494" s="86"/>
      <c r="Z494" s="100"/>
    </row>
    <row r="495" spans="1:137" x14ac:dyDescent="0.2">
      <c r="A495" s="99">
        <v>45413</v>
      </c>
      <c r="B495" s="82">
        <v>45432</v>
      </c>
      <c r="C495" s="88" t="s">
        <v>45</v>
      </c>
      <c r="D495" s="60" t="s">
        <v>483</v>
      </c>
      <c r="E495" s="116" t="s">
        <v>665</v>
      </c>
      <c r="F495" s="72" t="s">
        <v>618</v>
      </c>
      <c r="G495" s="72" t="s">
        <v>142</v>
      </c>
      <c r="H495" s="83">
        <v>0.47916666666666669</v>
      </c>
      <c r="I495" s="83">
        <v>0.52083333333333337</v>
      </c>
      <c r="J495" s="63">
        <f>I495-H495</f>
        <v>4.1666666666666685E-2</v>
      </c>
      <c r="K495" s="88" t="s">
        <v>365</v>
      </c>
      <c r="L495" s="135">
        <f t="shared" si="33"/>
        <v>1.0000000000000004</v>
      </c>
      <c r="M495" s="60"/>
      <c r="N495" s="60"/>
      <c r="O495" s="91" t="s">
        <v>576</v>
      </c>
      <c r="P495" s="88">
        <v>5</v>
      </c>
      <c r="Q495" s="60"/>
      <c r="Z495" s="100"/>
    </row>
    <row r="496" spans="1:137" x14ac:dyDescent="0.2">
      <c r="A496" s="99">
        <v>45413</v>
      </c>
      <c r="B496" s="82">
        <v>45433</v>
      </c>
      <c r="C496" s="88" t="s">
        <v>106</v>
      </c>
      <c r="D496" s="60" t="s">
        <v>499</v>
      </c>
      <c r="E496" s="116" t="s">
        <v>722</v>
      </c>
      <c r="F496" s="72" t="s">
        <v>618</v>
      </c>
      <c r="G496" s="72" t="s">
        <v>142</v>
      </c>
      <c r="H496" s="83">
        <v>0.52083333333333337</v>
      </c>
      <c r="I496" s="83">
        <v>0.625</v>
      </c>
      <c r="J496" s="63">
        <f>I496-H496</f>
        <v>0.10416666666666663</v>
      </c>
      <c r="K496" s="88" t="s">
        <v>365</v>
      </c>
      <c r="L496" s="135">
        <f t="shared" si="33"/>
        <v>2.4999999999999991</v>
      </c>
      <c r="M496" s="60"/>
      <c r="N496" s="60"/>
      <c r="O496" s="91" t="s">
        <v>576</v>
      </c>
      <c r="P496" s="88">
        <v>5</v>
      </c>
      <c r="Q496" s="60"/>
      <c r="Z496" s="100"/>
    </row>
    <row r="497" spans="1:137" ht="14.45" customHeight="1" x14ac:dyDescent="0.2">
      <c r="A497" s="99">
        <v>45413</v>
      </c>
      <c r="B497" s="82">
        <v>45433</v>
      </c>
      <c r="C497" s="88" t="s">
        <v>106</v>
      </c>
      <c r="D497" s="60" t="s">
        <v>481</v>
      </c>
      <c r="E497" s="115" t="s">
        <v>711</v>
      </c>
      <c r="F497" s="60" t="s">
        <v>726</v>
      </c>
      <c r="G497" s="72" t="s">
        <v>142</v>
      </c>
      <c r="H497" s="83">
        <v>0.41666666666666669</v>
      </c>
      <c r="I497" s="83">
        <v>0.66666666666666663</v>
      </c>
      <c r="J497" s="63">
        <v>0.27079999999999999</v>
      </c>
      <c r="K497" s="60" t="s">
        <v>113</v>
      </c>
      <c r="L497" s="135">
        <f t="shared" si="33"/>
        <v>6.4992000000000001</v>
      </c>
      <c r="N497" s="60"/>
      <c r="O497" s="91" t="s">
        <v>539</v>
      </c>
      <c r="P497" s="88">
        <v>5</v>
      </c>
      <c r="Q497" s="60"/>
      <c r="V497" s="86"/>
      <c r="Z497" s="100"/>
    </row>
    <row r="498" spans="1:137" s="88" customFormat="1" x14ac:dyDescent="0.25">
      <c r="A498" s="99">
        <v>45413</v>
      </c>
      <c r="B498" s="82">
        <v>45433</v>
      </c>
      <c r="C498" s="88" t="s">
        <v>106</v>
      </c>
      <c r="D498" s="60" t="s">
        <v>325</v>
      </c>
      <c r="E498" s="115" t="s">
        <v>703</v>
      </c>
      <c r="F498" s="60" t="s">
        <v>704</v>
      </c>
      <c r="G498" s="72" t="s">
        <v>142</v>
      </c>
      <c r="H498" s="83">
        <v>0.41666666666666669</v>
      </c>
      <c r="I498" s="83">
        <v>0.5625</v>
      </c>
      <c r="J498" s="63">
        <f>I498-H498</f>
        <v>0.14583333333333331</v>
      </c>
      <c r="K498" s="60" t="s">
        <v>113</v>
      </c>
      <c r="L498" s="135">
        <f t="shared" si="33"/>
        <v>3.4999999999999996</v>
      </c>
      <c r="M498" s="60"/>
      <c r="N498" s="60"/>
      <c r="O498" s="91" t="s">
        <v>539</v>
      </c>
      <c r="P498" s="88">
        <v>4</v>
      </c>
      <c r="Q498" s="60" t="s">
        <v>710</v>
      </c>
      <c r="V498" s="94"/>
      <c r="X498" s="90"/>
      <c r="Z498" s="101"/>
    </row>
    <row r="499" spans="1:137" ht="14.45" customHeight="1" x14ac:dyDescent="0.2">
      <c r="A499" s="99">
        <v>45413</v>
      </c>
      <c r="B499" s="82">
        <v>45433</v>
      </c>
      <c r="C499" s="88" t="s">
        <v>106</v>
      </c>
      <c r="D499" s="60" t="s">
        <v>98</v>
      </c>
      <c r="E499" s="116" t="s">
        <v>727</v>
      </c>
      <c r="F499" s="72" t="s">
        <v>904</v>
      </c>
      <c r="G499" s="72" t="s">
        <v>142</v>
      </c>
      <c r="H499" s="83">
        <v>0.54166666666666663</v>
      </c>
      <c r="I499" s="83">
        <v>0.625</v>
      </c>
      <c r="J499" s="63">
        <f>I499-H499</f>
        <v>8.333333333333337E-2</v>
      </c>
      <c r="K499" s="88" t="s">
        <v>365</v>
      </c>
      <c r="L499" s="135">
        <f t="shared" si="33"/>
        <v>2.0000000000000009</v>
      </c>
      <c r="M499" s="60"/>
      <c r="N499" s="60"/>
      <c r="O499" s="91" t="s">
        <v>363</v>
      </c>
      <c r="P499" s="88">
        <v>3</v>
      </c>
      <c r="Q499" s="60" t="s">
        <v>728</v>
      </c>
      <c r="Z499" s="100"/>
    </row>
    <row r="500" spans="1:137" x14ac:dyDescent="0.2">
      <c r="A500" s="99">
        <v>45413</v>
      </c>
      <c r="B500" s="82">
        <v>45434</v>
      </c>
      <c r="C500" s="60" t="s">
        <v>398</v>
      </c>
      <c r="D500" s="60" t="s">
        <v>126</v>
      </c>
      <c r="E500" s="116" t="s">
        <v>709</v>
      </c>
      <c r="F500" s="72" t="s">
        <v>917</v>
      </c>
      <c r="G500" s="72" t="s">
        <v>142</v>
      </c>
      <c r="H500" s="83">
        <v>0.47916666666666669</v>
      </c>
      <c r="I500" s="83">
        <v>0.5</v>
      </c>
      <c r="J500" s="63">
        <f>I500-H500</f>
        <v>2.0833333333333315E-2</v>
      </c>
      <c r="K500" s="60" t="s">
        <v>365</v>
      </c>
      <c r="L500" s="135">
        <f t="shared" si="33"/>
        <v>0.49999999999999956</v>
      </c>
      <c r="M500" s="60"/>
      <c r="N500" s="60"/>
      <c r="O500" s="91" t="s">
        <v>539</v>
      </c>
      <c r="P500" s="88">
        <v>5</v>
      </c>
      <c r="Q500" s="60"/>
      <c r="Z500" s="100"/>
    </row>
    <row r="501" spans="1:137" s="16" customFormat="1" ht="14.45" customHeight="1" x14ac:dyDescent="0.2">
      <c r="A501" s="99">
        <v>45413</v>
      </c>
      <c r="B501" s="82">
        <v>45434</v>
      </c>
      <c r="C501" s="60" t="s">
        <v>398</v>
      </c>
      <c r="D501" s="60" t="s">
        <v>830</v>
      </c>
      <c r="E501" s="115" t="s">
        <v>729</v>
      </c>
      <c r="F501" s="60" t="s">
        <v>914</v>
      </c>
      <c r="G501" s="72" t="s">
        <v>142</v>
      </c>
      <c r="H501" s="83">
        <v>0.41666666666666669</v>
      </c>
      <c r="I501" s="83">
        <v>0.54166666666666663</v>
      </c>
      <c r="J501" s="63">
        <v>0.27079999999999999</v>
      </c>
      <c r="K501" s="88" t="s">
        <v>113</v>
      </c>
      <c r="L501" s="135">
        <f t="shared" si="33"/>
        <v>6.4992000000000001</v>
      </c>
      <c r="M501" s="61"/>
      <c r="N501" s="60"/>
      <c r="O501" s="91" t="s">
        <v>363</v>
      </c>
      <c r="P501" s="88">
        <v>5</v>
      </c>
      <c r="Q501" s="60"/>
      <c r="R501" s="61"/>
      <c r="S501" s="61"/>
      <c r="T501" s="61"/>
      <c r="U501" s="61"/>
      <c r="V501" s="92"/>
      <c r="W501" s="61"/>
      <c r="X501" s="89"/>
      <c r="Y501" s="61"/>
      <c r="Z501" s="100"/>
      <c r="AA501" s="61"/>
      <c r="AB501" s="61"/>
      <c r="AC501" s="61"/>
      <c r="AD501" s="61"/>
      <c r="AE501" s="61"/>
      <c r="AF501" s="61"/>
      <c r="AG501" s="61"/>
      <c r="AH501" s="61"/>
      <c r="AI501" s="61"/>
      <c r="AJ501" s="61"/>
      <c r="AK501" s="61"/>
      <c r="AL501" s="61"/>
      <c r="AM501" s="61"/>
      <c r="AN501" s="61"/>
      <c r="AO501" s="61"/>
      <c r="AP501" s="61"/>
      <c r="AQ501" s="61"/>
      <c r="AR501" s="61"/>
      <c r="AS501" s="61"/>
      <c r="AT501" s="61"/>
      <c r="AU501" s="61"/>
      <c r="AV501" s="61"/>
      <c r="AW501" s="61"/>
      <c r="AX501" s="61"/>
      <c r="AY501" s="61"/>
      <c r="AZ501" s="61"/>
      <c r="BA501" s="61"/>
      <c r="BB501" s="61"/>
      <c r="BC501" s="61"/>
      <c r="BD501" s="61"/>
      <c r="BE501" s="61"/>
      <c r="BF501" s="61"/>
      <c r="BG501" s="61"/>
      <c r="BH501" s="61"/>
      <c r="BI501" s="61"/>
      <c r="BJ501" s="61"/>
      <c r="BK501" s="61"/>
      <c r="BL501" s="61"/>
      <c r="BM501" s="61"/>
      <c r="BN501" s="61"/>
      <c r="BO501" s="61"/>
      <c r="BP501" s="61"/>
      <c r="BQ501" s="61"/>
      <c r="BR501" s="61"/>
      <c r="BS501" s="61"/>
      <c r="BT501" s="61"/>
      <c r="BU501" s="61"/>
      <c r="BV501" s="61"/>
      <c r="BW501" s="61"/>
      <c r="BX501" s="61"/>
      <c r="BY501" s="61"/>
      <c r="BZ501" s="61"/>
      <c r="CA501" s="61"/>
      <c r="CB501" s="61"/>
      <c r="CC501" s="61"/>
      <c r="CD501" s="61"/>
      <c r="CE501" s="61"/>
      <c r="CF501" s="61"/>
      <c r="CG501" s="61"/>
      <c r="CH501" s="61"/>
      <c r="CI501" s="61"/>
      <c r="CJ501" s="61"/>
      <c r="CK501" s="61"/>
      <c r="CL501" s="61"/>
      <c r="CM501" s="61"/>
      <c r="CN501" s="61"/>
      <c r="CO501" s="61"/>
      <c r="CP501" s="61"/>
      <c r="CQ501" s="61"/>
      <c r="CR501" s="61"/>
      <c r="CS501" s="61"/>
      <c r="CT501" s="61"/>
      <c r="CU501" s="61"/>
      <c r="CV501" s="61"/>
      <c r="CW501" s="61"/>
      <c r="CX501" s="61"/>
      <c r="CY501" s="61"/>
      <c r="CZ501" s="61"/>
      <c r="DA501" s="61"/>
      <c r="DB501" s="61"/>
      <c r="DC501" s="61"/>
      <c r="DD501" s="61"/>
      <c r="DE501" s="61"/>
      <c r="DF501" s="61"/>
      <c r="DG501" s="61"/>
      <c r="DH501" s="61"/>
      <c r="DI501" s="61"/>
      <c r="DJ501" s="61"/>
      <c r="DK501" s="61"/>
      <c r="DL501" s="61"/>
      <c r="DM501" s="61"/>
      <c r="DN501" s="61"/>
      <c r="DO501" s="61"/>
      <c r="DP501" s="61"/>
      <c r="DQ501" s="61"/>
      <c r="DR501" s="61"/>
      <c r="DS501" s="61"/>
      <c r="DT501" s="61"/>
      <c r="DU501" s="61"/>
      <c r="DV501" s="61"/>
      <c r="DW501" s="61"/>
      <c r="DX501" s="61"/>
      <c r="DY501" s="61"/>
      <c r="DZ501" s="61"/>
      <c r="EA501" s="61"/>
      <c r="EB501" s="61"/>
      <c r="EC501" s="61"/>
      <c r="ED501" s="61"/>
      <c r="EE501" s="61"/>
      <c r="EF501" s="61"/>
      <c r="EG501" s="61"/>
    </row>
    <row r="502" spans="1:137" x14ac:dyDescent="0.2">
      <c r="A502" s="99">
        <v>45413</v>
      </c>
      <c r="B502" s="82">
        <v>45434</v>
      </c>
      <c r="C502" s="60" t="s">
        <v>398</v>
      </c>
      <c r="D502" s="60" t="s">
        <v>98</v>
      </c>
      <c r="E502" s="116" t="s">
        <v>731</v>
      </c>
      <c r="F502" s="72" t="s">
        <v>732</v>
      </c>
      <c r="G502" s="72" t="s">
        <v>142</v>
      </c>
      <c r="H502" s="83">
        <v>0.41666666666666669</v>
      </c>
      <c r="I502" s="83">
        <v>0.70833333333333337</v>
      </c>
      <c r="J502" s="63">
        <f t="shared" ref="J502:J508" si="34">I502-H502</f>
        <v>0.29166666666666669</v>
      </c>
      <c r="K502" s="60" t="s">
        <v>296</v>
      </c>
      <c r="L502" s="135">
        <f t="shared" si="33"/>
        <v>7</v>
      </c>
      <c r="M502" s="60"/>
      <c r="N502" s="60"/>
      <c r="O502" s="91" t="s">
        <v>539</v>
      </c>
      <c r="P502" s="88">
        <v>5</v>
      </c>
      <c r="Z502" s="100"/>
    </row>
    <row r="503" spans="1:137" s="88" customFormat="1" ht="14.45" customHeight="1" x14ac:dyDescent="0.25">
      <c r="A503" s="99">
        <v>45413</v>
      </c>
      <c r="B503" s="82">
        <v>45434</v>
      </c>
      <c r="C503" s="60" t="s">
        <v>398</v>
      </c>
      <c r="D503" s="60" t="s">
        <v>325</v>
      </c>
      <c r="E503" s="115" t="s">
        <v>703</v>
      </c>
      <c r="F503" s="60" t="s">
        <v>704</v>
      </c>
      <c r="G503" s="72" t="s">
        <v>142</v>
      </c>
      <c r="H503" s="83">
        <v>0.5</v>
      </c>
      <c r="I503" s="83">
        <v>0.70833333333333337</v>
      </c>
      <c r="J503" s="63">
        <f t="shared" si="34"/>
        <v>0.20833333333333337</v>
      </c>
      <c r="K503" s="60" t="s">
        <v>113</v>
      </c>
      <c r="L503" s="135">
        <f t="shared" si="33"/>
        <v>5.0000000000000009</v>
      </c>
      <c r="M503" s="60"/>
      <c r="N503" s="60"/>
      <c r="O503" s="91" t="s">
        <v>539</v>
      </c>
      <c r="P503" s="88">
        <v>5</v>
      </c>
      <c r="Q503" s="60"/>
      <c r="V503" s="94"/>
      <c r="X503" s="90"/>
      <c r="Z503" s="101"/>
    </row>
    <row r="504" spans="1:137" x14ac:dyDescent="0.2">
      <c r="A504" s="99">
        <v>45413</v>
      </c>
      <c r="B504" s="82">
        <v>45434</v>
      </c>
      <c r="C504" s="60" t="s">
        <v>398</v>
      </c>
      <c r="D504" s="60" t="s">
        <v>483</v>
      </c>
      <c r="E504" s="116" t="s">
        <v>665</v>
      </c>
      <c r="F504" s="72" t="s">
        <v>618</v>
      </c>
      <c r="G504" s="72" t="s">
        <v>142</v>
      </c>
      <c r="H504" s="83">
        <v>0.41666666666666669</v>
      </c>
      <c r="I504" s="83">
        <v>0.58333333333333337</v>
      </c>
      <c r="J504" s="63">
        <f t="shared" si="34"/>
        <v>0.16666666666666669</v>
      </c>
      <c r="K504" s="88" t="s">
        <v>365</v>
      </c>
      <c r="L504" s="135">
        <f t="shared" si="33"/>
        <v>4</v>
      </c>
      <c r="M504" s="60"/>
      <c r="N504" s="60"/>
      <c r="O504" s="91" t="s">
        <v>361</v>
      </c>
      <c r="P504" s="88">
        <v>5</v>
      </c>
      <c r="Q504" s="60"/>
      <c r="Z504" s="100"/>
    </row>
    <row r="505" spans="1:137" x14ac:dyDescent="0.2">
      <c r="A505" s="99">
        <v>45413</v>
      </c>
      <c r="B505" s="82">
        <v>45434</v>
      </c>
      <c r="C505" s="60" t="s">
        <v>398</v>
      </c>
      <c r="D505" s="60" t="s">
        <v>126</v>
      </c>
      <c r="E505" s="116" t="s">
        <v>352</v>
      </c>
      <c r="F505" s="72" t="s">
        <v>917</v>
      </c>
      <c r="G505" s="72" t="s">
        <v>142</v>
      </c>
      <c r="H505" s="83">
        <v>0.4375</v>
      </c>
      <c r="I505" s="83">
        <v>0.54166666666666663</v>
      </c>
      <c r="J505" s="63">
        <f t="shared" si="34"/>
        <v>0.10416666666666663</v>
      </c>
      <c r="K505" s="88" t="s">
        <v>365</v>
      </c>
      <c r="L505" s="135">
        <f t="shared" si="33"/>
        <v>2.4999999999999991</v>
      </c>
      <c r="M505" s="60"/>
      <c r="N505" s="60"/>
      <c r="O505" s="91" t="s">
        <v>576</v>
      </c>
      <c r="P505" s="88">
        <v>4</v>
      </c>
      <c r="Q505" s="60" t="s">
        <v>710</v>
      </c>
      <c r="Z505" s="100"/>
    </row>
    <row r="506" spans="1:137" x14ac:dyDescent="0.2">
      <c r="A506" s="99">
        <v>45413</v>
      </c>
      <c r="B506" s="82">
        <v>45435</v>
      </c>
      <c r="C506" s="82" t="s">
        <v>124</v>
      </c>
      <c r="D506" s="60" t="s">
        <v>319</v>
      </c>
      <c r="E506" s="116" t="s">
        <v>733</v>
      </c>
      <c r="F506" s="72" t="s">
        <v>732</v>
      </c>
      <c r="G506" s="72" t="s">
        <v>142</v>
      </c>
      <c r="H506" s="83">
        <v>0.58333333333333337</v>
      </c>
      <c r="I506" s="83">
        <v>0.66666666666666663</v>
      </c>
      <c r="J506" s="63">
        <f t="shared" si="34"/>
        <v>8.3333333333333259E-2</v>
      </c>
      <c r="K506" s="60" t="s">
        <v>113</v>
      </c>
      <c r="L506" s="135">
        <f t="shared" si="33"/>
        <v>1.9999999999999982</v>
      </c>
      <c r="M506" s="60"/>
      <c r="N506" s="60"/>
      <c r="O506" s="91" t="s">
        <v>360</v>
      </c>
      <c r="P506" s="88">
        <v>5</v>
      </c>
      <c r="Z506" s="100"/>
    </row>
    <row r="507" spans="1:137" s="88" customFormat="1" x14ac:dyDescent="0.25">
      <c r="A507" s="99">
        <v>45413</v>
      </c>
      <c r="B507" s="82">
        <v>45435</v>
      </c>
      <c r="C507" s="82" t="s">
        <v>124</v>
      </c>
      <c r="D507" s="60" t="s">
        <v>325</v>
      </c>
      <c r="E507" s="115" t="s">
        <v>703</v>
      </c>
      <c r="F507" s="60" t="s">
        <v>704</v>
      </c>
      <c r="G507" s="72" t="s">
        <v>142</v>
      </c>
      <c r="H507" s="83">
        <v>0.47916666666666669</v>
      </c>
      <c r="I507" s="83">
        <v>0.70833333333333337</v>
      </c>
      <c r="J507" s="63">
        <f t="shared" si="34"/>
        <v>0.22916666666666669</v>
      </c>
      <c r="K507" s="60" t="s">
        <v>113</v>
      </c>
      <c r="L507" s="135">
        <f t="shared" si="33"/>
        <v>5.5</v>
      </c>
      <c r="M507" s="60"/>
      <c r="N507" s="60"/>
      <c r="O507" s="91" t="s">
        <v>576</v>
      </c>
      <c r="P507" s="88">
        <v>5</v>
      </c>
      <c r="Q507" s="60"/>
      <c r="V507" s="94"/>
      <c r="X507" s="90"/>
      <c r="Z507" s="101"/>
    </row>
    <row r="508" spans="1:137" x14ac:dyDescent="0.2">
      <c r="A508" s="99">
        <v>45413</v>
      </c>
      <c r="B508" s="82">
        <v>45436</v>
      </c>
      <c r="C508" s="88" t="s">
        <v>33</v>
      </c>
      <c r="D508" s="60" t="s">
        <v>720</v>
      </c>
      <c r="E508" s="115" t="s">
        <v>717</v>
      </c>
      <c r="F508" s="96" t="s">
        <v>734</v>
      </c>
      <c r="G508" s="59" t="s">
        <v>142</v>
      </c>
      <c r="H508" s="83">
        <v>0.45833333333333331</v>
      </c>
      <c r="I508" s="83">
        <v>0.8125</v>
      </c>
      <c r="J508" s="63">
        <f t="shared" si="34"/>
        <v>0.35416666666666669</v>
      </c>
      <c r="K508" s="88" t="s">
        <v>300</v>
      </c>
      <c r="L508" s="135">
        <f t="shared" si="33"/>
        <v>8.5</v>
      </c>
      <c r="O508" s="91" t="s">
        <v>364</v>
      </c>
      <c r="P508" s="88">
        <v>5</v>
      </c>
      <c r="R508" s="88"/>
      <c r="U508" s="60"/>
      <c r="W508" s="60"/>
      <c r="X508" s="86"/>
      <c r="Z508" s="100"/>
    </row>
    <row r="509" spans="1:137" s="16" customFormat="1" ht="14.45" customHeight="1" x14ac:dyDescent="0.2">
      <c r="A509" s="99">
        <v>45413</v>
      </c>
      <c r="B509" s="82">
        <v>45437</v>
      </c>
      <c r="C509" s="88" t="s">
        <v>34</v>
      </c>
      <c r="D509" s="60" t="s">
        <v>830</v>
      </c>
      <c r="E509" s="115" t="s">
        <v>534</v>
      </c>
      <c r="F509" s="60" t="s">
        <v>730</v>
      </c>
      <c r="G509" s="72" t="s">
        <v>142</v>
      </c>
      <c r="H509" s="83">
        <v>0.4375</v>
      </c>
      <c r="I509" s="83">
        <v>0.60416666666666663</v>
      </c>
      <c r="J509" s="63">
        <v>0.27079999999999999</v>
      </c>
      <c r="K509" s="88" t="s">
        <v>365</v>
      </c>
      <c r="L509" s="135">
        <f t="shared" si="33"/>
        <v>6.4992000000000001</v>
      </c>
      <c r="M509" s="61"/>
      <c r="N509" s="60"/>
      <c r="O509" s="91" t="s">
        <v>820</v>
      </c>
      <c r="P509" s="88">
        <v>5</v>
      </c>
      <c r="Q509" s="60"/>
      <c r="R509" s="61"/>
      <c r="S509" s="61"/>
      <c r="T509" s="61"/>
      <c r="U509" s="61"/>
      <c r="V509" s="92"/>
      <c r="W509" s="61"/>
      <c r="X509" s="89"/>
      <c r="Y509" s="61"/>
      <c r="Z509" s="100"/>
      <c r="AA509" s="61"/>
      <c r="AB509" s="61"/>
      <c r="AC509" s="61"/>
      <c r="AD509" s="61"/>
      <c r="AE509" s="61"/>
      <c r="AF509" s="61"/>
      <c r="AG509" s="61"/>
      <c r="AH509" s="61"/>
      <c r="AI509" s="61"/>
      <c r="AJ509" s="61"/>
      <c r="AK509" s="61"/>
      <c r="AL509" s="61"/>
      <c r="AM509" s="61"/>
      <c r="AN509" s="61"/>
      <c r="AO509" s="61"/>
      <c r="AP509" s="61"/>
      <c r="AQ509" s="61"/>
      <c r="AR509" s="61"/>
      <c r="AS509" s="61"/>
      <c r="AT509" s="61"/>
      <c r="AU509" s="61"/>
      <c r="AV509" s="61"/>
      <c r="AW509" s="61"/>
      <c r="AX509" s="61"/>
      <c r="AY509" s="61"/>
      <c r="AZ509" s="61"/>
      <c r="BA509" s="61"/>
      <c r="BB509" s="61"/>
      <c r="BC509" s="61"/>
      <c r="BD509" s="61"/>
      <c r="BE509" s="61"/>
      <c r="BF509" s="61"/>
      <c r="BG509" s="61"/>
      <c r="BH509" s="61"/>
      <c r="BI509" s="61"/>
      <c r="BJ509" s="61"/>
      <c r="BK509" s="61"/>
      <c r="BL509" s="61"/>
      <c r="BM509" s="61"/>
      <c r="BN509" s="61"/>
      <c r="BO509" s="61"/>
      <c r="BP509" s="61"/>
      <c r="BQ509" s="61"/>
      <c r="BR509" s="61"/>
      <c r="BS509" s="61"/>
      <c r="BT509" s="61"/>
      <c r="BU509" s="61"/>
      <c r="BV509" s="61"/>
      <c r="BW509" s="61"/>
      <c r="BX509" s="61"/>
      <c r="BY509" s="61"/>
      <c r="BZ509" s="61"/>
      <c r="CA509" s="61"/>
      <c r="CB509" s="61"/>
      <c r="CC509" s="61"/>
      <c r="CD509" s="61"/>
      <c r="CE509" s="61"/>
      <c r="CF509" s="61"/>
      <c r="CG509" s="61"/>
      <c r="CH509" s="61"/>
      <c r="CI509" s="61"/>
      <c r="CJ509" s="61"/>
      <c r="CK509" s="61"/>
      <c r="CL509" s="61"/>
      <c r="CM509" s="61"/>
      <c r="CN509" s="61"/>
      <c r="CO509" s="61"/>
      <c r="CP509" s="61"/>
      <c r="CQ509" s="61"/>
      <c r="CR509" s="61"/>
      <c r="CS509" s="61"/>
      <c r="CT509" s="61"/>
      <c r="CU509" s="61"/>
      <c r="CV509" s="61"/>
      <c r="CW509" s="61"/>
      <c r="CX509" s="61"/>
      <c r="CY509" s="61"/>
      <c r="CZ509" s="61"/>
      <c r="DA509" s="61"/>
      <c r="DB509" s="61"/>
      <c r="DC509" s="61"/>
      <c r="DD509" s="61"/>
      <c r="DE509" s="61"/>
      <c r="DF509" s="61"/>
      <c r="DG509" s="61"/>
      <c r="DH509" s="61"/>
      <c r="DI509" s="61"/>
      <c r="DJ509" s="61"/>
      <c r="DK509" s="61"/>
      <c r="DL509" s="61"/>
      <c r="DM509" s="61"/>
      <c r="DN509" s="61"/>
      <c r="DO509" s="61"/>
      <c r="DP509" s="61"/>
      <c r="DQ509" s="61"/>
      <c r="DR509" s="61"/>
      <c r="DS509" s="61"/>
      <c r="DT509" s="61"/>
      <c r="DU509" s="61"/>
      <c r="DV509" s="61"/>
      <c r="DW509" s="61"/>
      <c r="DX509" s="61"/>
      <c r="DY509" s="61"/>
      <c r="DZ509" s="61"/>
      <c r="EA509" s="61"/>
      <c r="EB509" s="61"/>
      <c r="EC509" s="61"/>
      <c r="ED509" s="61"/>
      <c r="EE509" s="61"/>
      <c r="EF509" s="61"/>
      <c r="EG509" s="61"/>
    </row>
    <row r="510" spans="1:137" ht="14.45" customHeight="1" x14ac:dyDescent="0.2">
      <c r="A510" s="99">
        <v>45413</v>
      </c>
      <c r="B510" s="82">
        <v>45437</v>
      </c>
      <c r="C510" s="88" t="s">
        <v>34</v>
      </c>
      <c r="D510" s="60" t="s">
        <v>498</v>
      </c>
      <c r="E510" s="115" t="s">
        <v>446</v>
      </c>
      <c r="F510" s="60" t="s">
        <v>627</v>
      </c>
      <c r="G510" s="72" t="s">
        <v>142</v>
      </c>
      <c r="H510" s="83">
        <v>0.41666666666666669</v>
      </c>
      <c r="I510" s="83">
        <v>0.625</v>
      </c>
      <c r="J510" s="63">
        <v>0.27079999999999999</v>
      </c>
      <c r="K510" s="88" t="s">
        <v>110</v>
      </c>
      <c r="L510" s="135">
        <f t="shared" si="33"/>
        <v>6.4992000000000001</v>
      </c>
      <c r="N510" s="60"/>
      <c r="O510" s="91" t="s">
        <v>363</v>
      </c>
      <c r="P510" s="88">
        <v>5</v>
      </c>
      <c r="Q510" s="60"/>
      <c r="V510" s="86"/>
      <c r="Z510" s="100"/>
    </row>
    <row r="511" spans="1:137" ht="14.45" customHeight="1" x14ac:dyDescent="0.2">
      <c r="A511" s="99">
        <v>45413</v>
      </c>
      <c r="B511" s="82">
        <v>45437</v>
      </c>
      <c r="C511" s="88" t="s">
        <v>34</v>
      </c>
      <c r="D511" s="60" t="s">
        <v>740</v>
      </c>
      <c r="E511" s="115" t="s">
        <v>735</v>
      </c>
      <c r="F511" s="60" t="s">
        <v>736</v>
      </c>
      <c r="G511" s="72" t="s">
        <v>142</v>
      </c>
      <c r="H511" s="83">
        <v>0.5</v>
      </c>
      <c r="I511" s="83">
        <v>0.66666666666666663</v>
      </c>
      <c r="J511" s="63">
        <v>0.27079999999999999</v>
      </c>
      <c r="K511" s="88" t="s">
        <v>110</v>
      </c>
      <c r="L511" s="135">
        <f t="shared" si="33"/>
        <v>6.4992000000000001</v>
      </c>
      <c r="N511" s="60"/>
      <c r="O511" s="91" t="s">
        <v>363</v>
      </c>
      <c r="P511" s="88">
        <v>5</v>
      </c>
      <c r="Q511" s="60"/>
      <c r="V511" s="86"/>
      <c r="Z511" s="100"/>
    </row>
    <row r="512" spans="1:137" ht="14.45" customHeight="1" x14ac:dyDescent="0.2">
      <c r="A512" s="99">
        <v>45413</v>
      </c>
      <c r="B512" s="82">
        <v>45438</v>
      </c>
      <c r="C512" s="88" t="s">
        <v>31</v>
      </c>
      <c r="D512" s="60" t="s">
        <v>406</v>
      </c>
      <c r="E512" s="115" t="s">
        <v>745</v>
      </c>
      <c r="F512" s="60" t="s">
        <v>739</v>
      </c>
      <c r="G512" s="72" t="s">
        <v>142</v>
      </c>
      <c r="H512" s="83">
        <v>0.41666666666666669</v>
      </c>
      <c r="I512" s="83">
        <v>0.66666666666666663</v>
      </c>
      <c r="J512" s="63">
        <v>0.27079999999999999</v>
      </c>
      <c r="K512" s="60" t="s">
        <v>113</v>
      </c>
      <c r="L512" s="135">
        <v>6</v>
      </c>
      <c r="N512" s="60"/>
      <c r="O512" s="91" t="s">
        <v>539</v>
      </c>
      <c r="P512" s="88">
        <v>5</v>
      </c>
      <c r="Q512" s="60"/>
      <c r="V512" s="86"/>
      <c r="Z512" s="100"/>
    </row>
    <row r="513" spans="1:26" ht="14.45" customHeight="1" x14ac:dyDescent="0.2">
      <c r="A513" s="99">
        <v>45413</v>
      </c>
      <c r="B513" s="82">
        <v>45438</v>
      </c>
      <c r="C513" s="88" t="s">
        <v>31</v>
      </c>
      <c r="D513" s="60" t="s">
        <v>740</v>
      </c>
      <c r="E513" s="115" t="s">
        <v>735</v>
      </c>
      <c r="F513" s="60" t="s">
        <v>741</v>
      </c>
      <c r="G513" s="72" t="s">
        <v>142</v>
      </c>
      <c r="H513" s="83">
        <v>0.45833333333333331</v>
      </c>
      <c r="I513" s="83">
        <v>0.625</v>
      </c>
      <c r="J513" s="63">
        <v>0.27079999999999999</v>
      </c>
      <c r="K513" s="88" t="s">
        <v>110</v>
      </c>
      <c r="L513" s="135">
        <f>24*J513</f>
        <v>6.4992000000000001</v>
      </c>
      <c r="N513" s="60"/>
      <c r="O513" s="91" t="s">
        <v>361</v>
      </c>
      <c r="P513" s="88">
        <v>5</v>
      </c>
      <c r="Q513" s="60"/>
      <c r="V513" s="86"/>
      <c r="Z513" s="100"/>
    </row>
    <row r="514" spans="1:26" ht="14.45" customHeight="1" x14ac:dyDescent="0.2">
      <c r="A514" s="99">
        <v>45413</v>
      </c>
      <c r="B514" s="82">
        <v>45439</v>
      </c>
      <c r="C514" s="88" t="s">
        <v>45</v>
      </c>
      <c r="D514" s="60" t="s">
        <v>406</v>
      </c>
      <c r="E514" s="115" t="s">
        <v>745</v>
      </c>
      <c r="F514" s="60" t="s">
        <v>739</v>
      </c>
      <c r="G514" s="72" t="s">
        <v>142</v>
      </c>
      <c r="H514" s="83">
        <v>0.41666666666666669</v>
      </c>
      <c r="I514" s="83">
        <v>0.66666666666666663</v>
      </c>
      <c r="J514" s="63">
        <v>0.27079999999999999</v>
      </c>
      <c r="K514" s="60" t="s">
        <v>113</v>
      </c>
      <c r="L514" s="135">
        <v>6</v>
      </c>
      <c r="N514" s="60"/>
      <c r="O514" s="91" t="s">
        <v>539</v>
      </c>
      <c r="P514" s="88">
        <v>5</v>
      </c>
      <c r="Q514" s="60"/>
      <c r="V514" s="86"/>
      <c r="Z514" s="100"/>
    </row>
    <row r="515" spans="1:26" ht="14.45" customHeight="1" x14ac:dyDescent="0.2">
      <c r="A515" s="99">
        <v>45413</v>
      </c>
      <c r="B515" s="82">
        <v>45439</v>
      </c>
      <c r="C515" s="88" t="s">
        <v>45</v>
      </c>
      <c r="D515" s="60" t="s">
        <v>481</v>
      </c>
      <c r="E515" s="115" t="s">
        <v>711</v>
      </c>
      <c r="F515" s="60" t="s">
        <v>737</v>
      </c>
      <c r="G515" s="72" t="s">
        <v>142</v>
      </c>
      <c r="H515" s="83">
        <v>0.4375</v>
      </c>
      <c r="I515" s="83">
        <v>0.66666666666666663</v>
      </c>
      <c r="J515" s="63">
        <v>0.27079999999999999</v>
      </c>
      <c r="K515" s="60" t="s">
        <v>113</v>
      </c>
      <c r="L515" s="135">
        <f>24*J515</f>
        <v>6.4992000000000001</v>
      </c>
      <c r="N515" s="60"/>
      <c r="O515" s="91" t="s">
        <v>360</v>
      </c>
      <c r="P515" s="88">
        <v>5</v>
      </c>
      <c r="Q515" s="60"/>
      <c r="V515" s="86"/>
      <c r="Z515" s="100"/>
    </row>
    <row r="516" spans="1:26" ht="14.45" customHeight="1" x14ac:dyDescent="0.2">
      <c r="A516" s="99">
        <v>45413</v>
      </c>
      <c r="B516" s="82">
        <v>45439</v>
      </c>
      <c r="C516" s="88" t="s">
        <v>45</v>
      </c>
      <c r="D516" s="60" t="s">
        <v>406</v>
      </c>
      <c r="E516" s="115" t="s">
        <v>738</v>
      </c>
      <c r="F516" s="60" t="s">
        <v>739</v>
      </c>
      <c r="G516" s="72" t="s">
        <v>142</v>
      </c>
      <c r="H516" s="83">
        <v>0.58333333333333337</v>
      </c>
      <c r="I516" s="83">
        <v>0.70833333333333337</v>
      </c>
      <c r="J516" s="63">
        <v>0.27079999999999999</v>
      </c>
      <c r="K516" s="60" t="s">
        <v>113</v>
      </c>
      <c r="L516" s="135">
        <f>24*J516</f>
        <v>6.4992000000000001</v>
      </c>
      <c r="N516" s="60"/>
      <c r="O516" s="91" t="s">
        <v>360</v>
      </c>
      <c r="P516" s="88">
        <v>5</v>
      </c>
      <c r="Q516" s="60"/>
      <c r="V516" s="86"/>
      <c r="Z516" s="100"/>
    </row>
    <row r="517" spans="1:26" ht="14.45" customHeight="1" x14ac:dyDescent="0.2">
      <c r="A517" s="99">
        <v>45413</v>
      </c>
      <c r="B517" s="82">
        <v>45439</v>
      </c>
      <c r="C517" s="88" t="s">
        <v>45</v>
      </c>
      <c r="D517" s="60" t="s">
        <v>445</v>
      </c>
      <c r="E517" s="115" t="s">
        <v>446</v>
      </c>
      <c r="F517" s="60" t="s">
        <v>742</v>
      </c>
      <c r="G517" s="72" t="s">
        <v>142</v>
      </c>
      <c r="H517" s="83">
        <v>0.45833333333333331</v>
      </c>
      <c r="I517" s="83">
        <v>0.66666666666666663</v>
      </c>
      <c r="J517" s="63">
        <v>0.27079999999999999</v>
      </c>
      <c r="K517" s="88" t="s">
        <v>110</v>
      </c>
      <c r="L517" s="135">
        <v>6.5</v>
      </c>
      <c r="N517" s="60"/>
      <c r="O517" s="91" t="s">
        <v>361</v>
      </c>
      <c r="P517" s="88">
        <v>5</v>
      </c>
      <c r="Q517" s="60"/>
      <c r="V517" s="86"/>
      <c r="Z517" s="100"/>
    </row>
    <row r="518" spans="1:26" ht="14.45" customHeight="1" x14ac:dyDescent="0.2">
      <c r="A518" s="99">
        <v>45413</v>
      </c>
      <c r="B518" s="82">
        <v>45440</v>
      </c>
      <c r="C518" s="88" t="s">
        <v>106</v>
      </c>
      <c r="D518" s="60" t="s">
        <v>406</v>
      </c>
      <c r="E518" s="115" t="s">
        <v>745</v>
      </c>
      <c r="F518" s="60" t="s">
        <v>739</v>
      </c>
      <c r="G518" s="72" t="s">
        <v>142</v>
      </c>
      <c r="H518" s="83">
        <v>0.41666666666666669</v>
      </c>
      <c r="I518" s="83">
        <v>0.66666666666666663</v>
      </c>
      <c r="J518" s="63">
        <v>0.27079999999999999</v>
      </c>
      <c r="K518" s="60" t="s">
        <v>113</v>
      </c>
      <c r="L518" s="135">
        <v>6</v>
      </c>
      <c r="N518" s="60"/>
      <c r="O518" s="91" t="s">
        <v>539</v>
      </c>
      <c r="P518" s="88">
        <v>5</v>
      </c>
      <c r="Q518" s="60"/>
      <c r="V518" s="86"/>
      <c r="Z518" s="100"/>
    </row>
    <row r="519" spans="1:26" ht="14.45" customHeight="1" x14ac:dyDescent="0.2">
      <c r="A519" s="99">
        <v>45413</v>
      </c>
      <c r="B519" s="82">
        <v>45440</v>
      </c>
      <c r="C519" s="88" t="s">
        <v>106</v>
      </c>
      <c r="D519" s="60" t="s">
        <v>481</v>
      </c>
      <c r="E519" s="115" t="s">
        <v>711</v>
      </c>
      <c r="F519" s="60" t="s">
        <v>737</v>
      </c>
      <c r="G519" s="72" t="s">
        <v>142</v>
      </c>
      <c r="H519" s="83">
        <v>0.4375</v>
      </c>
      <c r="I519" s="83">
        <v>0.625</v>
      </c>
      <c r="J519" s="63">
        <v>0.27079999999999999</v>
      </c>
      <c r="K519" s="60" t="s">
        <v>113</v>
      </c>
      <c r="L519" s="135">
        <f>24*J519</f>
        <v>6.4992000000000001</v>
      </c>
      <c r="N519" s="60"/>
      <c r="O519" s="91" t="s">
        <v>539</v>
      </c>
      <c r="P519" s="88">
        <v>5</v>
      </c>
      <c r="Q519" s="60"/>
      <c r="V519" s="86"/>
      <c r="Z519" s="100"/>
    </row>
    <row r="520" spans="1:26" ht="14.45" customHeight="1" x14ac:dyDescent="0.2">
      <c r="A520" s="99">
        <v>45413</v>
      </c>
      <c r="B520" s="82">
        <v>45440</v>
      </c>
      <c r="C520" s="88" t="s">
        <v>106</v>
      </c>
      <c r="D520" s="60" t="s">
        <v>445</v>
      </c>
      <c r="E520" s="115" t="s">
        <v>446</v>
      </c>
      <c r="F520" s="60" t="s">
        <v>742</v>
      </c>
      <c r="G520" s="72" t="s">
        <v>142</v>
      </c>
      <c r="H520" s="83">
        <v>0.41666666666666669</v>
      </c>
      <c r="I520" s="83">
        <v>0.66666666666666663</v>
      </c>
      <c r="J520" s="63">
        <v>0.27079999999999999</v>
      </c>
      <c r="K520" s="88" t="s">
        <v>110</v>
      </c>
      <c r="L520" s="135">
        <v>6.5</v>
      </c>
      <c r="N520" s="60"/>
      <c r="O520" s="91" t="s">
        <v>361</v>
      </c>
      <c r="P520" s="88">
        <v>5</v>
      </c>
      <c r="Q520" s="60"/>
      <c r="V520" s="86"/>
      <c r="Z520" s="100"/>
    </row>
    <row r="521" spans="1:26" ht="14.45" customHeight="1" x14ac:dyDescent="0.2">
      <c r="A521" s="99">
        <v>45413</v>
      </c>
      <c r="B521" s="82">
        <v>45440</v>
      </c>
      <c r="C521" s="88" t="s">
        <v>106</v>
      </c>
      <c r="D521" s="60" t="s">
        <v>406</v>
      </c>
      <c r="E521" s="115" t="s">
        <v>407</v>
      </c>
      <c r="F521" s="60" t="s">
        <v>408</v>
      </c>
      <c r="G521" s="59" t="s">
        <v>142</v>
      </c>
      <c r="H521" s="83">
        <v>0.58333333333333337</v>
      </c>
      <c r="I521" s="83">
        <v>0.70833333333333337</v>
      </c>
      <c r="J521" s="63">
        <f>I521-H521</f>
        <v>0.125</v>
      </c>
      <c r="K521" s="88" t="s">
        <v>365</v>
      </c>
      <c r="L521" s="135">
        <f>24*J521</f>
        <v>3</v>
      </c>
      <c r="N521" s="60"/>
      <c r="O521" s="91" t="s">
        <v>360</v>
      </c>
      <c r="P521" s="88">
        <v>5</v>
      </c>
      <c r="Q521" s="60"/>
      <c r="V521" s="86"/>
      <c r="Z521" s="100"/>
    </row>
    <row r="522" spans="1:26" ht="14.45" customHeight="1" x14ac:dyDescent="0.2">
      <c r="A522" s="99">
        <v>45413</v>
      </c>
      <c r="B522" s="82">
        <v>45441</v>
      </c>
      <c r="C522" s="60" t="s">
        <v>398</v>
      </c>
      <c r="D522" s="60" t="s">
        <v>406</v>
      </c>
      <c r="E522" s="115" t="s">
        <v>745</v>
      </c>
      <c r="F522" s="60" t="s">
        <v>739</v>
      </c>
      <c r="G522" s="72" t="s">
        <v>142</v>
      </c>
      <c r="H522" s="83">
        <v>0.41666666666666669</v>
      </c>
      <c r="I522" s="83">
        <v>0.66666666666666663</v>
      </c>
      <c r="J522" s="63">
        <v>0.27079999999999999</v>
      </c>
      <c r="K522" s="60" t="s">
        <v>113</v>
      </c>
      <c r="L522" s="135">
        <v>6</v>
      </c>
      <c r="N522" s="60"/>
      <c r="O522" s="91" t="s">
        <v>539</v>
      </c>
      <c r="P522" s="88">
        <v>5</v>
      </c>
      <c r="Q522" s="60"/>
      <c r="V522" s="86"/>
      <c r="Z522" s="100"/>
    </row>
    <row r="523" spans="1:26" x14ac:dyDescent="0.2">
      <c r="A523" s="99">
        <v>45413</v>
      </c>
      <c r="B523" s="82">
        <v>45441</v>
      </c>
      <c r="C523" s="60" t="s">
        <v>398</v>
      </c>
      <c r="D523" s="60" t="s">
        <v>98</v>
      </c>
      <c r="E523" s="116" t="s">
        <v>743</v>
      </c>
      <c r="F523" s="72" t="s">
        <v>618</v>
      </c>
      <c r="G523" s="72" t="s">
        <v>142</v>
      </c>
      <c r="H523" s="83">
        <v>0.45833333333333331</v>
      </c>
      <c r="I523" s="83">
        <v>0.625</v>
      </c>
      <c r="J523" s="63">
        <v>0.27079999999999999</v>
      </c>
      <c r="K523" s="60" t="s">
        <v>365</v>
      </c>
      <c r="L523" s="135">
        <f>24*J523</f>
        <v>6.4992000000000001</v>
      </c>
      <c r="O523" s="91" t="s">
        <v>539</v>
      </c>
      <c r="P523" s="88">
        <v>5</v>
      </c>
      <c r="Z523" s="100"/>
    </row>
    <row r="524" spans="1:26" x14ac:dyDescent="0.2">
      <c r="A524" s="99">
        <v>45413</v>
      </c>
      <c r="B524" s="82">
        <v>45441</v>
      </c>
      <c r="C524" s="60" t="s">
        <v>398</v>
      </c>
      <c r="D524" s="60" t="s">
        <v>483</v>
      </c>
      <c r="E524" s="116" t="s">
        <v>665</v>
      </c>
      <c r="F524" s="72" t="s">
        <v>618</v>
      </c>
      <c r="G524" s="72" t="s">
        <v>142</v>
      </c>
      <c r="H524" s="83">
        <v>0.58333333333333337</v>
      </c>
      <c r="I524" s="83">
        <v>0.625</v>
      </c>
      <c r="J524" s="63">
        <f>I524-H524</f>
        <v>4.166666666666663E-2</v>
      </c>
      <c r="K524" s="88" t="s">
        <v>365</v>
      </c>
      <c r="L524" s="135">
        <f>24*J524</f>
        <v>0.99999999999999911</v>
      </c>
      <c r="M524" s="60"/>
      <c r="N524" s="60"/>
      <c r="O524" s="91" t="s">
        <v>360</v>
      </c>
      <c r="P524" s="88">
        <v>5</v>
      </c>
      <c r="Q524" s="60"/>
      <c r="Z524" s="100"/>
    </row>
    <row r="525" spans="1:26" x14ac:dyDescent="0.2">
      <c r="A525" s="99">
        <v>45413</v>
      </c>
      <c r="B525" s="82">
        <v>45441</v>
      </c>
      <c r="C525" s="60" t="s">
        <v>398</v>
      </c>
      <c r="D525" s="60" t="s">
        <v>483</v>
      </c>
      <c r="E525" s="116" t="s">
        <v>665</v>
      </c>
      <c r="F525" s="72" t="s">
        <v>744</v>
      </c>
      <c r="G525" s="72" t="s">
        <v>142</v>
      </c>
      <c r="H525" s="83">
        <v>0.625</v>
      </c>
      <c r="I525" s="83">
        <v>0.66666666666666663</v>
      </c>
      <c r="J525" s="63">
        <f>I525-H525</f>
        <v>4.166666666666663E-2</v>
      </c>
      <c r="K525" s="88" t="s">
        <v>365</v>
      </c>
      <c r="L525" s="135">
        <f>24*J525</f>
        <v>0.99999999999999911</v>
      </c>
      <c r="M525" s="60"/>
      <c r="N525" s="60"/>
      <c r="O525" s="91" t="s">
        <v>363</v>
      </c>
      <c r="P525" s="88">
        <v>5</v>
      </c>
      <c r="Q525" s="60"/>
      <c r="Z525" s="100"/>
    </row>
    <row r="526" spans="1:26" x14ac:dyDescent="0.2">
      <c r="A526" s="99">
        <v>45413</v>
      </c>
      <c r="B526" s="82">
        <v>45442</v>
      </c>
      <c r="C526" s="82" t="s">
        <v>124</v>
      </c>
      <c r="D526" s="60" t="s">
        <v>483</v>
      </c>
      <c r="E526" s="116" t="s">
        <v>665</v>
      </c>
      <c r="F526" s="72" t="s">
        <v>618</v>
      </c>
      <c r="G526" s="72" t="s">
        <v>142</v>
      </c>
      <c r="H526" s="83">
        <v>0.4375</v>
      </c>
      <c r="I526" s="83">
        <v>0.54166666666666663</v>
      </c>
      <c r="J526" s="63">
        <f>I526-H526</f>
        <v>0.10416666666666663</v>
      </c>
      <c r="K526" s="88" t="s">
        <v>365</v>
      </c>
      <c r="L526" s="135">
        <f>24*J526</f>
        <v>2.4999999999999991</v>
      </c>
      <c r="O526" s="91" t="s">
        <v>314</v>
      </c>
      <c r="P526" s="88">
        <v>5</v>
      </c>
      <c r="Z526" s="100"/>
    </row>
    <row r="527" spans="1:26" x14ac:dyDescent="0.2">
      <c r="A527" s="99">
        <v>45413</v>
      </c>
      <c r="B527" s="82">
        <v>45442</v>
      </c>
      <c r="C527" s="82" t="s">
        <v>124</v>
      </c>
      <c r="D527" s="60" t="s">
        <v>830</v>
      </c>
      <c r="E527" s="115" t="s">
        <v>458</v>
      </c>
      <c r="F527" s="60" t="s">
        <v>915</v>
      </c>
      <c r="G527" s="59" t="s">
        <v>142</v>
      </c>
      <c r="H527" s="83">
        <v>0.625</v>
      </c>
      <c r="I527" s="83">
        <v>0.72916666666666663</v>
      </c>
      <c r="J527" s="63">
        <f>I527-H527</f>
        <v>0.10416666666666663</v>
      </c>
      <c r="K527" s="88" t="s">
        <v>365</v>
      </c>
      <c r="L527" s="135">
        <v>2.5</v>
      </c>
      <c r="O527" s="91" t="s">
        <v>820</v>
      </c>
      <c r="P527" s="88">
        <v>5</v>
      </c>
      <c r="Z527" s="100"/>
    </row>
    <row r="528" spans="1:26" ht="14.45" customHeight="1" x14ac:dyDescent="0.2">
      <c r="A528" s="99">
        <v>45413</v>
      </c>
      <c r="B528" s="82">
        <v>45442</v>
      </c>
      <c r="C528" s="82" t="s">
        <v>124</v>
      </c>
      <c r="D528" s="60" t="s">
        <v>406</v>
      </c>
      <c r="E528" s="115" t="s">
        <v>745</v>
      </c>
      <c r="F528" s="60" t="s">
        <v>739</v>
      </c>
      <c r="G528" s="72" t="s">
        <v>142</v>
      </c>
      <c r="H528" s="83">
        <v>0.41666666666666669</v>
      </c>
      <c r="I528" s="83">
        <v>0.66666666666666663</v>
      </c>
      <c r="J528" s="63">
        <v>0.27079999999999999</v>
      </c>
      <c r="K528" s="60" t="s">
        <v>113</v>
      </c>
      <c r="L528" s="135">
        <v>6</v>
      </c>
      <c r="N528" s="60"/>
      <c r="O528" s="91" t="s">
        <v>539</v>
      </c>
      <c r="P528" s="88">
        <v>5</v>
      </c>
      <c r="Q528" s="60"/>
      <c r="V528" s="86"/>
      <c r="Z528" s="100"/>
    </row>
    <row r="529" spans="1:26" x14ac:dyDescent="0.2">
      <c r="A529" s="99">
        <v>45413</v>
      </c>
      <c r="B529" s="82">
        <v>45442</v>
      </c>
      <c r="C529" s="82" t="s">
        <v>124</v>
      </c>
      <c r="D529" s="60" t="s">
        <v>325</v>
      </c>
      <c r="E529" s="115" t="s">
        <v>746</v>
      </c>
      <c r="F529" s="60" t="s">
        <v>704</v>
      </c>
      <c r="G529" s="72" t="s">
        <v>142</v>
      </c>
      <c r="H529" s="83">
        <v>0.5</v>
      </c>
      <c r="I529" s="83">
        <v>0.66666666666666663</v>
      </c>
      <c r="J529" s="63">
        <f t="shared" ref="J529:J534" si="35">I529-H529</f>
        <v>0.16666666666666663</v>
      </c>
      <c r="K529" s="60" t="s">
        <v>113</v>
      </c>
      <c r="L529" s="135">
        <f t="shared" ref="L529:L534" si="36">24*J529</f>
        <v>3.9999999999999991</v>
      </c>
      <c r="M529" s="60"/>
      <c r="N529" s="60"/>
      <c r="O529" s="91" t="s">
        <v>539</v>
      </c>
      <c r="P529" s="88">
        <v>5</v>
      </c>
      <c r="Z529" s="100"/>
    </row>
    <row r="530" spans="1:26" x14ac:dyDescent="0.25">
      <c r="A530" s="99">
        <v>45413</v>
      </c>
      <c r="B530" s="74">
        <v>45443</v>
      </c>
      <c r="C530" s="88" t="s">
        <v>33</v>
      </c>
      <c r="D530" s="60" t="s">
        <v>720</v>
      </c>
      <c r="E530" s="115" t="s">
        <v>753</v>
      </c>
      <c r="F530" s="96" t="s">
        <v>734</v>
      </c>
      <c r="G530" s="59" t="s">
        <v>142</v>
      </c>
      <c r="H530" s="83">
        <v>0.45833333333333331</v>
      </c>
      <c r="I530" s="83">
        <v>0.85416666666666663</v>
      </c>
      <c r="J530" s="63">
        <f t="shared" si="35"/>
        <v>0.39583333333333331</v>
      </c>
      <c r="K530" s="88" t="s">
        <v>300</v>
      </c>
      <c r="L530" s="135">
        <f t="shared" si="36"/>
        <v>9.5</v>
      </c>
      <c r="O530" s="91" t="s">
        <v>364</v>
      </c>
      <c r="P530" s="88">
        <v>5</v>
      </c>
      <c r="R530" s="88"/>
      <c r="U530" s="60"/>
      <c r="W530" s="60"/>
      <c r="X530" s="86"/>
      <c r="Z530" s="100"/>
    </row>
    <row r="531" spans="1:26" x14ac:dyDescent="0.25">
      <c r="A531" s="99">
        <v>45413</v>
      </c>
      <c r="B531" s="74">
        <v>45443</v>
      </c>
      <c r="C531" s="61" t="s">
        <v>33</v>
      </c>
      <c r="D531" s="60" t="s">
        <v>126</v>
      </c>
      <c r="E531" s="115" t="s">
        <v>747</v>
      </c>
      <c r="F531" s="72" t="s">
        <v>919</v>
      </c>
      <c r="G531" s="72" t="s">
        <v>142</v>
      </c>
      <c r="H531" s="83">
        <v>0.4375</v>
      </c>
      <c r="I531" s="83">
        <v>0.45833333333333331</v>
      </c>
      <c r="J531" s="63">
        <f t="shared" si="35"/>
        <v>2.0833333333333315E-2</v>
      </c>
      <c r="K531" s="88" t="s">
        <v>365</v>
      </c>
      <c r="L531" s="135">
        <f t="shared" si="36"/>
        <v>0.49999999999999956</v>
      </c>
      <c r="O531" s="91" t="s">
        <v>358</v>
      </c>
      <c r="P531" s="88">
        <v>5</v>
      </c>
      <c r="Z531" s="100"/>
    </row>
    <row r="532" spans="1:26" x14ac:dyDescent="0.25">
      <c r="A532" s="99">
        <v>45413</v>
      </c>
      <c r="B532" s="74">
        <v>45443</v>
      </c>
      <c r="C532" s="61" t="s">
        <v>33</v>
      </c>
      <c r="D532" s="60" t="s">
        <v>325</v>
      </c>
      <c r="E532" s="115" t="s">
        <v>746</v>
      </c>
      <c r="F532" s="60" t="s">
        <v>704</v>
      </c>
      <c r="G532" s="72" t="s">
        <v>142</v>
      </c>
      <c r="H532" s="83">
        <v>0.5</v>
      </c>
      <c r="I532" s="83">
        <v>0.70833333333333337</v>
      </c>
      <c r="J532" s="63">
        <f t="shared" si="35"/>
        <v>0.20833333333333337</v>
      </c>
      <c r="K532" s="60" t="s">
        <v>113</v>
      </c>
      <c r="L532" s="135">
        <f t="shared" si="36"/>
        <v>5.0000000000000009</v>
      </c>
      <c r="O532" s="91" t="s">
        <v>539</v>
      </c>
      <c r="P532" s="88">
        <v>5</v>
      </c>
      <c r="Z532" s="100"/>
    </row>
    <row r="533" spans="1:26" x14ac:dyDescent="0.25">
      <c r="A533" s="99">
        <v>45413</v>
      </c>
      <c r="B533" s="74">
        <v>45443</v>
      </c>
      <c r="C533" s="61" t="s">
        <v>33</v>
      </c>
      <c r="D533" s="60" t="s">
        <v>406</v>
      </c>
      <c r="E533" s="115" t="s">
        <v>738</v>
      </c>
      <c r="F533" s="60" t="s">
        <v>739</v>
      </c>
      <c r="G533" s="72" t="s">
        <v>142</v>
      </c>
      <c r="H533" s="83">
        <v>0.5</v>
      </c>
      <c r="I533" s="83">
        <v>0.70833333333333337</v>
      </c>
      <c r="J533" s="63">
        <f t="shared" si="35"/>
        <v>0.20833333333333337</v>
      </c>
      <c r="K533" s="60" t="s">
        <v>113</v>
      </c>
      <c r="L533" s="135">
        <f t="shared" si="36"/>
        <v>5.0000000000000009</v>
      </c>
      <c r="O533" s="91" t="s">
        <v>539</v>
      </c>
      <c r="P533" s="88">
        <v>5</v>
      </c>
      <c r="Z533" s="100"/>
    </row>
    <row r="534" spans="1:26" x14ac:dyDescent="0.25">
      <c r="A534" s="99">
        <v>45413</v>
      </c>
      <c r="B534" s="74">
        <v>45443</v>
      </c>
      <c r="C534" s="61" t="s">
        <v>33</v>
      </c>
      <c r="D534" s="60" t="s">
        <v>126</v>
      </c>
      <c r="E534" s="115" t="s">
        <v>747</v>
      </c>
      <c r="F534" s="72" t="s">
        <v>918</v>
      </c>
      <c r="G534" s="72" t="s">
        <v>142</v>
      </c>
      <c r="H534" s="83">
        <v>0.375</v>
      </c>
      <c r="I534" s="83">
        <v>0.41666666666666669</v>
      </c>
      <c r="J534" s="63">
        <f t="shared" si="35"/>
        <v>4.1666666666666685E-2</v>
      </c>
      <c r="K534" s="88" t="s">
        <v>365</v>
      </c>
      <c r="L534" s="135">
        <f t="shared" si="36"/>
        <v>1.0000000000000004</v>
      </c>
      <c r="O534" s="91" t="s">
        <v>358</v>
      </c>
      <c r="P534" s="88">
        <v>5</v>
      </c>
      <c r="Z534" s="100"/>
    </row>
    <row r="535" spans="1:26" ht="14.45" customHeight="1" x14ac:dyDescent="0.2">
      <c r="A535" s="99">
        <v>45444</v>
      </c>
      <c r="B535" s="82">
        <v>45444</v>
      </c>
      <c r="C535" s="88" t="s">
        <v>34</v>
      </c>
      <c r="D535" s="60" t="s">
        <v>481</v>
      </c>
      <c r="E535" s="115" t="s">
        <v>711</v>
      </c>
      <c r="F535" s="60" t="s">
        <v>737</v>
      </c>
      <c r="G535" s="72" t="s">
        <v>142</v>
      </c>
      <c r="H535" s="83">
        <v>0.41666666666666669</v>
      </c>
      <c r="I535" s="83">
        <v>0.54166666666666663</v>
      </c>
      <c r="J535" s="63">
        <v>0.27079999999999999</v>
      </c>
      <c r="K535" s="60" t="s">
        <v>113</v>
      </c>
      <c r="L535" s="135">
        <v>3</v>
      </c>
      <c r="N535" s="60"/>
      <c r="O535" s="91" t="s">
        <v>363</v>
      </c>
      <c r="P535" s="88">
        <v>5</v>
      </c>
      <c r="Q535" s="60"/>
      <c r="V535" s="86"/>
      <c r="Z535" s="100"/>
    </row>
    <row r="536" spans="1:26" ht="14.45" customHeight="1" x14ac:dyDescent="0.2">
      <c r="A536" s="99">
        <v>45444</v>
      </c>
      <c r="B536" s="82">
        <v>45444</v>
      </c>
      <c r="C536" s="88" t="s">
        <v>34</v>
      </c>
      <c r="D536" s="60" t="s">
        <v>406</v>
      </c>
      <c r="E536" s="115" t="s">
        <v>738</v>
      </c>
      <c r="F536" s="60" t="s">
        <v>739</v>
      </c>
      <c r="G536" s="72" t="s">
        <v>142</v>
      </c>
      <c r="H536" s="83">
        <v>0.41666666666666669</v>
      </c>
      <c r="I536" s="83">
        <v>0.625</v>
      </c>
      <c r="J536" s="63">
        <v>0.27079999999999999</v>
      </c>
      <c r="K536" s="60" t="s">
        <v>113</v>
      </c>
      <c r="L536" s="135">
        <v>5</v>
      </c>
      <c r="N536" s="60"/>
      <c r="O536" s="91" t="s">
        <v>363</v>
      </c>
      <c r="P536" s="88">
        <v>5</v>
      </c>
      <c r="Q536" s="60"/>
      <c r="V536" s="86"/>
      <c r="Z536" s="100"/>
    </row>
    <row r="537" spans="1:26" x14ac:dyDescent="0.25">
      <c r="A537" s="99">
        <v>45444</v>
      </c>
      <c r="B537" s="74">
        <v>45445</v>
      </c>
      <c r="C537" s="88" t="s">
        <v>31</v>
      </c>
      <c r="D537" s="60" t="s">
        <v>406</v>
      </c>
      <c r="E537" s="115" t="s">
        <v>748</v>
      </c>
      <c r="F537" s="60" t="s">
        <v>739</v>
      </c>
      <c r="G537" s="72" t="s">
        <v>142</v>
      </c>
      <c r="H537" s="83">
        <v>0.45833333333333331</v>
      </c>
      <c r="I537" s="83">
        <v>0.70833333333333337</v>
      </c>
      <c r="J537" s="63">
        <f t="shared" ref="J537:J545" si="37">I537-H537</f>
        <v>0.25000000000000006</v>
      </c>
      <c r="K537" s="60" t="s">
        <v>113</v>
      </c>
      <c r="L537" s="135">
        <v>6</v>
      </c>
      <c r="O537" s="91" t="s">
        <v>539</v>
      </c>
      <c r="P537" s="88">
        <v>5</v>
      </c>
      <c r="Z537" s="100"/>
    </row>
    <row r="538" spans="1:26" ht="14.45" customHeight="1" x14ac:dyDescent="0.25">
      <c r="A538" s="99">
        <v>45444</v>
      </c>
      <c r="B538" s="74">
        <v>45445</v>
      </c>
      <c r="C538" s="88" t="s">
        <v>31</v>
      </c>
      <c r="D538" s="60" t="s">
        <v>326</v>
      </c>
      <c r="E538" s="115" t="s">
        <v>749</v>
      </c>
      <c r="F538" s="73" t="s">
        <v>750</v>
      </c>
      <c r="G538" s="72" t="s">
        <v>142</v>
      </c>
      <c r="H538" s="83">
        <v>0.5</v>
      </c>
      <c r="I538" s="83">
        <v>0.58333333333333337</v>
      </c>
      <c r="J538" s="63">
        <f t="shared" si="37"/>
        <v>8.333333333333337E-2</v>
      </c>
      <c r="K538" s="60" t="s">
        <v>365</v>
      </c>
      <c r="L538" s="135">
        <f>24*J538</f>
        <v>2.0000000000000009</v>
      </c>
      <c r="O538" s="91" t="s">
        <v>539</v>
      </c>
      <c r="P538" s="88">
        <v>5</v>
      </c>
      <c r="Z538" s="100"/>
    </row>
    <row r="539" spans="1:26" ht="14.45" customHeight="1" x14ac:dyDescent="0.25">
      <c r="A539" s="99">
        <v>45444</v>
      </c>
      <c r="B539" s="74">
        <v>45445</v>
      </c>
      <c r="C539" s="88" t="s">
        <v>31</v>
      </c>
      <c r="D539" s="60" t="s">
        <v>325</v>
      </c>
      <c r="E539" s="115" t="s">
        <v>746</v>
      </c>
      <c r="F539" s="60" t="s">
        <v>704</v>
      </c>
      <c r="G539" s="72" t="s">
        <v>142</v>
      </c>
      <c r="H539" s="83">
        <v>0.45833333333333331</v>
      </c>
      <c r="I539" s="83">
        <v>0.70833333333333337</v>
      </c>
      <c r="J539" s="63">
        <f t="shared" si="37"/>
        <v>0.25000000000000006</v>
      </c>
      <c r="K539" s="60" t="s">
        <v>113</v>
      </c>
      <c r="L539" s="135">
        <v>6</v>
      </c>
      <c r="O539" s="91" t="s">
        <v>539</v>
      </c>
      <c r="P539" s="88">
        <v>5</v>
      </c>
      <c r="Z539" s="100"/>
    </row>
    <row r="540" spans="1:26" ht="14.45" customHeight="1" x14ac:dyDescent="0.25">
      <c r="A540" s="99">
        <v>45444</v>
      </c>
      <c r="B540" s="74">
        <v>45445</v>
      </c>
      <c r="C540" s="88" t="s">
        <v>31</v>
      </c>
      <c r="D540" s="60" t="s">
        <v>308</v>
      </c>
      <c r="E540" s="115" t="s">
        <v>377</v>
      </c>
      <c r="F540" s="60" t="s">
        <v>379</v>
      </c>
      <c r="G540" s="72" t="s">
        <v>142</v>
      </c>
      <c r="H540" s="83">
        <v>0.41666666666666669</v>
      </c>
      <c r="I540" s="83">
        <v>0.5625</v>
      </c>
      <c r="J540" s="63">
        <f t="shared" si="37"/>
        <v>0.14583333333333331</v>
      </c>
      <c r="K540" s="88" t="s">
        <v>365</v>
      </c>
      <c r="L540" s="135">
        <f>24*J540</f>
        <v>3.4999999999999996</v>
      </c>
      <c r="O540" s="91" t="s">
        <v>358</v>
      </c>
      <c r="P540" s="88">
        <v>5</v>
      </c>
      <c r="Z540" s="100"/>
    </row>
    <row r="541" spans="1:26" ht="14.45" customHeight="1" x14ac:dyDescent="0.25">
      <c r="A541" s="99">
        <v>45444</v>
      </c>
      <c r="B541" s="74">
        <v>45446</v>
      </c>
      <c r="C541" s="88" t="s">
        <v>45</v>
      </c>
      <c r="D541" s="60" t="s">
        <v>322</v>
      </c>
      <c r="E541" s="115" t="s">
        <v>751</v>
      </c>
      <c r="F541" s="60" t="s">
        <v>514</v>
      </c>
      <c r="G541" s="72" t="s">
        <v>142</v>
      </c>
      <c r="H541" s="83">
        <v>0.47916666666666669</v>
      </c>
      <c r="I541" s="83">
        <v>0.5</v>
      </c>
      <c r="J541" s="63">
        <f t="shared" si="37"/>
        <v>2.0833333333333315E-2</v>
      </c>
      <c r="K541" s="88" t="s">
        <v>365</v>
      </c>
      <c r="L541" s="135">
        <f>24*J541</f>
        <v>0.49999999999999956</v>
      </c>
      <c r="O541" s="91" t="s">
        <v>820</v>
      </c>
      <c r="P541" s="88">
        <v>5</v>
      </c>
      <c r="Z541" s="100"/>
    </row>
    <row r="542" spans="1:26" x14ac:dyDescent="0.25">
      <c r="A542" s="99">
        <v>45444</v>
      </c>
      <c r="B542" s="74">
        <v>45446</v>
      </c>
      <c r="C542" s="88" t="s">
        <v>45</v>
      </c>
      <c r="D542" s="60" t="s">
        <v>126</v>
      </c>
      <c r="E542" s="115" t="s">
        <v>352</v>
      </c>
      <c r="F542" s="60" t="s">
        <v>920</v>
      </c>
      <c r="G542" s="59" t="s">
        <v>142</v>
      </c>
      <c r="H542" s="83">
        <v>0.4375</v>
      </c>
      <c r="I542" s="83">
        <v>0.52083333333333337</v>
      </c>
      <c r="J542" s="63">
        <f t="shared" si="37"/>
        <v>8.333333333333337E-2</v>
      </c>
      <c r="K542" s="88" t="s">
        <v>365</v>
      </c>
      <c r="L542" s="135">
        <f>24*J542</f>
        <v>2.0000000000000009</v>
      </c>
      <c r="O542" s="91" t="s">
        <v>314</v>
      </c>
      <c r="P542" s="88">
        <v>5</v>
      </c>
      <c r="Z542" s="100"/>
    </row>
    <row r="543" spans="1:26" x14ac:dyDescent="0.25">
      <c r="A543" s="99">
        <v>45444</v>
      </c>
      <c r="B543" s="74">
        <v>45446</v>
      </c>
      <c r="C543" s="88" t="s">
        <v>45</v>
      </c>
      <c r="D543" s="60" t="s">
        <v>98</v>
      </c>
      <c r="E543" s="116" t="s">
        <v>612</v>
      </c>
      <c r="F543" s="72" t="s">
        <v>680</v>
      </c>
      <c r="G543" s="72" t="s">
        <v>142</v>
      </c>
      <c r="H543" s="83">
        <v>0.41666666666666669</v>
      </c>
      <c r="I543" s="83">
        <v>0.5</v>
      </c>
      <c r="J543" s="63">
        <f t="shared" si="37"/>
        <v>8.3333333333333315E-2</v>
      </c>
      <c r="K543" s="88" t="s">
        <v>365</v>
      </c>
      <c r="L543" s="135">
        <f>24*J543</f>
        <v>1.9999999999999996</v>
      </c>
      <c r="O543" s="91" t="s">
        <v>576</v>
      </c>
      <c r="P543" s="88">
        <v>5</v>
      </c>
      <c r="Z543" s="100"/>
    </row>
    <row r="544" spans="1:26" x14ac:dyDescent="0.25">
      <c r="A544" s="99">
        <v>45444</v>
      </c>
      <c r="B544" s="74">
        <v>45446</v>
      </c>
      <c r="C544" s="88" t="s">
        <v>45</v>
      </c>
      <c r="D544" s="60" t="s">
        <v>830</v>
      </c>
      <c r="E544" s="115" t="s">
        <v>923</v>
      </c>
      <c r="F544" s="60" t="s">
        <v>924</v>
      </c>
      <c r="G544" s="59" t="s">
        <v>142</v>
      </c>
      <c r="H544" s="83">
        <v>0.5</v>
      </c>
      <c r="I544" s="83">
        <v>0.66666666666666663</v>
      </c>
      <c r="J544" s="63">
        <f t="shared" si="37"/>
        <v>0.16666666666666663</v>
      </c>
      <c r="K544" s="88" t="s">
        <v>365</v>
      </c>
      <c r="L544" s="135">
        <f>24*J544</f>
        <v>3.9999999999999991</v>
      </c>
      <c r="O544" s="91" t="s">
        <v>820</v>
      </c>
      <c r="P544" s="88">
        <v>5</v>
      </c>
      <c r="Z544" s="100"/>
    </row>
    <row r="545" spans="1:26" x14ac:dyDescent="0.25">
      <c r="A545" s="99">
        <v>45444</v>
      </c>
      <c r="B545" s="74">
        <v>45446</v>
      </c>
      <c r="C545" s="88" t="s">
        <v>45</v>
      </c>
      <c r="D545" s="60" t="s">
        <v>98</v>
      </c>
      <c r="E545" s="115" t="s">
        <v>386</v>
      </c>
      <c r="F545" s="73" t="s">
        <v>752</v>
      </c>
      <c r="G545" s="59" t="s">
        <v>142</v>
      </c>
      <c r="H545" s="83">
        <v>0.41666666666666669</v>
      </c>
      <c r="I545" s="83">
        <v>0.66666666666666663</v>
      </c>
      <c r="J545" s="63">
        <f t="shared" si="37"/>
        <v>0.24999999999999994</v>
      </c>
      <c r="K545" s="88" t="s">
        <v>365</v>
      </c>
      <c r="L545" s="135">
        <v>6</v>
      </c>
      <c r="O545" s="91" t="s">
        <v>576</v>
      </c>
      <c r="P545" s="88">
        <v>5</v>
      </c>
      <c r="Z545" s="100"/>
    </row>
    <row r="546" spans="1:26" s="88" customFormat="1" x14ac:dyDescent="0.25">
      <c r="A546" s="99">
        <v>45444</v>
      </c>
      <c r="B546" s="74">
        <v>45446</v>
      </c>
      <c r="C546" s="88" t="s">
        <v>45</v>
      </c>
      <c r="D546" s="60" t="s">
        <v>98</v>
      </c>
      <c r="E546" s="115" t="s">
        <v>754</v>
      </c>
      <c r="F546" s="60" t="s">
        <v>755</v>
      </c>
      <c r="G546" s="72" t="s">
        <v>142</v>
      </c>
      <c r="H546" s="83">
        <v>0.70833333333333337</v>
      </c>
      <c r="I546" s="83">
        <v>0.58333333333333337</v>
      </c>
      <c r="J546" s="63">
        <f>الجدول3[[#This Row],[ساعة الدخول ]]-الجدول3[[#This Row],[ساعة الخروج]]</f>
        <v>0.125</v>
      </c>
      <c r="K546" s="88" t="s">
        <v>296</v>
      </c>
      <c r="L546" s="135">
        <f>24*J546</f>
        <v>3</v>
      </c>
      <c r="M546" s="60"/>
      <c r="N546" s="60"/>
      <c r="O546" s="85" t="s">
        <v>304</v>
      </c>
      <c r="P546" s="88">
        <v>4</v>
      </c>
      <c r="Q546" s="60" t="s">
        <v>692</v>
      </c>
      <c r="V546" s="94"/>
      <c r="X546" s="90"/>
      <c r="Z546" s="101"/>
    </row>
    <row r="547" spans="1:26" x14ac:dyDescent="0.25">
      <c r="A547" s="99">
        <v>45444</v>
      </c>
      <c r="B547" s="74">
        <v>45447</v>
      </c>
      <c r="C547" s="88" t="s">
        <v>106</v>
      </c>
      <c r="D547" s="60" t="s">
        <v>308</v>
      </c>
      <c r="E547" s="115" t="s">
        <v>377</v>
      </c>
      <c r="F547" s="60" t="s">
        <v>379</v>
      </c>
      <c r="G547" s="72" t="s">
        <v>142</v>
      </c>
      <c r="H547" s="83">
        <v>0.4375</v>
      </c>
      <c r="I547" s="83">
        <v>0.72916666666666663</v>
      </c>
      <c r="J547" s="63">
        <f>I547-H547</f>
        <v>0.29166666666666663</v>
      </c>
      <c r="K547" s="88" t="s">
        <v>365</v>
      </c>
      <c r="L547" s="135">
        <f>24*J547</f>
        <v>6.9999999999999991</v>
      </c>
      <c r="O547" s="91" t="s">
        <v>820</v>
      </c>
      <c r="P547" s="88">
        <v>5</v>
      </c>
      <c r="Z547" s="100"/>
    </row>
    <row r="548" spans="1:26" x14ac:dyDescent="0.25">
      <c r="A548" s="99">
        <v>45444</v>
      </c>
      <c r="B548" s="74">
        <v>45447</v>
      </c>
      <c r="C548" s="88" t="s">
        <v>106</v>
      </c>
      <c r="D548" s="60" t="s">
        <v>406</v>
      </c>
      <c r="E548" s="115" t="s">
        <v>738</v>
      </c>
      <c r="F548" s="60" t="s">
        <v>756</v>
      </c>
      <c r="G548" s="72" t="s">
        <v>142</v>
      </c>
      <c r="H548" s="83">
        <v>0.45833333333333331</v>
      </c>
      <c r="I548" s="83">
        <v>0.70833333333333337</v>
      </c>
      <c r="J548" s="63">
        <v>0.27079999999999999</v>
      </c>
      <c r="K548" s="60" t="s">
        <v>113</v>
      </c>
      <c r="L548" s="135">
        <v>6</v>
      </c>
      <c r="N548" s="60"/>
      <c r="O548" s="91" t="s">
        <v>539</v>
      </c>
      <c r="P548" s="88">
        <v>5</v>
      </c>
      <c r="Q548" s="60"/>
      <c r="V548" s="86"/>
      <c r="Z548" s="100"/>
    </row>
    <row r="549" spans="1:26" x14ac:dyDescent="0.25">
      <c r="A549" s="99">
        <v>45444</v>
      </c>
      <c r="B549" s="74">
        <v>45447</v>
      </c>
      <c r="C549" s="88" t="s">
        <v>106</v>
      </c>
      <c r="D549" s="60" t="s">
        <v>740</v>
      </c>
      <c r="E549" s="115" t="s">
        <v>757</v>
      </c>
      <c r="F549" s="60" t="s">
        <v>758</v>
      </c>
      <c r="G549" s="72" t="s">
        <v>142</v>
      </c>
      <c r="H549" s="83">
        <v>0.4375</v>
      </c>
      <c r="I549" s="83">
        <v>0.70833333333333337</v>
      </c>
      <c r="J549" s="63">
        <v>0.27079999999999999</v>
      </c>
      <c r="K549" s="88" t="s">
        <v>110</v>
      </c>
      <c r="L549" s="135">
        <f>24*J549</f>
        <v>6.4992000000000001</v>
      </c>
      <c r="N549" s="60"/>
      <c r="O549" s="91" t="s">
        <v>314</v>
      </c>
      <c r="P549" s="88">
        <v>5</v>
      </c>
      <c r="Q549" s="60"/>
      <c r="V549" s="86"/>
      <c r="Z549" s="100"/>
    </row>
    <row r="550" spans="1:26" x14ac:dyDescent="0.25">
      <c r="A550" s="99">
        <v>45444</v>
      </c>
      <c r="B550" s="74">
        <v>45448</v>
      </c>
      <c r="C550" s="60" t="s">
        <v>398</v>
      </c>
      <c r="D550" s="60" t="s">
        <v>122</v>
      </c>
      <c r="E550" s="115" t="s">
        <v>453</v>
      </c>
      <c r="F550" s="73" t="s">
        <v>759</v>
      </c>
      <c r="G550" s="72" t="s">
        <v>142</v>
      </c>
      <c r="H550" s="83">
        <v>0.5</v>
      </c>
      <c r="I550" s="83">
        <v>0.72916666666666663</v>
      </c>
      <c r="J550" s="63">
        <v>0.27079999999999999</v>
      </c>
      <c r="K550" s="88" t="s">
        <v>295</v>
      </c>
      <c r="L550" s="135">
        <v>5.5</v>
      </c>
      <c r="O550" s="91" t="s">
        <v>314</v>
      </c>
      <c r="P550" s="88">
        <v>5</v>
      </c>
      <c r="Z550" s="100"/>
    </row>
    <row r="551" spans="1:26" x14ac:dyDescent="0.25">
      <c r="A551" s="99">
        <v>45444</v>
      </c>
      <c r="B551" s="74">
        <v>45448</v>
      </c>
      <c r="C551" s="60" t="s">
        <v>398</v>
      </c>
      <c r="D551" s="60" t="s">
        <v>98</v>
      </c>
      <c r="E551" s="116" t="s">
        <v>612</v>
      </c>
      <c r="F551" s="73" t="s">
        <v>760</v>
      </c>
      <c r="G551" s="72" t="s">
        <v>142</v>
      </c>
      <c r="H551" s="83">
        <v>0.4375</v>
      </c>
      <c r="I551" s="83">
        <v>0.47916666666666669</v>
      </c>
      <c r="J551" s="63">
        <f>I551-H551</f>
        <v>4.1666666666666685E-2</v>
      </c>
      <c r="K551" s="88" t="s">
        <v>365</v>
      </c>
      <c r="L551" s="135">
        <f>24*J551</f>
        <v>1.0000000000000004</v>
      </c>
      <c r="O551" s="91" t="s">
        <v>314</v>
      </c>
      <c r="P551" s="88">
        <v>5</v>
      </c>
      <c r="Z551" s="100"/>
    </row>
    <row r="552" spans="1:26" x14ac:dyDescent="0.25">
      <c r="A552" s="99">
        <v>45444</v>
      </c>
      <c r="B552" s="74">
        <v>45448</v>
      </c>
      <c r="C552" s="60" t="s">
        <v>398</v>
      </c>
      <c r="D552" s="60" t="s">
        <v>740</v>
      </c>
      <c r="E552" s="115" t="s">
        <v>757</v>
      </c>
      <c r="F552" s="60" t="s">
        <v>758</v>
      </c>
      <c r="G552" s="72" t="s">
        <v>142</v>
      </c>
      <c r="H552" s="83">
        <v>0.39583333333333331</v>
      </c>
      <c r="I552" s="83">
        <v>0.72916666666666663</v>
      </c>
      <c r="J552" s="63">
        <f>I552-H552</f>
        <v>0.33333333333333331</v>
      </c>
      <c r="K552" s="88" t="s">
        <v>110</v>
      </c>
      <c r="L552" s="135">
        <f>24*J552</f>
        <v>8</v>
      </c>
      <c r="O552" s="91" t="s">
        <v>820</v>
      </c>
      <c r="P552" s="88">
        <v>5</v>
      </c>
      <c r="Z552" s="100"/>
    </row>
    <row r="553" spans="1:26" x14ac:dyDescent="0.25">
      <c r="A553" s="99">
        <v>45444</v>
      </c>
      <c r="B553" s="74">
        <v>45448</v>
      </c>
      <c r="C553" s="60" t="s">
        <v>398</v>
      </c>
      <c r="D553" s="60" t="s">
        <v>406</v>
      </c>
      <c r="E553" s="115" t="s">
        <v>738</v>
      </c>
      <c r="F553" s="60" t="s">
        <v>756</v>
      </c>
      <c r="G553" s="72" t="s">
        <v>142</v>
      </c>
      <c r="H553" s="83">
        <v>0.45833333333333331</v>
      </c>
      <c r="I553" s="83">
        <v>0.70833333333333337</v>
      </c>
      <c r="J553" s="63">
        <v>0.27079999999999999</v>
      </c>
      <c r="K553" s="60" t="s">
        <v>113</v>
      </c>
      <c r="L553" s="135">
        <v>5</v>
      </c>
      <c r="N553" s="60"/>
      <c r="O553" s="91" t="s">
        <v>539</v>
      </c>
      <c r="P553" s="88">
        <v>5</v>
      </c>
      <c r="Z553" s="100"/>
    </row>
    <row r="554" spans="1:26" x14ac:dyDescent="0.25">
      <c r="A554" s="99">
        <v>45444</v>
      </c>
      <c r="B554" s="74">
        <v>45448</v>
      </c>
      <c r="C554" s="60" t="s">
        <v>398</v>
      </c>
      <c r="D554" s="60" t="s">
        <v>98</v>
      </c>
      <c r="E554" s="115" t="s">
        <v>414</v>
      </c>
      <c r="F554" s="73" t="s">
        <v>761</v>
      </c>
      <c r="G554" s="72" t="s">
        <v>142</v>
      </c>
      <c r="H554" s="83">
        <v>0.58333333333333337</v>
      </c>
      <c r="I554" s="83">
        <v>0.70833333333333337</v>
      </c>
      <c r="J554" s="63">
        <v>0.27079999999999999</v>
      </c>
      <c r="K554" s="60" t="s">
        <v>110</v>
      </c>
      <c r="L554" s="135">
        <v>3</v>
      </c>
      <c r="O554" s="91" t="s">
        <v>539</v>
      </c>
      <c r="P554" s="88">
        <v>5</v>
      </c>
      <c r="Z554" s="100"/>
    </row>
    <row r="555" spans="1:26" x14ac:dyDescent="0.25">
      <c r="A555" s="99">
        <v>45444</v>
      </c>
      <c r="B555" s="74">
        <v>45448</v>
      </c>
      <c r="C555" s="60" t="s">
        <v>398</v>
      </c>
      <c r="D555" s="60" t="s">
        <v>481</v>
      </c>
      <c r="E555" s="115" t="s">
        <v>711</v>
      </c>
      <c r="F555" s="60" t="s">
        <v>737</v>
      </c>
      <c r="G555" s="72" t="s">
        <v>142</v>
      </c>
      <c r="H555" s="83">
        <v>0.45833333333333331</v>
      </c>
      <c r="I555" s="83">
        <v>0.70833333333333337</v>
      </c>
      <c r="J555" s="63">
        <v>0.27079999999999999</v>
      </c>
      <c r="K555" s="60" t="s">
        <v>113</v>
      </c>
      <c r="L555" s="135">
        <v>6</v>
      </c>
      <c r="O555" s="91" t="s">
        <v>539</v>
      </c>
      <c r="P555" s="88">
        <v>5</v>
      </c>
      <c r="Z555" s="100"/>
    </row>
    <row r="556" spans="1:26" x14ac:dyDescent="0.25">
      <c r="A556" s="99">
        <v>45444</v>
      </c>
      <c r="B556" s="74">
        <v>45448</v>
      </c>
      <c r="C556" s="60" t="s">
        <v>398</v>
      </c>
      <c r="D556" s="60" t="s">
        <v>321</v>
      </c>
      <c r="E556" s="115" t="s">
        <v>762</v>
      </c>
      <c r="F556" s="73" t="s">
        <v>763</v>
      </c>
      <c r="G556" s="72" t="s">
        <v>142</v>
      </c>
      <c r="H556" s="83">
        <v>0.5</v>
      </c>
      <c r="I556" s="83">
        <v>0.64583333333333337</v>
      </c>
      <c r="J556" s="63">
        <f t="shared" ref="J556:J565" si="38">I556-H556</f>
        <v>0.14583333333333337</v>
      </c>
      <c r="K556" s="88" t="s">
        <v>110</v>
      </c>
      <c r="L556" s="135">
        <v>3.5</v>
      </c>
      <c r="O556" s="91" t="s">
        <v>820</v>
      </c>
      <c r="P556" s="88">
        <v>5</v>
      </c>
      <c r="Z556" s="100"/>
    </row>
    <row r="557" spans="1:26" x14ac:dyDescent="0.25">
      <c r="A557" s="99">
        <v>45444</v>
      </c>
      <c r="B557" s="74">
        <v>45449</v>
      </c>
      <c r="C557" s="82" t="s">
        <v>124</v>
      </c>
      <c r="D557" s="60" t="s">
        <v>406</v>
      </c>
      <c r="E557" s="115" t="s">
        <v>407</v>
      </c>
      <c r="F557" s="60" t="s">
        <v>408</v>
      </c>
      <c r="G557" s="59" t="s">
        <v>142</v>
      </c>
      <c r="H557" s="83">
        <v>0.58333333333333337</v>
      </c>
      <c r="I557" s="83">
        <v>0.75</v>
      </c>
      <c r="J557" s="63">
        <f t="shared" si="38"/>
        <v>0.16666666666666663</v>
      </c>
      <c r="K557" s="88" t="s">
        <v>365</v>
      </c>
      <c r="L557" s="135">
        <f>24*J557</f>
        <v>3.9999999999999991</v>
      </c>
      <c r="O557" s="91" t="s">
        <v>314</v>
      </c>
      <c r="P557" s="88">
        <v>5</v>
      </c>
      <c r="Z557" s="100"/>
    </row>
    <row r="558" spans="1:26" x14ac:dyDescent="0.25">
      <c r="A558" s="99">
        <v>45444</v>
      </c>
      <c r="B558" s="74">
        <v>45449</v>
      </c>
      <c r="C558" s="82" t="s">
        <v>124</v>
      </c>
      <c r="D558" s="60" t="s">
        <v>481</v>
      </c>
      <c r="E558" s="115" t="s">
        <v>711</v>
      </c>
      <c r="F558" s="60" t="s">
        <v>737</v>
      </c>
      <c r="G558" s="72" t="s">
        <v>142</v>
      </c>
      <c r="H558" s="83">
        <v>0.41666666666666669</v>
      </c>
      <c r="I558" s="83">
        <v>0.54166666666666663</v>
      </c>
      <c r="J558" s="63">
        <f t="shared" si="38"/>
        <v>0.12499999999999994</v>
      </c>
      <c r="K558" s="60" t="s">
        <v>113</v>
      </c>
      <c r="L558" s="135">
        <v>3</v>
      </c>
      <c r="O558" s="91" t="s">
        <v>539</v>
      </c>
      <c r="P558" s="88">
        <v>5</v>
      </c>
      <c r="Z558" s="100"/>
    </row>
    <row r="559" spans="1:26" x14ac:dyDescent="0.25">
      <c r="A559" s="99">
        <v>45444</v>
      </c>
      <c r="B559" s="74">
        <v>45449</v>
      </c>
      <c r="C559" s="82" t="s">
        <v>124</v>
      </c>
      <c r="D559" s="60" t="s">
        <v>740</v>
      </c>
      <c r="E559" s="115" t="s">
        <v>764</v>
      </c>
      <c r="F559" s="60" t="s">
        <v>758</v>
      </c>
      <c r="G559" s="72" t="s">
        <v>142</v>
      </c>
      <c r="H559" s="83">
        <v>0.625</v>
      </c>
      <c r="I559" s="83">
        <v>0.66666666666666663</v>
      </c>
      <c r="J559" s="63">
        <f t="shared" si="38"/>
        <v>4.166666666666663E-2</v>
      </c>
      <c r="K559" s="88" t="s">
        <v>110</v>
      </c>
      <c r="L559" s="135">
        <f>24*J559</f>
        <v>0.99999999999999911</v>
      </c>
      <c r="O559" s="91" t="s">
        <v>363</v>
      </c>
      <c r="P559" s="88">
        <v>5</v>
      </c>
      <c r="Z559" s="100"/>
    </row>
    <row r="560" spans="1:26" x14ac:dyDescent="0.25">
      <c r="A560" s="99">
        <v>45444</v>
      </c>
      <c r="B560" s="74">
        <v>45449</v>
      </c>
      <c r="C560" s="82" t="s">
        <v>124</v>
      </c>
      <c r="D560" s="60" t="s">
        <v>765</v>
      </c>
      <c r="E560" s="115" t="s">
        <v>766</v>
      </c>
      <c r="F560" s="60" t="s">
        <v>767</v>
      </c>
      <c r="G560" s="72" t="s">
        <v>142</v>
      </c>
      <c r="H560" s="83">
        <v>0.5</v>
      </c>
      <c r="I560" s="83">
        <v>0.625</v>
      </c>
      <c r="J560" s="63">
        <f t="shared" si="38"/>
        <v>0.125</v>
      </c>
      <c r="K560" s="88" t="s">
        <v>110</v>
      </c>
      <c r="L560" s="135">
        <f>24*J560</f>
        <v>3</v>
      </c>
      <c r="O560" s="91" t="s">
        <v>363</v>
      </c>
      <c r="P560" s="88">
        <v>5</v>
      </c>
      <c r="Z560" s="100"/>
    </row>
    <row r="561" spans="1:26" x14ac:dyDescent="0.25">
      <c r="A561" s="99">
        <v>45444</v>
      </c>
      <c r="B561" s="74">
        <v>45452</v>
      </c>
      <c r="C561" s="88" t="s">
        <v>31</v>
      </c>
      <c r="D561" s="60" t="s">
        <v>322</v>
      </c>
      <c r="E561" s="115" t="s">
        <v>768</v>
      </c>
      <c r="F561" s="60" t="s">
        <v>514</v>
      </c>
      <c r="G561" s="72" t="s">
        <v>142</v>
      </c>
      <c r="H561" s="83">
        <v>0.5</v>
      </c>
      <c r="I561" s="83">
        <v>0.58333333333333337</v>
      </c>
      <c r="J561" s="63">
        <f t="shared" si="38"/>
        <v>8.333333333333337E-2</v>
      </c>
      <c r="K561" s="88" t="s">
        <v>365</v>
      </c>
      <c r="L561" s="135">
        <f>24*J561</f>
        <v>2.0000000000000009</v>
      </c>
      <c r="O561" s="91" t="s">
        <v>576</v>
      </c>
      <c r="P561" s="88">
        <v>4</v>
      </c>
      <c r="Q561" s="61" t="s">
        <v>472</v>
      </c>
      <c r="Z561" s="100"/>
    </row>
    <row r="562" spans="1:26" ht="14.45" customHeight="1" x14ac:dyDescent="0.25">
      <c r="A562" s="99">
        <v>45444</v>
      </c>
      <c r="B562" s="74">
        <v>45452</v>
      </c>
      <c r="C562" s="88" t="s">
        <v>31</v>
      </c>
      <c r="D562" s="60" t="s">
        <v>322</v>
      </c>
      <c r="E562" s="115" t="s">
        <v>769</v>
      </c>
      <c r="F562" s="60" t="s">
        <v>770</v>
      </c>
      <c r="G562" s="72" t="s">
        <v>142</v>
      </c>
      <c r="H562" s="83">
        <v>0.39583333333333331</v>
      </c>
      <c r="I562" s="83">
        <v>0.66666666666666663</v>
      </c>
      <c r="J562" s="63">
        <f t="shared" si="38"/>
        <v>0.27083333333333331</v>
      </c>
      <c r="K562" s="88" t="s">
        <v>365</v>
      </c>
      <c r="L562" s="135">
        <f>24*J562</f>
        <v>6.5</v>
      </c>
      <c r="O562" s="91" t="s">
        <v>359</v>
      </c>
      <c r="P562" s="88">
        <v>5</v>
      </c>
      <c r="Z562" s="100"/>
    </row>
    <row r="563" spans="1:26" ht="14.45" customHeight="1" x14ac:dyDescent="0.25">
      <c r="A563" s="99">
        <v>45444</v>
      </c>
      <c r="B563" s="74">
        <v>45452</v>
      </c>
      <c r="C563" s="88" t="s">
        <v>31</v>
      </c>
      <c r="D563" s="60" t="s">
        <v>98</v>
      </c>
      <c r="E563" s="116" t="s">
        <v>771</v>
      </c>
      <c r="F563" s="72" t="s">
        <v>618</v>
      </c>
      <c r="G563" s="72" t="s">
        <v>142</v>
      </c>
      <c r="H563" s="83">
        <v>0.60416666666666663</v>
      </c>
      <c r="I563" s="83">
        <v>0.70833333333333337</v>
      </c>
      <c r="J563" s="63">
        <f t="shared" si="38"/>
        <v>0.10416666666666674</v>
      </c>
      <c r="K563" s="88" t="s">
        <v>365</v>
      </c>
      <c r="L563" s="135">
        <f>24*J563</f>
        <v>2.5000000000000018</v>
      </c>
      <c r="O563" s="91" t="s">
        <v>576</v>
      </c>
      <c r="P563" s="88">
        <v>5</v>
      </c>
      <c r="Z563" s="100"/>
    </row>
    <row r="564" spans="1:26" x14ac:dyDescent="0.25">
      <c r="A564" s="99">
        <v>45444</v>
      </c>
      <c r="B564" s="74">
        <v>45452</v>
      </c>
      <c r="C564" s="88" t="s">
        <v>31</v>
      </c>
      <c r="D564" s="60" t="s">
        <v>481</v>
      </c>
      <c r="E564" s="115" t="s">
        <v>711</v>
      </c>
      <c r="F564" s="60" t="s">
        <v>772</v>
      </c>
      <c r="G564" s="72" t="s">
        <v>142</v>
      </c>
      <c r="H564" s="83">
        <v>0.5</v>
      </c>
      <c r="I564" s="83">
        <v>0.66666666666666663</v>
      </c>
      <c r="J564" s="63">
        <f t="shared" si="38"/>
        <v>0.16666666666666663</v>
      </c>
      <c r="K564" s="88" t="s">
        <v>110</v>
      </c>
      <c r="L564" s="135">
        <v>3</v>
      </c>
      <c r="O564" s="98" t="s">
        <v>314</v>
      </c>
      <c r="P564" s="88">
        <v>5</v>
      </c>
      <c r="Z564" s="100"/>
    </row>
    <row r="565" spans="1:26" x14ac:dyDescent="0.25">
      <c r="A565" s="99">
        <v>45444</v>
      </c>
      <c r="B565" s="74">
        <v>45452</v>
      </c>
      <c r="C565" s="88" t="s">
        <v>31</v>
      </c>
      <c r="D565" s="60" t="s">
        <v>740</v>
      </c>
      <c r="E565" s="115" t="s">
        <v>773</v>
      </c>
      <c r="F565" s="60" t="s">
        <v>758</v>
      </c>
      <c r="G565" s="72" t="s">
        <v>142</v>
      </c>
      <c r="H565" s="83">
        <v>0.41666666666666669</v>
      </c>
      <c r="I565" s="83">
        <v>0.70833333333333337</v>
      </c>
      <c r="J565" s="63">
        <f t="shared" si="38"/>
        <v>0.29166666666666669</v>
      </c>
      <c r="K565" s="88" t="s">
        <v>110</v>
      </c>
      <c r="L565" s="135">
        <f>24*J565</f>
        <v>7</v>
      </c>
      <c r="O565" s="98" t="s">
        <v>314</v>
      </c>
      <c r="P565" s="88">
        <v>5</v>
      </c>
      <c r="Z565" s="100"/>
    </row>
    <row r="566" spans="1:26" x14ac:dyDescent="0.25">
      <c r="A566" s="99">
        <v>45444</v>
      </c>
      <c r="B566" s="74">
        <v>45452</v>
      </c>
      <c r="C566" s="88" t="s">
        <v>31</v>
      </c>
      <c r="D566" s="60" t="s">
        <v>122</v>
      </c>
      <c r="E566" s="115" t="s">
        <v>774</v>
      </c>
      <c r="F566" s="73" t="s">
        <v>775</v>
      </c>
      <c r="G566" s="72" t="s">
        <v>142</v>
      </c>
      <c r="H566" s="83">
        <v>0.5</v>
      </c>
      <c r="I566" s="83">
        <v>0.64583333333333337</v>
      </c>
      <c r="J566" s="63">
        <v>0.27079999999999999</v>
      </c>
      <c r="K566" s="88" t="s">
        <v>295</v>
      </c>
      <c r="L566" s="135">
        <v>5.5</v>
      </c>
      <c r="O566" s="91" t="s">
        <v>360</v>
      </c>
      <c r="P566" s="88">
        <v>4</v>
      </c>
      <c r="Q566" s="61" t="s">
        <v>472</v>
      </c>
      <c r="Z566" s="100"/>
    </row>
    <row r="567" spans="1:26" x14ac:dyDescent="0.25">
      <c r="A567" s="99">
        <v>45444</v>
      </c>
      <c r="B567" s="74">
        <v>45453</v>
      </c>
      <c r="C567" s="88" t="s">
        <v>45</v>
      </c>
      <c r="D567" s="60" t="s">
        <v>406</v>
      </c>
      <c r="E567" s="115" t="s">
        <v>738</v>
      </c>
      <c r="F567" s="60" t="s">
        <v>776</v>
      </c>
      <c r="G567" s="72" t="s">
        <v>142</v>
      </c>
      <c r="H567" s="83">
        <v>0.47916666666666669</v>
      </c>
      <c r="I567" s="83">
        <v>0.54166666666666663</v>
      </c>
      <c r="J567" s="63">
        <v>0.27079999999999999</v>
      </c>
      <c r="K567" s="60" t="s">
        <v>113</v>
      </c>
      <c r="L567" s="135">
        <v>6</v>
      </c>
      <c r="N567" s="60"/>
      <c r="O567" s="91" t="s">
        <v>820</v>
      </c>
      <c r="P567" s="88">
        <v>4</v>
      </c>
      <c r="Q567" s="60" t="s">
        <v>777</v>
      </c>
      <c r="V567" s="86"/>
      <c r="Z567" s="100"/>
    </row>
    <row r="568" spans="1:26" x14ac:dyDescent="0.25">
      <c r="A568" s="99">
        <v>45444</v>
      </c>
      <c r="B568" s="74">
        <v>45453</v>
      </c>
      <c r="C568" s="88" t="s">
        <v>45</v>
      </c>
      <c r="D568" s="60" t="s">
        <v>322</v>
      </c>
      <c r="E568" s="115" t="s">
        <v>768</v>
      </c>
      <c r="F568" s="60" t="s">
        <v>778</v>
      </c>
      <c r="G568" s="72" t="s">
        <v>142</v>
      </c>
      <c r="H568" s="83">
        <v>0.47916666666666669</v>
      </c>
      <c r="I568" s="83">
        <v>0.52083333333333337</v>
      </c>
      <c r="J568" s="63">
        <f>I568-H568</f>
        <v>4.1666666666666685E-2</v>
      </c>
      <c r="K568" s="88" t="s">
        <v>365</v>
      </c>
      <c r="L568" s="135">
        <f>24*J568</f>
        <v>1.0000000000000004</v>
      </c>
      <c r="O568" s="91" t="s">
        <v>576</v>
      </c>
      <c r="P568" s="88">
        <v>5</v>
      </c>
      <c r="Q568" s="61" t="s">
        <v>279</v>
      </c>
      <c r="Z568" s="100"/>
    </row>
    <row r="569" spans="1:26" x14ac:dyDescent="0.25">
      <c r="A569" s="99">
        <v>45444</v>
      </c>
      <c r="B569" s="74">
        <v>45453</v>
      </c>
      <c r="C569" s="88" t="s">
        <v>45</v>
      </c>
      <c r="D569" s="60" t="s">
        <v>98</v>
      </c>
      <c r="E569" s="116" t="s">
        <v>612</v>
      </c>
      <c r="F569" s="73" t="s">
        <v>779</v>
      </c>
      <c r="G569" s="72" t="s">
        <v>142</v>
      </c>
      <c r="H569" s="83">
        <v>0.45833333333333331</v>
      </c>
      <c r="I569" s="83">
        <v>0.83333333333333337</v>
      </c>
      <c r="J569" s="63">
        <f>I569-H569</f>
        <v>0.37500000000000006</v>
      </c>
      <c r="K569" s="88" t="s">
        <v>110</v>
      </c>
      <c r="L569" s="135">
        <f>24*J569</f>
        <v>9.0000000000000018</v>
      </c>
      <c r="O569" s="91" t="s">
        <v>314</v>
      </c>
      <c r="P569" s="88">
        <v>5</v>
      </c>
      <c r="Z569" s="100"/>
    </row>
    <row r="570" spans="1:26" x14ac:dyDescent="0.25">
      <c r="A570" s="99">
        <v>45444</v>
      </c>
      <c r="B570" s="74">
        <v>45453</v>
      </c>
      <c r="C570" s="88" t="s">
        <v>45</v>
      </c>
      <c r="D570" s="60" t="s">
        <v>126</v>
      </c>
      <c r="E570" s="115" t="s">
        <v>352</v>
      </c>
      <c r="F570" s="60" t="s">
        <v>921</v>
      </c>
      <c r="G570" s="59" t="s">
        <v>142</v>
      </c>
      <c r="H570" s="83">
        <v>0.5</v>
      </c>
      <c r="I570" s="83">
        <v>0.45833333333333331</v>
      </c>
      <c r="J570" s="63">
        <f>الجدول3[[#This Row],[ساعة الدخول ]]-الجدول3[[#This Row],[ساعة الخروج]]</f>
        <v>4.1666666666666685E-2</v>
      </c>
      <c r="K570" s="88" t="s">
        <v>113</v>
      </c>
      <c r="L570" s="135">
        <f>24*J570</f>
        <v>1.0000000000000004</v>
      </c>
      <c r="O570" s="91" t="s">
        <v>314</v>
      </c>
      <c r="P570" s="88">
        <v>5</v>
      </c>
      <c r="Z570" s="100"/>
    </row>
    <row r="571" spans="1:26" x14ac:dyDescent="0.25">
      <c r="A571" s="99">
        <v>45444</v>
      </c>
      <c r="B571" s="74">
        <v>45453</v>
      </c>
      <c r="C571" s="88" t="s">
        <v>45</v>
      </c>
      <c r="D571" s="60" t="s">
        <v>481</v>
      </c>
      <c r="E571" s="115" t="s">
        <v>446</v>
      </c>
      <c r="F571" s="60" t="s">
        <v>627</v>
      </c>
      <c r="G571" s="72" t="s">
        <v>142</v>
      </c>
      <c r="H571" s="83">
        <v>0.39583333333333331</v>
      </c>
      <c r="I571" s="83">
        <v>0.625</v>
      </c>
      <c r="J571" s="63">
        <v>0.27079999999999999</v>
      </c>
      <c r="K571" s="88" t="s">
        <v>110</v>
      </c>
      <c r="L571" s="135">
        <f>24*J571</f>
        <v>6.4992000000000001</v>
      </c>
      <c r="N571" s="60"/>
      <c r="O571" s="91" t="s">
        <v>314</v>
      </c>
      <c r="P571" s="88">
        <v>5</v>
      </c>
      <c r="Q571" s="60"/>
      <c r="V571" s="86"/>
      <c r="Z571" s="100"/>
    </row>
    <row r="572" spans="1:26" x14ac:dyDescent="0.25">
      <c r="A572" s="99">
        <v>45444</v>
      </c>
      <c r="B572" s="74">
        <v>45453</v>
      </c>
      <c r="C572" s="88" t="s">
        <v>45</v>
      </c>
      <c r="D572" s="60" t="s">
        <v>830</v>
      </c>
      <c r="E572" s="115" t="s">
        <v>394</v>
      </c>
      <c r="F572" s="60" t="s">
        <v>339</v>
      </c>
      <c r="G572" s="59" t="s">
        <v>142</v>
      </c>
      <c r="H572" s="83">
        <v>0.39583333333333331</v>
      </c>
      <c r="I572" s="83">
        <v>0.70833333333333337</v>
      </c>
      <c r="J572" s="63">
        <f>I572-H572</f>
        <v>0.31250000000000006</v>
      </c>
      <c r="K572" s="88" t="s">
        <v>365</v>
      </c>
      <c r="L572" s="135">
        <f>24*J572</f>
        <v>7.5000000000000018</v>
      </c>
      <c r="O572" s="91" t="s">
        <v>314</v>
      </c>
      <c r="P572" s="88">
        <v>5</v>
      </c>
      <c r="Z572" s="100"/>
    </row>
    <row r="573" spans="1:26" x14ac:dyDescent="0.25">
      <c r="A573" s="99">
        <v>45444</v>
      </c>
      <c r="B573" s="74">
        <v>45453</v>
      </c>
      <c r="C573" s="88" t="s">
        <v>45</v>
      </c>
      <c r="D573" s="60" t="s">
        <v>406</v>
      </c>
      <c r="E573" s="115" t="s">
        <v>738</v>
      </c>
      <c r="F573" s="60" t="s">
        <v>756</v>
      </c>
      <c r="G573" s="72" t="s">
        <v>142</v>
      </c>
      <c r="H573" s="83">
        <v>0.5</v>
      </c>
      <c r="I573" s="83">
        <v>0.70833333333333337</v>
      </c>
      <c r="J573" s="63">
        <v>0.27079999999999999</v>
      </c>
      <c r="K573" s="60" t="s">
        <v>365</v>
      </c>
      <c r="L573" s="135">
        <v>5</v>
      </c>
      <c r="N573" s="60"/>
      <c r="O573" s="91" t="s">
        <v>539</v>
      </c>
      <c r="P573" s="88">
        <v>5</v>
      </c>
      <c r="Z573" s="100"/>
    </row>
    <row r="574" spans="1:26" x14ac:dyDescent="0.25">
      <c r="A574" s="99">
        <v>45444</v>
      </c>
      <c r="B574" s="74">
        <v>45453</v>
      </c>
      <c r="C574" s="88" t="s">
        <v>45</v>
      </c>
      <c r="D574" s="60" t="s">
        <v>126</v>
      </c>
      <c r="E574" s="115" t="s">
        <v>352</v>
      </c>
      <c r="F574" s="60" t="s">
        <v>921</v>
      </c>
      <c r="G574" s="59" t="s">
        <v>142</v>
      </c>
      <c r="H574" s="83">
        <v>0.54166666666666663</v>
      </c>
      <c r="I574" s="83">
        <v>0.60416666666666663</v>
      </c>
      <c r="J574" s="63">
        <f>I574-H574</f>
        <v>6.25E-2</v>
      </c>
      <c r="K574" s="88" t="s">
        <v>110</v>
      </c>
      <c r="L574" s="135">
        <f>24*J574</f>
        <v>1.5</v>
      </c>
      <c r="O574" s="91" t="s">
        <v>539</v>
      </c>
      <c r="P574" s="88">
        <v>5</v>
      </c>
      <c r="Z574" s="100"/>
    </row>
    <row r="575" spans="1:26" x14ac:dyDescent="0.25">
      <c r="A575" s="99">
        <v>45444</v>
      </c>
      <c r="B575" s="74">
        <v>45453</v>
      </c>
      <c r="C575" s="88" t="s">
        <v>45</v>
      </c>
      <c r="D575" s="60" t="s">
        <v>481</v>
      </c>
      <c r="E575" s="115" t="s">
        <v>711</v>
      </c>
      <c r="F575" s="60" t="s">
        <v>781</v>
      </c>
      <c r="G575" s="72" t="s">
        <v>142</v>
      </c>
      <c r="H575" s="83">
        <v>0.41666666666666669</v>
      </c>
      <c r="I575" s="83">
        <v>0.58333333333333337</v>
      </c>
      <c r="J575" s="63">
        <f>I575-H575</f>
        <v>0.16666666666666669</v>
      </c>
      <c r="K575" s="60" t="s">
        <v>113</v>
      </c>
      <c r="L575" s="135">
        <v>3</v>
      </c>
      <c r="O575" s="91" t="s">
        <v>539</v>
      </c>
      <c r="P575" s="88">
        <v>3</v>
      </c>
      <c r="Q575" s="61" t="s">
        <v>782</v>
      </c>
      <c r="Z575" s="100"/>
    </row>
    <row r="576" spans="1:26" x14ac:dyDescent="0.25">
      <c r="A576" s="99">
        <v>45444</v>
      </c>
      <c r="B576" s="74">
        <v>45453</v>
      </c>
      <c r="C576" s="88" t="s">
        <v>45</v>
      </c>
      <c r="D576" s="60" t="s">
        <v>126</v>
      </c>
      <c r="E576" s="115" t="s">
        <v>352</v>
      </c>
      <c r="F576" s="60" t="s">
        <v>783</v>
      </c>
      <c r="G576" s="59" t="s">
        <v>142</v>
      </c>
      <c r="H576" s="83">
        <v>0.41666666666666669</v>
      </c>
      <c r="I576" s="83">
        <v>0.45833333333333331</v>
      </c>
      <c r="J576" s="63">
        <f>I576-H576</f>
        <v>4.166666666666663E-2</v>
      </c>
      <c r="K576" s="88" t="s">
        <v>113</v>
      </c>
      <c r="L576" s="135">
        <f t="shared" ref="L576:L589" si="39">24*J576</f>
        <v>0.99999999999999911</v>
      </c>
      <c r="O576" s="91" t="s">
        <v>539</v>
      </c>
      <c r="P576" s="88">
        <v>5</v>
      </c>
      <c r="Z576" s="100"/>
    </row>
    <row r="577" spans="1:137" x14ac:dyDescent="0.25">
      <c r="A577" s="99">
        <v>45444</v>
      </c>
      <c r="B577" s="74">
        <v>45454</v>
      </c>
      <c r="C577" s="88" t="s">
        <v>106</v>
      </c>
      <c r="D577" s="60" t="s">
        <v>322</v>
      </c>
      <c r="E577" s="115" t="s">
        <v>768</v>
      </c>
      <c r="F577" s="60" t="s">
        <v>778</v>
      </c>
      <c r="G577" s="72" t="s">
        <v>142</v>
      </c>
      <c r="H577" s="83">
        <v>0.5625</v>
      </c>
      <c r="I577" s="83">
        <v>0.58333333333333337</v>
      </c>
      <c r="J577" s="63">
        <f>I577-H577</f>
        <v>2.083333333333337E-2</v>
      </c>
      <c r="K577" s="88" t="s">
        <v>365</v>
      </c>
      <c r="L577" s="135">
        <f t="shared" si="39"/>
        <v>0.50000000000000089</v>
      </c>
      <c r="O577" s="91" t="s">
        <v>576</v>
      </c>
      <c r="P577" s="88">
        <v>5</v>
      </c>
      <c r="Q577" s="61" t="s">
        <v>279</v>
      </c>
      <c r="Z577" s="100"/>
    </row>
    <row r="578" spans="1:137" x14ac:dyDescent="0.25">
      <c r="A578" s="99">
        <v>45444</v>
      </c>
      <c r="B578" s="74">
        <v>45454</v>
      </c>
      <c r="C578" s="88" t="s">
        <v>106</v>
      </c>
      <c r="D578" s="60" t="s">
        <v>481</v>
      </c>
      <c r="E578" s="115" t="s">
        <v>446</v>
      </c>
      <c r="F578" s="60" t="s">
        <v>627</v>
      </c>
      <c r="G578" s="72" t="s">
        <v>142</v>
      </c>
      <c r="H578" s="83">
        <v>0.41666666666666669</v>
      </c>
      <c r="I578" s="83">
        <v>0.64583333333333337</v>
      </c>
      <c r="J578" s="63">
        <v>0.27079999999999999</v>
      </c>
      <c r="K578" s="88" t="s">
        <v>110</v>
      </c>
      <c r="L578" s="135">
        <f t="shared" si="39"/>
        <v>6.4992000000000001</v>
      </c>
      <c r="N578" s="60"/>
      <c r="O578" s="91" t="s">
        <v>314</v>
      </c>
      <c r="P578" s="88">
        <v>5</v>
      </c>
      <c r="Q578" s="60"/>
      <c r="V578" s="86"/>
      <c r="Z578" s="100"/>
    </row>
    <row r="579" spans="1:137" s="97" customFormat="1" x14ac:dyDescent="0.25">
      <c r="A579" s="99">
        <v>45444</v>
      </c>
      <c r="B579" s="74">
        <v>45454</v>
      </c>
      <c r="C579" s="88" t="s">
        <v>106</v>
      </c>
      <c r="D579" s="60" t="s">
        <v>32</v>
      </c>
      <c r="E579" s="115" t="s">
        <v>661</v>
      </c>
      <c r="F579" s="60" t="s">
        <v>784</v>
      </c>
      <c r="G579" s="72" t="s">
        <v>142</v>
      </c>
      <c r="H579" s="83">
        <v>0.58333333333333337</v>
      </c>
      <c r="I579" s="83">
        <v>0.625</v>
      </c>
      <c r="J579" s="63">
        <f>I579-H579</f>
        <v>4.166666666666663E-2</v>
      </c>
      <c r="K579" s="88" t="s">
        <v>365</v>
      </c>
      <c r="L579" s="135">
        <f t="shared" si="39"/>
        <v>0.99999999999999911</v>
      </c>
      <c r="M579" s="60"/>
      <c r="N579" s="60"/>
      <c r="O579" s="91" t="s">
        <v>314</v>
      </c>
      <c r="P579" s="88">
        <v>5</v>
      </c>
      <c r="Q579" s="60"/>
      <c r="R579" s="88"/>
      <c r="S579" s="88"/>
      <c r="T579" s="88"/>
      <c r="U579" s="88"/>
      <c r="V579" s="94"/>
      <c r="W579" s="88"/>
      <c r="X579" s="90"/>
      <c r="Y579" s="88"/>
      <c r="Z579" s="101"/>
      <c r="AA579" s="88"/>
      <c r="AB579" s="88"/>
      <c r="AC579" s="88"/>
      <c r="AD579" s="88"/>
      <c r="AE579" s="88"/>
      <c r="AF579" s="88"/>
      <c r="AG579" s="88"/>
      <c r="AH579" s="88"/>
      <c r="AI579" s="88"/>
      <c r="AJ579" s="88"/>
      <c r="AK579" s="88"/>
      <c r="AL579" s="88"/>
      <c r="AM579" s="88"/>
      <c r="AN579" s="88"/>
      <c r="AO579" s="88"/>
      <c r="AP579" s="88"/>
      <c r="AQ579" s="88"/>
      <c r="AR579" s="88"/>
      <c r="AS579" s="88"/>
      <c r="AT579" s="88"/>
      <c r="AU579" s="88"/>
      <c r="AV579" s="88"/>
      <c r="AW579" s="88"/>
      <c r="AX579" s="88"/>
      <c r="AY579" s="88"/>
      <c r="AZ579" s="88"/>
      <c r="BA579" s="88"/>
      <c r="BB579" s="88"/>
      <c r="BC579" s="88"/>
      <c r="BD579" s="88"/>
      <c r="BE579" s="88"/>
      <c r="BF579" s="88"/>
      <c r="BG579" s="88"/>
      <c r="BH579" s="88"/>
      <c r="BI579" s="88"/>
      <c r="BJ579" s="88"/>
      <c r="BK579" s="88"/>
      <c r="BL579" s="88"/>
      <c r="BM579" s="88"/>
      <c r="BN579" s="88"/>
      <c r="BO579" s="88"/>
      <c r="BP579" s="88"/>
      <c r="BQ579" s="88"/>
      <c r="BR579" s="88"/>
      <c r="BS579" s="88"/>
      <c r="BT579" s="88"/>
      <c r="BU579" s="88"/>
      <c r="BV579" s="88"/>
      <c r="BW579" s="88"/>
      <c r="BX579" s="88"/>
      <c r="BY579" s="88"/>
      <c r="BZ579" s="88"/>
      <c r="CA579" s="88"/>
      <c r="CB579" s="88"/>
      <c r="CC579" s="88"/>
      <c r="CD579" s="88"/>
      <c r="CE579" s="88"/>
      <c r="CF579" s="88"/>
      <c r="CG579" s="88"/>
      <c r="CH579" s="88"/>
      <c r="CI579" s="88"/>
      <c r="CJ579" s="88"/>
      <c r="CK579" s="88"/>
      <c r="CL579" s="88"/>
      <c r="CM579" s="88"/>
      <c r="CN579" s="88"/>
      <c r="CO579" s="88"/>
      <c r="CP579" s="88"/>
      <c r="CQ579" s="88"/>
      <c r="CR579" s="88"/>
      <c r="CS579" s="88"/>
      <c r="CT579" s="88"/>
      <c r="CU579" s="88"/>
      <c r="CV579" s="88"/>
      <c r="CW579" s="88"/>
      <c r="CX579" s="88"/>
      <c r="CY579" s="88"/>
      <c r="CZ579" s="88"/>
      <c r="DA579" s="88"/>
      <c r="DB579" s="88"/>
      <c r="DC579" s="88"/>
      <c r="DD579" s="88"/>
      <c r="DE579" s="88"/>
      <c r="DF579" s="88"/>
      <c r="DG579" s="88"/>
      <c r="DH579" s="88"/>
      <c r="DI579" s="88"/>
      <c r="DJ579" s="88"/>
      <c r="DK579" s="88"/>
      <c r="DL579" s="88"/>
      <c r="DM579" s="88"/>
      <c r="DN579" s="88"/>
      <c r="DO579" s="88"/>
      <c r="DP579" s="88"/>
      <c r="DQ579" s="88"/>
      <c r="DR579" s="88"/>
      <c r="DS579" s="88"/>
      <c r="DT579" s="88"/>
      <c r="DU579" s="88"/>
      <c r="DV579" s="88"/>
      <c r="DW579" s="88"/>
      <c r="DX579" s="88"/>
      <c r="DY579" s="88"/>
      <c r="DZ579" s="88"/>
      <c r="EA579" s="88"/>
      <c r="EB579" s="88"/>
      <c r="EC579" s="88"/>
      <c r="ED579" s="88"/>
      <c r="EE579" s="88"/>
      <c r="EF579" s="88"/>
      <c r="EG579" s="88"/>
    </row>
    <row r="580" spans="1:137" x14ac:dyDescent="0.25">
      <c r="A580" s="99">
        <v>45444</v>
      </c>
      <c r="B580" s="74">
        <v>45454</v>
      </c>
      <c r="C580" s="88" t="s">
        <v>106</v>
      </c>
      <c r="D580" s="60" t="s">
        <v>740</v>
      </c>
      <c r="E580" s="115" t="s">
        <v>773</v>
      </c>
      <c r="F580" s="60" t="s">
        <v>785</v>
      </c>
      <c r="G580" s="72" t="s">
        <v>142</v>
      </c>
      <c r="H580" s="83">
        <v>0.45833333333333331</v>
      </c>
      <c r="I580" s="83">
        <v>0.72916666666666663</v>
      </c>
      <c r="J580" s="63">
        <f>I580-H580</f>
        <v>0.27083333333333331</v>
      </c>
      <c r="K580" s="88" t="s">
        <v>110</v>
      </c>
      <c r="L580" s="135">
        <f t="shared" si="39"/>
        <v>6.5</v>
      </c>
      <c r="O580" s="98" t="s">
        <v>314</v>
      </c>
      <c r="P580" s="88">
        <v>5</v>
      </c>
      <c r="Z580" s="100"/>
    </row>
    <row r="581" spans="1:137" x14ac:dyDescent="0.25">
      <c r="A581" s="99">
        <v>45444</v>
      </c>
      <c r="B581" s="74">
        <v>45455</v>
      </c>
      <c r="C581" s="60" t="s">
        <v>398</v>
      </c>
      <c r="D581" s="60" t="s">
        <v>481</v>
      </c>
      <c r="E581" s="115" t="s">
        <v>711</v>
      </c>
      <c r="F581" s="60" t="s">
        <v>627</v>
      </c>
      <c r="G581" s="72" t="s">
        <v>142</v>
      </c>
      <c r="H581" s="83">
        <v>0.41666666666666669</v>
      </c>
      <c r="I581" s="83">
        <v>0.64583333333333337</v>
      </c>
      <c r="J581" s="63">
        <v>0.27079999999999999</v>
      </c>
      <c r="K581" s="88" t="s">
        <v>110</v>
      </c>
      <c r="L581" s="135">
        <f t="shared" si="39"/>
        <v>6.4992000000000001</v>
      </c>
      <c r="N581" s="60"/>
      <c r="O581" s="91" t="s">
        <v>314</v>
      </c>
      <c r="P581" s="88">
        <v>5</v>
      </c>
      <c r="Q581" s="60"/>
      <c r="V581" s="86"/>
      <c r="Z581" s="100"/>
    </row>
    <row r="582" spans="1:137" x14ac:dyDescent="0.25">
      <c r="A582" s="99">
        <v>45444</v>
      </c>
      <c r="B582" s="74">
        <v>45455</v>
      </c>
      <c r="C582" s="60" t="s">
        <v>398</v>
      </c>
      <c r="D582" s="60" t="s">
        <v>740</v>
      </c>
      <c r="E582" s="115" t="s">
        <v>773</v>
      </c>
      <c r="F582" s="60" t="s">
        <v>785</v>
      </c>
      <c r="G582" s="72" t="s">
        <v>142</v>
      </c>
      <c r="H582" s="83">
        <v>0.47916666666666669</v>
      </c>
      <c r="I582" s="83">
        <v>0.72916666666666663</v>
      </c>
      <c r="J582" s="63">
        <f>I582-H582</f>
        <v>0.24999999999999994</v>
      </c>
      <c r="K582" s="88" t="s">
        <v>110</v>
      </c>
      <c r="L582" s="135">
        <f t="shared" si="39"/>
        <v>5.9999999999999982</v>
      </c>
      <c r="O582" s="98" t="s">
        <v>314</v>
      </c>
      <c r="P582" s="88">
        <v>5</v>
      </c>
      <c r="Z582" s="100"/>
    </row>
    <row r="583" spans="1:137" x14ac:dyDescent="0.25">
      <c r="A583" s="99">
        <v>45444</v>
      </c>
      <c r="B583" s="74">
        <v>45455</v>
      </c>
      <c r="C583" s="60" t="s">
        <v>398</v>
      </c>
      <c r="D583" s="60" t="s">
        <v>308</v>
      </c>
      <c r="E583" s="115" t="s">
        <v>377</v>
      </c>
      <c r="F583" s="60" t="s">
        <v>379</v>
      </c>
      <c r="G583" s="72" t="s">
        <v>142</v>
      </c>
      <c r="H583" s="83">
        <v>0.4375</v>
      </c>
      <c r="I583" s="83">
        <v>0.58333333333333337</v>
      </c>
      <c r="J583" s="63">
        <f>I583-H583</f>
        <v>0.14583333333333337</v>
      </c>
      <c r="K583" s="88" t="s">
        <v>365</v>
      </c>
      <c r="L583" s="135">
        <f t="shared" si="39"/>
        <v>3.5000000000000009</v>
      </c>
      <c r="O583" s="91" t="s">
        <v>359</v>
      </c>
      <c r="P583" s="88">
        <v>5</v>
      </c>
      <c r="Z583" s="100"/>
    </row>
    <row r="584" spans="1:137" s="88" customFormat="1" x14ac:dyDescent="0.25">
      <c r="A584" s="99">
        <v>45444</v>
      </c>
      <c r="B584" s="74">
        <v>45455</v>
      </c>
      <c r="C584" s="60" t="s">
        <v>398</v>
      </c>
      <c r="D584" s="60" t="s">
        <v>98</v>
      </c>
      <c r="E584" s="115" t="s">
        <v>790</v>
      </c>
      <c r="F584" s="60" t="s">
        <v>789</v>
      </c>
      <c r="G584" s="72" t="s">
        <v>142</v>
      </c>
      <c r="H584" s="83">
        <v>0.41666666666666669</v>
      </c>
      <c r="I584" s="83">
        <v>0.66666666666666663</v>
      </c>
      <c r="J584" s="63">
        <f>I584-H584</f>
        <v>0.24999999999999994</v>
      </c>
      <c r="K584" s="88" t="s">
        <v>296</v>
      </c>
      <c r="L584" s="135">
        <f t="shared" si="39"/>
        <v>5.9999999999999982</v>
      </c>
      <c r="M584" s="60"/>
      <c r="N584" s="60"/>
      <c r="O584" s="85" t="s">
        <v>304</v>
      </c>
      <c r="P584" s="88">
        <v>4</v>
      </c>
      <c r="Q584" s="60" t="s">
        <v>692</v>
      </c>
      <c r="V584" s="94"/>
      <c r="X584" s="90"/>
      <c r="Z584" s="101"/>
    </row>
    <row r="585" spans="1:137" s="16" customFormat="1" x14ac:dyDescent="0.25">
      <c r="A585" s="99">
        <v>45444</v>
      </c>
      <c r="B585" s="74">
        <v>45455</v>
      </c>
      <c r="C585" s="60" t="s">
        <v>398</v>
      </c>
      <c r="D585" s="60" t="s">
        <v>830</v>
      </c>
      <c r="E585" s="115" t="s">
        <v>786</v>
      </c>
      <c r="F585" s="60" t="s">
        <v>922</v>
      </c>
      <c r="G585" s="72" t="s">
        <v>142</v>
      </c>
      <c r="H585" s="83">
        <v>0.41666666666666669</v>
      </c>
      <c r="I585" s="83">
        <v>0.45833333333333331</v>
      </c>
      <c r="J585" s="63">
        <v>0.27079999999999999</v>
      </c>
      <c r="K585" s="88" t="s">
        <v>365</v>
      </c>
      <c r="L585" s="135">
        <f t="shared" si="39"/>
        <v>6.4992000000000001</v>
      </c>
      <c r="M585" s="61"/>
      <c r="N585" s="60"/>
      <c r="O585" s="91" t="s">
        <v>820</v>
      </c>
      <c r="P585" s="88">
        <v>5</v>
      </c>
      <c r="Q585" s="60"/>
      <c r="R585" s="61"/>
      <c r="S585" s="61"/>
      <c r="T585" s="61"/>
      <c r="U585" s="61"/>
      <c r="V585" s="92"/>
      <c r="W585" s="61"/>
      <c r="X585" s="89"/>
      <c r="Y585" s="61"/>
      <c r="Z585" s="100"/>
      <c r="AA585" s="61"/>
      <c r="AB585" s="61"/>
      <c r="AC585" s="61"/>
      <c r="AD585" s="61"/>
      <c r="AE585" s="61"/>
      <c r="AF585" s="61"/>
      <c r="AG585" s="61"/>
      <c r="AH585" s="61"/>
      <c r="AI585" s="61"/>
      <c r="AJ585" s="61"/>
      <c r="AK585" s="61"/>
      <c r="AL585" s="61"/>
      <c r="AM585" s="61"/>
      <c r="AN585" s="61"/>
      <c r="AO585" s="61"/>
      <c r="AP585" s="61"/>
      <c r="AQ585" s="61"/>
      <c r="AR585" s="61"/>
      <c r="AS585" s="61"/>
      <c r="AT585" s="61"/>
      <c r="AU585" s="61"/>
      <c r="AV585" s="61"/>
      <c r="AW585" s="61"/>
      <c r="AX585" s="61"/>
      <c r="AY585" s="61"/>
      <c r="AZ585" s="61"/>
      <c r="BA585" s="61"/>
      <c r="BB585" s="61"/>
      <c r="BC585" s="61"/>
      <c r="BD585" s="61"/>
      <c r="BE585" s="61"/>
      <c r="BF585" s="61"/>
      <c r="BG585" s="61"/>
      <c r="BH585" s="61"/>
      <c r="BI585" s="61"/>
      <c r="BJ585" s="61"/>
      <c r="BK585" s="61"/>
      <c r="BL585" s="61"/>
      <c r="BM585" s="61"/>
      <c r="BN585" s="61"/>
      <c r="BO585" s="61"/>
      <c r="BP585" s="61"/>
      <c r="BQ585" s="61"/>
      <c r="BR585" s="61"/>
      <c r="BS585" s="61"/>
      <c r="BT585" s="61"/>
      <c r="BU585" s="61"/>
      <c r="BV585" s="61"/>
      <c r="BW585" s="61"/>
      <c r="BX585" s="61"/>
      <c r="BY585" s="61"/>
      <c r="BZ585" s="61"/>
      <c r="CA585" s="61"/>
      <c r="CB585" s="61"/>
      <c r="CC585" s="61"/>
      <c r="CD585" s="61"/>
      <c r="CE585" s="61"/>
      <c r="CF585" s="61"/>
      <c r="CG585" s="61"/>
      <c r="CH585" s="61"/>
      <c r="CI585" s="61"/>
      <c r="CJ585" s="61"/>
      <c r="CK585" s="61"/>
      <c r="CL585" s="61"/>
      <c r="CM585" s="61"/>
      <c r="CN585" s="61"/>
      <c r="CO585" s="61"/>
      <c r="CP585" s="61"/>
      <c r="CQ585" s="61"/>
      <c r="CR585" s="61"/>
      <c r="CS585" s="61"/>
      <c r="CT585" s="61"/>
      <c r="CU585" s="61"/>
      <c r="CV585" s="61"/>
      <c r="CW585" s="61"/>
      <c r="CX585" s="61"/>
      <c r="CY585" s="61"/>
      <c r="CZ585" s="61"/>
      <c r="DA585" s="61"/>
      <c r="DB585" s="61"/>
      <c r="DC585" s="61"/>
      <c r="DD585" s="61"/>
      <c r="DE585" s="61"/>
      <c r="DF585" s="61"/>
      <c r="DG585" s="61"/>
      <c r="DH585" s="61"/>
      <c r="DI585" s="61"/>
      <c r="DJ585" s="61"/>
      <c r="DK585" s="61"/>
      <c r="DL585" s="61"/>
      <c r="DM585" s="61"/>
      <c r="DN585" s="61"/>
      <c r="DO585" s="61"/>
      <c r="DP585" s="61"/>
      <c r="DQ585" s="61"/>
      <c r="DR585" s="61"/>
      <c r="DS585" s="61"/>
      <c r="DT585" s="61"/>
      <c r="DU585" s="61"/>
      <c r="DV585" s="61"/>
      <c r="DW585" s="61"/>
      <c r="DX585" s="61"/>
      <c r="DY585" s="61"/>
      <c r="DZ585" s="61"/>
      <c r="EA585" s="61"/>
      <c r="EB585" s="61"/>
      <c r="EC585" s="61"/>
      <c r="ED585" s="61"/>
      <c r="EE585" s="61"/>
      <c r="EF585" s="61"/>
      <c r="EG585" s="61"/>
    </row>
    <row r="586" spans="1:137" x14ac:dyDescent="0.25">
      <c r="A586" s="99">
        <v>45444</v>
      </c>
      <c r="B586" s="74">
        <v>45456</v>
      </c>
      <c r="C586" s="60" t="s">
        <v>124</v>
      </c>
      <c r="D586" s="60" t="s">
        <v>498</v>
      </c>
      <c r="E586" s="115" t="s">
        <v>446</v>
      </c>
      <c r="F586" s="60" t="s">
        <v>627</v>
      </c>
      <c r="G586" s="72" t="s">
        <v>142</v>
      </c>
      <c r="H586" s="83">
        <v>0.375</v>
      </c>
      <c r="I586" s="83">
        <v>0.58333333333333337</v>
      </c>
      <c r="J586" s="63">
        <v>0.27079999999999999</v>
      </c>
      <c r="K586" s="88" t="s">
        <v>110</v>
      </c>
      <c r="L586" s="135">
        <f t="shared" si="39"/>
        <v>6.4992000000000001</v>
      </c>
      <c r="N586" s="60"/>
      <c r="O586" s="91" t="s">
        <v>358</v>
      </c>
      <c r="P586" s="88">
        <v>5</v>
      </c>
      <c r="Q586" s="60"/>
      <c r="V586" s="86"/>
      <c r="Z586" s="100"/>
    </row>
    <row r="587" spans="1:137" x14ac:dyDescent="0.25">
      <c r="A587" s="99">
        <v>45444</v>
      </c>
      <c r="B587" s="74">
        <v>45456</v>
      </c>
      <c r="C587" s="60" t="s">
        <v>124</v>
      </c>
      <c r="D587" s="60" t="s">
        <v>609</v>
      </c>
      <c r="E587" s="115" t="s">
        <v>787</v>
      </c>
      <c r="F587" s="60" t="s">
        <v>788</v>
      </c>
      <c r="G587" s="72" t="s">
        <v>142</v>
      </c>
      <c r="H587" s="83">
        <v>0.54166666666666663</v>
      </c>
      <c r="I587" s="83">
        <v>0.6875</v>
      </c>
      <c r="J587" s="63">
        <f t="shared" ref="J587:J618" si="40">I587-H587</f>
        <v>0.14583333333333337</v>
      </c>
      <c r="K587" s="88" t="s">
        <v>365</v>
      </c>
      <c r="L587" s="135">
        <f t="shared" si="39"/>
        <v>3.5000000000000009</v>
      </c>
      <c r="N587" s="60"/>
      <c r="O587" s="91" t="s">
        <v>359</v>
      </c>
      <c r="P587" s="88">
        <v>5</v>
      </c>
      <c r="Q587" s="60"/>
      <c r="V587" s="86"/>
      <c r="Z587" s="100"/>
    </row>
    <row r="588" spans="1:137" s="88" customFormat="1" x14ac:dyDescent="0.25">
      <c r="A588" s="99">
        <v>45444</v>
      </c>
      <c r="B588" s="74">
        <v>45456</v>
      </c>
      <c r="C588" s="60" t="s">
        <v>124</v>
      </c>
      <c r="D588" s="60" t="s">
        <v>98</v>
      </c>
      <c r="E588" s="115" t="s">
        <v>791</v>
      </c>
      <c r="F588" s="60" t="s">
        <v>792</v>
      </c>
      <c r="G588" s="72" t="s">
        <v>142</v>
      </c>
      <c r="H588" s="83">
        <v>0.52083333333333337</v>
      </c>
      <c r="I588" s="83">
        <v>0.58333333333333337</v>
      </c>
      <c r="J588" s="63">
        <f t="shared" si="40"/>
        <v>6.25E-2</v>
      </c>
      <c r="K588" s="88" t="s">
        <v>365</v>
      </c>
      <c r="L588" s="135">
        <f t="shared" si="39"/>
        <v>1.5</v>
      </c>
      <c r="M588" s="60"/>
      <c r="N588" s="60"/>
      <c r="O588" s="85" t="s">
        <v>304</v>
      </c>
      <c r="P588" s="88">
        <v>5</v>
      </c>
      <c r="Q588" s="60"/>
      <c r="V588" s="94"/>
      <c r="X588" s="90"/>
      <c r="Z588" s="101"/>
    </row>
    <row r="589" spans="1:137" s="88" customFormat="1" x14ac:dyDescent="0.25">
      <c r="A589" s="99">
        <v>45444</v>
      </c>
      <c r="B589" s="74">
        <v>45457</v>
      </c>
      <c r="C589" s="60" t="s">
        <v>33</v>
      </c>
      <c r="D589" s="60" t="s">
        <v>98</v>
      </c>
      <c r="E589" s="115" t="s">
        <v>791</v>
      </c>
      <c r="F589" s="60" t="s">
        <v>793</v>
      </c>
      <c r="G589" s="72" t="s">
        <v>142</v>
      </c>
      <c r="H589" s="83">
        <v>0.4375</v>
      </c>
      <c r="I589" s="83">
        <v>0.70833333333333337</v>
      </c>
      <c r="J589" s="63">
        <f t="shared" si="40"/>
        <v>0.27083333333333337</v>
      </c>
      <c r="K589" s="88" t="s">
        <v>365</v>
      </c>
      <c r="L589" s="135">
        <f t="shared" si="39"/>
        <v>6.5000000000000009</v>
      </c>
      <c r="M589" s="60"/>
      <c r="N589" s="60"/>
      <c r="O589" s="85" t="s">
        <v>304</v>
      </c>
      <c r="P589" s="88">
        <v>5</v>
      </c>
      <c r="Q589" s="60"/>
      <c r="V589" s="94"/>
      <c r="X589" s="90"/>
      <c r="Z589" s="101"/>
    </row>
    <row r="590" spans="1:137" x14ac:dyDescent="0.25">
      <c r="A590" s="99">
        <v>45444</v>
      </c>
      <c r="B590" s="74">
        <v>45462</v>
      </c>
      <c r="C590" s="60" t="s">
        <v>398</v>
      </c>
      <c r="D590" s="60" t="s">
        <v>406</v>
      </c>
      <c r="E590" s="115" t="s">
        <v>738</v>
      </c>
      <c r="F590" s="60" t="s">
        <v>756</v>
      </c>
      <c r="G590" s="72" t="s">
        <v>142</v>
      </c>
      <c r="H590" s="83">
        <v>0.58333333333333337</v>
      </c>
      <c r="I590" s="83">
        <v>0.70833333333333337</v>
      </c>
      <c r="J590" s="63">
        <f t="shared" si="40"/>
        <v>0.125</v>
      </c>
      <c r="K590" s="60" t="s">
        <v>113</v>
      </c>
      <c r="L590" s="135">
        <v>5</v>
      </c>
      <c r="N590" s="60"/>
      <c r="O590" s="98" t="s">
        <v>314</v>
      </c>
      <c r="P590" s="88">
        <v>5</v>
      </c>
      <c r="Z590" s="100"/>
    </row>
    <row r="591" spans="1:137" x14ac:dyDescent="0.25">
      <c r="A591" s="99">
        <v>45444</v>
      </c>
      <c r="B591" s="74">
        <v>45463</v>
      </c>
      <c r="C591" s="60" t="s">
        <v>124</v>
      </c>
      <c r="D591" s="60" t="s">
        <v>406</v>
      </c>
      <c r="E591" s="115" t="s">
        <v>738</v>
      </c>
      <c r="F591" s="60" t="s">
        <v>756</v>
      </c>
      <c r="G591" s="72" t="s">
        <v>142</v>
      </c>
      <c r="H591" s="83">
        <v>0</v>
      </c>
      <c r="I591" s="83">
        <v>0.66666666666666663</v>
      </c>
      <c r="J591" s="63">
        <f t="shared" si="40"/>
        <v>0.66666666666666663</v>
      </c>
      <c r="K591" s="60" t="s">
        <v>113</v>
      </c>
      <c r="L591" s="135">
        <v>5</v>
      </c>
      <c r="N591" s="60"/>
      <c r="O591" s="98" t="s">
        <v>314</v>
      </c>
      <c r="P591" s="88">
        <v>5</v>
      </c>
      <c r="Z591" s="100"/>
    </row>
    <row r="592" spans="1:137" x14ac:dyDescent="0.25">
      <c r="A592" s="99">
        <v>45444</v>
      </c>
      <c r="B592" s="74">
        <v>45464</v>
      </c>
      <c r="C592" s="60" t="s">
        <v>33</v>
      </c>
      <c r="D592" s="60" t="s">
        <v>406</v>
      </c>
      <c r="E592" s="115" t="s">
        <v>738</v>
      </c>
      <c r="F592" s="60" t="s">
        <v>756</v>
      </c>
      <c r="G592" s="72" t="s">
        <v>142</v>
      </c>
      <c r="H592" s="83">
        <v>0.66666666666666663</v>
      </c>
      <c r="I592" s="83">
        <v>0.70833333333333337</v>
      </c>
      <c r="J592" s="63">
        <f t="shared" si="40"/>
        <v>4.1666666666666741E-2</v>
      </c>
      <c r="K592" s="60" t="s">
        <v>113</v>
      </c>
      <c r="L592" s="135">
        <f t="shared" ref="L592:L597" si="41">24*J592</f>
        <v>1.0000000000000018</v>
      </c>
      <c r="N592" s="60"/>
      <c r="O592" s="98" t="s">
        <v>314</v>
      </c>
      <c r="P592" s="88">
        <v>5</v>
      </c>
      <c r="Z592" s="100"/>
    </row>
    <row r="593" spans="1:137" x14ac:dyDescent="0.25">
      <c r="A593" s="99">
        <v>45444</v>
      </c>
      <c r="B593" s="74">
        <v>45465</v>
      </c>
      <c r="C593" s="88" t="s">
        <v>34</v>
      </c>
      <c r="D593" s="60" t="s">
        <v>498</v>
      </c>
      <c r="E593" s="115" t="s">
        <v>446</v>
      </c>
      <c r="F593" s="60" t="s">
        <v>627</v>
      </c>
      <c r="G593" s="72" t="s">
        <v>142</v>
      </c>
      <c r="H593" s="83">
        <v>0.45833333333333331</v>
      </c>
      <c r="I593" s="83">
        <v>0.625</v>
      </c>
      <c r="J593" s="63">
        <f t="shared" si="40"/>
        <v>0.16666666666666669</v>
      </c>
      <c r="K593" s="88" t="s">
        <v>110</v>
      </c>
      <c r="L593" s="135">
        <f t="shared" si="41"/>
        <v>4</v>
      </c>
      <c r="N593" s="60"/>
      <c r="O593" s="98" t="s">
        <v>314</v>
      </c>
      <c r="P593" s="88">
        <v>5</v>
      </c>
      <c r="Q593" s="60"/>
      <c r="V593" s="86"/>
      <c r="Z593" s="100"/>
    </row>
    <row r="594" spans="1:137" x14ac:dyDescent="0.25">
      <c r="A594" s="99">
        <v>45444</v>
      </c>
      <c r="B594" s="74">
        <v>45465</v>
      </c>
      <c r="C594" s="88" t="s">
        <v>34</v>
      </c>
      <c r="D594" s="60" t="s">
        <v>406</v>
      </c>
      <c r="E594" s="115" t="s">
        <v>794</v>
      </c>
      <c r="F594" s="60" t="s">
        <v>756</v>
      </c>
      <c r="G594" s="72" t="s">
        <v>142</v>
      </c>
      <c r="H594" s="83">
        <v>0.45833333333333331</v>
      </c>
      <c r="I594" s="83">
        <v>0.72916666666666663</v>
      </c>
      <c r="J594" s="63">
        <f t="shared" si="40"/>
        <v>0.27083333333333331</v>
      </c>
      <c r="K594" s="60" t="s">
        <v>113</v>
      </c>
      <c r="L594" s="135">
        <f t="shared" si="41"/>
        <v>6.5</v>
      </c>
      <c r="N594" s="60"/>
      <c r="O594" s="98" t="s">
        <v>539</v>
      </c>
      <c r="P594" s="88">
        <v>5</v>
      </c>
      <c r="Z594" s="100"/>
    </row>
    <row r="595" spans="1:137" x14ac:dyDescent="0.25">
      <c r="A595" s="99">
        <v>45444</v>
      </c>
      <c r="B595" s="74">
        <v>45466</v>
      </c>
      <c r="C595" s="88" t="s">
        <v>31</v>
      </c>
      <c r="D595" s="60" t="s">
        <v>322</v>
      </c>
      <c r="E595" s="115" t="s">
        <v>795</v>
      </c>
      <c r="F595" s="60" t="s">
        <v>796</v>
      </c>
      <c r="G595" s="72" t="s">
        <v>142</v>
      </c>
      <c r="H595" s="83">
        <v>0.52083333333333337</v>
      </c>
      <c r="I595" s="83">
        <v>0.54166666666666663</v>
      </c>
      <c r="J595" s="63">
        <f t="shared" si="40"/>
        <v>2.0833333333333259E-2</v>
      </c>
      <c r="K595" s="88" t="s">
        <v>365</v>
      </c>
      <c r="L595" s="135">
        <f t="shared" si="41"/>
        <v>0.49999999999999822</v>
      </c>
      <c r="O595" s="91" t="s">
        <v>359</v>
      </c>
      <c r="P595" s="88">
        <v>5</v>
      </c>
      <c r="Q595" s="61" t="s">
        <v>279</v>
      </c>
      <c r="Z595" s="100"/>
    </row>
    <row r="596" spans="1:137" x14ac:dyDescent="0.25">
      <c r="A596" s="99">
        <v>45444</v>
      </c>
      <c r="B596" s="74">
        <v>45466</v>
      </c>
      <c r="C596" s="88" t="s">
        <v>31</v>
      </c>
      <c r="D596" s="60" t="s">
        <v>498</v>
      </c>
      <c r="E596" s="115" t="s">
        <v>446</v>
      </c>
      <c r="F596" s="60" t="s">
        <v>805</v>
      </c>
      <c r="G596" s="72" t="s">
        <v>142</v>
      </c>
      <c r="H596" s="83">
        <v>0.41666666666666669</v>
      </c>
      <c r="I596" s="83">
        <v>0.66666666666666663</v>
      </c>
      <c r="J596" s="63">
        <f t="shared" si="40"/>
        <v>0.24999999999999994</v>
      </c>
      <c r="K596" s="88" t="s">
        <v>110</v>
      </c>
      <c r="L596" s="135">
        <f t="shared" si="41"/>
        <v>5.9999999999999982</v>
      </c>
      <c r="N596" s="60"/>
      <c r="O596" s="98" t="s">
        <v>361</v>
      </c>
      <c r="P596" s="88">
        <v>5</v>
      </c>
      <c r="Q596" s="60"/>
      <c r="V596" s="86"/>
      <c r="Z596" s="100"/>
    </row>
    <row r="597" spans="1:137" x14ac:dyDescent="0.25">
      <c r="A597" s="99">
        <v>45444</v>
      </c>
      <c r="B597" s="74">
        <v>45466</v>
      </c>
      <c r="C597" s="88" t="s">
        <v>31</v>
      </c>
      <c r="D597" s="60" t="s">
        <v>406</v>
      </c>
      <c r="E597" s="115" t="s">
        <v>738</v>
      </c>
      <c r="F597" s="60" t="s">
        <v>756</v>
      </c>
      <c r="G597" s="72" t="s">
        <v>142</v>
      </c>
      <c r="H597" s="83">
        <v>0.45833333333333331</v>
      </c>
      <c r="I597" s="83">
        <v>0.54166666666666663</v>
      </c>
      <c r="J597" s="63">
        <f t="shared" si="40"/>
        <v>8.3333333333333315E-2</v>
      </c>
      <c r="K597" s="60" t="s">
        <v>113</v>
      </c>
      <c r="L597" s="135">
        <f t="shared" si="41"/>
        <v>1.9999999999999996</v>
      </c>
      <c r="O597" s="98" t="s">
        <v>314</v>
      </c>
      <c r="P597" s="88">
        <v>5</v>
      </c>
      <c r="Z597" s="100"/>
    </row>
    <row r="598" spans="1:137" ht="14.45" customHeight="1" x14ac:dyDescent="0.25">
      <c r="A598" s="99">
        <v>45444</v>
      </c>
      <c r="B598" s="74">
        <v>45466</v>
      </c>
      <c r="C598" s="88" t="s">
        <v>31</v>
      </c>
      <c r="D598" s="60" t="s">
        <v>325</v>
      </c>
      <c r="E598" s="115" t="s">
        <v>746</v>
      </c>
      <c r="F598" s="60" t="s">
        <v>704</v>
      </c>
      <c r="G598" s="72" t="s">
        <v>142</v>
      </c>
      <c r="H598" s="83">
        <v>0.45833333333333331</v>
      </c>
      <c r="I598" s="83">
        <v>0.70833333333333337</v>
      </c>
      <c r="J598" s="63">
        <f t="shared" si="40"/>
        <v>0.25000000000000006</v>
      </c>
      <c r="K598" s="60" t="s">
        <v>113</v>
      </c>
      <c r="L598" s="135">
        <v>6</v>
      </c>
      <c r="O598" s="98" t="s">
        <v>314</v>
      </c>
      <c r="P598" s="88">
        <v>5</v>
      </c>
      <c r="Z598" s="100"/>
    </row>
    <row r="599" spans="1:137" s="97" customFormat="1" x14ac:dyDescent="0.25">
      <c r="A599" s="99">
        <v>45444</v>
      </c>
      <c r="B599" s="74">
        <v>45467</v>
      </c>
      <c r="C599" s="88" t="s">
        <v>45</v>
      </c>
      <c r="D599" s="60" t="s">
        <v>32</v>
      </c>
      <c r="E599" s="115" t="s">
        <v>661</v>
      </c>
      <c r="F599" s="60" t="s">
        <v>797</v>
      </c>
      <c r="G599" s="72" t="s">
        <v>142</v>
      </c>
      <c r="H599" s="83">
        <v>0.58333333333333337</v>
      </c>
      <c r="I599" s="83">
        <v>0.625</v>
      </c>
      <c r="J599" s="63">
        <f t="shared" si="40"/>
        <v>4.166666666666663E-2</v>
      </c>
      <c r="K599" s="88" t="s">
        <v>110</v>
      </c>
      <c r="L599" s="135">
        <f>24*J599</f>
        <v>0.99999999999999911</v>
      </c>
      <c r="M599" s="60"/>
      <c r="N599" s="60"/>
      <c r="O599" s="91" t="s">
        <v>363</v>
      </c>
      <c r="P599" s="88">
        <v>5</v>
      </c>
      <c r="Q599" s="60"/>
      <c r="R599" s="88"/>
      <c r="S599" s="88"/>
      <c r="T599" s="88"/>
      <c r="U599" s="88"/>
      <c r="V599" s="94"/>
      <c r="W599" s="88"/>
      <c r="X599" s="90"/>
      <c r="Y599" s="88"/>
      <c r="Z599" s="101"/>
      <c r="AA599" s="88"/>
      <c r="AB599" s="88"/>
      <c r="AC599" s="88"/>
      <c r="AD599" s="88"/>
      <c r="AE599" s="88"/>
      <c r="AF599" s="88"/>
      <c r="AG599" s="88"/>
      <c r="AH599" s="88"/>
      <c r="AI599" s="88"/>
      <c r="AJ599" s="88"/>
      <c r="AK599" s="88"/>
      <c r="AL599" s="88"/>
      <c r="AM599" s="88"/>
      <c r="AN599" s="88"/>
      <c r="AO599" s="88"/>
      <c r="AP599" s="88"/>
      <c r="AQ599" s="88"/>
      <c r="AR599" s="88"/>
      <c r="AS599" s="88"/>
      <c r="AT599" s="88"/>
      <c r="AU599" s="88"/>
      <c r="AV599" s="88"/>
      <c r="AW599" s="88"/>
      <c r="AX599" s="88"/>
      <c r="AY599" s="88"/>
      <c r="AZ599" s="88"/>
      <c r="BA599" s="88"/>
      <c r="BB599" s="88"/>
      <c r="BC599" s="88"/>
      <c r="BD599" s="88"/>
      <c r="BE599" s="88"/>
      <c r="BF599" s="88"/>
      <c r="BG599" s="88"/>
      <c r="BH599" s="88"/>
      <c r="BI599" s="88"/>
      <c r="BJ599" s="88"/>
      <c r="BK599" s="88"/>
      <c r="BL599" s="88"/>
      <c r="BM599" s="88"/>
      <c r="BN599" s="88"/>
      <c r="BO599" s="88"/>
      <c r="BP599" s="88"/>
      <c r="BQ599" s="88"/>
      <c r="BR599" s="88"/>
      <c r="BS599" s="88"/>
      <c r="BT599" s="88"/>
      <c r="BU599" s="88"/>
      <c r="BV599" s="88"/>
      <c r="BW599" s="88"/>
      <c r="BX599" s="88"/>
      <c r="BY599" s="88"/>
      <c r="BZ599" s="88"/>
      <c r="CA599" s="88"/>
      <c r="CB599" s="88"/>
      <c r="CC599" s="88"/>
      <c r="CD599" s="88"/>
      <c r="CE599" s="88"/>
      <c r="CF599" s="88"/>
      <c r="CG599" s="88"/>
      <c r="CH599" s="88"/>
      <c r="CI599" s="88"/>
      <c r="CJ599" s="88"/>
      <c r="CK599" s="88"/>
      <c r="CL599" s="88"/>
      <c r="CM599" s="88"/>
      <c r="CN599" s="88"/>
      <c r="CO599" s="88"/>
      <c r="CP599" s="88"/>
      <c r="CQ599" s="88"/>
      <c r="CR599" s="88"/>
      <c r="CS599" s="88"/>
      <c r="CT599" s="88"/>
      <c r="CU599" s="88"/>
      <c r="CV599" s="88"/>
      <c r="CW599" s="88"/>
      <c r="CX599" s="88"/>
      <c r="CY599" s="88"/>
      <c r="CZ599" s="88"/>
      <c r="DA599" s="88"/>
      <c r="DB599" s="88"/>
      <c r="DC599" s="88"/>
      <c r="DD599" s="88"/>
      <c r="DE599" s="88"/>
      <c r="DF599" s="88"/>
      <c r="DG599" s="88"/>
      <c r="DH599" s="88"/>
      <c r="DI599" s="88"/>
      <c r="DJ599" s="88"/>
      <c r="DK599" s="88"/>
      <c r="DL599" s="88"/>
      <c r="DM599" s="88"/>
      <c r="DN599" s="88"/>
      <c r="DO599" s="88"/>
      <c r="DP599" s="88"/>
      <c r="DQ599" s="88"/>
      <c r="DR599" s="88"/>
      <c r="DS599" s="88"/>
      <c r="DT599" s="88"/>
      <c r="DU599" s="88"/>
      <c r="DV599" s="88"/>
      <c r="DW599" s="88"/>
      <c r="DX599" s="88"/>
      <c r="DY599" s="88"/>
      <c r="DZ599" s="88"/>
      <c r="EA599" s="88"/>
      <c r="EB599" s="88"/>
      <c r="EC599" s="88"/>
      <c r="ED599" s="88"/>
      <c r="EE599" s="88"/>
      <c r="EF599" s="88"/>
      <c r="EG599" s="88"/>
    </row>
    <row r="600" spans="1:137" x14ac:dyDescent="0.25">
      <c r="A600" s="99">
        <v>45444</v>
      </c>
      <c r="B600" s="74">
        <v>45467</v>
      </c>
      <c r="C600" s="88" t="s">
        <v>45</v>
      </c>
      <c r="D600" s="60" t="s">
        <v>98</v>
      </c>
      <c r="E600" s="115" t="s">
        <v>414</v>
      </c>
      <c r="F600" s="73" t="s">
        <v>798</v>
      </c>
      <c r="G600" s="72" t="s">
        <v>142</v>
      </c>
      <c r="H600" s="83">
        <v>0.45833333333333331</v>
      </c>
      <c r="I600" s="83">
        <v>0.70833333333333337</v>
      </c>
      <c r="J600" s="63">
        <f t="shared" si="40"/>
        <v>0.25000000000000006</v>
      </c>
      <c r="K600" s="60" t="s">
        <v>113</v>
      </c>
      <c r="L600" s="135">
        <v>3</v>
      </c>
      <c r="O600" s="98" t="s">
        <v>314</v>
      </c>
      <c r="P600" s="88">
        <v>5</v>
      </c>
      <c r="Z600" s="100"/>
    </row>
    <row r="601" spans="1:137" ht="14.45" customHeight="1" x14ac:dyDescent="0.25">
      <c r="A601" s="99">
        <v>45444</v>
      </c>
      <c r="B601" s="74">
        <v>45467</v>
      </c>
      <c r="C601" s="88" t="s">
        <v>45</v>
      </c>
      <c r="D601" s="60" t="s">
        <v>126</v>
      </c>
      <c r="E601" s="115" t="s">
        <v>747</v>
      </c>
      <c r="F601" s="60" t="s">
        <v>783</v>
      </c>
      <c r="G601" s="59" t="s">
        <v>142</v>
      </c>
      <c r="H601" s="83">
        <v>0.72916666666666663</v>
      </c>
      <c r="I601" s="83">
        <v>0.77083333333333337</v>
      </c>
      <c r="J601" s="63">
        <f t="shared" si="40"/>
        <v>4.1666666666666741E-2</v>
      </c>
      <c r="K601" s="60" t="s">
        <v>113</v>
      </c>
      <c r="L601" s="135">
        <f>24*J601</f>
        <v>1.0000000000000018</v>
      </c>
      <c r="O601" s="98" t="s">
        <v>314</v>
      </c>
      <c r="P601" s="88">
        <v>5</v>
      </c>
      <c r="Z601" s="100"/>
    </row>
    <row r="602" spans="1:137" ht="14.45" customHeight="1" x14ac:dyDescent="0.25">
      <c r="A602" s="99">
        <v>45444</v>
      </c>
      <c r="B602" s="74">
        <v>45467</v>
      </c>
      <c r="C602" s="88" t="s">
        <v>45</v>
      </c>
      <c r="D602" s="60" t="s">
        <v>498</v>
      </c>
      <c r="E602" s="115" t="s">
        <v>446</v>
      </c>
      <c r="F602" s="60" t="s">
        <v>805</v>
      </c>
      <c r="G602" s="72" t="s">
        <v>142</v>
      </c>
      <c r="H602" s="83">
        <v>0.41666666666666669</v>
      </c>
      <c r="I602" s="83">
        <v>0.66666666666666663</v>
      </c>
      <c r="J602" s="63">
        <f t="shared" si="40"/>
        <v>0.24999999999999994</v>
      </c>
      <c r="K602" s="88" t="s">
        <v>110</v>
      </c>
      <c r="L602" s="135">
        <f>24*J602</f>
        <v>5.9999999999999982</v>
      </c>
      <c r="N602" s="60"/>
      <c r="O602" s="98" t="s">
        <v>361</v>
      </c>
      <c r="P602" s="88">
        <v>5</v>
      </c>
      <c r="Q602" s="60"/>
      <c r="V602" s="86"/>
      <c r="Z602" s="100"/>
    </row>
    <row r="603" spans="1:137" ht="14.45" customHeight="1" x14ac:dyDescent="0.25">
      <c r="A603" s="99">
        <v>45444</v>
      </c>
      <c r="B603" s="74">
        <v>45467</v>
      </c>
      <c r="C603" s="88" t="s">
        <v>45</v>
      </c>
      <c r="D603" s="60" t="s">
        <v>740</v>
      </c>
      <c r="E603" s="115" t="s">
        <v>773</v>
      </c>
      <c r="F603" s="60" t="s">
        <v>785</v>
      </c>
      <c r="G603" s="72" t="s">
        <v>142</v>
      </c>
      <c r="H603" s="83">
        <v>0.41666666666666669</v>
      </c>
      <c r="I603" s="83">
        <v>0.66666666666666663</v>
      </c>
      <c r="J603" s="63">
        <f t="shared" si="40"/>
        <v>0.24999999999999994</v>
      </c>
      <c r="K603" s="88" t="s">
        <v>110</v>
      </c>
      <c r="L603" s="135">
        <f>24*J603</f>
        <v>5.9999999999999982</v>
      </c>
      <c r="O603" s="98" t="s">
        <v>361</v>
      </c>
      <c r="P603" s="88">
        <v>5</v>
      </c>
      <c r="Z603" s="100"/>
    </row>
    <row r="604" spans="1:137" ht="14.45" customHeight="1" x14ac:dyDescent="0.25">
      <c r="A604" s="99">
        <v>45444</v>
      </c>
      <c r="B604" s="74">
        <v>45467</v>
      </c>
      <c r="C604" s="88" t="s">
        <v>45</v>
      </c>
      <c r="D604" s="60" t="s">
        <v>317</v>
      </c>
      <c r="E604" s="115" t="s">
        <v>838</v>
      </c>
      <c r="F604" s="60" t="s">
        <v>839</v>
      </c>
      <c r="G604" s="59" t="s">
        <v>142</v>
      </c>
      <c r="H604" s="83">
        <v>0.625</v>
      </c>
      <c r="I604" s="83">
        <v>0.72916666666666663</v>
      </c>
      <c r="J604" s="63">
        <f t="shared" si="40"/>
        <v>0.10416666666666663</v>
      </c>
      <c r="K604" s="88" t="s">
        <v>300</v>
      </c>
      <c r="L604" s="135">
        <f>24*J604</f>
        <v>2.4999999999999991</v>
      </c>
      <c r="O604" s="91" t="s">
        <v>362</v>
      </c>
      <c r="P604" s="88">
        <v>5</v>
      </c>
      <c r="R604" s="88"/>
      <c r="U604" s="60"/>
      <c r="W604" s="60"/>
      <c r="X604" s="86"/>
      <c r="Z604" s="100"/>
    </row>
    <row r="605" spans="1:137" ht="14.45" customHeight="1" x14ac:dyDescent="0.25">
      <c r="A605" s="99">
        <v>45444</v>
      </c>
      <c r="B605" s="74">
        <v>45467</v>
      </c>
      <c r="C605" s="88" t="s">
        <v>45</v>
      </c>
      <c r="D605" s="60" t="s">
        <v>325</v>
      </c>
      <c r="E605" s="115" t="s">
        <v>746</v>
      </c>
      <c r="F605" s="60" t="s">
        <v>704</v>
      </c>
      <c r="G605" s="72" t="s">
        <v>142</v>
      </c>
      <c r="H605" s="83">
        <v>2.0833333333333332E-2</v>
      </c>
      <c r="I605" s="83">
        <v>0.83333333333333337</v>
      </c>
      <c r="J605" s="63">
        <f t="shared" si="40"/>
        <v>0.8125</v>
      </c>
      <c r="K605" s="60" t="s">
        <v>113</v>
      </c>
      <c r="L605" s="135">
        <v>6</v>
      </c>
      <c r="O605" s="98" t="s">
        <v>314</v>
      </c>
      <c r="P605" s="88">
        <v>5</v>
      </c>
      <c r="Z605" s="100"/>
    </row>
    <row r="606" spans="1:137" s="16" customFormat="1" ht="14.45" customHeight="1" x14ac:dyDescent="0.25">
      <c r="A606" s="99">
        <v>45444</v>
      </c>
      <c r="B606" s="74">
        <v>45467</v>
      </c>
      <c r="C606" s="88" t="s">
        <v>45</v>
      </c>
      <c r="D606" s="60" t="s">
        <v>830</v>
      </c>
      <c r="E606" s="115" t="s">
        <v>799</v>
      </c>
      <c r="F606" s="60" t="s">
        <v>800</v>
      </c>
      <c r="G606" s="72" t="s">
        <v>142</v>
      </c>
      <c r="H606" s="83">
        <v>0.45833333333333331</v>
      </c>
      <c r="I606" s="83">
        <v>0.625</v>
      </c>
      <c r="J606" s="63">
        <f t="shared" si="40"/>
        <v>0.16666666666666669</v>
      </c>
      <c r="K606" s="60" t="s">
        <v>113</v>
      </c>
      <c r="L606" s="135">
        <f>24*J606</f>
        <v>4</v>
      </c>
      <c r="M606" s="61"/>
      <c r="N606" s="60"/>
      <c r="O606" s="98" t="s">
        <v>314</v>
      </c>
      <c r="P606" s="88">
        <v>5</v>
      </c>
      <c r="Q606" s="60"/>
      <c r="R606" s="61"/>
      <c r="S606" s="61"/>
      <c r="T606" s="61"/>
      <c r="U606" s="61"/>
      <c r="V606" s="92"/>
      <c r="W606" s="61"/>
      <c r="X606" s="89"/>
      <c r="Y606" s="61"/>
      <c r="Z606" s="100"/>
      <c r="AA606" s="61"/>
      <c r="AB606" s="61"/>
      <c r="AC606" s="61"/>
      <c r="AD606" s="61"/>
      <c r="AE606" s="61"/>
      <c r="AF606" s="61"/>
      <c r="AG606" s="61"/>
      <c r="AH606" s="61"/>
      <c r="AI606" s="61"/>
      <c r="AJ606" s="61"/>
      <c r="AK606" s="61"/>
      <c r="AL606" s="61"/>
      <c r="AM606" s="61"/>
      <c r="AN606" s="61"/>
      <c r="AO606" s="61"/>
      <c r="AP606" s="61"/>
      <c r="AQ606" s="61"/>
      <c r="AR606" s="61"/>
      <c r="AS606" s="61"/>
      <c r="AT606" s="61"/>
      <c r="AU606" s="61"/>
      <c r="AV606" s="61"/>
      <c r="AW606" s="61"/>
      <c r="AX606" s="61"/>
      <c r="AY606" s="61"/>
      <c r="AZ606" s="61"/>
      <c r="BA606" s="61"/>
      <c r="BB606" s="61"/>
      <c r="BC606" s="61"/>
      <c r="BD606" s="61"/>
      <c r="BE606" s="61"/>
      <c r="BF606" s="61"/>
      <c r="BG606" s="61"/>
      <c r="BH606" s="61"/>
      <c r="BI606" s="61"/>
      <c r="BJ606" s="61"/>
      <c r="BK606" s="61"/>
      <c r="BL606" s="61"/>
      <c r="BM606" s="61"/>
      <c r="BN606" s="61"/>
      <c r="BO606" s="61"/>
      <c r="BP606" s="61"/>
      <c r="BQ606" s="61"/>
      <c r="BR606" s="61"/>
      <c r="BS606" s="61"/>
      <c r="BT606" s="61"/>
      <c r="BU606" s="61"/>
      <c r="BV606" s="61"/>
      <c r="BW606" s="61"/>
      <c r="BX606" s="61"/>
      <c r="BY606" s="61"/>
      <c r="BZ606" s="61"/>
      <c r="CA606" s="61"/>
      <c r="CB606" s="61"/>
      <c r="CC606" s="61"/>
      <c r="CD606" s="61"/>
      <c r="CE606" s="61"/>
      <c r="CF606" s="61"/>
      <c r="CG606" s="61"/>
      <c r="CH606" s="61"/>
      <c r="CI606" s="61"/>
      <c r="CJ606" s="61"/>
      <c r="CK606" s="61"/>
      <c r="CL606" s="61"/>
      <c r="CM606" s="61"/>
      <c r="CN606" s="61"/>
      <c r="CO606" s="61"/>
      <c r="CP606" s="61"/>
      <c r="CQ606" s="61"/>
      <c r="CR606" s="61"/>
      <c r="CS606" s="61"/>
      <c r="CT606" s="61"/>
      <c r="CU606" s="61"/>
      <c r="CV606" s="61"/>
      <c r="CW606" s="61"/>
      <c r="CX606" s="61"/>
      <c r="CY606" s="61"/>
      <c r="CZ606" s="61"/>
      <c r="DA606" s="61"/>
      <c r="DB606" s="61"/>
      <c r="DC606" s="61"/>
      <c r="DD606" s="61"/>
      <c r="DE606" s="61"/>
      <c r="DF606" s="61"/>
      <c r="DG606" s="61"/>
      <c r="DH606" s="61"/>
      <c r="DI606" s="61"/>
      <c r="DJ606" s="61"/>
      <c r="DK606" s="61"/>
      <c r="DL606" s="61"/>
      <c r="DM606" s="61"/>
      <c r="DN606" s="61"/>
      <c r="DO606" s="61"/>
      <c r="DP606" s="61"/>
      <c r="DQ606" s="61"/>
      <c r="DR606" s="61"/>
      <c r="DS606" s="61"/>
      <c r="DT606" s="61"/>
      <c r="DU606" s="61"/>
      <c r="DV606" s="61"/>
      <c r="DW606" s="61"/>
      <c r="DX606" s="61"/>
      <c r="DY606" s="61"/>
      <c r="DZ606" s="61"/>
      <c r="EA606" s="61"/>
      <c r="EB606" s="61"/>
      <c r="EC606" s="61"/>
      <c r="ED606" s="61"/>
      <c r="EE606" s="61"/>
      <c r="EF606" s="61"/>
      <c r="EG606" s="61"/>
    </row>
    <row r="607" spans="1:137" s="88" customFormat="1" ht="14.45" customHeight="1" x14ac:dyDescent="0.25">
      <c r="A607" s="99">
        <v>45444</v>
      </c>
      <c r="B607" s="74">
        <v>45467</v>
      </c>
      <c r="C607" s="88" t="s">
        <v>45</v>
      </c>
      <c r="D607" s="60" t="s">
        <v>98</v>
      </c>
      <c r="E607" s="115" t="s">
        <v>801</v>
      </c>
      <c r="F607" s="60" t="s">
        <v>802</v>
      </c>
      <c r="G607" s="72" t="s">
        <v>142</v>
      </c>
      <c r="H607" s="83">
        <v>0.52083333333333337</v>
      </c>
      <c r="I607" s="83">
        <v>0.625</v>
      </c>
      <c r="J607" s="63">
        <f t="shared" si="40"/>
        <v>0.10416666666666663</v>
      </c>
      <c r="K607" s="88" t="s">
        <v>296</v>
      </c>
      <c r="L607" s="135">
        <f>24*J607</f>
        <v>2.4999999999999991</v>
      </c>
      <c r="M607" s="60"/>
      <c r="N607" s="60"/>
      <c r="O607" s="85" t="s">
        <v>304</v>
      </c>
      <c r="P607" s="88">
        <v>4</v>
      </c>
      <c r="Q607" s="60" t="s">
        <v>692</v>
      </c>
      <c r="V607" s="94"/>
      <c r="X607" s="90"/>
      <c r="Z607" s="101"/>
    </row>
    <row r="608" spans="1:137" x14ac:dyDescent="0.25">
      <c r="A608" s="99">
        <v>45444</v>
      </c>
      <c r="B608" s="74">
        <v>45468</v>
      </c>
      <c r="C608" s="88" t="s">
        <v>106</v>
      </c>
      <c r="D608" s="60" t="s">
        <v>98</v>
      </c>
      <c r="E608" s="116" t="s">
        <v>612</v>
      </c>
      <c r="F608" s="73" t="s">
        <v>803</v>
      </c>
      <c r="G608" s="72" t="s">
        <v>142</v>
      </c>
      <c r="H608" s="83">
        <v>0.41666666666666669</v>
      </c>
      <c r="I608" s="83">
        <v>0.58333333333333337</v>
      </c>
      <c r="J608" s="63">
        <f t="shared" si="40"/>
        <v>0.16666666666666669</v>
      </c>
      <c r="K608" s="88" t="s">
        <v>365</v>
      </c>
      <c r="L608" s="135">
        <f>24*J608</f>
        <v>4</v>
      </c>
      <c r="O608" s="91" t="s">
        <v>539</v>
      </c>
      <c r="P608" s="88">
        <v>5</v>
      </c>
      <c r="Z608" s="100"/>
    </row>
    <row r="609" spans="1:26" x14ac:dyDescent="0.25">
      <c r="A609" s="99">
        <v>45444</v>
      </c>
      <c r="B609" s="74">
        <v>45468</v>
      </c>
      <c r="C609" s="88" t="s">
        <v>106</v>
      </c>
      <c r="D609" s="60" t="s">
        <v>98</v>
      </c>
      <c r="E609" s="116" t="s">
        <v>505</v>
      </c>
      <c r="F609" s="73" t="s">
        <v>804</v>
      </c>
      <c r="G609" s="72" t="s">
        <v>142</v>
      </c>
      <c r="H609" s="83">
        <v>0.45833333333333331</v>
      </c>
      <c r="I609" s="83">
        <v>0.54166666666666663</v>
      </c>
      <c r="J609" s="63">
        <f t="shared" si="40"/>
        <v>8.3333333333333315E-2</v>
      </c>
      <c r="K609" s="88" t="s">
        <v>365</v>
      </c>
      <c r="L609" s="135">
        <f>24*J609</f>
        <v>1.9999999999999996</v>
      </c>
      <c r="O609" s="91" t="s">
        <v>539</v>
      </c>
      <c r="P609" s="88">
        <v>5</v>
      </c>
      <c r="Z609" s="100"/>
    </row>
    <row r="610" spans="1:26" x14ac:dyDescent="0.25">
      <c r="A610" s="99">
        <v>45444</v>
      </c>
      <c r="B610" s="74">
        <v>45468</v>
      </c>
      <c r="C610" s="88" t="s">
        <v>106</v>
      </c>
      <c r="D610" s="60" t="s">
        <v>325</v>
      </c>
      <c r="E610" s="115" t="s">
        <v>746</v>
      </c>
      <c r="F610" s="60" t="s">
        <v>704</v>
      </c>
      <c r="G610" s="72" t="s">
        <v>142</v>
      </c>
      <c r="H610" s="83">
        <v>0.47916666666666669</v>
      </c>
      <c r="I610" s="83">
        <v>0.70833333333333337</v>
      </c>
      <c r="J610" s="63">
        <f t="shared" si="40"/>
        <v>0.22916666666666669</v>
      </c>
      <c r="K610" s="60" t="s">
        <v>113</v>
      </c>
      <c r="O610" s="98" t="s">
        <v>314</v>
      </c>
      <c r="P610" s="88">
        <v>5</v>
      </c>
      <c r="Z610" s="100"/>
    </row>
    <row r="611" spans="1:26" x14ac:dyDescent="0.25">
      <c r="A611" s="99">
        <v>45444</v>
      </c>
      <c r="B611" s="74">
        <v>45468</v>
      </c>
      <c r="C611" s="88" t="s">
        <v>106</v>
      </c>
      <c r="D611" s="60" t="s">
        <v>98</v>
      </c>
      <c r="E611" s="115" t="s">
        <v>414</v>
      </c>
      <c r="F611" s="73" t="s">
        <v>798</v>
      </c>
      <c r="G611" s="72" t="s">
        <v>142</v>
      </c>
      <c r="H611" s="83">
        <v>0.45833333333333331</v>
      </c>
      <c r="I611" s="83">
        <v>0.70833333333333337</v>
      </c>
      <c r="J611" s="63">
        <f t="shared" si="40"/>
        <v>0.25000000000000006</v>
      </c>
      <c r="K611" s="60" t="s">
        <v>113</v>
      </c>
      <c r="L611" s="135">
        <v>3</v>
      </c>
      <c r="O611" s="98" t="s">
        <v>314</v>
      </c>
      <c r="P611" s="88">
        <v>5</v>
      </c>
      <c r="Z611" s="100"/>
    </row>
    <row r="612" spans="1:26" x14ac:dyDescent="0.25">
      <c r="A612" s="99">
        <v>45444</v>
      </c>
      <c r="B612" s="74">
        <v>45468</v>
      </c>
      <c r="C612" s="88" t="s">
        <v>106</v>
      </c>
      <c r="D612" s="60" t="s">
        <v>740</v>
      </c>
      <c r="E612" s="115" t="s">
        <v>773</v>
      </c>
      <c r="F612" s="60" t="s">
        <v>785</v>
      </c>
      <c r="G612" s="72" t="s">
        <v>142</v>
      </c>
      <c r="H612" s="83">
        <v>0.41666666666666669</v>
      </c>
      <c r="I612" s="83">
        <v>0.70833333333333337</v>
      </c>
      <c r="J612" s="63">
        <f t="shared" si="40"/>
        <v>0.29166666666666669</v>
      </c>
      <c r="K612" s="88" t="s">
        <v>110</v>
      </c>
      <c r="L612" s="135">
        <f>24*J612</f>
        <v>7</v>
      </c>
      <c r="O612" s="98" t="s">
        <v>361</v>
      </c>
      <c r="P612" s="88">
        <v>5</v>
      </c>
      <c r="Z612" s="100"/>
    </row>
    <row r="613" spans="1:26" s="88" customFormat="1" x14ac:dyDescent="0.25">
      <c r="A613" s="99">
        <v>45444</v>
      </c>
      <c r="B613" s="74">
        <v>45468</v>
      </c>
      <c r="C613" s="88" t="s">
        <v>106</v>
      </c>
      <c r="D613" s="60" t="s">
        <v>98</v>
      </c>
      <c r="E613" s="115" t="s">
        <v>801</v>
      </c>
      <c r="F613" s="60" t="s">
        <v>806</v>
      </c>
      <c r="G613" s="72" t="s">
        <v>142</v>
      </c>
      <c r="H613" s="83">
        <v>0.64583333333333337</v>
      </c>
      <c r="I613" s="83">
        <v>0.70833333333333337</v>
      </c>
      <c r="J613" s="63">
        <f t="shared" si="40"/>
        <v>6.25E-2</v>
      </c>
      <c r="K613" s="88" t="s">
        <v>296</v>
      </c>
      <c r="L613" s="135">
        <f>24*J613</f>
        <v>1.5</v>
      </c>
      <c r="M613" s="60"/>
      <c r="N613" s="60"/>
      <c r="O613" s="85" t="s">
        <v>304</v>
      </c>
      <c r="P613" s="88">
        <v>4</v>
      </c>
      <c r="Q613" s="60" t="s">
        <v>692</v>
      </c>
      <c r="V613" s="94"/>
      <c r="X613" s="90"/>
      <c r="Z613" s="101"/>
    </row>
    <row r="614" spans="1:26" s="88" customFormat="1" x14ac:dyDescent="0.25">
      <c r="A614" s="99">
        <v>45444</v>
      </c>
      <c r="B614" s="74">
        <v>45468</v>
      </c>
      <c r="C614" s="88" t="s">
        <v>106</v>
      </c>
      <c r="D614" s="60" t="s">
        <v>98</v>
      </c>
      <c r="E614" s="115" t="s">
        <v>801</v>
      </c>
      <c r="F614" s="60" t="s">
        <v>807</v>
      </c>
      <c r="G614" s="72" t="s">
        <v>142</v>
      </c>
      <c r="H614" s="83">
        <v>0.41666666666666669</v>
      </c>
      <c r="I614" s="83">
        <v>0.72916666666666663</v>
      </c>
      <c r="J614" s="63">
        <f t="shared" si="40"/>
        <v>0.31249999999999994</v>
      </c>
      <c r="K614" s="88" t="s">
        <v>296</v>
      </c>
      <c r="L614" s="135">
        <f>24*J614</f>
        <v>7.4999999999999982</v>
      </c>
      <c r="M614" s="60"/>
      <c r="N614" s="60"/>
      <c r="O614" s="85" t="s">
        <v>304</v>
      </c>
      <c r="P614" s="88">
        <v>3</v>
      </c>
      <c r="Q614" s="60" t="s">
        <v>808</v>
      </c>
      <c r="V614" s="94"/>
      <c r="X614" s="90"/>
      <c r="Z614" s="101"/>
    </row>
    <row r="615" spans="1:26" x14ac:dyDescent="0.25">
      <c r="A615" s="99">
        <v>45444</v>
      </c>
      <c r="B615" s="74">
        <v>45469</v>
      </c>
      <c r="C615" s="60" t="s">
        <v>398</v>
      </c>
      <c r="D615" s="60" t="s">
        <v>740</v>
      </c>
      <c r="E615" s="115" t="s">
        <v>409</v>
      </c>
      <c r="F615" s="60" t="s">
        <v>809</v>
      </c>
      <c r="G615" s="72" t="s">
        <v>142</v>
      </c>
      <c r="H615" s="83">
        <v>0.45833333333333331</v>
      </c>
      <c r="I615" s="83">
        <v>0.5</v>
      </c>
      <c r="J615" s="63">
        <f t="shared" si="40"/>
        <v>4.1666666666666685E-2</v>
      </c>
      <c r="K615" s="88" t="s">
        <v>110</v>
      </c>
      <c r="L615" s="135">
        <f>24*J615</f>
        <v>1.0000000000000004</v>
      </c>
      <c r="O615" s="91" t="s">
        <v>363</v>
      </c>
      <c r="P615" s="88">
        <v>5</v>
      </c>
      <c r="Z615" s="100"/>
    </row>
    <row r="616" spans="1:26" x14ac:dyDescent="0.25">
      <c r="A616" s="99">
        <v>45444</v>
      </c>
      <c r="B616" s="74">
        <v>45469</v>
      </c>
      <c r="C616" s="88" t="s">
        <v>398</v>
      </c>
      <c r="D616" s="60" t="s">
        <v>325</v>
      </c>
      <c r="E616" s="115" t="s">
        <v>746</v>
      </c>
      <c r="F616" s="60" t="s">
        <v>704</v>
      </c>
      <c r="G616" s="59" t="s">
        <v>142</v>
      </c>
      <c r="H616" s="83">
        <v>0.47916666666666669</v>
      </c>
      <c r="I616" s="83">
        <v>0.77083333333333337</v>
      </c>
      <c r="J616" s="63">
        <f t="shared" si="40"/>
        <v>0.29166666666666669</v>
      </c>
      <c r="K616" s="61" t="s">
        <v>113</v>
      </c>
      <c r="L616" s="135">
        <v>6</v>
      </c>
      <c r="O616" s="81" t="s">
        <v>314</v>
      </c>
      <c r="P616" s="88">
        <v>5</v>
      </c>
      <c r="Z616" s="100"/>
    </row>
    <row r="617" spans="1:26" s="88" customFormat="1" x14ac:dyDescent="0.25">
      <c r="A617" s="99">
        <v>45444</v>
      </c>
      <c r="B617" s="74">
        <v>45469</v>
      </c>
      <c r="C617" s="88" t="s">
        <v>398</v>
      </c>
      <c r="D617" s="60" t="s">
        <v>98</v>
      </c>
      <c r="E617" s="115" t="s">
        <v>801</v>
      </c>
      <c r="F617" s="60" t="s">
        <v>807</v>
      </c>
      <c r="G617" s="72" t="s">
        <v>142</v>
      </c>
      <c r="H617" s="83">
        <v>0.52083333333333337</v>
      </c>
      <c r="I617" s="83">
        <v>0.625</v>
      </c>
      <c r="J617" s="63">
        <f t="shared" si="40"/>
        <v>0.10416666666666663</v>
      </c>
      <c r="K617" s="88" t="s">
        <v>296</v>
      </c>
      <c r="L617" s="135">
        <f>24*J617</f>
        <v>2.4999999999999991</v>
      </c>
      <c r="M617" s="60"/>
      <c r="N617" s="60"/>
      <c r="O617" s="85" t="s">
        <v>304</v>
      </c>
      <c r="P617" s="88">
        <v>4</v>
      </c>
      <c r="Q617" s="60" t="s">
        <v>692</v>
      </c>
      <c r="V617" s="94"/>
      <c r="X617" s="90"/>
      <c r="Z617" s="101"/>
    </row>
    <row r="618" spans="1:26" x14ac:dyDescent="0.25">
      <c r="A618" s="99">
        <v>45444</v>
      </c>
      <c r="B618" s="74">
        <v>45470</v>
      </c>
      <c r="C618" s="60" t="s">
        <v>124</v>
      </c>
      <c r="D618" s="60" t="s">
        <v>322</v>
      </c>
      <c r="E618" s="115" t="s">
        <v>795</v>
      </c>
      <c r="F618" s="60" t="s">
        <v>827</v>
      </c>
      <c r="G618" s="72" t="s">
        <v>142</v>
      </c>
      <c r="H618" s="83">
        <v>0.52083333333333337</v>
      </c>
      <c r="I618" s="83">
        <v>0.54166666666666663</v>
      </c>
      <c r="J618" s="63">
        <f t="shared" si="40"/>
        <v>2.0833333333333259E-2</v>
      </c>
      <c r="K618" s="88" t="s">
        <v>365</v>
      </c>
      <c r="L618" s="135">
        <f>24*J618</f>
        <v>0.49999999999999822</v>
      </c>
      <c r="O618" s="91" t="s">
        <v>820</v>
      </c>
      <c r="P618" s="88">
        <v>5</v>
      </c>
      <c r="Q618" s="61" t="s">
        <v>279</v>
      </c>
      <c r="Z618" s="100"/>
    </row>
    <row r="619" spans="1:26" x14ac:dyDescent="0.25">
      <c r="A619" s="99">
        <v>45444</v>
      </c>
      <c r="B619" s="74">
        <v>45470</v>
      </c>
      <c r="C619" s="88" t="s">
        <v>124</v>
      </c>
      <c r="D619" s="60" t="s">
        <v>98</v>
      </c>
      <c r="E619" s="115" t="s">
        <v>414</v>
      </c>
      <c r="F619" s="73" t="s">
        <v>798</v>
      </c>
      <c r="G619" s="72" t="s">
        <v>142</v>
      </c>
      <c r="H619" s="83">
        <v>0.41666666666666669</v>
      </c>
      <c r="I619" s="83">
        <v>0.70833333333333337</v>
      </c>
      <c r="J619" s="63">
        <f t="shared" ref="J619:J650" si="42">I619-H619</f>
        <v>0.29166666666666669</v>
      </c>
      <c r="K619" s="60" t="s">
        <v>113</v>
      </c>
      <c r="L619" s="135">
        <v>3</v>
      </c>
      <c r="O619" s="98" t="s">
        <v>314</v>
      </c>
      <c r="P619" s="88">
        <v>5</v>
      </c>
      <c r="Z619" s="100"/>
    </row>
    <row r="620" spans="1:26" x14ac:dyDescent="0.25">
      <c r="A620" s="99">
        <v>45444</v>
      </c>
      <c r="B620" s="74">
        <v>45470</v>
      </c>
      <c r="C620" s="88" t="s">
        <v>124</v>
      </c>
      <c r="D620" s="60" t="s">
        <v>313</v>
      </c>
      <c r="E620" s="115" t="s">
        <v>350</v>
      </c>
      <c r="F620" s="60" t="s">
        <v>379</v>
      </c>
      <c r="G620" s="72" t="s">
        <v>142</v>
      </c>
      <c r="H620" s="83">
        <v>0.41666666666666669</v>
      </c>
      <c r="I620" s="83">
        <v>0.66666666666666663</v>
      </c>
      <c r="J620" s="63">
        <f t="shared" si="42"/>
        <v>0.24999999999999994</v>
      </c>
      <c r="K620" s="60" t="s">
        <v>113</v>
      </c>
      <c r="L620" s="135">
        <f>24*J620</f>
        <v>5.9999999999999982</v>
      </c>
      <c r="M620" s="60"/>
      <c r="N620" s="60"/>
      <c r="O620" s="91" t="s">
        <v>314</v>
      </c>
      <c r="P620" s="88">
        <v>5</v>
      </c>
      <c r="Q620" s="60"/>
      <c r="Z620" s="100"/>
    </row>
    <row r="621" spans="1:26" x14ac:dyDescent="0.25">
      <c r="A621" s="99">
        <v>45444</v>
      </c>
      <c r="B621" s="74">
        <v>45470</v>
      </c>
      <c r="C621" s="88" t="s">
        <v>124</v>
      </c>
      <c r="D621" s="60" t="s">
        <v>481</v>
      </c>
      <c r="E621" s="115" t="s">
        <v>446</v>
      </c>
      <c r="F621" s="60" t="s">
        <v>627</v>
      </c>
      <c r="G621" s="72" t="s">
        <v>142</v>
      </c>
      <c r="H621" s="83">
        <v>0.4375</v>
      </c>
      <c r="I621" s="83">
        <v>0.5</v>
      </c>
      <c r="J621" s="63">
        <f t="shared" si="42"/>
        <v>6.25E-2</v>
      </c>
      <c r="K621" s="88" t="s">
        <v>113</v>
      </c>
      <c r="L621" s="135">
        <f>24*J621</f>
        <v>1.5</v>
      </c>
      <c r="N621" s="60"/>
      <c r="O621" s="91" t="s">
        <v>314</v>
      </c>
      <c r="P621" s="88">
        <v>5</v>
      </c>
      <c r="Q621" s="60"/>
      <c r="V621" s="86"/>
      <c r="Z621" s="100"/>
    </row>
    <row r="622" spans="1:26" x14ac:dyDescent="0.25">
      <c r="A622" s="99">
        <v>45444</v>
      </c>
      <c r="B622" s="74">
        <v>45470</v>
      </c>
      <c r="C622" s="88" t="s">
        <v>124</v>
      </c>
      <c r="D622" s="60" t="s">
        <v>325</v>
      </c>
      <c r="E622" s="115" t="s">
        <v>746</v>
      </c>
      <c r="F622" s="60" t="s">
        <v>704</v>
      </c>
      <c r="G622" s="59" t="s">
        <v>142</v>
      </c>
      <c r="H622" s="83">
        <v>0.54166666666666663</v>
      </c>
      <c r="I622" s="83">
        <v>0.85416666666666663</v>
      </c>
      <c r="J622" s="63">
        <f t="shared" si="42"/>
        <v>0.3125</v>
      </c>
      <c r="K622" s="61" t="s">
        <v>113</v>
      </c>
      <c r="L622" s="135">
        <v>6</v>
      </c>
      <c r="O622" s="81" t="s">
        <v>314</v>
      </c>
      <c r="P622" s="88">
        <v>5</v>
      </c>
      <c r="Z622" s="100"/>
    </row>
    <row r="623" spans="1:26" s="88" customFormat="1" x14ac:dyDescent="0.25">
      <c r="A623" s="99">
        <v>45444</v>
      </c>
      <c r="B623" s="74">
        <v>45470</v>
      </c>
      <c r="C623" s="88" t="s">
        <v>124</v>
      </c>
      <c r="D623" s="60" t="s">
        <v>98</v>
      </c>
      <c r="E623" s="115" t="s">
        <v>801</v>
      </c>
      <c r="F623" s="60" t="s">
        <v>807</v>
      </c>
      <c r="G623" s="72" t="s">
        <v>142</v>
      </c>
      <c r="H623" s="83">
        <v>0.41666666666666669</v>
      </c>
      <c r="I623" s="83">
        <v>0.79166666666666663</v>
      </c>
      <c r="J623" s="63">
        <f t="shared" si="42"/>
        <v>0.37499999999999994</v>
      </c>
      <c r="K623" s="88" t="s">
        <v>296</v>
      </c>
      <c r="L623" s="135">
        <f t="shared" ref="L623:L629" si="43">24*J623</f>
        <v>8.9999999999999982</v>
      </c>
      <c r="M623" s="60"/>
      <c r="N623" s="60"/>
      <c r="O623" s="85" t="s">
        <v>304</v>
      </c>
      <c r="P623" s="88">
        <v>3</v>
      </c>
      <c r="Q623" s="60" t="s">
        <v>808</v>
      </c>
      <c r="V623" s="94"/>
      <c r="X623" s="90"/>
      <c r="Z623" s="101"/>
    </row>
    <row r="624" spans="1:26" s="88" customFormat="1" x14ac:dyDescent="0.25">
      <c r="A624" s="99">
        <v>45444</v>
      </c>
      <c r="B624" s="74">
        <v>45471</v>
      </c>
      <c r="C624" s="88" t="s">
        <v>33</v>
      </c>
      <c r="D624" s="60" t="s">
        <v>98</v>
      </c>
      <c r="E624" s="115" t="s">
        <v>801</v>
      </c>
      <c r="F624" s="60" t="s">
        <v>807</v>
      </c>
      <c r="G624" s="72" t="s">
        <v>142</v>
      </c>
      <c r="H624" s="83">
        <v>0.41666666666666669</v>
      </c>
      <c r="I624" s="83">
        <v>0.70833333333333337</v>
      </c>
      <c r="J624" s="63">
        <f t="shared" si="42"/>
        <v>0.29166666666666669</v>
      </c>
      <c r="K624" s="88" t="s">
        <v>296</v>
      </c>
      <c r="L624" s="135">
        <f t="shared" si="43"/>
        <v>7</v>
      </c>
      <c r="M624" s="60"/>
      <c r="N624" s="60"/>
      <c r="O624" s="85" t="s">
        <v>304</v>
      </c>
      <c r="P624" s="88">
        <v>5</v>
      </c>
      <c r="Q624" s="60"/>
      <c r="V624" s="94"/>
      <c r="X624" s="90"/>
      <c r="Z624" s="101"/>
    </row>
    <row r="625" spans="1:26" ht="14.45" customHeight="1" x14ac:dyDescent="0.25">
      <c r="A625" s="99">
        <v>45444</v>
      </c>
      <c r="B625" s="74">
        <v>45472</v>
      </c>
      <c r="C625" s="88" t="s">
        <v>34</v>
      </c>
      <c r="D625" s="60" t="s">
        <v>720</v>
      </c>
      <c r="E625" s="115" t="s">
        <v>836</v>
      </c>
      <c r="F625" s="60" t="s">
        <v>837</v>
      </c>
      <c r="G625" s="72" t="s">
        <v>142</v>
      </c>
      <c r="H625" s="83">
        <v>0.4375</v>
      </c>
      <c r="I625" s="83">
        <v>0.75</v>
      </c>
      <c r="J625" s="63">
        <f t="shared" si="42"/>
        <v>0.3125</v>
      </c>
      <c r="K625" s="88" t="s">
        <v>300</v>
      </c>
      <c r="L625" s="135">
        <f t="shared" si="43"/>
        <v>7.5</v>
      </c>
      <c r="O625" s="91" t="s">
        <v>362</v>
      </c>
      <c r="P625" s="88">
        <v>5</v>
      </c>
      <c r="R625" s="88"/>
      <c r="U625" s="60"/>
      <c r="W625" s="60"/>
      <c r="X625" s="86"/>
      <c r="Z625" s="100"/>
    </row>
    <row r="626" spans="1:26" x14ac:dyDescent="0.25">
      <c r="A626" s="99">
        <v>45444</v>
      </c>
      <c r="B626" s="74">
        <v>45472</v>
      </c>
      <c r="C626" s="88" t="s">
        <v>34</v>
      </c>
      <c r="D626" s="60" t="s">
        <v>840</v>
      </c>
      <c r="E626" s="115" t="s">
        <v>505</v>
      </c>
      <c r="F626" s="60" t="s">
        <v>835</v>
      </c>
      <c r="G626" s="72" t="s">
        <v>142</v>
      </c>
      <c r="H626" s="83">
        <v>0.875</v>
      </c>
      <c r="I626" s="83">
        <v>0.95833333333333337</v>
      </c>
      <c r="J626" s="63">
        <f t="shared" si="42"/>
        <v>8.333333333333337E-2</v>
      </c>
      <c r="K626" s="88" t="s">
        <v>300</v>
      </c>
      <c r="L626" s="135">
        <f t="shared" si="43"/>
        <v>2.0000000000000009</v>
      </c>
      <c r="O626" s="91" t="s">
        <v>362</v>
      </c>
      <c r="P626" s="88">
        <v>5</v>
      </c>
      <c r="R626" s="88"/>
      <c r="U626" s="60"/>
      <c r="W626" s="60"/>
      <c r="X626" s="86"/>
      <c r="Z626" s="100"/>
    </row>
    <row r="627" spans="1:26" s="88" customFormat="1" x14ac:dyDescent="0.25">
      <c r="A627" s="99">
        <v>45444</v>
      </c>
      <c r="B627" s="74">
        <v>45472</v>
      </c>
      <c r="C627" s="88" t="s">
        <v>34</v>
      </c>
      <c r="D627" s="60" t="s">
        <v>98</v>
      </c>
      <c r="E627" s="115" t="s">
        <v>801</v>
      </c>
      <c r="F627" s="60" t="s">
        <v>807</v>
      </c>
      <c r="G627" s="72" t="s">
        <v>142</v>
      </c>
      <c r="H627" s="83">
        <v>0.41666666666666669</v>
      </c>
      <c r="I627" s="83">
        <v>0.70833333333333337</v>
      </c>
      <c r="J627" s="63">
        <f t="shared" si="42"/>
        <v>0.29166666666666669</v>
      </c>
      <c r="K627" s="88" t="s">
        <v>296</v>
      </c>
      <c r="L627" s="135">
        <f t="shared" si="43"/>
        <v>7</v>
      </c>
      <c r="M627" s="60"/>
      <c r="N627" s="60"/>
      <c r="O627" s="85" t="s">
        <v>304</v>
      </c>
      <c r="P627" s="88">
        <v>5</v>
      </c>
      <c r="Q627" s="60"/>
      <c r="V627" s="94"/>
      <c r="X627" s="90"/>
      <c r="Z627" s="101"/>
    </row>
    <row r="628" spans="1:26" s="88" customFormat="1" x14ac:dyDescent="0.25">
      <c r="A628" s="99">
        <v>45444</v>
      </c>
      <c r="B628" s="74">
        <v>45473</v>
      </c>
      <c r="C628" s="88" t="s">
        <v>31</v>
      </c>
      <c r="D628" s="60" t="s">
        <v>32</v>
      </c>
      <c r="E628" s="115" t="s">
        <v>654</v>
      </c>
      <c r="F628" s="60" t="s">
        <v>828</v>
      </c>
      <c r="G628" s="72" t="s">
        <v>142</v>
      </c>
      <c r="H628" s="83">
        <v>0.45833333333333331</v>
      </c>
      <c r="I628" s="83">
        <v>0.5</v>
      </c>
      <c r="J628" s="63">
        <f t="shared" si="42"/>
        <v>4.1666666666666685E-2</v>
      </c>
      <c r="K628" s="61" t="s">
        <v>113</v>
      </c>
      <c r="L628" s="135">
        <f t="shared" si="43"/>
        <v>1.0000000000000004</v>
      </c>
      <c r="M628" s="60"/>
      <c r="N628" s="60"/>
      <c r="O628" s="85" t="s">
        <v>314</v>
      </c>
      <c r="P628" s="88">
        <v>5</v>
      </c>
      <c r="Q628" s="60"/>
      <c r="V628" s="94"/>
      <c r="X628" s="90"/>
      <c r="Z628" s="101"/>
    </row>
    <row r="629" spans="1:26" s="88" customFormat="1" x14ac:dyDescent="0.25">
      <c r="A629" s="99">
        <v>45444</v>
      </c>
      <c r="B629" s="74">
        <v>45473</v>
      </c>
      <c r="C629" s="88" t="s">
        <v>31</v>
      </c>
      <c r="D629" s="60" t="s">
        <v>32</v>
      </c>
      <c r="E629" s="115" t="s">
        <v>388</v>
      </c>
      <c r="F629" s="60" t="s">
        <v>829</v>
      </c>
      <c r="G629" s="72" t="s">
        <v>142</v>
      </c>
      <c r="H629" s="83">
        <v>0.52083333333333337</v>
      </c>
      <c r="I629" s="83">
        <v>0.625</v>
      </c>
      <c r="J629" s="63">
        <f t="shared" si="42"/>
        <v>0.10416666666666663</v>
      </c>
      <c r="K629" s="61" t="s">
        <v>113</v>
      </c>
      <c r="L629" s="135">
        <f t="shared" si="43"/>
        <v>2.4999999999999991</v>
      </c>
      <c r="M629" s="60"/>
      <c r="N629" s="60"/>
      <c r="O629" s="85" t="s">
        <v>314</v>
      </c>
      <c r="P629" s="88">
        <v>5</v>
      </c>
      <c r="Q629" s="60"/>
      <c r="V629" s="94"/>
      <c r="X629" s="90"/>
      <c r="Z629" s="101"/>
    </row>
    <row r="630" spans="1:26" x14ac:dyDescent="0.25">
      <c r="A630" s="99">
        <v>45474</v>
      </c>
      <c r="B630" s="74">
        <v>45474</v>
      </c>
      <c r="C630" s="88" t="s">
        <v>45</v>
      </c>
      <c r="D630" s="60" t="s">
        <v>98</v>
      </c>
      <c r="E630" s="115" t="s">
        <v>612</v>
      </c>
      <c r="F630" s="73" t="s">
        <v>833</v>
      </c>
      <c r="G630" s="72" t="s">
        <v>142</v>
      </c>
      <c r="H630" s="83">
        <v>0.60416666666666663</v>
      </c>
      <c r="I630" s="83">
        <v>0.66666666666666663</v>
      </c>
      <c r="J630" s="63">
        <f t="shared" si="42"/>
        <v>6.25E-2</v>
      </c>
      <c r="K630" s="60" t="s">
        <v>113</v>
      </c>
      <c r="L630" s="135">
        <v>3</v>
      </c>
      <c r="O630" s="98" t="s">
        <v>314</v>
      </c>
      <c r="P630" s="88">
        <v>5</v>
      </c>
      <c r="Z630" s="100"/>
    </row>
    <row r="631" spans="1:26" ht="14.45" customHeight="1" x14ac:dyDescent="0.25">
      <c r="A631" s="99">
        <v>45474</v>
      </c>
      <c r="B631" s="74">
        <v>45474</v>
      </c>
      <c r="C631" s="82" t="s">
        <v>45</v>
      </c>
      <c r="D631" s="60" t="s">
        <v>483</v>
      </c>
      <c r="E631" s="116" t="s">
        <v>665</v>
      </c>
      <c r="F631" s="72" t="s">
        <v>834</v>
      </c>
      <c r="G631" s="72" t="s">
        <v>142</v>
      </c>
      <c r="H631" s="83">
        <v>0.60416666666666663</v>
      </c>
      <c r="I631" s="83">
        <v>0.625</v>
      </c>
      <c r="J631" s="63">
        <f t="shared" si="42"/>
        <v>2.083333333333337E-2</v>
      </c>
      <c r="K631" s="60" t="s">
        <v>113</v>
      </c>
      <c r="L631" s="135">
        <f>24*J631</f>
        <v>0.50000000000000089</v>
      </c>
      <c r="O631" s="91" t="s">
        <v>314</v>
      </c>
      <c r="P631" s="88">
        <v>5</v>
      </c>
      <c r="Z631" s="100"/>
    </row>
    <row r="632" spans="1:26" ht="14.45" customHeight="1" x14ac:dyDescent="0.25">
      <c r="A632" s="99">
        <v>45474</v>
      </c>
      <c r="B632" s="74">
        <v>45474</v>
      </c>
      <c r="C632" s="88" t="s">
        <v>45</v>
      </c>
      <c r="D632" s="60" t="s">
        <v>498</v>
      </c>
      <c r="E632" s="115" t="s">
        <v>446</v>
      </c>
      <c r="F632" s="60" t="s">
        <v>627</v>
      </c>
      <c r="G632" s="72" t="s">
        <v>142</v>
      </c>
      <c r="H632" s="83">
        <v>0.41666666666666669</v>
      </c>
      <c r="I632" s="83">
        <v>0.58333333333333337</v>
      </c>
      <c r="J632" s="63">
        <f t="shared" si="42"/>
        <v>0.16666666666666669</v>
      </c>
      <c r="K632" s="88" t="s">
        <v>110</v>
      </c>
      <c r="L632" s="135">
        <f>24*J632</f>
        <v>4</v>
      </c>
      <c r="N632" s="60"/>
      <c r="O632" s="91" t="s">
        <v>358</v>
      </c>
      <c r="P632" s="88">
        <v>5</v>
      </c>
      <c r="Q632" s="60"/>
      <c r="V632" s="86"/>
      <c r="Z632" s="100"/>
    </row>
    <row r="633" spans="1:26" ht="14.45" customHeight="1" x14ac:dyDescent="0.25">
      <c r="A633" s="99">
        <v>45474</v>
      </c>
      <c r="B633" s="74">
        <v>45474</v>
      </c>
      <c r="C633" s="88" t="s">
        <v>45</v>
      </c>
      <c r="D633" s="60" t="s">
        <v>126</v>
      </c>
      <c r="E633" s="115" t="s">
        <v>352</v>
      </c>
      <c r="F633" s="60" t="s">
        <v>905</v>
      </c>
      <c r="G633" s="59" t="s">
        <v>142</v>
      </c>
      <c r="H633" s="83">
        <v>0.41666666666666669</v>
      </c>
      <c r="I633" s="83">
        <v>0.58333333333333337</v>
      </c>
      <c r="J633" s="63">
        <f t="shared" si="42"/>
        <v>0.16666666666666669</v>
      </c>
      <c r="K633" s="61" t="s">
        <v>365</v>
      </c>
      <c r="L633" s="135">
        <f>24*J633</f>
        <v>4</v>
      </c>
      <c r="O633" s="91" t="s">
        <v>576</v>
      </c>
      <c r="P633" s="88">
        <v>5</v>
      </c>
      <c r="Z633" s="100"/>
    </row>
    <row r="634" spans="1:26" s="88" customFormat="1" ht="14.45" customHeight="1" x14ac:dyDescent="0.25">
      <c r="A634" s="99">
        <v>45474</v>
      </c>
      <c r="B634" s="74">
        <v>45474</v>
      </c>
      <c r="C634" s="88" t="s">
        <v>45</v>
      </c>
      <c r="D634" s="60" t="s">
        <v>98</v>
      </c>
      <c r="E634" s="115" t="s">
        <v>801</v>
      </c>
      <c r="F634" s="60" t="s">
        <v>807</v>
      </c>
      <c r="G634" s="72" t="s">
        <v>142</v>
      </c>
      <c r="H634" s="83">
        <v>0.41666666666666669</v>
      </c>
      <c r="I634" s="83">
        <v>0.75</v>
      </c>
      <c r="J634" s="63">
        <f t="shared" si="42"/>
        <v>0.33333333333333331</v>
      </c>
      <c r="K634" s="88" t="s">
        <v>296</v>
      </c>
      <c r="L634" s="135">
        <f>24*J624</f>
        <v>7</v>
      </c>
      <c r="M634" s="60"/>
      <c r="N634" s="60"/>
      <c r="O634" s="85" t="s">
        <v>304</v>
      </c>
      <c r="P634" s="88">
        <v>5</v>
      </c>
      <c r="Q634" s="60"/>
      <c r="V634" s="94"/>
      <c r="X634" s="90"/>
      <c r="Z634" s="101"/>
    </row>
    <row r="635" spans="1:26" ht="14.45" customHeight="1" x14ac:dyDescent="0.25">
      <c r="A635" s="99">
        <v>45474</v>
      </c>
      <c r="B635" s="74">
        <v>45474</v>
      </c>
      <c r="C635" s="88" t="s">
        <v>45</v>
      </c>
      <c r="D635" s="60" t="s">
        <v>702</v>
      </c>
      <c r="E635" s="115" t="s">
        <v>414</v>
      </c>
      <c r="F635" s="60" t="s">
        <v>859</v>
      </c>
      <c r="G635" s="72" t="s">
        <v>142</v>
      </c>
      <c r="H635" s="83">
        <v>0.58333333333333337</v>
      </c>
      <c r="I635" s="83">
        <v>0.6875</v>
      </c>
      <c r="J635" s="63">
        <f t="shared" si="42"/>
        <v>0.10416666666666663</v>
      </c>
      <c r="K635" s="61" t="s">
        <v>110</v>
      </c>
      <c r="L635" s="135">
        <f>24*J635</f>
        <v>2.4999999999999991</v>
      </c>
      <c r="N635" s="60"/>
      <c r="O635" s="91" t="s">
        <v>358</v>
      </c>
      <c r="P635" s="88">
        <v>3</v>
      </c>
      <c r="Q635" s="60" t="s">
        <v>860</v>
      </c>
      <c r="V635" s="86"/>
      <c r="Z635" s="100"/>
    </row>
    <row r="636" spans="1:26" ht="14.45" customHeight="1" x14ac:dyDescent="0.25">
      <c r="A636" s="99">
        <v>45474</v>
      </c>
      <c r="B636" s="74">
        <v>45474</v>
      </c>
      <c r="C636" s="88" t="s">
        <v>45</v>
      </c>
      <c r="D636" s="60" t="s">
        <v>98</v>
      </c>
      <c r="E636" s="115" t="s">
        <v>414</v>
      </c>
      <c r="F636" s="73" t="s">
        <v>798</v>
      </c>
      <c r="G636" s="72" t="s">
        <v>142</v>
      </c>
      <c r="H636" s="83">
        <v>0.625</v>
      </c>
      <c r="I636" s="83">
        <v>0.70833333333333337</v>
      </c>
      <c r="J636" s="63">
        <f t="shared" si="42"/>
        <v>8.333333333333337E-2</v>
      </c>
      <c r="K636" s="60" t="s">
        <v>113</v>
      </c>
      <c r="L636" s="135">
        <v>3</v>
      </c>
      <c r="O636" s="98" t="s">
        <v>314</v>
      </c>
      <c r="P636" s="88">
        <v>5</v>
      </c>
      <c r="Z636" s="100"/>
    </row>
    <row r="637" spans="1:26" s="88" customFormat="1" ht="14.45" customHeight="1" x14ac:dyDescent="0.25">
      <c r="A637" s="99">
        <v>45474</v>
      </c>
      <c r="B637" s="74">
        <v>45474</v>
      </c>
      <c r="C637" s="88" t="s">
        <v>45</v>
      </c>
      <c r="D637" s="60" t="s">
        <v>32</v>
      </c>
      <c r="E637" s="115" t="s">
        <v>388</v>
      </c>
      <c r="F637" s="60" t="s">
        <v>832</v>
      </c>
      <c r="G637" s="72" t="s">
        <v>142</v>
      </c>
      <c r="H637" s="83">
        <v>0.625</v>
      </c>
      <c r="I637" s="83">
        <v>0.64583333333333337</v>
      </c>
      <c r="J637" s="63">
        <f t="shared" si="42"/>
        <v>2.083333333333337E-2</v>
      </c>
      <c r="K637" s="61" t="s">
        <v>365</v>
      </c>
      <c r="L637" s="135">
        <f t="shared" ref="L637:L644" si="44">24*J637</f>
        <v>0.50000000000000089</v>
      </c>
      <c r="M637" s="60"/>
      <c r="N637" s="60"/>
      <c r="O637" s="85" t="s">
        <v>576</v>
      </c>
      <c r="P637" s="88">
        <v>5</v>
      </c>
      <c r="Q637" s="60"/>
      <c r="V637" s="94"/>
      <c r="X637" s="90"/>
      <c r="Z637" s="101"/>
    </row>
    <row r="638" spans="1:26" x14ac:dyDescent="0.25">
      <c r="A638" s="99">
        <v>45474</v>
      </c>
      <c r="B638" s="74">
        <v>45475</v>
      </c>
      <c r="C638" s="88" t="s">
        <v>106</v>
      </c>
      <c r="D638" s="60" t="s">
        <v>498</v>
      </c>
      <c r="E638" s="115" t="s">
        <v>446</v>
      </c>
      <c r="F638" s="60" t="s">
        <v>848</v>
      </c>
      <c r="G638" s="72" t="s">
        <v>142</v>
      </c>
      <c r="H638" s="83">
        <v>0.41666666666666669</v>
      </c>
      <c r="I638" s="83">
        <v>0.70833333333333337</v>
      </c>
      <c r="J638" s="63">
        <f t="shared" si="42"/>
        <v>0.29166666666666669</v>
      </c>
      <c r="K638" s="61" t="s">
        <v>110</v>
      </c>
      <c r="L638" s="135">
        <f t="shared" si="44"/>
        <v>7</v>
      </c>
      <c r="N638" s="60"/>
      <c r="O638" s="91" t="s">
        <v>361</v>
      </c>
      <c r="P638" s="88">
        <v>5</v>
      </c>
      <c r="Q638" s="60"/>
      <c r="V638" s="86"/>
      <c r="Z638" s="100"/>
    </row>
    <row r="639" spans="1:26" s="88" customFormat="1" ht="14.45" customHeight="1" x14ac:dyDescent="0.25">
      <c r="A639" s="99">
        <v>45474</v>
      </c>
      <c r="B639" s="74">
        <v>45475</v>
      </c>
      <c r="C639" s="88" t="s">
        <v>106</v>
      </c>
      <c r="D639" s="60" t="s">
        <v>98</v>
      </c>
      <c r="E639" s="115" t="s">
        <v>801</v>
      </c>
      <c r="F639" s="60" t="s">
        <v>807</v>
      </c>
      <c r="G639" s="72" t="s">
        <v>142</v>
      </c>
      <c r="H639" s="83">
        <v>0.41666666666666669</v>
      </c>
      <c r="I639" s="83">
        <v>0.70833333333333337</v>
      </c>
      <c r="J639" s="63">
        <f t="shared" si="42"/>
        <v>0.29166666666666669</v>
      </c>
      <c r="K639" s="88" t="s">
        <v>296</v>
      </c>
      <c r="L639" s="135">
        <f t="shared" si="44"/>
        <v>7</v>
      </c>
      <c r="M639" s="60"/>
      <c r="N639" s="60"/>
      <c r="O639" s="85" t="s">
        <v>304</v>
      </c>
      <c r="P639" s="88">
        <v>5</v>
      </c>
      <c r="Q639" s="60"/>
      <c r="V639" s="94"/>
      <c r="X639" s="90"/>
      <c r="Z639" s="101"/>
    </row>
    <row r="640" spans="1:26" x14ac:dyDescent="0.25">
      <c r="A640" s="99">
        <v>45474</v>
      </c>
      <c r="B640" s="74">
        <v>45475</v>
      </c>
      <c r="C640" s="88" t="s">
        <v>106</v>
      </c>
      <c r="D640" s="60" t="s">
        <v>740</v>
      </c>
      <c r="E640" s="115" t="s">
        <v>757</v>
      </c>
      <c r="F640" s="60" t="s">
        <v>847</v>
      </c>
      <c r="G640" s="72" t="s">
        <v>142</v>
      </c>
      <c r="H640" s="83">
        <v>0.41666666666666669</v>
      </c>
      <c r="I640" s="83">
        <v>0.72916666666666663</v>
      </c>
      <c r="J640" s="63">
        <f t="shared" si="42"/>
        <v>0.31249999999999994</v>
      </c>
      <c r="K640" s="88" t="s">
        <v>110</v>
      </c>
      <c r="L640" s="135">
        <f t="shared" si="44"/>
        <v>7.4999999999999982</v>
      </c>
      <c r="O640" s="91" t="s">
        <v>361</v>
      </c>
      <c r="P640" s="88">
        <v>5</v>
      </c>
      <c r="Z640" s="100"/>
    </row>
    <row r="641" spans="1:26" x14ac:dyDescent="0.25">
      <c r="A641" s="99">
        <v>45474</v>
      </c>
      <c r="B641" s="74">
        <v>45475</v>
      </c>
      <c r="C641" s="88" t="s">
        <v>106</v>
      </c>
      <c r="D641" s="60" t="s">
        <v>126</v>
      </c>
      <c r="E641" s="115" t="s">
        <v>831</v>
      </c>
      <c r="F641" s="60" t="s">
        <v>780</v>
      </c>
      <c r="G641" s="59" t="s">
        <v>142</v>
      </c>
      <c r="H641" s="83">
        <v>0.45833333333333331</v>
      </c>
      <c r="I641" s="83">
        <v>0.60416666666666663</v>
      </c>
      <c r="J641" s="63">
        <f t="shared" si="42"/>
        <v>0.14583333333333331</v>
      </c>
      <c r="K641" s="61" t="s">
        <v>365</v>
      </c>
      <c r="L641" s="135">
        <f t="shared" si="44"/>
        <v>3.4999999999999996</v>
      </c>
      <c r="O641" s="91" t="s">
        <v>576</v>
      </c>
      <c r="P641" s="88">
        <v>5</v>
      </c>
      <c r="Z641" s="100"/>
    </row>
    <row r="642" spans="1:26" x14ac:dyDescent="0.25">
      <c r="A642" s="99">
        <v>45474</v>
      </c>
      <c r="B642" s="74">
        <v>45475</v>
      </c>
      <c r="C642" s="60" t="s">
        <v>106</v>
      </c>
      <c r="D642" s="60" t="s">
        <v>406</v>
      </c>
      <c r="E642" s="115" t="s">
        <v>738</v>
      </c>
      <c r="F642" s="60" t="s">
        <v>756</v>
      </c>
      <c r="G642" s="72" t="s">
        <v>142</v>
      </c>
      <c r="H642" s="83">
        <v>0.45833333333333331</v>
      </c>
      <c r="I642" s="83">
        <v>0.70833333333333337</v>
      </c>
      <c r="J642" s="63">
        <f t="shared" si="42"/>
        <v>0.25000000000000006</v>
      </c>
      <c r="K642" s="61" t="s">
        <v>365</v>
      </c>
      <c r="L642" s="135">
        <f t="shared" si="44"/>
        <v>6.0000000000000018</v>
      </c>
      <c r="N642" s="60"/>
      <c r="O642" s="98" t="s">
        <v>539</v>
      </c>
      <c r="P642" s="88">
        <v>5</v>
      </c>
      <c r="Z642" s="100"/>
    </row>
    <row r="643" spans="1:26" x14ac:dyDescent="0.25">
      <c r="A643" s="99">
        <v>45474</v>
      </c>
      <c r="B643" s="74">
        <v>45475</v>
      </c>
      <c r="C643" s="60" t="s">
        <v>106</v>
      </c>
      <c r="D643" s="60" t="s">
        <v>406</v>
      </c>
      <c r="E643" s="115" t="s">
        <v>841</v>
      </c>
      <c r="F643" s="60" t="s">
        <v>842</v>
      </c>
      <c r="G643" s="72" t="s">
        <v>142</v>
      </c>
      <c r="H643" s="83">
        <v>0.5</v>
      </c>
      <c r="I643" s="83">
        <v>0.66666666666666663</v>
      </c>
      <c r="J643" s="63">
        <f t="shared" si="42"/>
        <v>0.16666666666666663</v>
      </c>
      <c r="K643" s="61" t="s">
        <v>365</v>
      </c>
      <c r="L643" s="135">
        <f t="shared" si="44"/>
        <v>3.9999999999999991</v>
      </c>
      <c r="N643" s="60"/>
      <c r="O643" s="98" t="s">
        <v>358</v>
      </c>
      <c r="P643" s="88">
        <v>5</v>
      </c>
      <c r="Z643" s="100"/>
    </row>
    <row r="644" spans="1:26" x14ac:dyDescent="0.25">
      <c r="A644" s="99">
        <v>45474</v>
      </c>
      <c r="B644" s="74">
        <v>45475</v>
      </c>
      <c r="C644" s="88" t="s">
        <v>106</v>
      </c>
      <c r="D644" s="60" t="s">
        <v>499</v>
      </c>
      <c r="E644" s="116" t="s">
        <v>505</v>
      </c>
      <c r="F644" s="73" t="s">
        <v>849</v>
      </c>
      <c r="G644" s="72" t="s">
        <v>142</v>
      </c>
      <c r="H644" s="83">
        <v>0.58333333333333337</v>
      </c>
      <c r="I644" s="83">
        <v>0.625</v>
      </c>
      <c r="J644" s="63">
        <f t="shared" si="42"/>
        <v>4.166666666666663E-2</v>
      </c>
      <c r="K644" s="88" t="s">
        <v>300</v>
      </c>
      <c r="L644" s="135">
        <f t="shared" si="44"/>
        <v>0.99999999999999911</v>
      </c>
      <c r="O644" s="91" t="s">
        <v>362</v>
      </c>
      <c r="P644" s="88">
        <v>5</v>
      </c>
      <c r="Z644" s="100"/>
    </row>
    <row r="645" spans="1:26" x14ac:dyDescent="0.25">
      <c r="A645" s="99">
        <v>45474</v>
      </c>
      <c r="B645" s="74">
        <v>45475</v>
      </c>
      <c r="C645" s="60" t="s">
        <v>106</v>
      </c>
      <c r="D645" s="60" t="s">
        <v>98</v>
      </c>
      <c r="E645" s="115" t="s">
        <v>612</v>
      </c>
      <c r="F645" s="73" t="s">
        <v>843</v>
      </c>
      <c r="G645" s="72" t="s">
        <v>142</v>
      </c>
      <c r="H645" s="83">
        <v>0.54166666666666663</v>
      </c>
      <c r="I645" s="83">
        <v>0.6875</v>
      </c>
      <c r="J645" s="63">
        <f t="shared" si="42"/>
        <v>0.14583333333333337</v>
      </c>
      <c r="K645" s="60" t="s">
        <v>113</v>
      </c>
      <c r="L645" s="135">
        <v>3</v>
      </c>
      <c r="O645" s="98" t="s">
        <v>314</v>
      </c>
      <c r="P645" s="88">
        <v>5</v>
      </c>
      <c r="Z645" s="100"/>
    </row>
    <row r="646" spans="1:26" x14ac:dyDescent="0.25">
      <c r="A646" s="99">
        <v>45474</v>
      </c>
      <c r="B646" s="74">
        <v>45475</v>
      </c>
      <c r="C646" s="60" t="s">
        <v>106</v>
      </c>
      <c r="D646" s="60" t="s">
        <v>98</v>
      </c>
      <c r="E646" s="115" t="s">
        <v>414</v>
      </c>
      <c r="F646" s="73" t="s">
        <v>798</v>
      </c>
      <c r="G646" s="72" t="s">
        <v>142</v>
      </c>
      <c r="H646" s="83">
        <v>0.41666666666666669</v>
      </c>
      <c r="I646" s="83">
        <v>0.70833333333333337</v>
      </c>
      <c r="J646" s="63">
        <f t="shared" si="42"/>
        <v>0.29166666666666669</v>
      </c>
      <c r="K646" s="60" t="s">
        <v>113</v>
      </c>
      <c r="L646" s="135">
        <v>3</v>
      </c>
      <c r="O646" s="98" t="s">
        <v>314</v>
      </c>
      <c r="P646" s="88">
        <v>5</v>
      </c>
      <c r="Z646" s="100"/>
    </row>
    <row r="647" spans="1:26" x14ac:dyDescent="0.25">
      <c r="A647" s="99">
        <v>45474</v>
      </c>
      <c r="B647" s="74">
        <v>45476</v>
      </c>
      <c r="C647" s="60" t="s">
        <v>398</v>
      </c>
      <c r="D647" s="60" t="s">
        <v>98</v>
      </c>
      <c r="E647" s="115" t="s">
        <v>771</v>
      </c>
      <c r="F647" s="73" t="s">
        <v>844</v>
      </c>
      <c r="G647" s="72" t="s">
        <v>142</v>
      </c>
      <c r="H647" s="83">
        <v>0.375</v>
      </c>
      <c r="I647" s="83">
        <v>0.41666666666666669</v>
      </c>
      <c r="J647" s="63">
        <f t="shared" si="42"/>
        <v>4.1666666666666685E-2</v>
      </c>
      <c r="K647" s="60" t="s">
        <v>365</v>
      </c>
      <c r="L647" s="135">
        <f>24*J647</f>
        <v>1.0000000000000004</v>
      </c>
      <c r="O647" s="98" t="s">
        <v>820</v>
      </c>
      <c r="P647" s="88">
        <v>5</v>
      </c>
      <c r="Z647" s="100"/>
    </row>
    <row r="648" spans="1:26" s="88" customFormat="1" x14ac:dyDescent="0.25">
      <c r="A648" s="99">
        <v>45474</v>
      </c>
      <c r="B648" s="74">
        <v>45476</v>
      </c>
      <c r="C648" s="60" t="s">
        <v>398</v>
      </c>
      <c r="D648" s="60" t="s">
        <v>32</v>
      </c>
      <c r="E648" s="115" t="s">
        <v>579</v>
      </c>
      <c r="F648" s="60" t="s">
        <v>832</v>
      </c>
      <c r="G648" s="72" t="s">
        <v>142</v>
      </c>
      <c r="H648" s="83">
        <v>0.6875</v>
      </c>
      <c r="I648" s="83">
        <v>0.70833333333333337</v>
      </c>
      <c r="J648" s="63">
        <f t="shared" si="42"/>
        <v>2.083333333333337E-2</v>
      </c>
      <c r="K648" s="61" t="s">
        <v>365</v>
      </c>
      <c r="L648" s="135">
        <f>24*J648</f>
        <v>0.50000000000000089</v>
      </c>
      <c r="M648" s="60"/>
      <c r="N648" s="60"/>
      <c r="O648" s="98" t="s">
        <v>358</v>
      </c>
      <c r="P648" s="88">
        <v>5</v>
      </c>
      <c r="Q648" s="60"/>
      <c r="V648" s="94"/>
      <c r="X648" s="90"/>
      <c r="Z648" s="101"/>
    </row>
    <row r="649" spans="1:26" x14ac:dyDescent="0.25">
      <c r="A649" s="99">
        <v>45474</v>
      </c>
      <c r="B649" s="74">
        <v>45476</v>
      </c>
      <c r="C649" s="88" t="s">
        <v>398</v>
      </c>
      <c r="D649" s="60" t="s">
        <v>313</v>
      </c>
      <c r="E649" s="115" t="s">
        <v>350</v>
      </c>
      <c r="F649" s="60" t="s">
        <v>379</v>
      </c>
      <c r="G649" s="72" t="s">
        <v>142</v>
      </c>
      <c r="H649" s="83">
        <v>0.41666666666666669</v>
      </c>
      <c r="I649" s="83">
        <v>0.54166666666666663</v>
      </c>
      <c r="J649" s="63">
        <f t="shared" si="42"/>
        <v>0.12499999999999994</v>
      </c>
      <c r="K649" s="60" t="s">
        <v>113</v>
      </c>
      <c r="L649" s="135">
        <f>24*J649</f>
        <v>2.9999999999999987</v>
      </c>
      <c r="M649" s="60"/>
      <c r="N649" s="60"/>
      <c r="O649" s="91" t="s">
        <v>314</v>
      </c>
      <c r="P649" s="88">
        <v>5</v>
      </c>
      <c r="Q649" s="60"/>
      <c r="Z649" s="100"/>
    </row>
    <row r="650" spans="1:26" x14ac:dyDescent="0.25">
      <c r="A650" s="99">
        <v>45474</v>
      </c>
      <c r="B650" s="74">
        <v>45476</v>
      </c>
      <c r="C650" s="88" t="s">
        <v>398</v>
      </c>
      <c r="D650" s="60" t="s">
        <v>313</v>
      </c>
      <c r="E650" s="115" t="s">
        <v>350</v>
      </c>
      <c r="F650" s="60" t="s">
        <v>379</v>
      </c>
      <c r="G650" s="72" t="s">
        <v>142</v>
      </c>
      <c r="H650" s="83">
        <v>0.58333333333333337</v>
      </c>
      <c r="I650" s="83">
        <v>0.66666666666666663</v>
      </c>
      <c r="J650" s="63">
        <f t="shared" si="42"/>
        <v>8.3333333333333259E-2</v>
      </c>
      <c r="K650" s="60" t="s">
        <v>110</v>
      </c>
      <c r="L650" s="135">
        <f>24*J650</f>
        <v>1.9999999999999982</v>
      </c>
      <c r="M650" s="60"/>
      <c r="N650" s="60"/>
      <c r="O650" s="91" t="s">
        <v>361</v>
      </c>
      <c r="P650" s="88">
        <v>5</v>
      </c>
      <c r="Q650" s="60"/>
      <c r="Z650" s="100"/>
    </row>
    <row r="651" spans="1:26" x14ac:dyDescent="0.25">
      <c r="A651" s="99">
        <v>45474</v>
      </c>
      <c r="B651" s="74">
        <v>45476</v>
      </c>
      <c r="C651" s="60" t="s">
        <v>398</v>
      </c>
      <c r="D651" s="60" t="s">
        <v>98</v>
      </c>
      <c r="E651" s="115" t="s">
        <v>414</v>
      </c>
      <c r="F651" s="73" t="s">
        <v>798</v>
      </c>
      <c r="G651" s="72" t="s">
        <v>142</v>
      </c>
      <c r="H651" s="83">
        <v>2.0833333333333332E-2</v>
      </c>
      <c r="I651" s="83">
        <v>0.70833333333333337</v>
      </c>
      <c r="J651" s="63">
        <f t="shared" ref="J651:J682" si="45">I651-H651</f>
        <v>0.6875</v>
      </c>
      <c r="K651" s="60" t="s">
        <v>113</v>
      </c>
      <c r="L651" s="135">
        <v>3</v>
      </c>
      <c r="O651" s="98" t="s">
        <v>314</v>
      </c>
      <c r="P651" s="88">
        <v>5</v>
      </c>
      <c r="Z651" s="100"/>
    </row>
    <row r="652" spans="1:26" s="88" customFormat="1" x14ac:dyDescent="0.25">
      <c r="A652" s="99">
        <v>45474</v>
      </c>
      <c r="B652" s="74">
        <v>45476</v>
      </c>
      <c r="C652" s="60" t="s">
        <v>398</v>
      </c>
      <c r="D652" s="60" t="s">
        <v>98</v>
      </c>
      <c r="E652" s="115" t="s">
        <v>801</v>
      </c>
      <c r="F652" s="60" t="s">
        <v>807</v>
      </c>
      <c r="G652" s="72" t="s">
        <v>142</v>
      </c>
      <c r="H652" s="83">
        <v>0.41666666666666669</v>
      </c>
      <c r="I652" s="83">
        <v>0.54166666666666663</v>
      </c>
      <c r="J652" s="63">
        <f t="shared" si="45"/>
        <v>0.12499999999999994</v>
      </c>
      <c r="K652" s="88" t="s">
        <v>296</v>
      </c>
      <c r="L652" s="135">
        <f>24*J643</f>
        <v>3.9999999999999991</v>
      </c>
      <c r="M652" s="60"/>
      <c r="N652" s="60"/>
      <c r="O652" s="85" t="s">
        <v>304</v>
      </c>
      <c r="P652" s="88">
        <v>3</v>
      </c>
      <c r="Q652" s="60" t="s">
        <v>808</v>
      </c>
      <c r="V652" s="94"/>
      <c r="X652" s="90"/>
      <c r="Z652" s="101"/>
    </row>
    <row r="653" spans="1:26" s="88" customFormat="1" x14ac:dyDescent="0.25">
      <c r="A653" s="99">
        <v>45474</v>
      </c>
      <c r="B653" s="74">
        <v>45477</v>
      </c>
      <c r="C653" s="88" t="s">
        <v>124</v>
      </c>
      <c r="D653" s="60" t="s">
        <v>483</v>
      </c>
      <c r="E653" s="115" t="s">
        <v>484</v>
      </c>
      <c r="F653" s="73" t="s">
        <v>852</v>
      </c>
      <c r="G653" s="59" t="s">
        <v>142</v>
      </c>
      <c r="H653" s="83">
        <v>0.41666666666666669</v>
      </c>
      <c r="I653" s="83">
        <v>0.45833333333333331</v>
      </c>
      <c r="J653" s="63">
        <f t="shared" si="45"/>
        <v>4.166666666666663E-2</v>
      </c>
      <c r="K653" s="88" t="s">
        <v>365</v>
      </c>
      <c r="L653" s="135">
        <f>24*J653</f>
        <v>0.99999999999999911</v>
      </c>
      <c r="M653" s="60"/>
      <c r="N653" s="60"/>
      <c r="O653" s="98" t="s">
        <v>358</v>
      </c>
      <c r="P653" s="88">
        <v>5</v>
      </c>
      <c r="Q653" s="60"/>
      <c r="V653" s="94"/>
      <c r="X653" s="90"/>
      <c r="Z653" s="101"/>
    </row>
    <row r="654" spans="1:26" x14ac:dyDescent="0.25">
      <c r="A654" s="99">
        <v>45474</v>
      </c>
      <c r="B654" s="74">
        <v>45477</v>
      </c>
      <c r="C654" s="88" t="s">
        <v>124</v>
      </c>
      <c r="D654" s="60" t="s">
        <v>122</v>
      </c>
      <c r="E654" s="115" t="s">
        <v>774</v>
      </c>
      <c r="F654" s="73" t="s">
        <v>845</v>
      </c>
      <c r="G654" s="72" t="s">
        <v>142</v>
      </c>
      <c r="H654" s="83">
        <v>0.5625</v>
      </c>
      <c r="I654" s="83">
        <v>0.70833333333333337</v>
      </c>
      <c r="J654" s="63">
        <f t="shared" si="45"/>
        <v>0.14583333333333337</v>
      </c>
      <c r="K654" s="88" t="s">
        <v>295</v>
      </c>
      <c r="L654" s="135">
        <v>5.5</v>
      </c>
      <c r="O654" s="98" t="s">
        <v>358</v>
      </c>
      <c r="P654" s="88">
        <v>5</v>
      </c>
      <c r="Z654" s="100"/>
    </row>
    <row r="655" spans="1:26" x14ac:dyDescent="0.25">
      <c r="A655" s="99">
        <v>45474</v>
      </c>
      <c r="B655" s="74">
        <v>45477</v>
      </c>
      <c r="C655" s="88" t="s">
        <v>124</v>
      </c>
      <c r="D655" s="60" t="s">
        <v>98</v>
      </c>
      <c r="E655" s="115" t="s">
        <v>414</v>
      </c>
      <c r="F655" s="73" t="s">
        <v>798</v>
      </c>
      <c r="G655" s="72" t="s">
        <v>142</v>
      </c>
      <c r="H655" s="83">
        <v>0.41666666666666669</v>
      </c>
      <c r="I655" s="83">
        <v>0.66666666666666663</v>
      </c>
      <c r="J655" s="63">
        <f t="shared" si="45"/>
        <v>0.24999999999999994</v>
      </c>
      <c r="K655" s="60" t="s">
        <v>113</v>
      </c>
      <c r="L655" s="135">
        <v>3</v>
      </c>
      <c r="O655" s="98" t="s">
        <v>314</v>
      </c>
      <c r="P655" s="88">
        <v>5</v>
      </c>
      <c r="Z655" s="100"/>
    </row>
    <row r="656" spans="1:26" s="88" customFormat="1" x14ac:dyDescent="0.25">
      <c r="A656" s="99">
        <v>45474</v>
      </c>
      <c r="B656" s="74">
        <v>45477</v>
      </c>
      <c r="C656" s="88" t="s">
        <v>124</v>
      </c>
      <c r="D656" s="60" t="s">
        <v>98</v>
      </c>
      <c r="E656" s="115" t="s">
        <v>801</v>
      </c>
      <c r="F656" s="60" t="s">
        <v>807</v>
      </c>
      <c r="G656" s="72" t="s">
        <v>142</v>
      </c>
      <c r="H656" s="83">
        <v>0.41666666666666669</v>
      </c>
      <c r="I656" s="83">
        <v>0.75</v>
      </c>
      <c r="J656" s="63">
        <f t="shared" si="45"/>
        <v>0.33333333333333331</v>
      </c>
      <c r="K656" s="88" t="s">
        <v>296</v>
      </c>
      <c r="L656" s="135">
        <f>24*J647</f>
        <v>1.0000000000000004</v>
      </c>
      <c r="M656" s="60"/>
      <c r="N656" s="60"/>
      <c r="O656" s="85" t="s">
        <v>304</v>
      </c>
      <c r="P656" s="88">
        <v>3</v>
      </c>
      <c r="Q656" s="60" t="s">
        <v>808</v>
      </c>
      <c r="V656" s="94"/>
      <c r="X656" s="90"/>
      <c r="Z656" s="101"/>
    </row>
    <row r="657" spans="1:26" x14ac:dyDescent="0.25">
      <c r="A657" s="99">
        <v>45474</v>
      </c>
      <c r="B657" s="74">
        <v>45479</v>
      </c>
      <c r="C657" s="60" t="s">
        <v>34</v>
      </c>
      <c r="D657" s="60" t="s">
        <v>740</v>
      </c>
      <c r="E657" s="115" t="s">
        <v>757</v>
      </c>
      <c r="F657" s="60" t="s">
        <v>809</v>
      </c>
      <c r="G657" s="72" t="s">
        <v>142</v>
      </c>
      <c r="H657" s="83">
        <v>0.41666666666666669</v>
      </c>
      <c r="I657" s="83">
        <v>0.72916666666666663</v>
      </c>
      <c r="J657" s="63">
        <f t="shared" si="45"/>
        <v>0.31249999999999994</v>
      </c>
      <c r="K657" s="88" t="s">
        <v>110</v>
      </c>
      <c r="L657" s="135">
        <f t="shared" ref="L657:L663" si="46">24*J657</f>
        <v>7.4999999999999982</v>
      </c>
      <c r="O657" s="91" t="s">
        <v>358</v>
      </c>
      <c r="P657" s="88">
        <v>5</v>
      </c>
      <c r="Z657" s="100"/>
    </row>
    <row r="658" spans="1:26" ht="14.45" customHeight="1" x14ac:dyDescent="0.25">
      <c r="A658" s="99">
        <v>45474</v>
      </c>
      <c r="B658" s="74">
        <v>45479</v>
      </c>
      <c r="C658" s="60" t="s">
        <v>34</v>
      </c>
      <c r="D658" s="60" t="s">
        <v>498</v>
      </c>
      <c r="E658" s="115" t="s">
        <v>446</v>
      </c>
      <c r="F658" s="60" t="s">
        <v>846</v>
      </c>
      <c r="G658" s="72" t="s">
        <v>142</v>
      </c>
      <c r="H658" s="83">
        <v>0.54166666666666663</v>
      </c>
      <c r="I658" s="83">
        <v>0.66666666666666663</v>
      </c>
      <c r="J658" s="63">
        <f t="shared" si="45"/>
        <v>0.125</v>
      </c>
      <c r="K658" s="61" t="s">
        <v>110</v>
      </c>
      <c r="L658" s="135">
        <f t="shared" si="46"/>
        <v>3</v>
      </c>
      <c r="N658" s="60"/>
      <c r="O658" s="91" t="s">
        <v>358</v>
      </c>
      <c r="P658" s="88">
        <v>5</v>
      </c>
      <c r="Q658" s="60"/>
      <c r="V658" s="86"/>
      <c r="Z658" s="100"/>
    </row>
    <row r="659" spans="1:26" ht="14.45" customHeight="1" x14ac:dyDescent="0.25">
      <c r="A659" s="99">
        <v>45474</v>
      </c>
      <c r="B659" s="74">
        <v>45479</v>
      </c>
      <c r="C659" s="60" t="s">
        <v>34</v>
      </c>
      <c r="D659" s="60" t="s">
        <v>499</v>
      </c>
      <c r="E659" s="116" t="s">
        <v>505</v>
      </c>
      <c r="F659" s="73" t="s">
        <v>850</v>
      </c>
      <c r="G659" s="72" t="s">
        <v>142</v>
      </c>
      <c r="H659" s="83">
        <v>0.375</v>
      </c>
      <c r="I659" s="83">
        <v>0.45833333333333331</v>
      </c>
      <c r="J659" s="63">
        <f t="shared" si="45"/>
        <v>8.3333333333333315E-2</v>
      </c>
      <c r="K659" s="88" t="s">
        <v>300</v>
      </c>
      <c r="L659" s="135">
        <f t="shared" si="46"/>
        <v>1.9999999999999996</v>
      </c>
      <c r="O659" s="91" t="s">
        <v>362</v>
      </c>
      <c r="P659" s="88">
        <v>5</v>
      </c>
      <c r="Z659" s="100"/>
    </row>
    <row r="660" spans="1:26" x14ac:dyDescent="0.25">
      <c r="A660" s="99">
        <v>45474</v>
      </c>
      <c r="B660" s="74">
        <v>45479</v>
      </c>
      <c r="C660" s="60" t="s">
        <v>34</v>
      </c>
      <c r="D660" s="60" t="s">
        <v>720</v>
      </c>
      <c r="E660" s="116" t="s">
        <v>851</v>
      </c>
      <c r="F660" s="73" t="s">
        <v>837</v>
      </c>
      <c r="G660" s="72" t="s">
        <v>142</v>
      </c>
      <c r="H660" s="83">
        <v>0.47916666666666669</v>
      </c>
      <c r="I660" s="83">
        <v>0.85416666666666663</v>
      </c>
      <c r="J660" s="63">
        <f t="shared" si="45"/>
        <v>0.37499999999999994</v>
      </c>
      <c r="K660" s="88" t="s">
        <v>300</v>
      </c>
      <c r="L660" s="135">
        <f t="shared" si="46"/>
        <v>8.9999999999999982</v>
      </c>
      <c r="O660" s="91" t="s">
        <v>362</v>
      </c>
      <c r="P660" s="88">
        <v>5</v>
      </c>
      <c r="Z660" s="100"/>
    </row>
    <row r="661" spans="1:26" x14ac:dyDescent="0.25">
      <c r="A661" s="99">
        <v>45474</v>
      </c>
      <c r="B661" s="74">
        <v>45480</v>
      </c>
      <c r="C661" s="60" t="s">
        <v>31</v>
      </c>
      <c r="D661" s="60" t="s">
        <v>498</v>
      </c>
      <c r="E661" s="115" t="s">
        <v>489</v>
      </c>
      <c r="F661" s="60" t="s">
        <v>846</v>
      </c>
      <c r="G661" s="72" t="s">
        <v>142</v>
      </c>
      <c r="H661" s="83">
        <v>0.375</v>
      </c>
      <c r="I661" s="83">
        <v>0.66666666666666663</v>
      </c>
      <c r="J661" s="63">
        <f t="shared" si="45"/>
        <v>0.29166666666666663</v>
      </c>
      <c r="K661" s="88" t="s">
        <v>110</v>
      </c>
      <c r="L661" s="135">
        <f t="shared" si="46"/>
        <v>6.9999999999999991</v>
      </c>
      <c r="N661" s="60"/>
      <c r="O661" s="91" t="s">
        <v>358</v>
      </c>
      <c r="P661" s="88">
        <v>5</v>
      </c>
      <c r="Q661" s="60"/>
      <c r="V661" s="86"/>
      <c r="Z661" s="100"/>
    </row>
    <row r="662" spans="1:26" x14ac:dyDescent="0.25">
      <c r="A662" s="99">
        <v>45474</v>
      </c>
      <c r="B662" s="74">
        <v>45480</v>
      </c>
      <c r="C662" s="60" t="s">
        <v>31</v>
      </c>
      <c r="D662" s="60" t="s">
        <v>126</v>
      </c>
      <c r="E662" s="115" t="s">
        <v>352</v>
      </c>
      <c r="F662" s="60" t="s">
        <v>176</v>
      </c>
      <c r="G662" s="72" t="s">
        <v>142</v>
      </c>
      <c r="H662" s="83">
        <v>0.41666666666666669</v>
      </c>
      <c r="I662" s="83">
        <v>0.58333333333333337</v>
      </c>
      <c r="J662" s="63">
        <f t="shared" si="45"/>
        <v>0.16666666666666669</v>
      </c>
      <c r="K662" s="88" t="s">
        <v>110</v>
      </c>
      <c r="L662" s="135">
        <f t="shared" si="46"/>
        <v>4</v>
      </c>
      <c r="N662" s="60"/>
      <c r="O662" s="91" t="s">
        <v>358</v>
      </c>
      <c r="P662" s="88">
        <v>5</v>
      </c>
      <c r="Q662" s="60"/>
      <c r="V662" s="86"/>
      <c r="Z662" s="100"/>
    </row>
    <row r="663" spans="1:26" x14ac:dyDescent="0.25">
      <c r="A663" s="99">
        <v>45474</v>
      </c>
      <c r="B663" s="74">
        <v>45480</v>
      </c>
      <c r="C663" s="60" t="s">
        <v>31</v>
      </c>
      <c r="D663" s="60" t="s">
        <v>702</v>
      </c>
      <c r="E663" s="115" t="s">
        <v>853</v>
      </c>
      <c r="F663" s="60" t="s">
        <v>854</v>
      </c>
      <c r="G663" s="72" t="s">
        <v>142</v>
      </c>
      <c r="H663" s="83">
        <v>0.66666666666666663</v>
      </c>
      <c r="I663" s="83">
        <v>0.72916666666666663</v>
      </c>
      <c r="J663" s="63">
        <f t="shared" si="45"/>
        <v>6.25E-2</v>
      </c>
      <c r="K663" s="88" t="s">
        <v>110</v>
      </c>
      <c r="L663" s="135">
        <f t="shared" si="46"/>
        <v>1.5</v>
      </c>
      <c r="N663" s="60"/>
      <c r="O663" s="91" t="s">
        <v>358</v>
      </c>
      <c r="P663" s="88">
        <v>5</v>
      </c>
      <c r="Q663" s="60"/>
      <c r="V663" s="86"/>
      <c r="Z663" s="100"/>
    </row>
    <row r="664" spans="1:26" s="88" customFormat="1" x14ac:dyDescent="0.25">
      <c r="A664" s="99">
        <v>45474</v>
      </c>
      <c r="B664" s="74">
        <v>45480</v>
      </c>
      <c r="C664" s="60" t="s">
        <v>31</v>
      </c>
      <c r="D664" s="60" t="s">
        <v>98</v>
      </c>
      <c r="E664" s="115" t="s">
        <v>801</v>
      </c>
      <c r="F664" s="60" t="s">
        <v>807</v>
      </c>
      <c r="G664" s="72" t="s">
        <v>142</v>
      </c>
      <c r="H664" s="83">
        <v>0.4375</v>
      </c>
      <c r="I664" s="83">
        <v>0.75</v>
      </c>
      <c r="J664" s="63">
        <f t="shared" si="45"/>
        <v>0.3125</v>
      </c>
      <c r="K664" s="88" t="s">
        <v>296</v>
      </c>
      <c r="L664" s="135">
        <f>24*J655</f>
        <v>5.9999999999999982</v>
      </c>
      <c r="M664" s="60"/>
      <c r="N664" s="60"/>
      <c r="O664" s="85" t="s">
        <v>820</v>
      </c>
      <c r="P664" s="88">
        <v>5</v>
      </c>
      <c r="Q664" s="60"/>
      <c r="V664" s="94"/>
      <c r="X664" s="90"/>
      <c r="Z664" s="101"/>
    </row>
    <row r="665" spans="1:26" s="88" customFormat="1" x14ac:dyDescent="0.25">
      <c r="A665" s="99">
        <v>45474</v>
      </c>
      <c r="B665" s="74">
        <v>45481</v>
      </c>
      <c r="C665" s="82" t="s">
        <v>45</v>
      </c>
      <c r="D665" s="60" t="s">
        <v>98</v>
      </c>
      <c r="E665" s="115" t="s">
        <v>801</v>
      </c>
      <c r="F665" s="60" t="s">
        <v>807</v>
      </c>
      <c r="G665" s="72" t="s">
        <v>142</v>
      </c>
      <c r="H665" s="83">
        <v>0.41666666666666669</v>
      </c>
      <c r="I665" s="83">
        <v>0.72916666666666663</v>
      </c>
      <c r="J665" s="63">
        <f t="shared" si="45"/>
        <v>0.31249999999999994</v>
      </c>
      <c r="K665" s="88" t="s">
        <v>296</v>
      </c>
      <c r="L665" s="135">
        <f>24*J656</f>
        <v>8</v>
      </c>
      <c r="M665" s="60"/>
      <c r="N665" s="60"/>
      <c r="O665" s="85" t="s">
        <v>820</v>
      </c>
      <c r="P665" s="88">
        <v>5</v>
      </c>
      <c r="Q665" s="60"/>
      <c r="V665" s="94"/>
      <c r="X665" s="90"/>
      <c r="Z665" s="101"/>
    </row>
    <row r="666" spans="1:26" x14ac:dyDescent="0.25">
      <c r="A666" s="99">
        <v>45474</v>
      </c>
      <c r="B666" s="74">
        <v>45481</v>
      </c>
      <c r="C666" s="82" t="s">
        <v>45</v>
      </c>
      <c r="D666" s="60" t="s">
        <v>122</v>
      </c>
      <c r="E666" s="115" t="s">
        <v>774</v>
      </c>
      <c r="F666" s="73" t="s">
        <v>855</v>
      </c>
      <c r="G666" s="72" t="s">
        <v>142</v>
      </c>
      <c r="H666" s="83">
        <v>0.4375</v>
      </c>
      <c r="I666" s="83">
        <v>0.70833333333333337</v>
      </c>
      <c r="J666" s="63">
        <f t="shared" si="45"/>
        <v>0.27083333333333337</v>
      </c>
      <c r="K666" s="88" t="s">
        <v>295</v>
      </c>
      <c r="L666" s="135">
        <v>5.5</v>
      </c>
      <c r="O666" s="98" t="s">
        <v>576</v>
      </c>
      <c r="P666" s="88">
        <v>5</v>
      </c>
      <c r="Q666" s="88" t="s">
        <v>777</v>
      </c>
      <c r="Z666" s="100"/>
    </row>
    <row r="667" spans="1:26" x14ac:dyDescent="0.25">
      <c r="A667" s="99">
        <v>45474</v>
      </c>
      <c r="B667" s="74">
        <v>45481</v>
      </c>
      <c r="C667" s="82" t="s">
        <v>45</v>
      </c>
      <c r="D667" s="60" t="s">
        <v>498</v>
      </c>
      <c r="E667" s="115" t="s">
        <v>489</v>
      </c>
      <c r="F667" s="60" t="s">
        <v>846</v>
      </c>
      <c r="G667" s="72" t="s">
        <v>142</v>
      </c>
      <c r="H667" s="83">
        <v>0.54166666666666663</v>
      </c>
      <c r="I667" s="83">
        <v>0.70833333333333337</v>
      </c>
      <c r="J667" s="63">
        <f t="shared" si="45"/>
        <v>0.16666666666666674</v>
      </c>
      <c r="K667" s="88" t="s">
        <v>110</v>
      </c>
      <c r="L667" s="135">
        <f>24*J667</f>
        <v>4.0000000000000018</v>
      </c>
      <c r="N667" s="60"/>
      <c r="O667" s="91" t="s">
        <v>358</v>
      </c>
      <c r="P667" s="88">
        <v>5</v>
      </c>
      <c r="Q667" s="60"/>
      <c r="V667" s="86"/>
      <c r="Z667" s="100"/>
    </row>
    <row r="668" spans="1:26" x14ac:dyDescent="0.25">
      <c r="A668" s="99">
        <v>45474</v>
      </c>
      <c r="B668" s="74">
        <v>45481</v>
      </c>
      <c r="C668" s="82" t="s">
        <v>45</v>
      </c>
      <c r="D668" s="60" t="s">
        <v>740</v>
      </c>
      <c r="E668" s="115" t="s">
        <v>861</v>
      </c>
      <c r="F668" s="60" t="s">
        <v>862</v>
      </c>
      <c r="G668" s="72" t="s">
        <v>142</v>
      </c>
      <c r="H668" s="83">
        <v>0.41666666666666669</v>
      </c>
      <c r="I668" s="83">
        <v>0.70833333333333337</v>
      </c>
      <c r="J668" s="63">
        <f t="shared" si="45"/>
        <v>0.29166666666666669</v>
      </c>
      <c r="K668" s="88" t="s">
        <v>110</v>
      </c>
      <c r="L668" s="135">
        <f>24*J668</f>
        <v>7</v>
      </c>
      <c r="O668" s="91" t="s">
        <v>358</v>
      </c>
      <c r="P668" s="88">
        <v>5</v>
      </c>
      <c r="Z668" s="100"/>
    </row>
    <row r="669" spans="1:26" ht="14.45" customHeight="1" x14ac:dyDescent="0.25">
      <c r="A669" s="99">
        <v>45474</v>
      </c>
      <c r="B669" s="74">
        <v>45481</v>
      </c>
      <c r="C669" s="82" t="s">
        <v>45</v>
      </c>
      <c r="D669" s="60" t="s">
        <v>481</v>
      </c>
      <c r="E669" s="115" t="s">
        <v>368</v>
      </c>
      <c r="F669" s="60" t="s">
        <v>856</v>
      </c>
      <c r="G669" s="72" t="s">
        <v>142</v>
      </c>
      <c r="H669" s="83">
        <v>0.39583333333333331</v>
      </c>
      <c r="I669" s="83">
        <v>0.66666666666666663</v>
      </c>
      <c r="J669" s="63">
        <f t="shared" si="45"/>
        <v>0.27083333333333331</v>
      </c>
      <c r="K669" s="88" t="s">
        <v>113</v>
      </c>
      <c r="L669" s="135">
        <f>24*J669</f>
        <v>6.5</v>
      </c>
      <c r="N669" s="60"/>
      <c r="O669" s="98" t="s">
        <v>314</v>
      </c>
      <c r="P669" s="88">
        <v>5</v>
      </c>
      <c r="Q669" s="60"/>
      <c r="V669" s="86"/>
      <c r="Z669" s="100"/>
    </row>
    <row r="670" spans="1:26" ht="14.45" customHeight="1" x14ac:dyDescent="0.25">
      <c r="A670" s="99">
        <v>45474</v>
      </c>
      <c r="B670" s="74">
        <v>45481</v>
      </c>
      <c r="C670" s="82" t="s">
        <v>45</v>
      </c>
      <c r="D670" s="60" t="s">
        <v>492</v>
      </c>
      <c r="E670" s="115" t="s">
        <v>857</v>
      </c>
      <c r="F670" s="60" t="s">
        <v>858</v>
      </c>
      <c r="G670" s="72" t="s">
        <v>142</v>
      </c>
      <c r="H670" s="83">
        <v>0.5</v>
      </c>
      <c r="I670" s="83">
        <v>0.625</v>
      </c>
      <c r="J670" s="63">
        <f t="shared" si="45"/>
        <v>0.125</v>
      </c>
      <c r="K670" s="88" t="s">
        <v>113</v>
      </c>
      <c r="L670" s="135">
        <f>24*J670</f>
        <v>3</v>
      </c>
      <c r="N670" s="60"/>
      <c r="O670" s="98" t="s">
        <v>314</v>
      </c>
      <c r="P670" s="88">
        <v>5</v>
      </c>
      <c r="Q670" s="60"/>
      <c r="V670" s="86"/>
      <c r="Z670" s="100"/>
    </row>
    <row r="671" spans="1:26" x14ac:dyDescent="0.25">
      <c r="A671" s="99">
        <v>45474</v>
      </c>
      <c r="B671" s="74">
        <v>45482</v>
      </c>
      <c r="C671" s="60" t="s">
        <v>106</v>
      </c>
      <c r="D671" s="60" t="s">
        <v>406</v>
      </c>
      <c r="E671" s="115" t="s">
        <v>841</v>
      </c>
      <c r="F671" s="60" t="s">
        <v>842</v>
      </c>
      <c r="G671" s="72" t="s">
        <v>142</v>
      </c>
      <c r="H671" s="83">
        <v>0.54166666666666663</v>
      </c>
      <c r="I671" s="83">
        <v>0.70833333333333337</v>
      </c>
      <c r="J671" s="63">
        <f t="shared" si="45"/>
        <v>0.16666666666666674</v>
      </c>
      <c r="K671" s="61" t="s">
        <v>365</v>
      </c>
      <c r="L671" s="135">
        <f>24*J671</f>
        <v>4.0000000000000018</v>
      </c>
      <c r="N671" s="60"/>
      <c r="O671" s="98" t="s">
        <v>363</v>
      </c>
      <c r="P671" s="88">
        <v>5</v>
      </c>
      <c r="Z671" s="100"/>
    </row>
    <row r="672" spans="1:26" x14ac:dyDescent="0.25">
      <c r="A672" s="99">
        <v>45474</v>
      </c>
      <c r="B672" s="74">
        <v>45482</v>
      </c>
      <c r="C672" s="60" t="s">
        <v>106</v>
      </c>
      <c r="D672" s="60" t="s">
        <v>122</v>
      </c>
      <c r="E672" s="115" t="s">
        <v>774</v>
      </c>
      <c r="F672" s="73" t="s">
        <v>855</v>
      </c>
      <c r="G672" s="72" t="s">
        <v>142</v>
      </c>
      <c r="H672" s="83">
        <v>0.41666666666666669</v>
      </c>
      <c r="I672" s="83">
        <v>0.58333333333333337</v>
      </c>
      <c r="J672" s="63">
        <f t="shared" si="45"/>
        <v>0.16666666666666669</v>
      </c>
      <c r="K672" s="88" t="s">
        <v>295</v>
      </c>
      <c r="L672" s="135">
        <v>5.5</v>
      </c>
      <c r="O672" s="98" t="s">
        <v>576</v>
      </c>
      <c r="P672" s="88">
        <v>5</v>
      </c>
      <c r="Q672" s="88"/>
      <c r="Z672" s="100"/>
    </row>
    <row r="673" spans="1:137" x14ac:dyDescent="0.25">
      <c r="A673" s="99">
        <v>45474</v>
      </c>
      <c r="B673" s="74">
        <v>45482</v>
      </c>
      <c r="C673" s="60" t="s">
        <v>106</v>
      </c>
      <c r="D673" s="60" t="s">
        <v>740</v>
      </c>
      <c r="E673" s="115" t="s">
        <v>861</v>
      </c>
      <c r="F673" s="60" t="s">
        <v>862</v>
      </c>
      <c r="G673" s="72" t="s">
        <v>142</v>
      </c>
      <c r="H673" s="83">
        <v>0.39583333333333331</v>
      </c>
      <c r="I673" s="83">
        <v>0.75</v>
      </c>
      <c r="J673" s="63">
        <f t="shared" si="45"/>
        <v>0.35416666666666669</v>
      </c>
      <c r="K673" s="88" t="s">
        <v>110</v>
      </c>
      <c r="L673" s="135">
        <f>24*J673</f>
        <v>8.5</v>
      </c>
      <c r="O673" s="91" t="s">
        <v>358</v>
      </c>
      <c r="P673" s="88">
        <v>5</v>
      </c>
      <c r="Z673" s="100"/>
    </row>
    <row r="674" spans="1:137" x14ac:dyDescent="0.25">
      <c r="A674" s="99">
        <v>45474</v>
      </c>
      <c r="B674" s="74">
        <v>45482</v>
      </c>
      <c r="C674" s="60" t="s">
        <v>106</v>
      </c>
      <c r="D674" s="60" t="s">
        <v>498</v>
      </c>
      <c r="E674" s="115" t="s">
        <v>489</v>
      </c>
      <c r="F674" s="60" t="s">
        <v>846</v>
      </c>
      <c r="G674" s="72" t="s">
        <v>142</v>
      </c>
      <c r="H674" s="83">
        <v>0.39583333333333331</v>
      </c>
      <c r="I674" s="83">
        <v>0.58333333333333337</v>
      </c>
      <c r="J674" s="63">
        <f t="shared" si="45"/>
        <v>0.18750000000000006</v>
      </c>
      <c r="K674" s="88" t="s">
        <v>110</v>
      </c>
      <c r="L674" s="135">
        <f>24*J674</f>
        <v>4.5000000000000018</v>
      </c>
      <c r="N674" s="60"/>
      <c r="O674" s="91" t="s">
        <v>358</v>
      </c>
      <c r="P674" s="88">
        <v>5</v>
      </c>
      <c r="Q674" s="60"/>
      <c r="V674" s="86"/>
      <c r="Z674" s="100"/>
    </row>
    <row r="675" spans="1:137" ht="14.45" customHeight="1" x14ac:dyDescent="0.25">
      <c r="A675" s="99">
        <v>45474</v>
      </c>
      <c r="B675" s="74">
        <v>45482</v>
      </c>
      <c r="C675" s="60" t="s">
        <v>106</v>
      </c>
      <c r="D675" s="60" t="s">
        <v>702</v>
      </c>
      <c r="E675" s="115" t="s">
        <v>727</v>
      </c>
      <c r="F675" s="60" t="s">
        <v>863</v>
      </c>
      <c r="G675" s="72" t="s">
        <v>142</v>
      </c>
      <c r="H675" s="83">
        <v>0.58333333333333337</v>
      </c>
      <c r="I675" s="83">
        <v>0.66666666666666663</v>
      </c>
      <c r="J675" s="63">
        <f t="shared" si="45"/>
        <v>8.3333333333333259E-2</v>
      </c>
      <c r="K675" s="88" t="s">
        <v>110</v>
      </c>
      <c r="L675" s="135">
        <f>24*J675</f>
        <v>1.9999999999999982</v>
      </c>
      <c r="N675" s="60"/>
      <c r="O675" s="91" t="s">
        <v>358</v>
      </c>
      <c r="P675" s="88">
        <v>5</v>
      </c>
      <c r="Q675" s="60"/>
      <c r="V675" s="86"/>
      <c r="Z675" s="100"/>
    </row>
    <row r="676" spans="1:137" ht="14.45" customHeight="1" x14ac:dyDescent="0.25">
      <c r="A676" s="99">
        <v>45474</v>
      </c>
      <c r="B676" s="74">
        <v>45482</v>
      </c>
      <c r="C676" s="60" t="s">
        <v>106</v>
      </c>
      <c r="D676" s="60" t="s">
        <v>481</v>
      </c>
      <c r="E676" s="115" t="s">
        <v>368</v>
      </c>
      <c r="F676" s="60" t="s">
        <v>856</v>
      </c>
      <c r="G676" s="72" t="s">
        <v>142</v>
      </c>
      <c r="H676" s="83">
        <v>0.39583333333333331</v>
      </c>
      <c r="I676" s="83">
        <v>0.66666666666666663</v>
      </c>
      <c r="J676" s="63">
        <f t="shared" si="45"/>
        <v>0.27083333333333331</v>
      </c>
      <c r="K676" s="88" t="s">
        <v>113</v>
      </c>
      <c r="L676" s="135">
        <f>24*J676</f>
        <v>6.5</v>
      </c>
      <c r="N676" s="60"/>
      <c r="O676" s="98" t="s">
        <v>314</v>
      </c>
      <c r="P676" s="88">
        <v>5</v>
      </c>
      <c r="Q676" s="60"/>
      <c r="V676" s="86"/>
      <c r="Z676" s="100"/>
    </row>
    <row r="677" spans="1:137" ht="14.45" customHeight="1" x14ac:dyDescent="0.25">
      <c r="A677" s="99">
        <v>45474</v>
      </c>
      <c r="B677" s="74">
        <v>45483</v>
      </c>
      <c r="C677" s="60" t="s">
        <v>398</v>
      </c>
      <c r="D677" s="60" t="s">
        <v>98</v>
      </c>
      <c r="E677" s="115" t="s">
        <v>414</v>
      </c>
      <c r="F677" s="73" t="s">
        <v>864</v>
      </c>
      <c r="G677" s="72" t="s">
        <v>142</v>
      </c>
      <c r="H677" s="83">
        <v>0.47916666666666669</v>
      </c>
      <c r="I677" s="83">
        <v>0.54166666666666663</v>
      </c>
      <c r="J677" s="63">
        <f t="shared" si="45"/>
        <v>6.2499999999999944E-2</v>
      </c>
      <c r="K677" s="60" t="s">
        <v>365</v>
      </c>
      <c r="L677" s="135">
        <v>3</v>
      </c>
      <c r="O677" s="98" t="s">
        <v>576</v>
      </c>
      <c r="P677" s="88">
        <v>5</v>
      </c>
      <c r="Z677" s="100"/>
    </row>
    <row r="678" spans="1:137" s="16" customFormat="1" ht="14.45" customHeight="1" x14ac:dyDescent="0.25">
      <c r="A678" s="99">
        <v>45474</v>
      </c>
      <c r="B678" s="74">
        <v>45483</v>
      </c>
      <c r="C678" s="60" t="s">
        <v>398</v>
      </c>
      <c r="D678" s="60" t="s">
        <v>830</v>
      </c>
      <c r="E678" s="115" t="s">
        <v>799</v>
      </c>
      <c r="F678" s="60" t="s">
        <v>800</v>
      </c>
      <c r="G678" s="72" t="s">
        <v>142</v>
      </c>
      <c r="H678" s="83">
        <v>0.4375</v>
      </c>
      <c r="I678" s="83">
        <v>0.625</v>
      </c>
      <c r="J678" s="63">
        <f t="shared" si="45"/>
        <v>0.1875</v>
      </c>
      <c r="K678" s="60" t="s">
        <v>365</v>
      </c>
      <c r="L678" s="135">
        <f>24*J678</f>
        <v>4.5</v>
      </c>
      <c r="M678" s="61"/>
      <c r="N678" s="60"/>
      <c r="O678" s="98" t="s">
        <v>359</v>
      </c>
      <c r="P678" s="88">
        <v>5</v>
      </c>
      <c r="Q678" s="60"/>
      <c r="R678" s="61"/>
      <c r="S678" s="61"/>
      <c r="T678" s="61"/>
      <c r="U678" s="61"/>
      <c r="V678" s="92"/>
      <c r="W678" s="61"/>
      <c r="X678" s="89"/>
      <c r="Y678" s="61"/>
      <c r="Z678" s="100"/>
      <c r="AA678" s="61"/>
      <c r="AB678" s="61"/>
      <c r="AC678" s="61"/>
      <c r="AD678" s="61"/>
      <c r="AE678" s="61"/>
      <c r="AF678" s="61"/>
      <c r="AG678" s="61"/>
      <c r="AH678" s="61"/>
      <c r="AI678" s="61"/>
      <c r="AJ678" s="61"/>
      <c r="AK678" s="61"/>
      <c r="AL678" s="61"/>
      <c r="AM678" s="61"/>
      <c r="AN678" s="61"/>
      <c r="AO678" s="61"/>
      <c r="AP678" s="61"/>
      <c r="AQ678" s="61"/>
      <c r="AR678" s="61"/>
      <c r="AS678" s="61"/>
      <c r="AT678" s="61"/>
      <c r="AU678" s="61"/>
      <c r="AV678" s="61"/>
      <c r="AW678" s="61"/>
      <c r="AX678" s="61"/>
      <c r="AY678" s="61"/>
      <c r="AZ678" s="61"/>
      <c r="BA678" s="61"/>
      <c r="BB678" s="61"/>
      <c r="BC678" s="61"/>
      <c r="BD678" s="61"/>
      <c r="BE678" s="61"/>
      <c r="BF678" s="61"/>
      <c r="BG678" s="61"/>
      <c r="BH678" s="61"/>
      <c r="BI678" s="61"/>
      <c r="BJ678" s="61"/>
      <c r="BK678" s="61"/>
      <c r="BL678" s="61"/>
      <c r="BM678" s="61"/>
      <c r="BN678" s="61"/>
      <c r="BO678" s="61"/>
      <c r="BP678" s="61"/>
      <c r="BQ678" s="61"/>
      <c r="BR678" s="61"/>
      <c r="BS678" s="61"/>
      <c r="BT678" s="61"/>
      <c r="BU678" s="61"/>
      <c r="BV678" s="61"/>
      <c r="BW678" s="61"/>
      <c r="BX678" s="61"/>
      <c r="BY678" s="61"/>
      <c r="BZ678" s="61"/>
      <c r="CA678" s="61"/>
      <c r="CB678" s="61"/>
      <c r="CC678" s="61"/>
      <c r="CD678" s="61"/>
      <c r="CE678" s="61"/>
      <c r="CF678" s="61"/>
      <c r="CG678" s="61"/>
      <c r="CH678" s="61"/>
      <c r="CI678" s="61"/>
      <c r="CJ678" s="61"/>
      <c r="CK678" s="61"/>
      <c r="CL678" s="61"/>
      <c r="CM678" s="61"/>
      <c r="CN678" s="61"/>
      <c r="CO678" s="61"/>
      <c r="CP678" s="61"/>
      <c r="CQ678" s="61"/>
      <c r="CR678" s="61"/>
      <c r="CS678" s="61"/>
      <c r="CT678" s="61"/>
      <c r="CU678" s="61"/>
      <c r="CV678" s="61"/>
      <c r="CW678" s="61"/>
      <c r="CX678" s="61"/>
      <c r="CY678" s="61"/>
      <c r="CZ678" s="61"/>
      <c r="DA678" s="61"/>
      <c r="DB678" s="61"/>
      <c r="DC678" s="61"/>
      <c r="DD678" s="61"/>
      <c r="DE678" s="61"/>
      <c r="DF678" s="61"/>
      <c r="DG678" s="61"/>
      <c r="DH678" s="61"/>
      <c r="DI678" s="61"/>
      <c r="DJ678" s="61"/>
      <c r="DK678" s="61"/>
      <c r="DL678" s="61"/>
      <c r="DM678" s="61"/>
      <c r="DN678" s="61"/>
      <c r="DO678" s="61"/>
      <c r="DP678" s="61"/>
      <c r="DQ678" s="61"/>
      <c r="DR678" s="61"/>
      <c r="DS678" s="61"/>
      <c r="DT678" s="61"/>
      <c r="DU678" s="61"/>
      <c r="DV678" s="61"/>
      <c r="DW678" s="61"/>
      <c r="DX678" s="61"/>
      <c r="DY678" s="61"/>
      <c r="DZ678" s="61"/>
      <c r="EA678" s="61"/>
      <c r="EB678" s="61"/>
      <c r="EC678" s="61"/>
      <c r="ED678" s="61"/>
      <c r="EE678" s="61"/>
      <c r="EF678" s="61"/>
      <c r="EG678" s="61"/>
    </row>
    <row r="679" spans="1:137" x14ac:dyDescent="0.25">
      <c r="A679" s="99">
        <v>45474</v>
      </c>
      <c r="B679" s="74">
        <v>45483</v>
      </c>
      <c r="C679" s="60" t="s">
        <v>398</v>
      </c>
      <c r="D679" s="60" t="s">
        <v>86</v>
      </c>
      <c r="E679" s="115" t="s">
        <v>865</v>
      </c>
      <c r="F679" s="60" t="s">
        <v>866</v>
      </c>
      <c r="G679" s="72" t="s">
        <v>142</v>
      </c>
      <c r="H679" s="83">
        <v>0.45833333333333331</v>
      </c>
      <c r="I679" s="83">
        <v>0.70833333333333337</v>
      </c>
      <c r="J679" s="63">
        <f t="shared" si="45"/>
        <v>0.25000000000000006</v>
      </c>
      <c r="K679" s="88" t="s">
        <v>110</v>
      </c>
      <c r="L679" s="135">
        <f>24*J679</f>
        <v>6.0000000000000018</v>
      </c>
      <c r="N679" s="60"/>
      <c r="O679" s="91" t="s">
        <v>358</v>
      </c>
      <c r="P679" s="88">
        <v>5</v>
      </c>
      <c r="Q679" s="60"/>
      <c r="V679" s="86"/>
      <c r="Z679" s="100"/>
    </row>
    <row r="680" spans="1:137" s="88" customFormat="1" x14ac:dyDescent="0.25">
      <c r="A680" s="99">
        <v>45474</v>
      </c>
      <c r="B680" s="74">
        <v>45483</v>
      </c>
      <c r="C680" s="60" t="s">
        <v>398</v>
      </c>
      <c r="D680" s="60" t="s">
        <v>32</v>
      </c>
      <c r="E680" s="115" t="s">
        <v>867</v>
      </c>
      <c r="F680" s="60" t="s">
        <v>868</v>
      </c>
      <c r="G680" s="72" t="s">
        <v>142</v>
      </c>
      <c r="H680" s="83">
        <v>0.70833333333333337</v>
      </c>
      <c r="I680" s="83">
        <v>0.75</v>
      </c>
      <c r="J680" s="63">
        <f t="shared" si="45"/>
        <v>4.166666666666663E-2</v>
      </c>
      <c r="K680" s="60" t="s">
        <v>365</v>
      </c>
      <c r="L680" s="135">
        <f>24*J680</f>
        <v>0.99999999999999911</v>
      </c>
      <c r="M680" s="60"/>
      <c r="N680" s="60"/>
      <c r="O680" s="98" t="s">
        <v>363</v>
      </c>
      <c r="P680" s="88">
        <v>5</v>
      </c>
      <c r="Q680" s="60"/>
      <c r="V680" s="94"/>
      <c r="X680" s="90"/>
      <c r="Z680" s="101"/>
    </row>
    <row r="681" spans="1:137" x14ac:dyDescent="0.25">
      <c r="A681" s="99">
        <v>45474</v>
      </c>
      <c r="B681" s="74">
        <v>45483</v>
      </c>
      <c r="C681" s="60" t="s">
        <v>398</v>
      </c>
      <c r="D681" s="60" t="s">
        <v>481</v>
      </c>
      <c r="E681" s="115" t="s">
        <v>368</v>
      </c>
      <c r="F681" s="60" t="s">
        <v>856</v>
      </c>
      <c r="G681" s="72" t="s">
        <v>142</v>
      </c>
      <c r="H681" s="83">
        <v>0.39583333333333331</v>
      </c>
      <c r="I681" s="83">
        <v>0.66666666666666663</v>
      </c>
      <c r="J681" s="63">
        <f t="shared" si="45"/>
        <v>0.27083333333333331</v>
      </c>
      <c r="K681" s="88" t="s">
        <v>113</v>
      </c>
      <c r="L681" s="135">
        <f>24*J681</f>
        <v>6.5</v>
      </c>
      <c r="N681" s="60"/>
      <c r="O681" s="98" t="s">
        <v>314</v>
      </c>
      <c r="P681" s="88">
        <v>5</v>
      </c>
      <c r="Q681" s="60"/>
      <c r="V681" s="86"/>
      <c r="Z681" s="100"/>
    </row>
    <row r="682" spans="1:137" ht="14.45" customHeight="1" x14ac:dyDescent="0.25">
      <c r="A682" s="99">
        <v>45474</v>
      </c>
      <c r="B682" s="74">
        <v>45483</v>
      </c>
      <c r="C682" s="60" t="s">
        <v>398</v>
      </c>
      <c r="D682" s="60" t="s">
        <v>740</v>
      </c>
      <c r="E682" s="115" t="s">
        <v>773</v>
      </c>
      <c r="F682" s="60" t="s">
        <v>862</v>
      </c>
      <c r="G682" s="72" t="s">
        <v>142</v>
      </c>
      <c r="H682" s="83">
        <v>0.41666666666666669</v>
      </c>
      <c r="I682" s="83">
        <v>0.70833333333333337</v>
      </c>
      <c r="J682" s="63">
        <f t="shared" si="45"/>
        <v>0.29166666666666669</v>
      </c>
      <c r="K682" s="88" t="s">
        <v>110</v>
      </c>
      <c r="L682" s="135">
        <f>24*J682</f>
        <v>7</v>
      </c>
      <c r="O682" s="91" t="s">
        <v>358</v>
      </c>
      <c r="P682" s="88">
        <v>5</v>
      </c>
      <c r="Z682" s="100"/>
    </row>
    <row r="683" spans="1:137" s="88" customFormat="1" ht="14.45" customHeight="1" x14ac:dyDescent="0.25">
      <c r="A683" s="99">
        <v>45474</v>
      </c>
      <c r="B683" s="74">
        <v>45483</v>
      </c>
      <c r="C683" s="60" t="s">
        <v>398</v>
      </c>
      <c r="D683" s="60" t="s">
        <v>98</v>
      </c>
      <c r="E683" s="115" t="s">
        <v>801</v>
      </c>
      <c r="F683" s="60" t="s">
        <v>807</v>
      </c>
      <c r="G683" s="72" t="s">
        <v>142</v>
      </c>
      <c r="H683" s="83">
        <v>0.41666666666666669</v>
      </c>
      <c r="I683" s="83">
        <v>0.70833333333333337</v>
      </c>
      <c r="J683" s="63">
        <f t="shared" ref="J683:J686" si="47">I683-H683</f>
        <v>0.29166666666666669</v>
      </c>
      <c r="K683" s="88" t="s">
        <v>296</v>
      </c>
      <c r="L683" s="135">
        <f>24*J674</f>
        <v>4.5000000000000018</v>
      </c>
      <c r="M683" s="60"/>
      <c r="N683" s="60"/>
      <c r="O683" s="85" t="s">
        <v>304</v>
      </c>
      <c r="P683" s="88">
        <v>5</v>
      </c>
      <c r="Q683" s="60"/>
      <c r="V683" s="94"/>
      <c r="X683" s="90"/>
      <c r="Z683" s="101"/>
    </row>
    <row r="684" spans="1:137" s="88" customFormat="1" ht="14.45" customHeight="1" x14ac:dyDescent="0.25">
      <c r="A684" s="99">
        <v>45474</v>
      </c>
      <c r="B684" s="74">
        <v>45484</v>
      </c>
      <c r="C684" s="60" t="s">
        <v>124</v>
      </c>
      <c r="D684" s="60" t="s">
        <v>98</v>
      </c>
      <c r="E684" s="115" t="s">
        <v>801</v>
      </c>
      <c r="F684" s="60" t="s">
        <v>807</v>
      </c>
      <c r="G684" s="72" t="s">
        <v>142</v>
      </c>
      <c r="H684" s="83">
        <v>0.45833333333333331</v>
      </c>
      <c r="I684" s="83">
        <v>0.79166666666666663</v>
      </c>
      <c r="J684" s="63">
        <f t="shared" si="47"/>
        <v>0.33333333333333331</v>
      </c>
      <c r="K684" s="88" t="s">
        <v>296</v>
      </c>
      <c r="L684" s="135">
        <f>24*J674</f>
        <v>4.5000000000000018</v>
      </c>
      <c r="M684" s="60"/>
      <c r="N684" s="60"/>
      <c r="O684" s="85" t="s">
        <v>304</v>
      </c>
      <c r="P684" s="88">
        <v>5</v>
      </c>
      <c r="Q684" s="60"/>
      <c r="V684" s="94"/>
      <c r="X684" s="90"/>
      <c r="Z684" s="101"/>
    </row>
    <row r="685" spans="1:137" ht="14.45" customHeight="1" x14ac:dyDescent="0.25">
      <c r="A685" s="99">
        <v>45474</v>
      </c>
      <c r="B685" s="74">
        <v>45484</v>
      </c>
      <c r="C685" s="60" t="s">
        <v>124</v>
      </c>
      <c r="D685" s="60" t="s">
        <v>740</v>
      </c>
      <c r="E685" s="115" t="s">
        <v>773</v>
      </c>
      <c r="F685" s="60" t="s">
        <v>862</v>
      </c>
      <c r="G685" s="72" t="s">
        <v>142</v>
      </c>
      <c r="H685" s="83">
        <v>0.39583333333333331</v>
      </c>
      <c r="I685" s="83">
        <v>0.70833333333333337</v>
      </c>
      <c r="J685" s="63">
        <f t="shared" si="47"/>
        <v>0.31250000000000006</v>
      </c>
      <c r="K685" s="88" t="s">
        <v>110</v>
      </c>
      <c r="L685" s="135">
        <f>24*J685</f>
        <v>7.5000000000000018</v>
      </c>
      <c r="O685" s="91" t="s">
        <v>359</v>
      </c>
      <c r="P685" s="88">
        <v>5</v>
      </c>
      <c r="Z685" s="100"/>
    </row>
    <row r="686" spans="1:137" ht="14.45" customHeight="1" x14ac:dyDescent="0.25">
      <c r="A686" s="99">
        <v>45474</v>
      </c>
      <c r="B686" s="74">
        <v>45484</v>
      </c>
      <c r="C686" s="60" t="s">
        <v>124</v>
      </c>
      <c r="D686" s="60" t="s">
        <v>481</v>
      </c>
      <c r="E686" s="115" t="s">
        <v>368</v>
      </c>
      <c r="F686" s="60" t="s">
        <v>856</v>
      </c>
      <c r="G686" s="72" t="s">
        <v>142</v>
      </c>
      <c r="H686" s="83">
        <v>0.39583333333333331</v>
      </c>
      <c r="I686" s="83">
        <v>0.66666666666666663</v>
      </c>
      <c r="J686" s="63">
        <f t="shared" si="47"/>
        <v>0.27083333333333331</v>
      </c>
      <c r="K686" s="88" t="s">
        <v>113</v>
      </c>
      <c r="L686" s="135">
        <f>24*J686</f>
        <v>6.5</v>
      </c>
      <c r="N686" s="60"/>
      <c r="O686" s="98" t="s">
        <v>314</v>
      </c>
      <c r="P686" s="88">
        <v>5</v>
      </c>
      <c r="Q686" s="60"/>
      <c r="V686" s="86"/>
      <c r="Z686" s="100"/>
    </row>
    <row r="687" spans="1:137" s="88" customFormat="1" ht="14.45" customHeight="1" x14ac:dyDescent="0.25">
      <c r="A687" s="99">
        <v>45474</v>
      </c>
      <c r="B687" s="74">
        <v>45486</v>
      </c>
      <c r="C687" s="60" t="s">
        <v>34</v>
      </c>
      <c r="D687" s="60" t="s">
        <v>32</v>
      </c>
      <c r="E687" s="115" t="s">
        <v>388</v>
      </c>
      <c r="F687" s="60" t="s">
        <v>869</v>
      </c>
      <c r="G687" s="72" t="s">
        <v>142</v>
      </c>
      <c r="H687" s="83">
        <v>0.47916666666666669</v>
      </c>
      <c r="I687" s="83">
        <v>0.5</v>
      </c>
      <c r="J687" s="63">
        <f>الجدول3[[#This Row],[ساعة الخروج]]-الجدول3[[#This Row],[ساعة الدخول ]]</f>
        <v>2.0833333333333315E-2</v>
      </c>
      <c r="K687" s="60" t="s">
        <v>365</v>
      </c>
      <c r="L687" s="135">
        <f>24*J687</f>
        <v>0.49999999999999956</v>
      </c>
      <c r="M687" s="60"/>
      <c r="N687" s="60"/>
      <c r="O687" s="98" t="s">
        <v>821</v>
      </c>
      <c r="P687" s="88">
        <v>5</v>
      </c>
      <c r="Q687" s="60"/>
      <c r="V687" s="94"/>
      <c r="X687" s="90"/>
      <c r="Z687" s="101"/>
    </row>
    <row r="688" spans="1:137" s="88" customFormat="1" ht="14.45" customHeight="1" x14ac:dyDescent="0.25">
      <c r="A688" s="99">
        <v>45474</v>
      </c>
      <c r="B688" s="74">
        <v>45486</v>
      </c>
      <c r="C688" s="60" t="s">
        <v>34</v>
      </c>
      <c r="D688" s="60" t="s">
        <v>98</v>
      </c>
      <c r="E688" s="115" t="s">
        <v>801</v>
      </c>
      <c r="F688" s="60" t="s">
        <v>807</v>
      </c>
      <c r="G688" s="72" t="s">
        <v>142</v>
      </c>
      <c r="H688" s="83">
        <v>0.41666666666666669</v>
      </c>
      <c r="I688" s="83">
        <v>0.79166666666666663</v>
      </c>
      <c r="J688" s="63">
        <f>I688-H688</f>
        <v>0.37499999999999994</v>
      </c>
      <c r="K688" s="88" t="s">
        <v>296</v>
      </c>
      <c r="L688" s="135">
        <f>24*J678</f>
        <v>4.5</v>
      </c>
      <c r="M688" s="60"/>
      <c r="N688" s="60"/>
      <c r="O688" s="85" t="s">
        <v>304</v>
      </c>
      <c r="P688" s="88">
        <v>2</v>
      </c>
      <c r="Q688" s="60" t="s">
        <v>871</v>
      </c>
      <c r="V688" s="94"/>
      <c r="X688" s="90"/>
      <c r="Z688" s="101"/>
    </row>
    <row r="689" spans="1:137" ht="14.45" customHeight="1" x14ac:dyDescent="0.25">
      <c r="A689" s="99">
        <v>45474</v>
      </c>
      <c r="B689" s="74">
        <v>45486</v>
      </c>
      <c r="C689" s="60" t="s">
        <v>34</v>
      </c>
      <c r="D689" s="60" t="s">
        <v>481</v>
      </c>
      <c r="E689" s="115" t="s">
        <v>368</v>
      </c>
      <c r="F689" s="60" t="s">
        <v>870</v>
      </c>
      <c r="G689" s="72" t="s">
        <v>142</v>
      </c>
      <c r="H689" s="83">
        <v>0.875</v>
      </c>
      <c r="I689" s="83">
        <v>0.66666666666666663</v>
      </c>
      <c r="J689" s="63">
        <f>الجدول3[[#This Row],[ساعة الدخول ]]-الجدول3[[#This Row],[ساعة الخروج]]</f>
        <v>0.20833333333333337</v>
      </c>
      <c r="K689" s="88" t="s">
        <v>113</v>
      </c>
      <c r="L689" s="135">
        <f>24*J689</f>
        <v>5.0000000000000009</v>
      </c>
      <c r="N689" s="60"/>
      <c r="O689" s="98" t="s">
        <v>576</v>
      </c>
      <c r="P689" s="88">
        <v>5</v>
      </c>
      <c r="Q689" s="60"/>
      <c r="V689" s="86"/>
      <c r="Z689" s="100"/>
    </row>
    <row r="690" spans="1:137" ht="14.45" customHeight="1" x14ac:dyDescent="0.25">
      <c r="A690" s="99">
        <v>45474</v>
      </c>
      <c r="B690" s="74">
        <v>45486</v>
      </c>
      <c r="C690" s="60" t="s">
        <v>34</v>
      </c>
      <c r="D690" s="60" t="s">
        <v>313</v>
      </c>
      <c r="E690" s="115" t="s">
        <v>350</v>
      </c>
      <c r="F690" s="60" t="s">
        <v>379</v>
      </c>
      <c r="G690" s="72" t="s">
        <v>142</v>
      </c>
      <c r="H690" s="83">
        <v>0.41666666666666669</v>
      </c>
      <c r="I690" s="83">
        <v>0.54166666666666663</v>
      </c>
      <c r="J690" s="63">
        <f>I690-H690</f>
        <v>0.12499999999999994</v>
      </c>
      <c r="K690" s="60" t="s">
        <v>110</v>
      </c>
      <c r="L690" s="135">
        <f>24*J690</f>
        <v>2.9999999999999987</v>
      </c>
      <c r="M690" s="60"/>
      <c r="N690" s="60"/>
      <c r="O690" s="91" t="s">
        <v>576</v>
      </c>
      <c r="P690" s="88">
        <v>5</v>
      </c>
      <c r="Q690" s="60"/>
      <c r="Z690" s="100"/>
    </row>
    <row r="691" spans="1:137" s="16" customFormat="1" ht="14.45" customHeight="1" x14ac:dyDescent="0.25">
      <c r="A691" s="99">
        <v>45474</v>
      </c>
      <c r="B691" s="74">
        <v>45487</v>
      </c>
      <c r="C691" s="60" t="s">
        <v>31</v>
      </c>
      <c r="D691" s="60" t="s">
        <v>830</v>
      </c>
      <c r="E691" s="115" t="s">
        <v>786</v>
      </c>
      <c r="F691" s="60" t="s">
        <v>730</v>
      </c>
      <c r="G691" s="72" t="s">
        <v>142</v>
      </c>
      <c r="H691" s="83">
        <v>0.45833333333333331</v>
      </c>
      <c r="I691" s="83">
        <v>0.47916666666666669</v>
      </c>
      <c r="J691" s="63">
        <f>I691-H691</f>
        <v>2.083333333333337E-2</v>
      </c>
      <c r="K691" s="88" t="s">
        <v>365</v>
      </c>
      <c r="L691" s="135">
        <f>24*J691</f>
        <v>0.50000000000000089</v>
      </c>
      <c r="M691" s="61"/>
      <c r="N691" s="60"/>
      <c r="O691" s="91" t="s">
        <v>821</v>
      </c>
      <c r="P691" s="88">
        <v>5</v>
      </c>
      <c r="Q691" s="60"/>
      <c r="R691" s="61"/>
      <c r="S691" s="61"/>
      <c r="T691" s="61"/>
      <c r="U691" s="61"/>
      <c r="V691" s="92"/>
      <c r="W691" s="61"/>
      <c r="X691" s="89"/>
      <c r="Y691" s="61"/>
      <c r="Z691" s="100"/>
      <c r="AA691" s="61"/>
      <c r="AB691" s="61"/>
      <c r="AC691" s="61"/>
      <c r="AD691" s="61"/>
      <c r="AE691" s="61"/>
      <c r="AF691" s="61"/>
      <c r="AG691" s="61"/>
      <c r="AH691" s="61"/>
      <c r="AI691" s="61"/>
      <c r="AJ691" s="61"/>
      <c r="AK691" s="61"/>
      <c r="AL691" s="61"/>
      <c r="AM691" s="61"/>
      <c r="AN691" s="61"/>
      <c r="AO691" s="61"/>
      <c r="AP691" s="61"/>
      <c r="AQ691" s="61"/>
      <c r="AR691" s="61"/>
      <c r="AS691" s="61"/>
      <c r="AT691" s="61"/>
      <c r="AU691" s="61"/>
      <c r="AV691" s="61"/>
      <c r="AW691" s="61"/>
      <c r="AX691" s="61"/>
      <c r="AY691" s="61"/>
      <c r="AZ691" s="61"/>
      <c r="BA691" s="61"/>
      <c r="BB691" s="61"/>
      <c r="BC691" s="61"/>
      <c r="BD691" s="61"/>
      <c r="BE691" s="61"/>
      <c r="BF691" s="61"/>
      <c r="BG691" s="61"/>
      <c r="BH691" s="61"/>
      <c r="BI691" s="61"/>
      <c r="BJ691" s="61"/>
      <c r="BK691" s="61"/>
      <c r="BL691" s="61"/>
      <c r="BM691" s="61"/>
      <c r="BN691" s="61"/>
      <c r="BO691" s="61"/>
      <c r="BP691" s="61"/>
      <c r="BQ691" s="61"/>
      <c r="BR691" s="61"/>
      <c r="BS691" s="61"/>
      <c r="BT691" s="61"/>
      <c r="BU691" s="61"/>
      <c r="BV691" s="61"/>
      <c r="BW691" s="61"/>
      <c r="BX691" s="61"/>
      <c r="BY691" s="61"/>
      <c r="BZ691" s="61"/>
      <c r="CA691" s="61"/>
      <c r="CB691" s="61"/>
      <c r="CC691" s="61"/>
      <c r="CD691" s="61"/>
      <c r="CE691" s="61"/>
      <c r="CF691" s="61"/>
      <c r="CG691" s="61"/>
      <c r="CH691" s="61"/>
      <c r="CI691" s="61"/>
      <c r="CJ691" s="61"/>
      <c r="CK691" s="61"/>
      <c r="CL691" s="61"/>
      <c r="CM691" s="61"/>
      <c r="CN691" s="61"/>
      <c r="CO691" s="61"/>
      <c r="CP691" s="61"/>
      <c r="CQ691" s="61"/>
      <c r="CR691" s="61"/>
      <c r="CS691" s="61"/>
      <c r="CT691" s="61"/>
      <c r="CU691" s="61"/>
      <c r="CV691" s="61"/>
      <c r="CW691" s="61"/>
      <c r="CX691" s="61"/>
      <c r="CY691" s="61"/>
      <c r="CZ691" s="61"/>
      <c r="DA691" s="61"/>
      <c r="DB691" s="61"/>
      <c r="DC691" s="61"/>
      <c r="DD691" s="61"/>
      <c r="DE691" s="61"/>
      <c r="DF691" s="61"/>
      <c r="DG691" s="61"/>
      <c r="DH691" s="61"/>
      <c r="DI691" s="61"/>
      <c r="DJ691" s="61"/>
      <c r="DK691" s="61"/>
      <c r="DL691" s="61"/>
      <c r="DM691" s="61"/>
      <c r="DN691" s="61"/>
      <c r="DO691" s="61"/>
      <c r="DP691" s="61"/>
      <c r="DQ691" s="61"/>
      <c r="DR691" s="61"/>
      <c r="DS691" s="61"/>
      <c r="DT691" s="61"/>
      <c r="DU691" s="61"/>
      <c r="DV691" s="61"/>
      <c r="DW691" s="61"/>
      <c r="DX691" s="61"/>
      <c r="DY691" s="61"/>
      <c r="DZ691" s="61"/>
      <c r="EA691" s="61"/>
      <c r="EB691" s="61"/>
      <c r="EC691" s="61"/>
      <c r="ED691" s="61"/>
      <c r="EE691" s="61"/>
      <c r="EF691" s="61"/>
      <c r="EG691" s="61"/>
    </row>
    <row r="692" spans="1:137" s="88" customFormat="1" ht="14.45" customHeight="1" x14ac:dyDescent="0.25">
      <c r="A692" s="99">
        <v>45474</v>
      </c>
      <c r="B692" s="74">
        <v>45487</v>
      </c>
      <c r="C692" s="60" t="s">
        <v>31</v>
      </c>
      <c r="D692" s="60" t="s">
        <v>874</v>
      </c>
      <c r="E692" s="115" t="s">
        <v>872</v>
      </c>
      <c r="F692" s="60" t="s">
        <v>873</v>
      </c>
      <c r="G692" s="72" t="s">
        <v>142</v>
      </c>
      <c r="H692" s="83">
        <v>0.4375</v>
      </c>
      <c r="I692" s="83">
        <v>0.16666666666666666</v>
      </c>
      <c r="J692" s="63">
        <f>الجدول3[[#This Row],[ساعة الدخول ]]-الجدول3[[#This Row],[ساعة الخروج]]</f>
        <v>0.27083333333333337</v>
      </c>
      <c r="K692" s="60" t="s">
        <v>365</v>
      </c>
      <c r="L692" s="135">
        <f>24*J692</f>
        <v>6.5000000000000009</v>
      </c>
      <c r="M692" s="60"/>
      <c r="N692" s="60"/>
      <c r="O692" s="98" t="s">
        <v>821</v>
      </c>
      <c r="P692" s="88">
        <v>5</v>
      </c>
      <c r="Q692" s="60"/>
      <c r="V692" s="94"/>
      <c r="X692" s="90"/>
      <c r="Z692" s="101"/>
    </row>
    <row r="693" spans="1:137" ht="14.45" customHeight="1" x14ac:dyDescent="0.25">
      <c r="A693" s="99">
        <v>45474</v>
      </c>
      <c r="B693" s="74">
        <v>45487</v>
      </c>
      <c r="C693" s="60" t="s">
        <v>31</v>
      </c>
      <c r="D693" s="60" t="s">
        <v>98</v>
      </c>
      <c r="E693" s="115" t="s">
        <v>414</v>
      </c>
      <c r="F693" s="73" t="s">
        <v>875</v>
      </c>
      <c r="G693" s="72" t="s">
        <v>142</v>
      </c>
      <c r="H693" s="83">
        <v>6.25E-2</v>
      </c>
      <c r="I693" s="83">
        <v>0.60416666666666663</v>
      </c>
      <c r="J693" s="63">
        <f>I693-H693</f>
        <v>0.54166666666666663</v>
      </c>
      <c r="K693" s="60" t="s">
        <v>365</v>
      </c>
      <c r="L693" s="135">
        <v>3</v>
      </c>
      <c r="O693" s="98" t="s">
        <v>821</v>
      </c>
      <c r="P693" s="88">
        <v>5</v>
      </c>
      <c r="Z693" s="100"/>
    </row>
    <row r="694" spans="1:137" ht="14.45" customHeight="1" x14ac:dyDescent="0.25">
      <c r="A694" s="99">
        <v>45474</v>
      </c>
      <c r="B694" s="74">
        <v>45487</v>
      </c>
      <c r="C694" s="60" t="s">
        <v>31</v>
      </c>
      <c r="D694" s="60" t="s">
        <v>98</v>
      </c>
      <c r="E694" s="115" t="s">
        <v>733</v>
      </c>
      <c r="F694" s="73" t="s">
        <v>876</v>
      </c>
      <c r="G694" s="72" t="s">
        <v>142</v>
      </c>
      <c r="H694" s="83">
        <v>0.58333333333333337</v>
      </c>
      <c r="I694" s="83">
        <v>0.70833333333333337</v>
      </c>
      <c r="J694" s="63">
        <f>I694-H694</f>
        <v>0.125</v>
      </c>
      <c r="K694" s="60" t="s">
        <v>365</v>
      </c>
      <c r="L694" s="135">
        <v>3</v>
      </c>
      <c r="O694" s="98" t="s">
        <v>821</v>
      </c>
      <c r="P694" s="88">
        <v>5</v>
      </c>
      <c r="Z694" s="100"/>
    </row>
    <row r="695" spans="1:137" ht="14.45" customHeight="1" x14ac:dyDescent="0.25">
      <c r="A695" s="99">
        <v>45474</v>
      </c>
      <c r="B695" s="74">
        <v>45487</v>
      </c>
      <c r="C695" s="60" t="s">
        <v>31</v>
      </c>
      <c r="D695" s="60" t="s">
        <v>122</v>
      </c>
      <c r="E695" s="115" t="s">
        <v>774</v>
      </c>
      <c r="F695" s="73" t="s">
        <v>877</v>
      </c>
      <c r="G695" s="72" t="s">
        <v>142</v>
      </c>
      <c r="H695" s="83">
        <v>0.41666666666666669</v>
      </c>
      <c r="I695" s="83">
        <v>6.25E-2</v>
      </c>
      <c r="J695" s="63">
        <f>I695-H695</f>
        <v>-0.35416666666666669</v>
      </c>
      <c r="K695" s="88" t="s">
        <v>295</v>
      </c>
      <c r="L695" s="135">
        <v>5.5</v>
      </c>
      <c r="O695" s="98" t="s">
        <v>359</v>
      </c>
      <c r="P695" s="88">
        <v>5</v>
      </c>
      <c r="Q695" s="88"/>
      <c r="Z695" s="100"/>
    </row>
    <row r="696" spans="1:137" s="88" customFormat="1" ht="14.45" customHeight="1" x14ac:dyDescent="0.25">
      <c r="A696" s="99">
        <v>45474</v>
      </c>
      <c r="B696" s="74">
        <v>45487</v>
      </c>
      <c r="C696" s="60" t="s">
        <v>31</v>
      </c>
      <c r="D696" s="60" t="s">
        <v>98</v>
      </c>
      <c r="E696" s="115" t="s">
        <v>801</v>
      </c>
      <c r="F696" s="60" t="s">
        <v>807</v>
      </c>
      <c r="G696" s="72" t="s">
        <v>142</v>
      </c>
      <c r="H696" s="83">
        <v>0.41666666666666669</v>
      </c>
      <c r="I696" s="83">
        <v>0.875</v>
      </c>
      <c r="J696" s="63">
        <f>I696-H696</f>
        <v>0.45833333333333331</v>
      </c>
      <c r="K696" s="88" t="s">
        <v>296</v>
      </c>
      <c r="L696" s="135">
        <f>24*J686</f>
        <v>6.5</v>
      </c>
      <c r="M696" s="60"/>
      <c r="N696" s="60"/>
      <c r="O696" s="85" t="s">
        <v>304</v>
      </c>
      <c r="P696" s="88">
        <v>5</v>
      </c>
      <c r="Q696" s="60"/>
      <c r="V696" s="94"/>
      <c r="X696" s="90"/>
      <c r="Z696" s="101"/>
    </row>
    <row r="697" spans="1:137" ht="14.45" customHeight="1" x14ac:dyDescent="0.25">
      <c r="A697" s="99">
        <v>45474</v>
      </c>
      <c r="B697" s="74">
        <v>45487</v>
      </c>
      <c r="C697" s="60" t="s">
        <v>31</v>
      </c>
      <c r="D697" s="60" t="s">
        <v>98</v>
      </c>
      <c r="E697" s="115" t="s">
        <v>414</v>
      </c>
      <c r="F697" s="73" t="s">
        <v>878</v>
      </c>
      <c r="G697" s="72" t="s">
        <v>142</v>
      </c>
      <c r="H697" s="83">
        <v>0.45833333333333331</v>
      </c>
      <c r="I697" s="83">
        <v>6.25E-2</v>
      </c>
      <c r="J697" s="63">
        <f>I697-H697</f>
        <v>-0.39583333333333331</v>
      </c>
      <c r="K697" s="60" t="s">
        <v>113</v>
      </c>
      <c r="L697" s="135">
        <v>3</v>
      </c>
      <c r="O697" s="98" t="s">
        <v>576</v>
      </c>
      <c r="P697" s="88">
        <v>5</v>
      </c>
      <c r="Z697" s="100"/>
    </row>
    <row r="698" spans="1:137" ht="14.45" customHeight="1" x14ac:dyDescent="0.25">
      <c r="A698" s="99">
        <v>45474</v>
      </c>
      <c r="B698" s="74">
        <v>45487</v>
      </c>
      <c r="C698" s="60" t="s">
        <v>31</v>
      </c>
      <c r="D698" s="60" t="s">
        <v>481</v>
      </c>
      <c r="E698" s="115" t="s">
        <v>368</v>
      </c>
      <c r="F698" s="60" t="s">
        <v>870</v>
      </c>
      <c r="G698" s="72" t="s">
        <v>142</v>
      </c>
      <c r="H698" s="83">
        <v>0.875</v>
      </c>
      <c r="I698" s="83">
        <v>0.66666666666666663</v>
      </c>
      <c r="J698" s="63">
        <f>الجدول3[[#This Row],[ساعة الدخول ]]-الجدول3[[#This Row],[ساعة الخروج]]</f>
        <v>0.20833333333333337</v>
      </c>
      <c r="K698" s="88" t="s">
        <v>113</v>
      </c>
      <c r="L698" s="135">
        <f t="shared" ref="L698:L703" si="48">24*J698</f>
        <v>5.0000000000000009</v>
      </c>
      <c r="N698" s="60"/>
      <c r="O698" s="98" t="s">
        <v>576</v>
      </c>
      <c r="P698" s="88">
        <v>4</v>
      </c>
      <c r="Q698" s="60" t="s">
        <v>777</v>
      </c>
      <c r="V698" s="86"/>
      <c r="Z698" s="100"/>
    </row>
    <row r="699" spans="1:137" s="88" customFormat="1" ht="14.45" customHeight="1" x14ac:dyDescent="0.25">
      <c r="A699" s="99">
        <v>45474</v>
      </c>
      <c r="B699" s="74">
        <v>45487</v>
      </c>
      <c r="C699" s="60" t="s">
        <v>31</v>
      </c>
      <c r="D699" s="60" t="s">
        <v>32</v>
      </c>
      <c r="E699" s="115" t="s">
        <v>654</v>
      </c>
      <c r="F699" s="60" t="s">
        <v>687</v>
      </c>
      <c r="G699" s="72" t="s">
        <v>142</v>
      </c>
      <c r="H699" s="83">
        <v>0.97916666666666663</v>
      </c>
      <c r="I699" s="83">
        <v>0.52083333333333337</v>
      </c>
      <c r="J699" s="63">
        <f>الجدول3[[#This Row],[ساعة الدخول ]]-الجدول3[[#This Row],[ساعة الخروج]]</f>
        <v>0.45833333333333326</v>
      </c>
      <c r="K699" s="60" t="s">
        <v>113</v>
      </c>
      <c r="L699" s="135">
        <f t="shared" si="48"/>
        <v>10.999999999999998</v>
      </c>
      <c r="M699" s="60"/>
      <c r="N699" s="60"/>
      <c r="O699" s="98" t="s">
        <v>576</v>
      </c>
      <c r="P699" s="88">
        <v>5</v>
      </c>
      <c r="Q699" s="60"/>
      <c r="V699" s="94"/>
      <c r="X699" s="90"/>
      <c r="Z699" s="101"/>
    </row>
    <row r="700" spans="1:137" ht="14.45" customHeight="1" x14ac:dyDescent="0.25">
      <c r="A700" s="99">
        <v>45474</v>
      </c>
      <c r="B700" s="74">
        <v>45487</v>
      </c>
      <c r="C700" s="60" t="s">
        <v>31</v>
      </c>
      <c r="D700" s="60" t="s">
        <v>720</v>
      </c>
      <c r="E700" s="116" t="s">
        <v>836</v>
      </c>
      <c r="F700" s="73" t="s">
        <v>837</v>
      </c>
      <c r="G700" s="72" t="s">
        <v>142</v>
      </c>
      <c r="H700" s="83">
        <v>0.70833333333333337</v>
      </c>
      <c r="I700" s="83">
        <v>0.91666666666666663</v>
      </c>
      <c r="J700" s="63">
        <f>I700-H700</f>
        <v>0.20833333333333326</v>
      </c>
      <c r="K700" s="88" t="s">
        <v>300</v>
      </c>
      <c r="L700" s="135">
        <f t="shared" si="48"/>
        <v>4.9999999999999982</v>
      </c>
      <c r="O700" s="91" t="s">
        <v>362</v>
      </c>
      <c r="P700" s="88">
        <v>4</v>
      </c>
      <c r="Q700" s="61" t="s">
        <v>879</v>
      </c>
      <c r="Z700" s="100"/>
    </row>
    <row r="701" spans="1:137" ht="14.45" customHeight="1" x14ac:dyDescent="0.25">
      <c r="A701" s="99">
        <v>45474</v>
      </c>
      <c r="B701" s="74">
        <v>45487</v>
      </c>
      <c r="C701" s="60" t="s">
        <v>31</v>
      </c>
      <c r="D701" s="60" t="s">
        <v>86</v>
      </c>
      <c r="E701" s="115" t="s">
        <v>880</v>
      </c>
      <c r="F701" s="60" t="s">
        <v>881</v>
      </c>
      <c r="G701" s="72" t="s">
        <v>142</v>
      </c>
      <c r="H701" s="83">
        <v>0.41666666666666669</v>
      </c>
      <c r="I701" s="83">
        <v>0.70833333333333337</v>
      </c>
      <c r="J701" s="63">
        <f>I701-H701</f>
        <v>0.29166666666666669</v>
      </c>
      <c r="K701" s="88" t="s">
        <v>110</v>
      </c>
      <c r="L701" s="135">
        <f t="shared" si="48"/>
        <v>7</v>
      </c>
      <c r="N701" s="60"/>
      <c r="O701" s="91" t="s">
        <v>361</v>
      </c>
      <c r="P701" s="88">
        <v>5</v>
      </c>
      <c r="Q701" s="60"/>
      <c r="V701" s="86"/>
      <c r="Z701" s="100"/>
    </row>
    <row r="702" spans="1:137" ht="14.45" customHeight="1" x14ac:dyDescent="0.25">
      <c r="A702" s="99">
        <v>45474</v>
      </c>
      <c r="B702" s="74">
        <v>45487</v>
      </c>
      <c r="C702" s="60" t="s">
        <v>31</v>
      </c>
      <c r="D702" s="60" t="s">
        <v>740</v>
      </c>
      <c r="E702" s="115" t="s">
        <v>882</v>
      </c>
      <c r="F702" s="60" t="s">
        <v>883</v>
      </c>
      <c r="G702" s="72" t="s">
        <v>142</v>
      </c>
      <c r="H702" s="83">
        <v>0.41666666666666669</v>
      </c>
      <c r="I702" s="83">
        <v>0.70833333333333337</v>
      </c>
      <c r="J702" s="63">
        <f>I702-H702</f>
        <v>0.29166666666666669</v>
      </c>
      <c r="K702" s="88" t="s">
        <v>110</v>
      </c>
      <c r="L702" s="135">
        <f t="shared" si="48"/>
        <v>7</v>
      </c>
      <c r="O702" s="91" t="s">
        <v>361</v>
      </c>
      <c r="P702" s="88">
        <v>5</v>
      </c>
      <c r="Z702" s="100"/>
    </row>
    <row r="703" spans="1:137" s="16" customFormat="1" ht="14.45" customHeight="1" x14ac:dyDescent="0.25">
      <c r="A703" s="99">
        <v>45474</v>
      </c>
      <c r="B703" s="74">
        <v>45487</v>
      </c>
      <c r="C703" s="60" t="s">
        <v>31</v>
      </c>
      <c r="D703" s="60" t="s">
        <v>830</v>
      </c>
      <c r="E703" s="115" t="s">
        <v>786</v>
      </c>
      <c r="F703" s="60" t="s">
        <v>730</v>
      </c>
      <c r="G703" s="72" t="s">
        <v>142</v>
      </c>
      <c r="H703" s="83">
        <v>0.45833333333333331</v>
      </c>
      <c r="I703" s="83">
        <v>0.5</v>
      </c>
      <c r="J703" s="63">
        <f>I703-H703</f>
        <v>4.1666666666666685E-2</v>
      </c>
      <c r="K703" s="88" t="s">
        <v>365</v>
      </c>
      <c r="L703" s="135">
        <f t="shared" si="48"/>
        <v>1.0000000000000004</v>
      </c>
      <c r="M703" s="61"/>
      <c r="N703" s="60"/>
      <c r="O703" s="91" t="s">
        <v>361</v>
      </c>
      <c r="P703" s="88">
        <v>5</v>
      </c>
      <c r="Q703" s="60"/>
      <c r="R703" s="61"/>
      <c r="S703" s="61"/>
      <c r="T703" s="61"/>
      <c r="U703" s="61"/>
      <c r="V703" s="92"/>
      <c r="W703" s="61"/>
      <c r="X703" s="89"/>
      <c r="Y703" s="61"/>
      <c r="Z703" s="100"/>
      <c r="AA703" s="61"/>
      <c r="AB703" s="61"/>
      <c r="AC703" s="61"/>
      <c r="AD703" s="61"/>
      <c r="AE703" s="61"/>
      <c r="AF703" s="61"/>
      <c r="AG703" s="61"/>
      <c r="AH703" s="61"/>
      <c r="AI703" s="61"/>
      <c r="AJ703" s="61"/>
      <c r="AK703" s="61"/>
      <c r="AL703" s="61"/>
      <c r="AM703" s="61"/>
      <c r="AN703" s="61"/>
      <c r="AO703" s="61"/>
      <c r="AP703" s="61"/>
      <c r="AQ703" s="61"/>
      <c r="AR703" s="61"/>
      <c r="AS703" s="61"/>
      <c r="AT703" s="61"/>
      <c r="AU703" s="61"/>
      <c r="AV703" s="61"/>
      <c r="AW703" s="61"/>
      <c r="AX703" s="61"/>
      <c r="AY703" s="61"/>
      <c r="AZ703" s="61"/>
      <c r="BA703" s="61"/>
      <c r="BB703" s="61"/>
      <c r="BC703" s="61"/>
      <c r="BD703" s="61"/>
      <c r="BE703" s="61"/>
      <c r="BF703" s="61"/>
      <c r="BG703" s="61"/>
      <c r="BH703" s="61"/>
      <c r="BI703" s="61"/>
      <c r="BJ703" s="61"/>
      <c r="BK703" s="61"/>
      <c r="BL703" s="61"/>
      <c r="BM703" s="61"/>
      <c r="BN703" s="61"/>
      <c r="BO703" s="61"/>
      <c r="BP703" s="61"/>
      <c r="BQ703" s="61"/>
      <c r="BR703" s="61"/>
      <c r="BS703" s="61"/>
      <c r="BT703" s="61"/>
      <c r="BU703" s="61"/>
      <c r="BV703" s="61"/>
      <c r="BW703" s="61"/>
      <c r="BX703" s="61"/>
      <c r="BY703" s="61"/>
      <c r="BZ703" s="61"/>
      <c r="CA703" s="61"/>
      <c r="CB703" s="61"/>
      <c r="CC703" s="61"/>
      <c r="CD703" s="61"/>
      <c r="CE703" s="61"/>
      <c r="CF703" s="61"/>
      <c r="CG703" s="61"/>
      <c r="CH703" s="61"/>
      <c r="CI703" s="61"/>
      <c r="CJ703" s="61"/>
      <c r="CK703" s="61"/>
      <c r="CL703" s="61"/>
      <c r="CM703" s="61"/>
      <c r="CN703" s="61"/>
      <c r="CO703" s="61"/>
      <c r="CP703" s="61"/>
      <c r="CQ703" s="61"/>
      <c r="CR703" s="61"/>
      <c r="CS703" s="61"/>
      <c r="CT703" s="61"/>
      <c r="CU703" s="61"/>
      <c r="CV703" s="61"/>
      <c r="CW703" s="61"/>
      <c r="CX703" s="61"/>
      <c r="CY703" s="61"/>
      <c r="CZ703" s="61"/>
      <c r="DA703" s="61"/>
      <c r="DB703" s="61"/>
      <c r="DC703" s="61"/>
      <c r="DD703" s="61"/>
      <c r="DE703" s="61"/>
      <c r="DF703" s="61"/>
      <c r="DG703" s="61"/>
      <c r="DH703" s="61"/>
      <c r="DI703" s="61"/>
      <c r="DJ703" s="61"/>
      <c r="DK703" s="61"/>
      <c r="DL703" s="61"/>
      <c r="DM703" s="61"/>
      <c r="DN703" s="61"/>
      <c r="DO703" s="61"/>
      <c r="DP703" s="61"/>
      <c r="DQ703" s="61"/>
      <c r="DR703" s="61"/>
      <c r="DS703" s="61"/>
      <c r="DT703" s="61"/>
      <c r="DU703" s="61"/>
      <c r="DV703" s="61"/>
      <c r="DW703" s="61"/>
      <c r="DX703" s="61"/>
      <c r="DY703" s="61"/>
      <c r="DZ703" s="61"/>
      <c r="EA703" s="61"/>
      <c r="EB703" s="61"/>
      <c r="EC703" s="61"/>
      <c r="ED703" s="61"/>
      <c r="EE703" s="61"/>
      <c r="EF703" s="61"/>
      <c r="EG703" s="61"/>
    </row>
    <row r="704" spans="1:137" ht="14.45" customHeight="1" x14ac:dyDescent="0.25">
      <c r="A704" s="99">
        <v>45474</v>
      </c>
      <c r="B704" s="74">
        <v>45488</v>
      </c>
      <c r="C704" s="60" t="s">
        <v>45</v>
      </c>
      <c r="D704" s="60" t="s">
        <v>483</v>
      </c>
      <c r="E704" s="115" t="s">
        <v>884</v>
      </c>
      <c r="F704" s="73" t="s">
        <v>885</v>
      </c>
      <c r="G704" s="72" t="s">
        <v>142</v>
      </c>
      <c r="H704" s="83">
        <v>0.4375</v>
      </c>
      <c r="I704" s="83">
        <v>0.58333333333333337</v>
      </c>
      <c r="J704" s="63">
        <f>I704-H704</f>
        <v>0.14583333333333337</v>
      </c>
      <c r="K704" s="60" t="s">
        <v>365</v>
      </c>
      <c r="L704" s="135">
        <v>3</v>
      </c>
      <c r="O704" s="98" t="s">
        <v>359</v>
      </c>
      <c r="P704" s="88">
        <v>5</v>
      </c>
      <c r="Z704" s="100"/>
    </row>
    <row r="705" spans="1:26" ht="14.45" customHeight="1" x14ac:dyDescent="0.25">
      <c r="A705" s="99">
        <v>45474</v>
      </c>
      <c r="B705" s="74">
        <v>45488</v>
      </c>
      <c r="C705" s="60" t="s">
        <v>45</v>
      </c>
      <c r="D705" s="60" t="s">
        <v>481</v>
      </c>
      <c r="E705" s="115" t="s">
        <v>368</v>
      </c>
      <c r="F705" s="60" t="s">
        <v>870</v>
      </c>
      <c r="G705" s="72" t="s">
        <v>142</v>
      </c>
      <c r="H705" s="83">
        <v>0.875</v>
      </c>
      <c r="I705" s="83">
        <v>0.66666666666666663</v>
      </c>
      <c r="J705" s="63">
        <f>الجدول3[[#This Row],[ساعة الدخول ]]-الجدول3[[#This Row],[ساعة الخروج]]</f>
        <v>0.20833333333333337</v>
      </c>
      <c r="K705" s="88" t="s">
        <v>113</v>
      </c>
      <c r="L705" s="135">
        <f>24*J705</f>
        <v>5.0000000000000009</v>
      </c>
      <c r="N705" s="60"/>
      <c r="O705" s="98" t="s">
        <v>576</v>
      </c>
      <c r="P705" s="88">
        <v>5</v>
      </c>
      <c r="Q705" s="60" t="s">
        <v>279</v>
      </c>
      <c r="V705" s="86"/>
      <c r="Z705" s="100"/>
    </row>
    <row r="706" spans="1:26" ht="14.45" customHeight="1" x14ac:dyDescent="0.25">
      <c r="A706" s="99">
        <v>45474</v>
      </c>
      <c r="B706" s="74">
        <v>45488</v>
      </c>
      <c r="C706" s="60" t="s">
        <v>45</v>
      </c>
      <c r="D706" s="60" t="s">
        <v>325</v>
      </c>
      <c r="E706" s="115" t="s">
        <v>370</v>
      </c>
      <c r="F706" s="60" t="s">
        <v>704</v>
      </c>
      <c r="G706" s="59" t="s">
        <v>142</v>
      </c>
      <c r="H706" s="83">
        <v>0.70833333333333337</v>
      </c>
      <c r="I706" s="83">
        <v>0.85416666666666663</v>
      </c>
      <c r="J706" s="63">
        <f>I706-H706</f>
        <v>0.14583333333333326</v>
      </c>
      <c r="K706" s="88" t="s">
        <v>113</v>
      </c>
      <c r="L706" s="135">
        <v>6</v>
      </c>
      <c r="O706" s="91" t="s">
        <v>576</v>
      </c>
      <c r="P706" s="88">
        <v>5</v>
      </c>
      <c r="Z706" s="100"/>
    </row>
    <row r="707" spans="1:26" x14ac:dyDescent="0.25">
      <c r="A707" s="99">
        <v>45474</v>
      </c>
      <c r="B707" s="74">
        <v>45488</v>
      </c>
      <c r="C707" s="60" t="s">
        <v>45</v>
      </c>
      <c r="D707" s="60" t="s">
        <v>740</v>
      </c>
      <c r="E707" s="115" t="s">
        <v>757</v>
      </c>
      <c r="F707" s="60" t="s">
        <v>883</v>
      </c>
      <c r="G707" s="72" t="s">
        <v>142</v>
      </c>
      <c r="H707" s="83">
        <v>0.41666666666666669</v>
      </c>
      <c r="I707" s="83">
        <v>0.70833333333333337</v>
      </c>
      <c r="J707" s="63">
        <f>I707-H707</f>
        <v>0.29166666666666669</v>
      </c>
      <c r="K707" s="88" t="s">
        <v>110</v>
      </c>
      <c r="L707" s="135">
        <f>24*J707</f>
        <v>7</v>
      </c>
      <c r="O707" s="91" t="s">
        <v>361</v>
      </c>
      <c r="P707" s="88">
        <v>5</v>
      </c>
      <c r="Z707" s="100"/>
    </row>
    <row r="708" spans="1:26" x14ac:dyDescent="0.25">
      <c r="A708" s="99">
        <v>45474</v>
      </c>
      <c r="B708" s="74">
        <v>45489</v>
      </c>
      <c r="C708" s="60" t="s">
        <v>106</v>
      </c>
      <c r="D708" s="60" t="s">
        <v>740</v>
      </c>
      <c r="E708" s="115" t="s">
        <v>891</v>
      </c>
      <c r="F708" s="60" t="s">
        <v>883</v>
      </c>
      <c r="G708" s="72" t="s">
        <v>142</v>
      </c>
      <c r="H708" s="83">
        <v>0.41666666666666669</v>
      </c>
      <c r="I708" s="83">
        <v>0.70833333333333337</v>
      </c>
      <c r="J708" s="63">
        <f>I708-H708</f>
        <v>0.29166666666666669</v>
      </c>
      <c r="K708" s="88" t="s">
        <v>110</v>
      </c>
      <c r="L708" s="135">
        <f>24*J708</f>
        <v>7</v>
      </c>
      <c r="O708" s="91" t="s">
        <v>361</v>
      </c>
      <c r="P708" s="88">
        <v>5</v>
      </c>
      <c r="Z708" s="100"/>
    </row>
    <row r="709" spans="1:26" x14ac:dyDescent="0.25">
      <c r="A709" s="99">
        <v>45474</v>
      </c>
      <c r="B709" s="74">
        <v>45489</v>
      </c>
      <c r="C709" s="60" t="s">
        <v>106</v>
      </c>
      <c r="D709" s="60" t="s">
        <v>325</v>
      </c>
      <c r="E709" s="115" t="s">
        <v>703</v>
      </c>
      <c r="F709" s="60" t="s">
        <v>704</v>
      </c>
      <c r="G709" s="59" t="s">
        <v>142</v>
      </c>
      <c r="H709" s="83">
        <v>0.70833333333333337</v>
      </c>
      <c r="I709" s="83">
        <v>0.72916666666666663</v>
      </c>
      <c r="J709" s="63">
        <f>I709-H709</f>
        <v>2.0833333333333259E-2</v>
      </c>
      <c r="K709" s="88" t="s">
        <v>113</v>
      </c>
      <c r="L709" s="135">
        <v>6</v>
      </c>
      <c r="O709" s="91" t="s">
        <v>576</v>
      </c>
      <c r="P709" s="88">
        <v>5</v>
      </c>
      <c r="Z709" s="100"/>
    </row>
    <row r="710" spans="1:26" x14ac:dyDescent="0.25">
      <c r="A710" s="99">
        <v>45474</v>
      </c>
      <c r="B710" s="74">
        <v>45489</v>
      </c>
      <c r="C710" s="60" t="s">
        <v>106</v>
      </c>
      <c r="D710" s="60" t="s">
        <v>481</v>
      </c>
      <c r="E710" s="115" t="s">
        <v>368</v>
      </c>
      <c r="F710" s="60" t="s">
        <v>870</v>
      </c>
      <c r="G710" s="72" t="s">
        <v>142</v>
      </c>
      <c r="H710" s="83">
        <v>0.875</v>
      </c>
      <c r="I710" s="83">
        <v>0.6875</v>
      </c>
      <c r="J710" s="63">
        <f>الجدول3[[#This Row],[ساعة الدخول ]]-الجدول3[[#This Row],[ساعة الخروج]]</f>
        <v>0.1875</v>
      </c>
      <c r="K710" s="88" t="s">
        <v>113</v>
      </c>
      <c r="L710" s="135">
        <f>24*J710</f>
        <v>4.5</v>
      </c>
      <c r="N710" s="60"/>
      <c r="O710" s="98" t="s">
        <v>576</v>
      </c>
      <c r="P710" s="88">
        <v>5</v>
      </c>
      <c r="Q710" s="60" t="s">
        <v>279</v>
      </c>
      <c r="V710" s="86"/>
      <c r="Z710" s="100"/>
    </row>
    <row r="711" spans="1:26" x14ac:dyDescent="0.25">
      <c r="A711" s="99">
        <v>45474</v>
      </c>
      <c r="B711" s="74">
        <v>45489</v>
      </c>
      <c r="C711" s="60" t="s">
        <v>106</v>
      </c>
      <c r="D711" s="60" t="s">
        <v>483</v>
      </c>
      <c r="E711" s="115" t="s">
        <v>884</v>
      </c>
      <c r="F711" s="73" t="s">
        <v>886</v>
      </c>
      <c r="G711" s="72" t="s">
        <v>142</v>
      </c>
      <c r="H711" s="83">
        <v>0.45833333333333331</v>
      </c>
      <c r="I711" s="83">
        <v>2.0833333333333332E-2</v>
      </c>
      <c r="J711" s="63">
        <f t="shared" ref="J711:J716" si="49">I711-H711</f>
        <v>-0.4375</v>
      </c>
      <c r="K711" s="60" t="s">
        <v>365</v>
      </c>
      <c r="L711" s="135">
        <v>3</v>
      </c>
      <c r="O711" s="98" t="s">
        <v>820</v>
      </c>
      <c r="P711" s="88">
        <v>5</v>
      </c>
      <c r="Z711" s="100"/>
    </row>
    <row r="712" spans="1:26" x14ac:dyDescent="0.25">
      <c r="A712" s="99">
        <v>45474</v>
      </c>
      <c r="B712" s="74">
        <v>45490</v>
      </c>
      <c r="C712" s="60" t="s">
        <v>398</v>
      </c>
      <c r="D712" s="60" t="s">
        <v>483</v>
      </c>
      <c r="E712" s="115" t="s">
        <v>884</v>
      </c>
      <c r="F712" s="73" t="s">
        <v>887</v>
      </c>
      <c r="G712" s="72" t="s">
        <v>142</v>
      </c>
      <c r="H712" s="83">
        <v>0.4375</v>
      </c>
      <c r="I712" s="83">
        <v>0</v>
      </c>
      <c r="J712" s="63">
        <f t="shared" si="49"/>
        <v>-0.4375</v>
      </c>
      <c r="K712" s="60" t="s">
        <v>365</v>
      </c>
      <c r="L712" s="135">
        <v>3</v>
      </c>
      <c r="O712" s="98" t="s">
        <v>359</v>
      </c>
      <c r="P712" s="88">
        <v>5</v>
      </c>
      <c r="Z712" s="100"/>
    </row>
    <row r="713" spans="1:26" x14ac:dyDescent="0.25">
      <c r="A713" s="99">
        <v>45474</v>
      </c>
      <c r="B713" s="74">
        <v>45490</v>
      </c>
      <c r="C713" s="60" t="s">
        <v>398</v>
      </c>
      <c r="D713" s="60" t="s">
        <v>126</v>
      </c>
      <c r="E713" s="115" t="s">
        <v>888</v>
      </c>
      <c r="F713" s="60" t="s">
        <v>889</v>
      </c>
      <c r="G713" s="72" t="s">
        <v>142</v>
      </c>
      <c r="H713" s="83">
        <v>0.4375</v>
      </c>
      <c r="I713" s="83">
        <v>0.54166666666666663</v>
      </c>
      <c r="J713" s="63">
        <f t="shared" si="49"/>
        <v>0.10416666666666663</v>
      </c>
      <c r="K713" s="88" t="s">
        <v>110</v>
      </c>
      <c r="L713" s="135">
        <f>24*J713</f>
        <v>2.4999999999999991</v>
      </c>
      <c r="N713" s="60"/>
      <c r="O713" s="91" t="s">
        <v>820</v>
      </c>
      <c r="P713" s="88">
        <v>5</v>
      </c>
      <c r="Q713" s="60"/>
      <c r="V713" s="86"/>
      <c r="Z713" s="100"/>
    </row>
    <row r="714" spans="1:26" s="88" customFormat="1" x14ac:dyDescent="0.25">
      <c r="A714" s="99">
        <v>45474</v>
      </c>
      <c r="B714" s="74">
        <v>45490</v>
      </c>
      <c r="C714" s="60" t="s">
        <v>398</v>
      </c>
      <c r="D714" s="60" t="s">
        <v>486</v>
      </c>
      <c r="E714" s="115" t="s">
        <v>890</v>
      </c>
      <c r="F714" s="60" t="s">
        <v>893</v>
      </c>
      <c r="G714" s="72" t="s">
        <v>142</v>
      </c>
      <c r="H714" s="83">
        <v>0.58333333333333337</v>
      </c>
      <c r="I714" s="83">
        <v>0.70833333333333337</v>
      </c>
      <c r="J714" s="63">
        <f t="shared" si="49"/>
        <v>0.125</v>
      </c>
      <c r="K714" s="60" t="s">
        <v>365</v>
      </c>
      <c r="L714" s="135">
        <f>24*J714</f>
        <v>3</v>
      </c>
      <c r="M714" s="60"/>
      <c r="N714" s="60"/>
      <c r="O714" s="98" t="s">
        <v>359</v>
      </c>
      <c r="P714" s="88">
        <v>5</v>
      </c>
      <c r="Q714" s="60"/>
      <c r="V714" s="94"/>
      <c r="X714" s="90"/>
      <c r="Z714" s="101"/>
    </row>
    <row r="715" spans="1:26" x14ac:dyDescent="0.25">
      <c r="A715" s="99">
        <v>45474</v>
      </c>
      <c r="B715" s="74">
        <v>45490</v>
      </c>
      <c r="C715" s="60" t="s">
        <v>398</v>
      </c>
      <c r="D715" s="60" t="s">
        <v>740</v>
      </c>
      <c r="E715" s="115" t="s">
        <v>757</v>
      </c>
      <c r="F715" s="60" t="s">
        <v>883</v>
      </c>
      <c r="G715" s="72" t="s">
        <v>142</v>
      </c>
      <c r="H715" s="83">
        <v>0.45833333333333331</v>
      </c>
      <c r="I715" s="83">
        <v>0.625</v>
      </c>
      <c r="J715" s="63">
        <f t="shared" si="49"/>
        <v>0.16666666666666669</v>
      </c>
      <c r="K715" s="88" t="s">
        <v>110</v>
      </c>
      <c r="L715" s="135">
        <f>24*J715</f>
        <v>4</v>
      </c>
      <c r="O715" s="91" t="s">
        <v>361</v>
      </c>
      <c r="P715" s="88">
        <v>5</v>
      </c>
      <c r="Z715" s="100"/>
    </row>
    <row r="716" spans="1:26" x14ac:dyDescent="0.25">
      <c r="A716" s="99">
        <v>45474</v>
      </c>
      <c r="B716" s="74">
        <v>45490</v>
      </c>
      <c r="C716" s="60" t="s">
        <v>398</v>
      </c>
      <c r="D716" s="60" t="s">
        <v>126</v>
      </c>
      <c r="E716" s="115" t="s">
        <v>888</v>
      </c>
      <c r="F716" s="60" t="s">
        <v>892</v>
      </c>
      <c r="G716" s="72" t="s">
        <v>142</v>
      </c>
      <c r="H716" s="83">
        <v>0.58333333333333337</v>
      </c>
      <c r="I716" s="83">
        <v>0.64583333333333337</v>
      </c>
      <c r="J716" s="63">
        <f t="shared" si="49"/>
        <v>6.25E-2</v>
      </c>
      <c r="K716" s="88" t="s">
        <v>295</v>
      </c>
      <c r="L716" s="135">
        <f>24*J716</f>
        <v>1.5</v>
      </c>
      <c r="N716" s="60"/>
      <c r="O716" s="91" t="s">
        <v>360</v>
      </c>
      <c r="P716" s="88">
        <v>5</v>
      </c>
      <c r="Q716" s="60"/>
      <c r="V716" s="86"/>
      <c r="Z716" s="100"/>
    </row>
    <row r="717" spans="1:26" x14ac:dyDescent="0.25">
      <c r="A717" s="99">
        <v>45474</v>
      </c>
      <c r="B717" s="74">
        <v>45490</v>
      </c>
      <c r="C717" s="60" t="s">
        <v>398</v>
      </c>
      <c r="D717" s="60" t="s">
        <v>98</v>
      </c>
      <c r="E717" s="115" t="s">
        <v>505</v>
      </c>
      <c r="F717" s="73" t="s">
        <v>618</v>
      </c>
      <c r="G717" s="72" t="s">
        <v>142</v>
      </c>
      <c r="H717" s="83">
        <v>0.89583333333333337</v>
      </c>
      <c r="I717" s="83">
        <v>0.66666666666666663</v>
      </c>
      <c r="J717" s="63">
        <f>الجدول3[[#This Row],[ساعة الدخول ]]-الجدول3[[#This Row],[ساعة الخروج]]</f>
        <v>0.22916666666666674</v>
      </c>
      <c r="K717" s="60" t="s">
        <v>365</v>
      </c>
      <c r="L717" s="135">
        <v>3</v>
      </c>
      <c r="O717" s="98" t="s">
        <v>576</v>
      </c>
      <c r="P717" s="88">
        <v>5</v>
      </c>
      <c r="Z717" s="100"/>
    </row>
    <row r="718" spans="1:26" x14ac:dyDescent="0.25">
      <c r="A718" s="99">
        <v>45474</v>
      </c>
      <c r="B718" s="74">
        <v>45490</v>
      </c>
      <c r="C718" s="60" t="s">
        <v>398</v>
      </c>
      <c r="D718" s="60" t="s">
        <v>481</v>
      </c>
      <c r="E718" s="115" t="s">
        <v>368</v>
      </c>
      <c r="F718" s="60" t="s">
        <v>894</v>
      </c>
      <c r="G718" s="72" t="s">
        <v>142</v>
      </c>
      <c r="H718" s="83">
        <v>0.89583333333333337</v>
      </c>
      <c r="I718" s="83">
        <v>0.66666666666666663</v>
      </c>
      <c r="J718" s="63">
        <f>الجدول3[[#This Row],[ساعة الدخول ]]-الجدول3[[#This Row],[ساعة الخروج]]</f>
        <v>0.22916666666666674</v>
      </c>
      <c r="K718" s="88" t="s">
        <v>113</v>
      </c>
      <c r="L718" s="135">
        <f t="shared" ref="L718:L728" si="50">24*J718</f>
        <v>5.5000000000000018</v>
      </c>
      <c r="N718" s="60"/>
      <c r="O718" s="98" t="s">
        <v>314</v>
      </c>
      <c r="P718" s="88">
        <v>5</v>
      </c>
      <c r="Q718" s="60" t="s">
        <v>279</v>
      </c>
      <c r="V718" s="86"/>
      <c r="Z718" s="100"/>
    </row>
    <row r="719" spans="1:26" x14ac:dyDescent="0.25">
      <c r="A719" s="99">
        <v>45474</v>
      </c>
      <c r="B719" s="74">
        <v>45491</v>
      </c>
      <c r="C719" s="60" t="s">
        <v>124</v>
      </c>
      <c r="D719" s="60" t="s">
        <v>609</v>
      </c>
      <c r="E719" s="115" t="s">
        <v>896</v>
      </c>
      <c r="F719" s="60" t="s">
        <v>895</v>
      </c>
      <c r="G719" s="72" t="s">
        <v>142</v>
      </c>
      <c r="H719" s="83">
        <v>4.1666666666666664E-2</v>
      </c>
      <c r="I719" s="83">
        <v>0.25</v>
      </c>
      <c r="J719" s="63">
        <f>I719-H719</f>
        <v>0.20833333333333334</v>
      </c>
      <c r="K719" s="88" t="s">
        <v>365</v>
      </c>
      <c r="L719" s="135">
        <f t="shared" si="50"/>
        <v>5</v>
      </c>
      <c r="N719" s="60"/>
      <c r="O719" s="98" t="s">
        <v>820</v>
      </c>
      <c r="P719" s="88">
        <v>5</v>
      </c>
      <c r="Q719" s="60" t="s">
        <v>279</v>
      </c>
      <c r="V719" s="86"/>
      <c r="Z719" s="100"/>
    </row>
    <row r="720" spans="1:26" x14ac:dyDescent="0.25">
      <c r="A720" s="99">
        <v>45474</v>
      </c>
      <c r="B720" s="74">
        <v>45491</v>
      </c>
      <c r="C720" s="60" t="s">
        <v>124</v>
      </c>
      <c r="D720" s="60" t="s">
        <v>481</v>
      </c>
      <c r="E720" s="115" t="s">
        <v>368</v>
      </c>
      <c r="F720" s="60" t="s">
        <v>894</v>
      </c>
      <c r="G720" s="72" t="s">
        <v>142</v>
      </c>
      <c r="H720" s="83">
        <v>0.89583333333333337</v>
      </c>
      <c r="I720" s="83">
        <v>0.625</v>
      </c>
      <c r="J720" s="63">
        <f>الجدول3[[#This Row],[ساعة الدخول ]]-الجدول3[[#This Row],[ساعة الخروج]]</f>
        <v>0.27083333333333337</v>
      </c>
      <c r="K720" s="88" t="s">
        <v>113</v>
      </c>
      <c r="L720" s="135">
        <f t="shared" si="50"/>
        <v>6.5000000000000009</v>
      </c>
      <c r="N720" s="60"/>
      <c r="O720" s="98" t="s">
        <v>314</v>
      </c>
      <c r="P720" s="88">
        <v>5</v>
      </c>
      <c r="Q720" s="60" t="s">
        <v>279</v>
      </c>
      <c r="V720" s="86"/>
      <c r="Z720" s="100"/>
    </row>
    <row r="721" spans="1:26" x14ac:dyDescent="0.25">
      <c r="A721" s="99">
        <v>45474</v>
      </c>
      <c r="B721" s="74">
        <v>45491</v>
      </c>
      <c r="C721" s="60" t="s">
        <v>124</v>
      </c>
      <c r="D721" s="60" t="s">
        <v>740</v>
      </c>
      <c r="E721" s="115" t="s">
        <v>757</v>
      </c>
      <c r="F721" s="60" t="s">
        <v>883</v>
      </c>
      <c r="G721" s="72" t="s">
        <v>142</v>
      </c>
      <c r="H721" s="83">
        <v>0.41666666666666669</v>
      </c>
      <c r="I721" s="83">
        <v>0.70833333333333337</v>
      </c>
      <c r="J721" s="63">
        <f t="shared" ref="J721:J727" si="51">I721-H721</f>
        <v>0.29166666666666669</v>
      </c>
      <c r="K721" s="88" t="s">
        <v>110</v>
      </c>
      <c r="L721" s="135">
        <f t="shared" si="50"/>
        <v>7</v>
      </c>
      <c r="O721" s="91" t="s">
        <v>360</v>
      </c>
      <c r="P721" s="88">
        <v>5</v>
      </c>
      <c r="Z721" s="100"/>
    </row>
    <row r="722" spans="1:26" x14ac:dyDescent="0.25">
      <c r="A722" s="99">
        <v>45474</v>
      </c>
      <c r="B722" s="74">
        <v>45492</v>
      </c>
      <c r="C722" s="60" t="s">
        <v>33</v>
      </c>
      <c r="D722" s="60" t="s">
        <v>481</v>
      </c>
      <c r="E722" s="115" t="s">
        <v>686</v>
      </c>
      <c r="F722" s="60" t="s">
        <v>897</v>
      </c>
      <c r="G722" s="72" t="s">
        <v>142</v>
      </c>
      <c r="H722" s="83">
        <v>0.45833333333333331</v>
      </c>
      <c r="I722" s="83">
        <v>0.75</v>
      </c>
      <c r="J722" s="63">
        <f t="shared" si="51"/>
        <v>0.29166666666666669</v>
      </c>
      <c r="K722" s="88" t="s">
        <v>365</v>
      </c>
      <c r="L722" s="135">
        <f t="shared" si="50"/>
        <v>7</v>
      </c>
      <c r="O722" s="91" t="s">
        <v>360</v>
      </c>
      <c r="P722" s="88">
        <v>5</v>
      </c>
      <c r="Z722" s="100"/>
    </row>
    <row r="723" spans="1:26" x14ac:dyDescent="0.25">
      <c r="A723" s="99">
        <v>45474</v>
      </c>
      <c r="B723" s="74">
        <v>45493</v>
      </c>
      <c r="C723" s="60" t="s">
        <v>34</v>
      </c>
      <c r="D723" s="60" t="s">
        <v>931</v>
      </c>
      <c r="E723" s="115" t="s">
        <v>930</v>
      </c>
      <c r="F723" s="60" t="s">
        <v>929</v>
      </c>
      <c r="G723" s="59" t="s">
        <v>142</v>
      </c>
      <c r="H723" s="83">
        <v>0.41666666666666669</v>
      </c>
      <c r="I723" s="83">
        <v>0.64583333333333337</v>
      </c>
      <c r="J723" s="63">
        <f t="shared" si="51"/>
        <v>0.22916666666666669</v>
      </c>
      <c r="K723" s="88" t="s">
        <v>300</v>
      </c>
      <c r="L723" s="135">
        <f t="shared" si="50"/>
        <v>5.5</v>
      </c>
      <c r="O723" s="91" t="s">
        <v>362</v>
      </c>
      <c r="P723" s="88">
        <v>5</v>
      </c>
      <c r="R723" s="88"/>
      <c r="U723" s="60"/>
      <c r="W723" s="60"/>
      <c r="X723" s="86"/>
      <c r="Z723" s="100"/>
    </row>
    <row r="724" spans="1:26" ht="14.1" customHeight="1" x14ac:dyDescent="0.25">
      <c r="A724" s="99">
        <v>45474</v>
      </c>
      <c r="B724" s="74">
        <v>45493</v>
      </c>
      <c r="C724" s="60" t="s">
        <v>34</v>
      </c>
      <c r="D724" s="60" t="s">
        <v>720</v>
      </c>
      <c r="E724" s="115" t="s">
        <v>836</v>
      </c>
      <c r="F724" s="60" t="s">
        <v>929</v>
      </c>
      <c r="G724" s="59" t="s">
        <v>142</v>
      </c>
      <c r="H724" s="83">
        <v>0</v>
      </c>
      <c r="I724" s="83">
        <v>0.375</v>
      </c>
      <c r="J724" s="63">
        <f t="shared" si="51"/>
        <v>0.375</v>
      </c>
      <c r="K724" s="88" t="s">
        <v>300</v>
      </c>
      <c r="L724" s="135">
        <f t="shared" si="50"/>
        <v>9</v>
      </c>
      <c r="O724" s="91" t="s">
        <v>362</v>
      </c>
      <c r="P724" s="88">
        <v>5</v>
      </c>
      <c r="R724" s="88"/>
      <c r="U724" s="60"/>
      <c r="W724" s="60"/>
      <c r="X724" s="86"/>
      <c r="Z724" s="100"/>
    </row>
    <row r="725" spans="1:26" x14ac:dyDescent="0.25">
      <c r="A725" s="99">
        <v>45474</v>
      </c>
      <c r="B725" s="74">
        <v>45493</v>
      </c>
      <c r="C725" s="60" t="s">
        <v>34</v>
      </c>
      <c r="D725" s="60" t="s">
        <v>481</v>
      </c>
      <c r="E725" s="115" t="s">
        <v>686</v>
      </c>
      <c r="F725" s="60" t="s">
        <v>897</v>
      </c>
      <c r="G725" s="72" t="s">
        <v>142</v>
      </c>
      <c r="H725" s="83">
        <v>0.4375</v>
      </c>
      <c r="I725" s="83">
        <v>0.70833333333333337</v>
      </c>
      <c r="J725" s="63">
        <f t="shared" si="51"/>
        <v>0.27083333333333337</v>
      </c>
      <c r="K725" s="88" t="s">
        <v>365</v>
      </c>
      <c r="L725" s="135">
        <f t="shared" si="50"/>
        <v>6.5000000000000009</v>
      </c>
      <c r="O725" s="91" t="s">
        <v>360</v>
      </c>
      <c r="P725" s="88">
        <v>5</v>
      </c>
      <c r="Z725" s="100"/>
    </row>
    <row r="726" spans="1:26" x14ac:dyDescent="0.25">
      <c r="A726" s="99">
        <v>45474</v>
      </c>
      <c r="B726" s="74">
        <v>45493</v>
      </c>
      <c r="C726" s="60" t="s">
        <v>34</v>
      </c>
      <c r="D726" s="60" t="s">
        <v>609</v>
      </c>
      <c r="E726" s="115" t="s">
        <v>896</v>
      </c>
      <c r="F726" s="60" t="s">
        <v>895</v>
      </c>
      <c r="G726" s="72" t="s">
        <v>142</v>
      </c>
      <c r="H726" s="83">
        <v>0.60416666666666663</v>
      </c>
      <c r="I726" s="83">
        <v>0.77083333333333337</v>
      </c>
      <c r="J726" s="63">
        <f t="shared" si="51"/>
        <v>0.16666666666666674</v>
      </c>
      <c r="K726" s="88" t="s">
        <v>365</v>
      </c>
      <c r="L726" s="135">
        <f t="shared" si="50"/>
        <v>4.0000000000000018</v>
      </c>
      <c r="N726" s="60"/>
      <c r="O726" s="98" t="s">
        <v>360</v>
      </c>
      <c r="P726" s="88">
        <v>5</v>
      </c>
      <c r="Q726" s="60" t="s">
        <v>279</v>
      </c>
      <c r="V726" s="86"/>
      <c r="Z726" s="100"/>
    </row>
    <row r="727" spans="1:26" x14ac:dyDescent="0.25">
      <c r="A727" s="99">
        <v>45474</v>
      </c>
      <c r="B727" s="74">
        <v>45493</v>
      </c>
      <c r="C727" s="60" t="s">
        <v>34</v>
      </c>
      <c r="D727" s="60" t="s">
        <v>311</v>
      </c>
      <c r="E727" s="115" t="s">
        <v>898</v>
      </c>
      <c r="F727" s="60" t="s">
        <v>899</v>
      </c>
      <c r="G727" s="72" t="s">
        <v>142</v>
      </c>
      <c r="H727" s="83">
        <v>0.66666666666666663</v>
      </c>
      <c r="I727" s="83">
        <v>0.75</v>
      </c>
      <c r="J727" s="63">
        <f t="shared" si="51"/>
        <v>8.333333333333337E-2</v>
      </c>
      <c r="K727" s="88" t="s">
        <v>365</v>
      </c>
      <c r="L727" s="135">
        <f t="shared" si="50"/>
        <v>2.0000000000000009</v>
      </c>
      <c r="N727" s="60"/>
      <c r="O727" s="98" t="s">
        <v>360</v>
      </c>
      <c r="P727" s="88">
        <v>5</v>
      </c>
      <c r="Q727" s="60" t="s">
        <v>279</v>
      </c>
      <c r="V727" s="86"/>
      <c r="Z727" s="100"/>
    </row>
    <row r="728" spans="1:26" x14ac:dyDescent="0.25">
      <c r="A728" s="99">
        <v>45474</v>
      </c>
      <c r="B728" s="74">
        <v>45493</v>
      </c>
      <c r="C728" s="60" t="s">
        <v>34</v>
      </c>
      <c r="D728" s="60" t="s">
        <v>740</v>
      </c>
      <c r="E728" s="115" t="s">
        <v>757</v>
      </c>
      <c r="F728" s="60" t="s">
        <v>883</v>
      </c>
      <c r="G728" s="72" t="s">
        <v>142</v>
      </c>
      <c r="H728" s="83">
        <v>0.89583333333333337</v>
      </c>
      <c r="I728" s="83">
        <v>0.70833333333333337</v>
      </c>
      <c r="J728" s="63">
        <f>الجدول3[[#This Row],[ساعة الدخول ]]-الجدول3[[#This Row],[ساعة الخروج]]</f>
        <v>0.1875</v>
      </c>
      <c r="K728" s="88" t="s">
        <v>110</v>
      </c>
      <c r="L728" s="135">
        <f t="shared" si="50"/>
        <v>4.5</v>
      </c>
      <c r="O728" s="91" t="s">
        <v>820</v>
      </c>
      <c r="P728" s="88">
        <v>5</v>
      </c>
      <c r="Z728" s="100"/>
    </row>
    <row r="729" spans="1:26" x14ac:dyDescent="0.25">
      <c r="A729" s="99">
        <v>45474</v>
      </c>
      <c r="B729" s="74">
        <v>45494</v>
      </c>
      <c r="C729" s="60" t="s">
        <v>31</v>
      </c>
      <c r="D729" s="60" t="s">
        <v>483</v>
      </c>
      <c r="E729" s="115" t="s">
        <v>884</v>
      </c>
      <c r="F729" s="73" t="s">
        <v>900</v>
      </c>
      <c r="G729" s="72" t="s">
        <v>142</v>
      </c>
      <c r="H729" s="83">
        <v>0.83333333333333337</v>
      </c>
      <c r="I729" s="83">
        <v>0.875</v>
      </c>
      <c r="J729" s="63">
        <f>I729-H729</f>
        <v>4.166666666666663E-2</v>
      </c>
      <c r="K729" s="60" t="s">
        <v>113</v>
      </c>
      <c r="L729" s="135">
        <v>3</v>
      </c>
      <c r="O729" s="98" t="s">
        <v>576</v>
      </c>
      <c r="P729" s="88">
        <v>5</v>
      </c>
      <c r="Z729" s="100"/>
    </row>
    <row r="730" spans="1:26" x14ac:dyDescent="0.25">
      <c r="A730" s="99">
        <v>45474</v>
      </c>
      <c r="B730" s="74">
        <v>45494</v>
      </c>
      <c r="C730" s="60" t="s">
        <v>31</v>
      </c>
      <c r="D730" s="60" t="s">
        <v>126</v>
      </c>
      <c r="E730" s="115" t="s">
        <v>925</v>
      </c>
      <c r="F730" s="73" t="s">
        <v>926</v>
      </c>
      <c r="G730" s="72" t="s">
        <v>142</v>
      </c>
      <c r="H730" s="83">
        <v>0.41666666666666669</v>
      </c>
      <c r="I730" s="83">
        <v>6.25E-2</v>
      </c>
      <c r="J730" s="63">
        <f>الجدول3[[#This Row],[ساعة الدخول ]]-الجدول3[[#This Row],[ساعة الخروج]]</f>
        <v>0.35416666666666669</v>
      </c>
      <c r="K730" s="60" t="s">
        <v>295</v>
      </c>
      <c r="L730" s="135">
        <v>3</v>
      </c>
      <c r="O730" s="98" t="s">
        <v>360</v>
      </c>
      <c r="P730" s="88">
        <v>4</v>
      </c>
      <c r="Q730" s="61" t="s">
        <v>927</v>
      </c>
      <c r="Z730" s="100"/>
    </row>
    <row r="731" spans="1:26" x14ac:dyDescent="0.25">
      <c r="A731" s="99">
        <v>45474</v>
      </c>
      <c r="B731" s="74">
        <v>45494</v>
      </c>
      <c r="C731" s="60" t="s">
        <v>31</v>
      </c>
      <c r="D731" s="60" t="s">
        <v>122</v>
      </c>
      <c r="E731" s="115" t="s">
        <v>774</v>
      </c>
      <c r="F731" s="73" t="s">
        <v>928</v>
      </c>
      <c r="G731" s="72" t="s">
        <v>142</v>
      </c>
      <c r="H731" s="83">
        <v>0</v>
      </c>
      <c r="I731" s="83">
        <v>4.1666666666666664E-2</v>
      </c>
      <c r="J731" s="63">
        <f t="shared" ref="J731:J739" si="52">I731-H731</f>
        <v>4.1666666666666664E-2</v>
      </c>
      <c r="K731" s="88" t="s">
        <v>295</v>
      </c>
      <c r="L731" s="135">
        <v>5.5</v>
      </c>
      <c r="O731" s="98" t="s">
        <v>360</v>
      </c>
      <c r="P731" s="88">
        <v>5</v>
      </c>
      <c r="Q731" s="88"/>
      <c r="Z731" s="100"/>
    </row>
    <row r="732" spans="1:26" x14ac:dyDescent="0.25">
      <c r="A732" s="99">
        <v>45474</v>
      </c>
      <c r="B732" s="74">
        <v>45494</v>
      </c>
      <c r="C732" s="60" t="s">
        <v>31</v>
      </c>
      <c r="D732" s="60" t="s">
        <v>126</v>
      </c>
      <c r="E732" s="115" t="s">
        <v>831</v>
      </c>
      <c r="F732" s="73" t="s">
        <v>926</v>
      </c>
      <c r="G732" s="72" t="s">
        <v>142</v>
      </c>
      <c r="H732" s="83">
        <v>0.58333333333333337</v>
      </c>
      <c r="I732" s="83">
        <v>0.625</v>
      </c>
      <c r="J732" s="63">
        <f t="shared" si="52"/>
        <v>4.166666666666663E-2</v>
      </c>
      <c r="K732" s="60" t="s">
        <v>113</v>
      </c>
      <c r="L732" s="135">
        <v>3</v>
      </c>
      <c r="O732" s="98" t="s">
        <v>314</v>
      </c>
      <c r="P732" s="88">
        <v>5</v>
      </c>
      <c r="Z732" s="100"/>
    </row>
    <row r="733" spans="1:26" x14ac:dyDescent="0.25">
      <c r="A733" s="99">
        <v>45474</v>
      </c>
      <c r="B733" s="74">
        <v>45494</v>
      </c>
      <c r="C733" s="60" t="s">
        <v>31</v>
      </c>
      <c r="D733" s="60" t="s">
        <v>126</v>
      </c>
      <c r="E733" s="115" t="s">
        <v>497</v>
      </c>
      <c r="F733" s="73" t="s">
        <v>926</v>
      </c>
      <c r="G733" s="72" t="s">
        <v>142</v>
      </c>
      <c r="H733" s="83">
        <v>0.45833333333333331</v>
      </c>
      <c r="I733" s="83">
        <v>0.58333333333333337</v>
      </c>
      <c r="J733" s="63">
        <f t="shared" si="52"/>
        <v>0.12500000000000006</v>
      </c>
      <c r="K733" s="60" t="s">
        <v>110</v>
      </c>
      <c r="L733" s="135">
        <v>3</v>
      </c>
      <c r="O733" s="98" t="s">
        <v>361</v>
      </c>
      <c r="P733" s="88">
        <v>5</v>
      </c>
      <c r="Z733" s="100"/>
    </row>
    <row r="734" spans="1:26" x14ac:dyDescent="0.25">
      <c r="A734" s="99">
        <v>45474</v>
      </c>
      <c r="B734" s="74">
        <v>45494</v>
      </c>
      <c r="C734" s="60" t="s">
        <v>31</v>
      </c>
      <c r="D734" s="60" t="s">
        <v>46</v>
      </c>
      <c r="E734" s="115" t="s">
        <v>368</v>
      </c>
      <c r="F734" s="73" t="s">
        <v>938</v>
      </c>
      <c r="G734" s="72" t="s">
        <v>142</v>
      </c>
      <c r="H734" s="83">
        <v>0.45833333333333331</v>
      </c>
      <c r="I734" s="83">
        <v>0.58333333333333337</v>
      </c>
      <c r="J734" s="63">
        <f t="shared" si="52"/>
        <v>0.12500000000000006</v>
      </c>
      <c r="K734" s="60" t="s">
        <v>110</v>
      </c>
      <c r="L734" s="135">
        <v>3</v>
      </c>
      <c r="O734" s="98" t="s">
        <v>361</v>
      </c>
      <c r="P734" s="88">
        <v>5</v>
      </c>
      <c r="Z734" s="100"/>
    </row>
    <row r="735" spans="1:26" x14ac:dyDescent="0.25">
      <c r="A735" s="99">
        <v>45474</v>
      </c>
      <c r="B735" s="74">
        <v>45494</v>
      </c>
      <c r="C735" s="60" t="s">
        <v>31</v>
      </c>
      <c r="D735" s="60" t="s">
        <v>740</v>
      </c>
      <c r="E735" s="115" t="s">
        <v>891</v>
      </c>
      <c r="F735" s="60" t="s">
        <v>883</v>
      </c>
      <c r="G735" s="72" t="s">
        <v>142</v>
      </c>
      <c r="H735" s="83">
        <v>0.41666666666666669</v>
      </c>
      <c r="I735" s="83">
        <v>0.70833333333333337</v>
      </c>
      <c r="J735" s="63">
        <f t="shared" si="52"/>
        <v>0.29166666666666669</v>
      </c>
      <c r="K735" s="88" t="s">
        <v>110</v>
      </c>
      <c r="L735" s="135">
        <f>24*J735</f>
        <v>7</v>
      </c>
      <c r="O735" s="91" t="s">
        <v>361</v>
      </c>
      <c r="P735" s="88">
        <v>5</v>
      </c>
      <c r="Z735" s="100"/>
    </row>
    <row r="736" spans="1:26" x14ac:dyDescent="0.25">
      <c r="A736" s="99">
        <v>45474</v>
      </c>
      <c r="B736" s="74">
        <v>45495</v>
      </c>
      <c r="C736" s="60" t="s">
        <v>45</v>
      </c>
      <c r="D736" s="60" t="s">
        <v>483</v>
      </c>
      <c r="E736" s="115" t="s">
        <v>633</v>
      </c>
      <c r="F736" s="73" t="s">
        <v>939</v>
      </c>
      <c r="G736" s="72" t="s">
        <v>142</v>
      </c>
      <c r="H736" s="83">
        <v>0.41666666666666669</v>
      </c>
      <c r="I736" s="83">
        <v>0.45833333333333331</v>
      </c>
      <c r="J736" s="63">
        <f t="shared" si="52"/>
        <v>4.166666666666663E-2</v>
      </c>
      <c r="K736" s="60" t="s">
        <v>365</v>
      </c>
      <c r="L736" s="135">
        <v>3</v>
      </c>
      <c r="O736" s="98" t="s">
        <v>363</v>
      </c>
      <c r="P736" s="88">
        <v>5</v>
      </c>
      <c r="Z736" s="100"/>
    </row>
    <row r="737" spans="1:26" x14ac:dyDescent="0.25">
      <c r="A737" s="99">
        <v>45474</v>
      </c>
      <c r="B737" s="74">
        <v>45495</v>
      </c>
      <c r="C737" s="60" t="s">
        <v>45</v>
      </c>
      <c r="D737" s="60" t="s">
        <v>740</v>
      </c>
      <c r="E737" s="115" t="s">
        <v>891</v>
      </c>
      <c r="F737" s="60" t="s">
        <v>883</v>
      </c>
      <c r="G737" s="72" t="s">
        <v>142</v>
      </c>
      <c r="H737" s="83">
        <v>0.41666666666666669</v>
      </c>
      <c r="I737" s="83">
        <v>0.70833333333333337</v>
      </c>
      <c r="J737" s="63">
        <f t="shared" si="52"/>
        <v>0.29166666666666669</v>
      </c>
      <c r="K737" s="88" t="s">
        <v>110</v>
      </c>
      <c r="L737" s="135">
        <f>24*J737</f>
        <v>7</v>
      </c>
      <c r="O737" s="91" t="s">
        <v>361</v>
      </c>
      <c r="P737" s="88">
        <v>5</v>
      </c>
      <c r="Z737" s="100"/>
    </row>
    <row r="738" spans="1:26" x14ac:dyDescent="0.25">
      <c r="A738" s="99">
        <v>45474</v>
      </c>
      <c r="B738" s="74">
        <v>45495</v>
      </c>
      <c r="C738" s="60" t="s">
        <v>45</v>
      </c>
      <c r="D738" s="60" t="s">
        <v>32</v>
      </c>
      <c r="E738" s="115" t="s">
        <v>388</v>
      </c>
      <c r="F738" s="73" t="s">
        <v>941</v>
      </c>
      <c r="G738" s="72" t="s">
        <v>142</v>
      </c>
      <c r="H738" s="83">
        <v>0</v>
      </c>
      <c r="I738" s="83">
        <v>0.66666666666666663</v>
      </c>
      <c r="J738" s="63">
        <f t="shared" si="52"/>
        <v>0.66666666666666663</v>
      </c>
      <c r="K738" s="60" t="s">
        <v>110</v>
      </c>
      <c r="L738" s="135">
        <v>3</v>
      </c>
      <c r="O738" s="98" t="s">
        <v>361</v>
      </c>
      <c r="P738" s="88">
        <v>5</v>
      </c>
      <c r="Z738" s="100"/>
    </row>
    <row r="739" spans="1:26" x14ac:dyDescent="0.25">
      <c r="A739" s="99">
        <v>45474</v>
      </c>
      <c r="B739" s="74">
        <v>45495</v>
      </c>
      <c r="C739" s="60" t="s">
        <v>45</v>
      </c>
      <c r="D739" s="60" t="s">
        <v>46</v>
      </c>
      <c r="E739" s="62" t="s">
        <v>368</v>
      </c>
      <c r="F739" s="73" t="s">
        <v>942</v>
      </c>
      <c r="G739" s="59" t="s">
        <v>142</v>
      </c>
      <c r="H739" s="83">
        <v>0.41666666666666669</v>
      </c>
      <c r="I739" s="83">
        <v>0.66666666666666663</v>
      </c>
      <c r="J739" s="63">
        <f t="shared" si="52"/>
        <v>0.24999999999999994</v>
      </c>
      <c r="K739" s="61" t="s">
        <v>110</v>
      </c>
      <c r="L739" s="135">
        <v>5.5</v>
      </c>
      <c r="O739" s="91" t="s">
        <v>361</v>
      </c>
      <c r="P739" s="88">
        <v>5</v>
      </c>
      <c r="Z739" s="100"/>
    </row>
    <row r="740" spans="1:26" x14ac:dyDescent="0.25">
      <c r="A740" s="99">
        <v>45474</v>
      </c>
      <c r="B740" s="74">
        <v>45496</v>
      </c>
      <c r="C740" s="60" t="s">
        <v>106</v>
      </c>
      <c r="D740" s="60" t="s">
        <v>483</v>
      </c>
      <c r="E740" s="115" t="s">
        <v>633</v>
      </c>
      <c r="F740" s="73" t="s">
        <v>943</v>
      </c>
      <c r="G740" s="72" t="s">
        <v>142</v>
      </c>
      <c r="H740" s="83">
        <v>0.45833333333333331</v>
      </c>
      <c r="I740" s="83">
        <v>4.1666666666666664E-2</v>
      </c>
      <c r="J740" s="63">
        <f>الجدول3[[#This Row],[ساعة الدخول ]]-الجدول3[[#This Row],[ساعة الخروج]]</f>
        <v>0.41666666666666663</v>
      </c>
      <c r="K740" s="60" t="s">
        <v>365</v>
      </c>
      <c r="L740" s="135">
        <v>3</v>
      </c>
      <c r="O740" s="98" t="s">
        <v>539</v>
      </c>
      <c r="P740" s="88">
        <v>5</v>
      </c>
      <c r="Z740" s="100"/>
    </row>
    <row r="741" spans="1:26" x14ac:dyDescent="0.25">
      <c r="A741" s="99">
        <v>45474</v>
      </c>
      <c r="B741" s="74">
        <v>45496</v>
      </c>
      <c r="C741" s="60" t="s">
        <v>106</v>
      </c>
      <c r="D741" s="60" t="s">
        <v>609</v>
      </c>
      <c r="E741" s="115" t="s">
        <v>944</v>
      </c>
      <c r="F741" s="60" t="s">
        <v>945</v>
      </c>
      <c r="G741" s="72" t="s">
        <v>142</v>
      </c>
      <c r="H741" s="83">
        <v>0.45833333333333331</v>
      </c>
      <c r="I741" s="83">
        <v>6.25E-2</v>
      </c>
      <c r="J741" s="63">
        <f>الجدول3[[#This Row],[ساعة الدخول ]]-الجدول3[[#This Row],[ساعة الخروج]]</f>
        <v>0.39583333333333331</v>
      </c>
      <c r="K741" s="88" t="s">
        <v>365</v>
      </c>
      <c r="L741" s="135">
        <f>24*J741</f>
        <v>9.5</v>
      </c>
      <c r="N741" s="60"/>
      <c r="O741" s="98" t="s">
        <v>358</v>
      </c>
      <c r="P741" s="88">
        <v>5</v>
      </c>
      <c r="Q741" s="60" t="s">
        <v>279</v>
      </c>
      <c r="V741" s="86"/>
      <c r="Z741" s="100"/>
    </row>
    <row r="742" spans="1:26" x14ac:dyDescent="0.25">
      <c r="A742" s="99">
        <v>45474</v>
      </c>
      <c r="B742" s="74">
        <v>45496</v>
      </c>
      <c r="C742" s="60" t="s">
        <v>106</v>
      </c>
      <c r="D742" s="60" t="s">
        <v>98</v>
      </c>
      <c r="E742" s="115" t="s">
        <v>946</v>
      </c>
      <c r="F742" s="60" t="s">
        <v>947</v>
      </c>
      <c r="G742" s="72" t="s">
        <v>142</v>
      </c>
      <c r="H742" s="83">
        <v>0.41666666666666669</v>
      </c>
      <c r="I742" s="83">
        <v>8.3333333333333329E-2</v>
      </c>
      <c r="J742" s="63">
        <f>الجدول3[[#This Row],[ساعة الدخول ]]-الجدول3[[#This Row],[ساعة الخروج]]</f>
        <v>0.33333333333333337</v>
      </c>
      <c r="K742" s="88" t="s">
        <v>296</v>
      </c>
      <c r="L742" s="135">
        <f>24*J742</f>
        <v>8</v>
      </c>
      <c r="N742" s="60"/>
      <c r="O742" s="98" t="s">
        <v>304</v>
      </c>
      <c r="P742" s="88">
        <v>3</v>
      </c>
      <c r="Q742" s="60" t="s">
        <v>948</v>
      </c>
      <c r="V742" s="86"/>
      <c r="Z742" s="100"/>
    </row>
    <row r="743" spans="1:26" x14ac:dyDescent="0.25">
      <c r="A743" s="99">
        <v>45474</v>
      </c>
      <c r="B743" s="74">
        <v>45496</v>
      </c>
      <c r="C743" s="60" t="s">
        <v>106</v>
      </c>
      <c r="D743" s="60" t="s">
        <v>840</v>
      </c>
      <c r="E743" s="115" t="s">
        <v>743</v>
      </c>
      <c r="F743" s="60" t="s">
        <v>949</v>
      </c>
      <c r="G743" s="72" t="s">
        <v>142</v>
      </c>
      <c r="H743" s="83">
        <v>0.375</v>
      </c>
      <c r="I743" s="83">
        <v>0.5</v>
      </c>
      <c r="J743" s="63">
        <f t="shared" ref="J743:J752" si="53">I743-H743</f>
        <v>0.125</v>
      </c>
      <c r="K743" s="88" t="s">
        <v>300</v>
      </c>
      <c r="L743" s="135">
        <f>24*J743</f>
        <v>3</v>
      </c>
      <c r="N743" s="60"/>
      <c r="O743" s="98" t="s">
        <v>362</v>
      </c>
      <c r="P743" s="88">
        <v>5</v>
      </c>
      <c r="Q743" s="60"/>
      <c r="V743" s="86"/>
      <c r="Z743" s="100"/>
    </row>
    <row r="744" spans="1:26" x14ac:dyDescent="0.25">
      <c r="A744" s="99">
        <v>45474</v>
      </c>
      <c r="B744" s="74">
        <v>45496</v>
      </c>
      <c r="C744" s="60" t="s">
        <v>106</v>
      </c>
      <c r="D744" s="60" t="s">
        <v>32</v>
      </c>
      <c r="E744" s="115" t="s">
        <v>388</v>
      </c>
      <c r="F744" s="73" t="s">
        <v>950</v>
      </c>
      <c r="G744" s="72" t="s">
        <v>142</v>
      </c>
      <c r="H744" s="83">
        <v>0.41666666666666669</v>
      </c>
      <c r="I744" s="83">
        <v>0.70833333333333337</v>
      </c>
      <c r="J744" s="63">
        <f t="shared" si="53"/>
        <v>0.29166666666666669</v>
      </c>
      <c r="K744" s="60" t="s">
        <v>110</v>
      </c>
      <c r="L744" s="135">
        <v>3</v>
      </c>
      <c r="O744" s="98" t="s">
        <v>361</v>
      </c>
      <c r="P744" s="88">
        <v>5</v>
      </c>
      <c r="Z744" s="100"/>
    </row>
    <row r="745" spans="1:26" x14ac:dyDescent="0.25">
      <c r="A745" s="99">
        <v>45474</v>
      </c>
      <c r="B745" s="74">
        <v>45496</v>
      </c>
      <c r="C745" s="60" t="s">
        <v>106</v>
      </c>
      <c r="D745" s="60" t="s">
        <v>740</v>
      </c>
      <c r="E745" s="115" t="s">
        <v>951</v>
      </c>
      <c r="F745" s="60" t="s">
        <v>883</v>
      </c>
      <c r="G745" s="72" t="s">
        <v>142</v>
      </c>
      <c r="H745" s="83">
        <v>0.41666666666666669</v>
      </c>
      <c r="I745" s="83">
        <v>0.70833333333333337</v>
      </c>
      <c r="J745" s="63">
        <f t="shared" si="53"/>
        <v>0.29166666666666669</v>
      </c>
      <c r="K745" s="88" t="s">
        <v>110</v>
      </c>
      <c r="L745" s="135">
        <f>24*J745</f>
        <v>7</v>
      </c>
      <c r="O745" s="91" t="s">
        <v>361</v>
      </c>
      <c r="P745" s="88">
        <v>5</v>
      </c>
      <c r="Z745" s="100"/>
    </row>
    <row r="746" spans="1:26" x14ac:dyDescent="0.25">
      <c r="A746" s="99">
        <v>45474</v>
      </c>
      <c r="B746" s="74">
        <v>45496</v>
      </c>
      <c r="C746" s="60" t="s">
        <v>106</v>
      </c>
      <c r="D746" s="60" t="s">
        <v>46</v>
      </c>
      <c r="E746" s="62" t="s">
        <v>368</v>
      </c>
      <c r="F746" s="73" t="s">
        <v>952</v>
      </c>
      <c r="G746" s="59" t="s">
        <v>142</v>
      </c>
      <c r="H746" s="83">
        <v>0.41666666666666669</v>
      </c>
      <c r="I746" s="83">
        <v>0.66666666666666663</v>
      </c>
      <c r="J746" s="63">
        <f t="shared" si="53"/>
        <v>0.24999999999999994</v>
      </c>
      <c r="K746" s="61" t="s">
        <v>110</v>
      </c>
      <c r="L746" s="135">
        <v>5.5</v>
      </c>
      <c r="O746" s="91" t="s">
        <v>361</v>
      </c>
      <c r="P746" s="88">
        <v>5</v>
      </c>
      <c r="Z746" s="100"/>
    </row>
    <row r="747" spans="1:26" x14ac:dyDescent="0.25">
      <c r="A747" s="99">
        <v>45474</v>
      </c>
      <c r="B747" s="74">
        <v>45497</v>
      </c>
      <c r="C747" s="60" t="s">
        <v>398</v>
      </c>
      <c r="D747" s="60" t="s">
        <v>954</v>
      </c>
      <c r="E747" s="115" t="s">
        <v>953</v>
      </c>
      <c r="F747" s="60" t="s">
        <v>393</v>
      </c>
      <c r="G747" s="72" t="s">
        <v>142</v>
      </c>
      <c r="H747" s="83">
        <v>0.52083333333333337</v>
      </c>
      <c r="I747" s="83">
        <v>0.66666666666666663</v>
      </c>
      <c r="J747" s="63">
        <f t="shared" si="53"/>
        <v>0.14583333333333326</v>
      </c>
      <c r="K747" s="88" t="s">
        <v>300</v>
      </c>
      <c r="L747" s="135">
        <f t="shared" ref="L747:L753" si="54">24*J747</f>
        <v>3.4999999999999982</v>
      </c>
      <c r="N747" s="60"/>
      <c r="O747" s="98" t="s">
        <v>362</v>
      </c>
      <c r="P747" s="88">
        <v>5</v>
      </c>
      <c r="Q747" s="60"/>
      <c r="V747" s="86"/>
      <c r="Z747" s="100"/>
    </row>
    <row r="748" spans="1:26" x14ac:dyDescent="0.25">
      <c r="A748" s="99">
        <v>45474</v>
      </c>
      <c r="B748" s="74">
        <v>45497</v>
      </c>
      <c r="C748" s="60" t="s">
        <v>398</v>
      </c>
      <c r="D748" s="60" t="s">
        <v>481</v>
      </c>
      <c r="E748" s="115" t="s">
        <v>368</v>
      </c>
      <c r="F748" s="60" t="s">
        <v>955</v>
      </c>
      <c r="G748" s="72" t="s">
        <v>142</v>
      </c>
      <c r="H748" s="83">
        <v>0.41666666666666669</v>
      </c>
      <c r="I748" s="83">
        <v>0.66666666666666663</v>
      </c>
      <c r="J748" s="63">
        <f t="shared" si="53"/>
        <v>0.24999999999999994</v>
      </c>
      <c r="K748" s="88" t="s">
        <v>113</v>
      </c>
      <c r="L748" s="135">
        <f t="shared" si="54"/>
        <v>5.9999999999999982</v>
      </c>
      <c r="N748" s="60"/>
      <c r="O748" s="98" t="s">
        <v>539</v>
      </c>
      <c r="P748" s="88">
        <v>5</v>
      </c>
      <c r="Q748" s="60" t="s">
        <v>279</v>
      </c>
      <c r="V748" s="86"/>
      <c r="Z748" s="100"/>
    </row>
    <row r="749" spans="1:26" x14ac:dyDescent="0.25">
      <c r="A749" s="99">
        <v>45474</v>
      </c>
      <c r="B749" s="74">
        <v>45497</v>
      </c>
      <c r="C749" s="60" t="s">
        <v>398</v>
      </c>
      <c r="D749" s="60" t="s">
        <v>98</v>
      </c>
      <c r="E749" s="115" t="s">
        <v>956</v>
      </c>
      <c r="F749" s="60" t="s">
        <v>957</v>
      </c>
      <c r="G749" s="72" t="s">
        <v>142</v>
      </c>
      <c r="H749" s="83">
        <v>0.4375</v>
      </c>
      <c r="I749" s="83">
        <v>0.47916666666666669</v>
      </c>
      <c r="J749" s="63">
        <f t="shared" si="53"/>
        <v>4.1666666666666685E-2</v>
      </c>
      <c r="K749" s="88" t="s">
        <v>296</v>
      </c>
      <c r="L749" s="135">
        <f t="shared" si="54"/>
        <v>1.0000000000000004</v>
      </c>
      <c r="N749" s="60"/>
      <c r="O749" s="98" t="s">
        <v>304</v>
      </c>
      <c r="P749" s="88">
        <v>5</v>
      </c>
      <c r="Q749" s="60" t="s">
        <v>279</v>
      </c>
      <c r="V749" s="86"/>
      <c r="Z749" s="100"/>
    </row>
    <row r="750" spans="1:26" x14ac:dyDescent="0.25">
      <c r="A750" s="99">
        <v>45474</v>
      </c>
      <c r="B750" s="74">
        <v>45497</v>
      </c>
      <c r="C750" s="60" t="s">
        <v>398</v>
      </c>
      <c r="D750" s="60" t="s">
        <v>740</v>
      </c>
      <c r="E750" s="115" t="s">
        <v>861</v>
      </c>
      <c r="F750" s="60" t="s">
        <v>883</v>
      </c>
      <c r="G750" s="72" t="s">
        <v>142</v>
      </c>
      <c r="H750" s="83">
        <v>0.41666666666666669</v>
      </c>
      <c r="I750" s="83">
        <v>0.70833333333333337</v>
      </c>
      <c r="J750" s="63">
        <f t="shared" si="53"/>
        <v>0.29166666666666669</v>
      </c>
      <c r="K750" s="88" t="s">
        <v>110</v>
      </c>
      <c r="L750" s="135">
        <f t="shared" si="54"/>
        <v>7</v>
      </c>
      <c r="O750" s="91" t="s">
        <v>361</v>
      </c>
      <c r="P750" s="88">
        <v>5</v>
      </c>
      <c r="Z750" s="100"/>
    </row>
    <row r="751" spans="1:26" x14ac:dyDescent="0.25">
      <c r="A751" s="99">
        <v>45474</v>
      </c>
      <c r="B751" s="74">
        <v>45498</v>
      </c>
      <c r="C751" s="60" t="s">
        <v>124</v>
      </c>
      <c r="D751" s="60" t="s">
        <v>481</v>
      </c>
      <c r="E751" s="115" t="s">
        <v>368</v>
      </c>
      <c r="F751" s="60" t="s">
        <v>958</v>
      </c>
      <c r="G751" s="72" t="s">
        <v>142</v>
      </c>
      <c r="H751" s="83">
        <v>0.41666666666666669</v>
      </c>
      <c r="I751" s="83">
        <v>0.66666666666666663</v>
      </c>
      <c r="J751" s="63">
        <f t="shared" si="53"/>
        <v>0.24999999999999994</v>
      </c>
      <c r="K751" s="88" t="s">
        <v>113</v>
      </c>
      <c r="L751" s="135">
        <f t="shared" si="54"/>
        <v>5.9999999999999982</v>
      </c>
      <c r="N751" s="60"/>
      <c r="O751" s="98" t="s">
        <v>539</v>
      </c>
      <c r="P751" s="88">
        <v>5</v>
      </c>
      <c r="Q751" s="60" t="s">
        <v>279</v>
      </c>
      <c r="V751" s="86"/>
      <c r="Z751" s="100"/>
    </row>
    <row r="752" spans="1:26" x14ac:dyDescent="0.25">
      <c r="A752" s="99">
        <v>45474</v>
      </c>
      <c r="B752" s="74">
        <v>45498</v>
      </c>
      <c r="C752" s="60" t="s">
        <v>124</v>
      </c>
      <c r="D752" s="60" t="s">
        <v>481</v>
      </c>
      <c r="E752" s="115" t="s">
        <v>959</v>
      </c>
      <c r="F752" s="60" t="s">
        <v>960</v>
      </c>
      <c r="G752" s="72" t="s">
        <v>142</v>
      </c>
      <c r="H752" s="83">
        <v>0.45833333333333331</v>
      </c>
      <c r="I752" s="83">
        <v>0.6875</v>
      </c>
      <c r="J752" s="63">
        <f t="shared" si="53"/>
        <v>0.22916666666666669</v>
      </c>
      <c r="K752" s="88" t="s">
        <v>300</v>
      </c>
      <c r="L752" s="135">
        <f t="shared" si="54"/>
        <v>5.5</v>
      </c>
      <c r="N752" s="60"/>
      <c r="O752" s="98" t="s">
        <v>362</v>
      </c>
      <c r="P752" s="88">
        <v>5</v>
      </c>
      <c r="Q752" s="60"/>
      <c r="V752" s="86"/>
      <c r="Z752" s="100"/>
    </row>
    <row r="753" spans="1:137" x14ac:dyDescent="0.25">
      <c r="A753" s="99">
        <v>45474</v>
      </c>
      <c r="B753" s="74">
        <v>45498</v>
      </c>
      <c r="C753" s="60" t="s">
        <v>124</v>
      </c>
      <c r="D753" s="60" t="s">
        <v>740</v>
      </c>
      <c r="E753" s="115" t="s">
        <v>961</v>
      </c>
      <c r="F753" s="60" t="s">
        <v>962</v>
      </c>
      <c r="G753" s="72" t="s">
        <v>142</v>
      </c>
      <c r="H753" s="83">
        <v>0.89583333333333337</v>
      </c>
      <c r="I753" s="83">
        <v>0.70833333333333337</v>
      </c>
      <c r="J753" s="63">
        <f>الجدول3[[#This Row],[ساعة الدخول ]]-الجدول3[[#This Row],[ساعة الخروج]]</f>
        <v>0.1875</v>
      </c>
      <c r="K753" s="88" t="s">
        <v>110</v>
      </c>
      <c r="L753" s="135">
        <f t="shared" si="54"/>
        <v>4.5</v>
      </c>
      <c r="O753" s="91" t="s">
        <v>358</v>
      </c>
      <c r="P753" s="88">
        <v>3</v>
      </c>
      <c r="Q753" s="61" t="s">
        <v>777</v>
      </c>
      <c r="Z753" s="100"/>
    </row>
    <row r="754" spans="1:137" x14ac:dyDescent="0.25">
      <c r="A754" s="99">
        <v>45474</v>
      </c>
      <c r="B754" s="74">
        <v>45498</v>
      </c>
      <c r="C754" s="60" t="s">
        <v>124</v>
      </c>
      <c r="D754" s="60" t="s">
        <v>98</v>
      </c>
      <c r="E754" s="115" t="s">
        <v>505</v>
      </c>
      <c r="F754" s="73" t="s">
        <v>963</v>
      </c>
      <c r="G754" s="72" t="s">
        <v>142</v>
      </c>
      <c r="H754" s="83">
        <v>0.41666666666666669</v>
      </c>
      <c r="I754" s="83">
        <v>0.6875</v>
      </c>
      <c r="J754" s="63">
        <f>I754-H754</f>
        <v>0.27083333333333331</v>
      </c>
      <c r="K754" s="60" t="s">
        <v>365</v>
      </c>
      <c r="L754" s="135">
        <v>3</v>
      </c>
      <c r="O754" s="98" t="s">
        <v>357</v>
      </c>
      <c r="P754" s="88">
        <v>5</v>
      </c>
      <c r="Z754" s="100"/>
    </row>
    <row r="755" spans="1:137" x14ac:dyDescent="0.25">
      <c r="A755" s="99">
        <v>45474</v>
      </c>
      <c r="B755" s="74">
        <v>45498</v>
      </c>
      <c r="C755" s="60" t="s">
        <v>124</v>
      </c>
      <c r="D755" s="60" t="s">
        <v>740</v>
      </c>
      <c r="E755" s="115" t="s">
        <v>861</v>
      </c>
      <c r="F755" s="60" t="s">
        <v>883</v>
      </c>
      <c r="G755" s="72" t="s">
        <v>142</v>
      </c>
      <c r="H755" s="83">
        <v>0.89583333333333337</v>
      </c>
      <c r="I755" s="83">
        <v>0.70833333333333337</v>
      </c>
      <c r="J755" s="63">
        <f>الجدول3[[#This Row],[ساعة الدخول ]]-الجدول3[[#This Row],[ساعة الخروج]]</f>
        <v>0.1875</v>
      </c>
      <c r="K755" s="88" t="s">
        <v>110</v>
      </c>
      <c r="L755" s="135">
        <f>24*J755</f>
        <v>4.5</v>
      </c>
      <c r="O755" s="91" t="s">
        <v>358</v>
      </c>
      <c r="P755" s="88">
        <v>3</v>
      </c>
      <c r="Q755" s="61" t="s">
        <v>777</v>
      </c>
      <c r="Z755" s="100"/>
    </row>
    <row r="756" spans="1:137" ht="14.45" customHeight="1" x14ac:dyDescent="0.25">
      <c r="A756" s="99">
        <v>45474</v>
      </c>
      <c r="B756" s="74">
        <v>45500</v>
      </c>
      <c r="C756" s="60" t="s">
        <v>34</v>
      </c>
      <c r="D756" s="60" t="s">
        <v>98</v>
      </c>
      <c r="E756" s="115" t="s">
        <v>505</v>
      </c>
      <c r="F756" s="60" t="s">
        <v>975</v>
      </c>
      <c r="G756" s="72" t="s">
        <v>142</v>
      </c>
      <c r="H756" s="83">
        <v>0.54166666666666663</v>
      </c>
      <c r="I756" s="83">
        <v>0.625</v>
      </c>
      <c r="J756" s="63">
        <f>I756-H756</f>
        <v>8.333333333333337E-2</v>
      </c>
      <c r="K756" s="88" t="s">
        <v>296</v>
      </c>
      <c r="L756" s="135">
        <f>24*J756</f>
        <v>2.0000000000000009</v>
      </c>
      <c r="N756" s="60"/>
      <c r="O756" s="98" t="s">
        <v>304</v>
      </c>
      <c r="P756" s="88">
        <v>5</v>
      </c>
      <c r="Q756" s="60" t="s">
        <v>279</v>
      </c>
      <c r="V756" s="86"/>
      <c r="Z756" s="100"/>
    </row>
    <row r="757" spans="1:137" ht="14.45" customHeight="1" x14ac:dyDescent="0.25">
      <c r="A757" s="99">
        <v>45474</v>
      </c>
      <c r="B757" s="74">
        <v>45500</v>
      </c>
      <c r="C757" s="60" t="s">
        <v>34</v>
      </c>
      <c r="D757" s="60" t="s">
        <v>325</v>
      </c>
      <c r="E757" s="115" t="s">
        <v>973</v>
      </c>
      <c r="F757" s="73" t="s">
        <v>974</v>
      </c>
      <c r="G757" s="72" t="s">
        <v>142</v>
      </c>
      <c r="H757" s="83">
        <v>6.25E-2</v>
      </c>
      <c r="I757" s="83">
        <v>0.70833333333333337</v>
      </c>
      <c r="J757" s="63">
        <f>I757-H757</f>
        <v>0.64583333333333337</v>
      </c>
      <c r="K757" s="60" t="s">
        <v>113</v>
      </c>
      <c r="L757" s="135">
        <v>3</v>
      </c>
      <c r="O757" s="98" t="s">
        <v>314</v>
      </c>
      <c r="P757" s="88">
        <v>5</v>
      </c>
      <c r="Z757" s="100"/>
    </row>
    <row r="758" spans="1:137" x14ac:dyDescent="0.25">
      <c r="A758" s="99">
        <v>45474</v>
      </c>
      <c r="B758" s="74">
        <v>45500</v>
      </c>
      <c r="C758" s="60" t="s">
        <v>34</v>
      </c>
      <c r="D758" s="60" t="s">
        <v>483</v>
      </c>
      <c r="E758" s="115" t="s">
        <v>884</v>
      </c>
      <c r="F758" s="73" t="s">
        <v>972</v>
      </c>
      <c r="G758" s="72" t="s">
        <v>142</v>
      </c>
      <c r="H758" s="83">
        <v>0.66666666666666663</v>
      </c>
      <c r="I758" s="83">
        <v>0.85416666666666663</v>
      </c>
      <c r="J758" s="63">
        <f>I758-H758</f>
        <v>0.1875</v>
      </c>
      <c r="K758" s="60" t="s">
        <v>113</v>
      </c>
      <c r="L758" s="135">
        <v>3</v>
      </c>
      <c r="O758" s="98" t="s">
        <v>314</v>
      </c>
      <c r="P758" s="88">
        <v>5</v>
      </c>
      <c r="Z758" s="100"/>
    </row>
    <row r="759" spans="1:137" x14ac:dyDescent="0.25">
      <c r="A759" s="99">
        <v>45474</v>
      </c>
      <c r="B759" s="74">
        <v>45500</v>
      </c>
      <c r="C759" s="60" t="s">
        <v>34</v>
      </c>
      <c r="D759" s="60" t="s">
        <v>483</v>
      </c>
      <c r="E759" s="115" t="s">
        <v>884</v>
      </c>
      <c r="F759" s="73" t="s">
        <v>964</v>
      </c>
      <c r="G759" s="72" t="s">
        <v>142</v>
      </c>
      <c r="H759" s="83">
        <v>4.1666666666666664E-2</v>
      </c>
      <c r="I759" s="83">
        <v>0.66666666666666663</v>
      </c>
      <c r="J759" s="63">
        <f>I759-H759</f>
        <v>0.625</v>
      </c>
      <c r="K759" s="60" t="s">
        <v>365</v>
      </c>
      <c r="L759" s="135">
        <v>3</v>
      </c>
      <c r="O759" s="98" t="s">
        <v>821</v>
      </c>
      <c r="P759" s="88">
        <v>5</v>
      </c>
      <c r="Z759" s="100"/>
    </row>
    <row r="760" spans="1:137" x14ac:dyDescent="0.25">
      <c r="A760" s="99">
        <v>45474</v>
      </c>
      <c r="B760" s="74">
        <v>45500</v>
      </c>
      <c r="C760" s="60" t="s">
        <v>34</v>
      </c>
      <c r="D760" s="60" t="s">
        <v>740</v>
      </c>
      <c r="E760" s="115" t="s">
        <v>861</v>
      </c>
      <c r="F760" s="60" t="s">
        <v>883</v>
      </c>
      <c r="G760" s="72" t="s">
        <v>142</v>
      </c>
      <c r="H760" s="83">
        <v>0.41666666666666669</v>
      </c>
      <c r="I760" s="83">
        <v>0.70833333333333337</v>
      </c>
      <c r="J760" s="63">
        <f>I760-H760</f>
        <v>0.29166666666666669</v>
      </c>
      <c r="K760" s="88" t="s">
        <v>110</v>
      </c>
      <c r="L760" s="135">
        <f>24*J760</f>
        <v>7</v>
      </c>
      <c r="O760" s="91" t="s">
        <v>363</v>
      </c>
      <c r="P760" s="88">
        <v>5</v>
      </c>
      <c r="Z760" s="100"/>
    </row>
    <row r="761" spans="1:137" x14ac:dyDescent="0.25">
      <c r="A761" s="99">
        <v>45474</v>
      </c>
      <c r="B761" s="74">
        <v>45500</v>
      </c>
      <c r="C761" s="60" t="s">
        <v>34</v>
      </c>
      <c r="D761" s="60" t="s">
        <v>481</v>
      </c>
      <c r="E761" s="115" t="s">
        <v>965</v>
      </c>
      <c r="F761" s="60" t="s">
        <v>966</v>
      </c>
      <c r="G761" s="72" t="s">
        <v>142</v>
      </c>
      <c r="H761" s="83">
        <v>0.41666666666666669</v>
      </c>
      <c r="I761" s="83">
        <v>0.5</v>
      </c>
      <c r="J761" s="63">
        <f>الجدول3[[#This Row],[ساعة الخروج]]-الجدول3[[#This Row],[ساعة الدخول ]]</f>
        <v>8.3333333333333315E-2</v>
      </c>
      <c r="K761" s="88" t="s">
        <v>110</v>
      </c>
      <c r="L761" s="135">
        <f>24*J761</f>
        <v>1.9999999999999996</v>
      </c>
      <c r="O761" s="91" t="s">
        <v>363</v>
      </c>
      <c r="P761" s="88">
        <v>5</v>
      </c>
      <c r="Z761" s="100"/>
    </row>
    <row r="762" spans="1:137" s="16" customFormat="1" x14ac:dyDescent="0.25">
      <c r="A762" s="99">
        <v>45474</v>
      </c>
      <c r="B762" s="74">
        <v>45501</v>
      </c>
      <c r="C762" s="60" t="s">
        <v>31</v>
      </c>
      <c r="D762" s="60" t="s">
        <v>830</v>
      </c>
      <c r="E762" s="115" t="s">
        <v>967</v>
      </c>
      <c r="F762" s="60" t="s">
        <v>968</v>
      </c>
      <c r="G762" s="72" t="s">
        <v>142</v>
      </c>
      <c r="H762" s="83">
        <v>0.4375</v>
      </c>
      <c r="I762" s="83">
        <v>0.125</v>
      </c>
      <c r="J762" s="63">
        <f>الجدول3[[#This Row],[ساعة الدخول ]]-الجدول3[[#This Row],[ساعة الخروج]]</f>
        <v>0.3125</v>
      </c>
      <c r="K762" s="88" t="s">
        <v>365</v>
      </c>
      <c r="L762" s="135">
        <f>24*J762</f>
        <v>7.5</v>
      </c>
      <c r="M762" s="61"/>
      <c r="N762" s="60"/>
      <c r="O762" s="91" t="s">
        <v>820</v>
      </c>
      <c r="P762" s="88">
        <v>5</v>
      </c>
      <c r="Q762" s="60"/>
      <c r="R762" s="61"/>
      <c r="S762" s="61"/>
      <c r="T762" s="61"/>
      <c r="U762" s="61"/>
      <c r="V762" s="92"/>
      <c r="W762" s="61"/>
      <c r="X762" s="89"/>
      <c r="Y762" s="61"/>
      <c r="Z762" s="100"/>
      <c r="AA762" s="61"/>
      <c r="AB762" s="61"/>
      <c r="AC762" s="61"/>
      <c r="AD762" s="61"/>
      <c r="AE762" s="61"/>
      <c r="AF762" s="61"/>
      <c r="AG762" s="61"/>
      <c r="AH762" s="61"/>
      <c r="AI762" s="61"/>
      <c r="AJ762" s="61"/>
      <c r="AK762" s="61"/>
      <c r="AL762" s="61"/>
      <c r="AM762" s="61"/>
      <c r="AN762" s="61"/>
      <c r="AO762" s="61"/>
      <c r="AP762" s="61"/>
      <c r="AQ762" s="61"/>
      <c r="AR762" s="61"/>
      <c r="AS762" s="61"/>
      <c r="AT762" s="61"/>
      <c r="AU762" s="61"/>
      <c r="AV762" s="61"/>
      <c r="AW762" s="61"/>
      <c r="AX762" s="61"/>
      <c r="AY762" s="61"/>
      <c r="AZ762" s="61"/>
      <c r="BA762" s="61"/>
      <c r="BB762" s="61"/>
      <c r="BC762" s="61"/>
      <c r="BD762" s="61"/>
      <c r="BE762" s="61"/>
      <c r="BF762" s="61"/>
      <c r="BG762" s="61"/>
      <c r="BH762" s="61"/>
      <c r="BI762" s="61"/>
      <c r="BJ762" s="61"/>
      <c r="BK762" s="61"/>
      <c r="BL762" s="61"/>
      <c r="BM762" s="61"/>
      <c r="BN762" s="61"/>
      <c r="BO762" s="61"/>
      <c r="BP762" s="61"/>
      <c r="BQ762" s="61"/>
      <c r="BR762" s="61"/>
      <c r="BS762" s="61"/>
      <c r="BT762" s="61"/>
      <c r="BU762" s="61"/>
      <c r="BV762" s="61"/>
      <c r="BW762" s="61"/>
      <c r="BX762" s="61"/>
      <c r="BY762" s="61"/>
      <c r="BZ762" s="61"/>
      <c r="CA762" s="61"/>
      <c r="CB762" s="61"/>
      <c r="CC762" s="61"/>
      <c r="CD762" s="61"/>
      <c r="CE762" s="61"/>
      <c r="CF762" s="61"/>
      <c r="CG762" s="61"/>
      <c r="CH762" s="61"/>
      <c r="CI762" s="61"/>
      <c r="CJ762" s="61"/>
      <c r="CK762" s="61"/>
      <c r="CL762" s="61"/>
      <c r="CM762" s="61"/>
      <c r="CN762" s="61"/>
      <c r="CO762" s="61"/>
      <c r="CP762" s="61"/>
      <c r="CQ762" s="61"/>
      <c r="CR762" s="61"/>
      <c r="CS762" s="61"/>
      <c r="CT762" s="61"/>
      <c r="CU762" s="61"/>
      <c r="CV762" s="61"/>
      <c r="CW762" s="61"/>
      <c r="CX762" s="61"/>
      <c r="CY762" s="61"/>
      <c r="CZ762" s="61"/>
      <c r="DA762" s="61"/>
      <c r="DB762" s="61"/>
      <c r="DC762" s="61"/>
      <c r="DD762" s="61"/>
      <c r="DE762" s="61"/>
      <c r="DF762" s="61"/>
      <c r="DG762" s="61"/>
      <c r="DH762" s="61"/>
      <c r="DI762" s="61"/>
      <c r="DJ762" s="61"/>
      <c r="DK762" s="61"/>
      <c r="DL762" s="61"/>
      <c r="DM762" s="61"/>
      <c r="DN762" s="61"/>
      <c r="DO762" s="61"/>
      <c r="DP762" s="61"/>
      <c r="DQ762" s="61"/>
      <c r="DR762" s="61"/>
      <c r="DS762" s="61"/>
      <c r="DT762" s="61"/>
      <c r="DU762" s="61"/>
      <c r="DV762" s="61"/>
      <c r="DW762" s="61"/>
      <c r="DX762" s="61"/>
      <c r="DY762" s="61"/>
      <c r="DZ762" s="61"/>
      <c r="EA762" s="61"/>
      <c r="EB762" s="61"/>
      <c r="EC762" s="61"/>
      <c r="ED762" s="61"/>
      <c r="EE762" s="61"/>
      <c r="EF762" s="61"/>
      <c r="EG762" s="61"/>
    </row>
    <row r="763" spans="1:137" x14ac:dyDescent="0.25">
      <c r="A763" s="99">
        <v>45474</v>
      </c>
      <c r="B763" s="74">
        <v>45501</v>
      </c>
      <c r="C763" s="60" t="s">
        <v>31</v>
      </c>
      <c r="D763" s="60" t="s">
        <v>98</v>
      </c>
      <c r="E763" s="115" t="s">
        <v>969</v>
      </c>
      <c r="F763" s="73" t="s">
        <v>970</v>
      </c>
      <c r="G763" s="72" t="s">
        <v>142</v>
      </c>
      <c r="H763" s="83">
        <v>0.4375</v>
      </c>
      <c r="I763" s="83">
        <v>0.60416666666666663</v>
      </c>
      <c r="J763" s="63">
        <f t="shared" ref="J763:J780" si="55">I763-H763</f>
        <v>0.16666666666666663</v>
      </c>
      <c r="K763" s="60" t="s">
        <v>365</v>
      </c>
      <c r="L763" s="135">
        <v>3</v>
      </c>
      <c r="O763" s="98" t="s">
        <v>314</v>
      </c>
      <c r="P763" s="88">
        <v>5</v>
      </c>
      <c r="Z763" s="100"/>
    </row>
    <row r="764" spans="1:137" x14ac:dyDescent="0.25">
      <c r="A764" s="99">
        <v>45474</v>
      </c>
      <c r="B764" s="74">
        <v>45501</v>
      </c>
      <c r="C764" s="60" t="s">
        <v>31</v>
      </c>
      <c r="D764" s="60" t="s">
        <v>483</v>
      </c>
      <c r="E764" s="115" t="s">
        <v>884</v>
      </c>
      <c r="F764" s="73" t="s">
        <v>971</v>
      </c>
      <c r="G764" s="72" t="s">
        <v>142</v>
      </c>
      <c r="H764" s="83">
        <v>0.10416666666666667</v>
      </c>
      <c r="I764" s="83">
        <v>0.125</v>
      </c>
      <c r="J764" s="63">
        <f t="shared" si="55"/>
        <v>2.0833333333333329E-2</v>
      </c>
      <c r="K764" s="60" t="s">
        <v>365</v>
      </c>
      <c r="L764" s="135">
        <v>3</v>
      </c>
      <c r="O764" s="98" t="s">
        <v>359</v>
      </c>
      <c r="P764" s="88">
        <v>5</v>
      </c>
      <c r="Z764" s="100"/>
    </row>
    <row r="765" spans="1:137" x14ac:dyDescent="0.25">
      <c r="A765" s="99">
        <v>45474</v>
      </c>
      <c r="B765" s="74">
        <v>45501</v>
      </c>
      <c r="C765" s="60" t="s">
        <v>31</v>
      </c>
      <c r="D765" s="60" t="s">
        <v>740</v>
      </c>
      <c r="E765" s="115" t="s">
        <v>757</v>
      </c>
      <c r="F765" s="60" t="s">
        <v>883</v>
      </c>
      <c r="G765" s="72" t="s">
        <v>142</v>
      </c>
      <c r="H765" s="83">
        <v>0.41666666666666669</v>
      </c>
      <c r="I765" s="83">
        <v>0.70833333333333337</v>
      </c>
      <c r="J765" s="63">
        <f t="shared" si="55"/>
        <v>0.29166666666666669</v>
      </c>
      <c r="K765" s="88" t="s">
        <v>110</v>
      </c>
      <c r="L765" s="135">
        <f>24*J765</f>
        <v>7</v>
      </c>
      <c r="O765" s="91" t="s">
        <v>361</v>
      </c>
      <c r="P765" s="88">
        <v>5</v>
      </c>
      <c r="Z765" s="100"/>
    </row>
    <row r="766" spans="1:137" x14ac:dyDescent="0.25">
      <c r="A766" s="99">
        <v>45474</v>
      </c>
      <c r="B766" s="74">
        <v>45501</v>
      </c>
      <c r="C766" s="60" t="s">
        <v>31</v>
      </c>
      <c r="D766" s="60" t="s">
        <v>46</v>
      </c>
      <c r="E766" s="62" t="s">
        <v>368</v>
      </c>
      <c r="F766" s="73" t="s">
        <v>976</v>
      </c>
      <c r="G766" s="59" t="s">
        <v>142</v>
      </c>
      <c r="H766" s="83">
        <v>0.41666666666666669</v>
      </c>
      <c r="I766" s="83">
        <v>0.58333333333333337</v>
      </c>
      <c r="J766" s="63">
        <f t="shared" si="55"/>
        <v>0.16666666666666669</v>
      </c>
      <c r="K766" s="88" t="s">
        <v>110</v>
      </c>
      <c r="L766" s="135">
        <v>5.5</v>
      </c>
      <c r="O766" s="91" t="s">
        <v>361</v>
      </c>
      <c r="P766" s="88">
        <v>5</v>
      </c>
      <c r="Z766" s="100"/>
    </row>
    <row r="767" spans="1:137" x14ac:dyDescent="0.25">
      <c r="A767" s="99">
        <v>45474</v>
      </c>
      <c r="B767" s="74">
        <v>45502</v>
      </c>
      <c r="C767" s="60" t="s">
        <v>45</v>
      </c>
      <c r="D767" s="60" t="s">
        <v>702</v>
      </c>
      <c r="E767" s="62" t="s">
        <v>368</v>
      </c>
      <c r="F767" s="73" t="s">
        <v>977</v>
      </c>
      <c r="G767" s="59" t="s">
        <v>142</v>
      </c>
      <c r="H767" s="83">
        <v>0</v>
      </c>
      <c r="I767" s="83">
        <v>0.66666666666666663</v>
      </c>
      <c r="J767" s="63">
        <f t="shared" si="55"/>
        <v>0.66666666666666663</v>
      </c>
      <c r="K767" s="88" t="s">
        <v>110</v>
      </c>
      <c r="L767" s="135">
        <v>5.5</v>
      </c>
      <c r="O767" s="91" t="s">
        <v>361</v>
      </c>
      <c r="P767" s="88">
        <v>5</v>
      </c>
      <c r="Z767" s="100"/>
    </row>
    <row r="768" spans="1:137" x14ac:dyDescent="0.25">
      <c r="A768" s="99">
        <v>45474</v>
      </c>
      <c r="B768" s="74">
        <v>45502</v>
      </c>
      <c r="C768" s="60" t="s">
        <v>45</v>
      </c>
      <c r="D768" s="60" t="s">
        <v>481</v>
      </c>
      <c r="E768" s="115" t="s">
        <v>368</v>
      </c>
      <c r="F768" s="60" t="s">
        <v>958</v>
      </c>
      <c r="G768" s="72" t="s">
        <v>142</v>
      </c>
      <c r="H768" s="83">
        <v>0.41666666666666669</v>
      </c>
      <c r="I768" s="83">
        <v>0.625</v>
      </c>
      <c r="J768" s="63">
        <f t="shared" si="55"/>
        <v>0.20833333333333331</v>
      </c>
      <c r="K768" s="88" t="s">
        <v>113</v>
      </c>
      <c r="L768" s="135">
        <f>24*J768</f>
        <v>5</v>
      </c>
      <c r="N768" s="60"/>
      <c r="O768" s="98" t="s">
        <v>539</v>
      </c>
      <c r="P768" s="88">
        <v>4</v>
      </c>
      <c r="Q768" s="60" t="s">
        <v>978</v>
      </c>
      <c r="V768" s="86"/>
      <c r="Z768" s="100"/>
    </row>
    <row r="769" spans="1:26" x14ac:dyDescent="0.25">
      <c r="A769" s="99">
        <v>45474</v>
      </c>
      <c r="B769" s="74">
        <v>45502</v>
      </c>
      <c r="C769" s="60" t="s">
        <v>45</v>
      </c>
      <c r="D769" s="60" t="s">
        <v>483</v>
      </c>
      <c r="E769" s="115" t="s">
        <v>884</v>
      </c>
      <c r="F769" s="73" t="s">
        <v>485</v>
      </c>
      <c r="G769" s="72" t="s">
        <v>142</v>
      </c>
      <c r="H769" s="83">
        <v>0.45833333333333331</v>
      </c>
      <c r="I769" s="83">
        <v>0.66666666666666663</v>
      </c>
      <c r="J769" s="63">
        <f t="shared" si="55"/>
        <v>0.20833333333333331</v>
      </c>
      <c r="K769" s="60" t="s">
        <v>365</v>
      </c>
      <c r="L769" s="135">
        <v>3</v>
      </c>
      <c r="O769" s="98" t="s">
        <v>363</v>
      </c>
      <c r="P769" s="88">
        <v>5</v>
      </c>
      <c r="Z769" s="100"/>
    </row>
    <row r="770" spans="1:26" x14ac:dyDescent="0.25">
      <c r="A770" s="99">
        <v>45474</v>
      </c>
      <c r="B770" s="74">
        <v>45502</v>
      </c>
      <c r="C770" s="60" t="s">
        <v>45</v>
      </c>
      <c r="D770" s="60" t="s">
        <v>830</v>
      </c>
      <c r="E770" s="115" t="s">
        <v>412</v>
      </c>
      <c r="F770" s="73" t="s">
        <v>988</v>
      </c>
      <c r="G770" s="72" t="s">
        <v>142</v>
      </c>
      <c r="H770" s="83">
        <v>0</v>
      </c>
      <c r="I770" s="83">
        <v>0.83333333333333337</v>
      </c>
      <c r="J770" s="63">
        <f t="shared" si="55"/>
        <v>0.83333333333333337</v>
      </c>
      <c r="K770" s="60" t="s">
        <v>113</v>
      </c>
      <c r="L770" s="135">
        <v>3</v>
      </c>
      <c r="O770" s="98" t="s">
        <v>539</v>
      </c>
      <c r="P770" s="88">
        <v>3</v>
      </c>
      <c r="Q770" s="60" t="s">
        <v>980</v>
      </c>
      <c r="Z770" s="100"/>
    </row>
    <row r="771" spans="1:26" x14ac:dyDescent="0.25">
      <c r="A771" s="99">
        <v>45474</v>
      </c>
      <c r="B771" s="74">
        <v>45502</v>
      </c>
      <c r="C771" s="60" t="s">
        <v>45</v>
      </c>
      <c r="D771" s="60" t="s">
        <v>98</v>
      </c>
      <c r="E771" s="115" t="s">
        <v>956</v>
      </c>
      <c r="F771" s="60" t="s">
        <v>992</v>
      </c>
      <c r="G771" s="72" t="s">
        <v>142</v>
      </c>
      <c r="H771" s="83">
        <v>0.54166666666666663</v>
      </c>
      <c r="I771" s="83">
        <v>0.60416666666666663</v>
      </c>
      <c r="J771" s="63">
        <f t="shared" si="55"/>
        <v>6.25E-2</v>
      </c>
      <c r="K771" s="88" t="s">
        <v>296</v>
      </c>
      <c r="L771" s="135">
        <f>24*J771</f>
        <v>1.5</v>
      </c>
      <c r="N771" s="60"/>
      <c r="O771" s="98" t="s">
        <v>304</v>
      </c>
      <c r="P771" s="88">
        <v>5</v>
      </c>
      <c r="Q771" s="60" t="s">
        <v>279</v>
      </c>
      <c r="V771" s="86"/>
      <c r="Z771" s="100"/>
    </row>
    <row r="772" spans="1:26" x14ac:dyDescent="0.25">
      <c r="A772" s="99">
        <v>45474</v>
      </c>
      <c r="B772" s="74">
        <v>45502</v>
      </c>
      <c r="C772" s="60" t="s">
        <v>45</v>
      </c>
      <c r="D772" s="60" t="s">
        <v>481</v>
      </c>
      <c r="E772" s="115" t="s">
        <v>368</v>
      </c>
      <c r="F772" s="60" t="s">
        <v>979</v>
      </c>
      <c r="G772" s="72" t="s">
        <v>142</v>
      </c>
      <c r="H772" s="83">
        <v>0.45833333333333331</v>
      </c>
      <c r="I772" s="83">
        <v>0.625</v>
      </c>
      <c r="J772" s="63">
        <f t="shared" si="55"/>
        <v>0.16666666666666669</v>
      </c>
      <c r="K772" s="88" t="s">
        <v>113</v>
      </c>
      <c r="L772" s="135">
        <f>24*J772</f>
        <v>4</v>
      </c>
      <c r="N772" s="60"/>
      <c r="O772" s="98" t="s">
        <v>361</v>
      </c>
      <c r="P772" s="88">
        <v>5</v>
      </c>
      <c r="Q772" s="60"/>
      <c r="V772" s="86"/>
      <c r="Z772" s="100"/>
    </row>
    <row r="773" spans="1:26" x14ac:dyDescent="0.25">
      <c r="A773" s="99">
        <v>45474</v>
      </c>
      <c r="B773" s="74">
        <v>45502</v>
      </c>
      <c r="C773" s="60" t="s">
        <v>45</v>
      </c>
      <c r="D773" s="60" t="s">
        <v>32</v>
      </c>
      <c r="E773" s="115" t="s">
        <v>388</v>
      </c>
      <c r="F773" s="73" t="s">
        <v>981</v>
      </c>
      <c r="G773" s="72" t="s">
        <v>142</v>
      </c>
      <c r="H773" s="83">
        <v>0.45833333333333331</v>
      </c>
      <c r="I773" s="83">
        <v>0.625</v>
      </c>
      <c r="J773" s="63">
        <f t="shared" si="55"/>
        <v>0.16666666666666669</v>
      </c>
      <c r="K773" s="60" t="s">
        <v>365</v>
      </c>
      <c r="L773" s="135">
        <v>3</v>
      </c>
      <c r="O773" s="98" t="s">
        <v>314</v>
      </c>
      <c r="P773" s="88">
        <v>5</v>
      </c>
      <c r="Z773" s="100"/>
    </row>
    <row r="774" spans="1:26" x14ac:dyDescent="0.25">
      <c r="A774" s="99">
        <v>45474</v>
      </c>
      <c r="B774" s="74">
        <v>45503</v>
      </c>
      <c r="C774" s="60" t="s">
        <v>106</v>
      </c>
      <c r="D774" s="60" t="s">
        <v>983</v>
      </c>
      <c r="E774" s="115" t="s">
        <v>769</v>
      </c>
      <c r="F774" s="73" t="s">
        <v>982</v>
      </c>
      <c r="G774" s="72" t="s">
        <v>142</v>
      </c>
      <c r="H774" s="83">
        <v>2.0833333333333332E-2</v>
      </c>
      <c r="I774" s="83">
        <v>0.70833333333333337</v>
      </c>
      <c r="J774" s="63">
        <f t="shared" si="55"/>
        <v>0.6875</v>
      </c>
      <c r="K774" s="60" t="s">
        <v>365</v>
      </c>
      <c r="L774" s="135">
        <v>3</v>
      </c>
      <c r="O774" s="98" t="s">
        <v>820</v>
      </c>
      <c r="P774" s="88">
        <v>5</v>
      </c>
      <c r="Z774" s="100"/>
    </row>
    <row r="775" spans="1:26" x14ac:dyDescent="0.25">
      <c r="A775" s="99">
        <v>45474</v>
      </c>
      <c r="B775" s="74">
        <v>45503</v>
      </c>
      <c r="C775" s="60" t="s">
        <v>106</v>
      </c>
      <c r="D775" s="60" t="s">
        <v>830</v>
      </c>
      <c r="E775" s="115" t="s">
        <v>967</v>
      </c>
      <c r="F775" s="60" t="s">
        <v>984</v>
      </c>
      <c r="G775" s="72" t="s">
        <v>142</v>
      </c>
      <c r="H775" s="83">
        <v>0.625</v>
      </c>
      <c r="I775" s="83">
        <v>0.66666666666666663</v>
      </c>
      <c r="J775" s="63">
        <f t="shared" si="55"/>
        <v>4.166666666666663E-2</v>
      </c>
      <c r="K775" s="88" t="s">
        <v>110</v>
      </c>
      <c r="L775" s="135">
        <f>24*J775</f>
        <v>0.99999999999999911</v>
      </c>
      <c r="O775" s="91" t="s">
        <v>361</v>
      </c>
      <c r="P775" s="88">
        <v>5</v>
      </c>
      <c r="Z775" s="100"/>
    </row>
    <row r="776" spans="1:26" x14ac:dyDescent="0.25">
      <c r="A776" s="99">
        <v>45474</v>
      </c>
      <c r="B776" s="74">
        <v>45503</v>
      </c>
      <c r="C776" s="60" t="s">
        <v>106</v>
      </c>
      <c r="D776" s="60" t="s">
        <v>481</v>
      </c>
      <c r="E776" s="115" t="s">
        <v>368</v>
      </c>
      <c r="F776" s="60" t="s">
        <v>991</v>
      </c>
      <c r="G776" s="72" t="s">
        <v>142</v>
      </c>
      <c r="H776" s="83">
        <v>0.41666666666666669</v>
      </c>
      <c r="I776" s="83">
        <v>0.625</v>
      </c>
      <c r="J776" s="63">
        <f t="shared" si="55"/>
        <v>0.20833333333333331</v>
      </c>
      <c r="K776" s="88" t="s">
        <v>113</v>
      </c>
      <c r="L776" s="135">
        <f>24*J776</f>
        <v>5</v>
      </c>
      <c r="N776" s="60"/>
      <c r="O776" s="98" t="s">
        <v>539</v>
      </c>
      <c r="P776" s="88">
        <v>5</v>
      </c>
      <c r="Q776" s="60"/>
      <c r="V776" s="86"/>
      <c r="Z776" s="100"/>
    </row>
    <row r="777" spans="1:26" x14ac:dyDescent="0.25">
      <c r="A777" s="99">
        <v>45474</v>
      </c>
      <c r="B777" s="74">
        <v>45503</v>
      </c>
      <c r="C777" s="60" t="s">
        <v>106</v>
      </c>
      <c r="D777" s="60" t="s">
        <v>325</v>
      </c>
      <c r="E777" s="115" t="s">
        <v>985</v>
      </c>
      <c r="F777" s="73" t="s">
        <v>974</v>
      </c>
      <c r="G777" s="72" t="s">
        <v>142</v>
      </c>
      <c r="H777" s="83">
        <v>0.41666666666666669</v>
      </c>
      <c r="I777" s="83">
        <v>0.625</v>
      </c>
      <c r="J777" s="63">
        <f t="shared" si="55"/>
        <v>0.20833333333333331</v>
      </c>
      <c r="K777" s="60" t="s">
        <v>113</v>
      </c>
      <c r="L777" s="135">
        <v>3</v>
      </c>
      <c r="O777" s="98" t="s">
        <v>539</v>
      </c>
      <c r="P777" s="88">
        <v>5</v>
      </c>
      <c r="Z777" s="100"/>
    </row>
    <row r="778" spans="1:26" x14ac:dyDescent="0.25">
      <c r="A778" s="99">
        <v>45474</v>
      </c>
      <c r="B778" s="74">
        <v>45503</v>
      </c>
      <c r="C778" s="60" t="s">
        <v>106</v>
      </c>
      <c r="D778" s="60" t="s">
        <v>481</v>
      </c>
      <c r="E778" s="115" t="s">
        <v>368</v>
      </c>
      <c r="F778" s="60" t="s">
        <v>986</v>
      </c>
      <c r="G778" s="72" t="s">
        <v>142</v>
      </c>
      <c r="H778" s="83">
        <v>0.45833333333333331</v>
      </c>
      <c r="I778" s="83">
        <v>0.58333333333333337</v>
      </c>
      <c r="J778" s="63">
        <f t="shared" si="55"/>
        <v>0.12500000000000006</v>
      </c>
      <c r="K778" s="88" t="s">
        <v>113</v>
      </c>
      <c r="L778" s="135">
        <f>24*J778</f>
        <v>3.0000000000000013</v>
      </c>
      <c r="N778" s="60"/>
      <c r="O778" s="98" t="s">
        <v>539</v>
      </c>
      <c r="P778" s="88">
        <v>3</v>
      </c>
      <c r="Q778" s="60" t="s">
        <v>980</v>
      </c>
      <c r="V778" s="86"/>
      <c r="Z778" s="100"/>
    </row>
    <row r="779" spans="1:26" x14ac:dyDescent="0.25">
      <c r="A779" s="99">
        <v>45474</v>
      </c>
      <c r="B779" s="74">
        <v>45503</v>
      </c>
      <c r="C779" s="60" t="s">
        <v>106</v>
      </c>
      <c r="D779" s="60" t="s">
        <v>830</v>
      </c>
      <c r="E779" s="115" t="s">
        <v>967</v>
      </c>
      <c r="F779" s="60" t="s">
        <v>987</v>
      </c>
      <c r="G779" s="72" t="s">
        <v>142</v>
      </c>
      <c r="H779" s="83">
        <v>0.41666666666666669</v>
      </c>
      <c r="I779" s="83">
        <v>0.625</v>
      </c>
      <c r="J779" s="63">
        <f t="shared" si="55"/>
        <v>0.20833333333333331</v>
      </c>
      <c r="K779" s="88" t="s">
        <v>113</v>
      </c>
      <c r="L779" s="135">
        <f>24*J779</f>
        <v>5</v>
      </c>
      <c r="O779" s="91" t="s">
        <v>539</v>
      </c>
      <c r="P779" s="88">
        <v>5</v>
      </c>
      <c r="Z779" s="100"/>
    </row>
    <row r="780" spans="1:26" x14ac:dyDescent="0.25">
      <c r="A780" s="99">
        <v>45474</v>
      </c>
      <c r="B780" s="74">
        <v>45503</v>
      </c>
      <c r="C780" s="60" t="s">
        <v>106</v>
      </c>
      <c r="D780" s="60" t="s">
        <v>98</v>
      </c>
      <c r="E780" s="115" t="s">
        <v>727</v>
      </c>
      <c r="F780" s="73" t="s">
        <v>989</v>
      </c>
      <c r="G780" s="72" t="s">
        <v>142</v>
      </c>
      <c r="H780" s="83">
        <v>0.58333333333333337</v>
      </c>
      <c r="I780" s="83">
        <v>0.625</v>
      </c>
      <c r="J780" s="63">
        <f t="shared" si="55"/>
        <v>4.166666666666663E-2</v>
      </c>
      <c r="K780" s="60" t="s">
        <v>113</v>
      </c>
      <c r="L780" s="135">
        <v>3</v>
      </c>
      <c r="O780" s="98" t="s">
        <v>539</v>
      </c>
      <c r="P780" s="88">
        <v>5</v>
      </c>
      <c r="Z780" s="100"/>
    </row>
    <row r="781" spans="1:26" x14ac:dyDescent="0.25">
      <c r="A781" s="99">
        <v>45474</v>
      </c>
      <c r="B781" s="74">
        <v>45503</v>
      </c>
      <c r="C781" s="60" t="s">
        <v>106</v>
      </c>
      <c r="D781" s="60" t="s">
        <v>483</v>
      </c>
      <c r="E781" s="115" t="s">
        <v>884</v>
      </c>
      <c r="F781" s="73" t="s">
        <v>485</v>
      </c>
      <c r="G781" s="72" t="s">
        <v>142</v>
      </c>
      <c r="H781" s="83">
        <v>0.89583333333333337</v>
      </c>
      <c r="I781" s="83">
        <v>0.4375</v>
      </c>
      <c r="J781" s="63">
        <f>الجدول3[[#This Row],[ساعة الدخول ]]-الجدول3[[#This Row],[ساعة الخروج]]</f>
        <v>0.45833333333333337</v>
      </c>
      <c r="K781" s="60" t="s">
        <v>365</v>
      </c>
      <c r="L781" s="135">
        <v>3</v>
      </c>
      <c r="O781" s="98" t="s">
        <v>363</v>
      </c>
      <c r="P781" s="88">
        <v>5</v>
      </c>
      <c r="Z781" s="100"/>
    </row>
    <row r="782" spans="1:26" x14ac:dyDescent="0.25">
      <c r="A782" s="99">
        <v>45474</v>
      </c>
      <c r="B782" s="74">
        <v>45504</v>
      </c>
      <c r="C782" s="60" t="s">
        <v>398</v>
      </c>
      <c r="D782" s="60" t="s">
        <v>672</v>
      </c>
      <c r="E782" s="115" t="s">
        <v>733</v>
      </c>
      <c r="F782" s="73" t="s">
        <v>990</v>
      </c>
      <c r="G782" s="72" t="s">
        <v>142</v>
      </c>
      <c r="H782" s="83">
        <v>0.58333333333333337</v>
      </c>
      <c r="I782" s="83">
        <v>0.625</v>
      </c>
      <c r="J782" s="63">
        <f>I782-H782</f>
        <v>4.166666666666663E-2</v>
      </c>
      <c r="K782" s="60" t="s">
        <v>365</v>
      </c>
      <c r="L782" s="135">
        <v>3</v>
      </c>
      <c r="O782" s="98" t="s">
        <v>820</v>
      </c>
      <c r="P782" s="88">
        <v>5</v>
      </c>
      <c r="Z782" s="100"/>
    </row>
    <row r="783" spans="1:26" x14ac:dyDescent="0.25">
      <c r="A783" s="99">
        <v>45474</v>
      </c>
      <c r="B783" s="74">
        <v>45504</v>
      </c>
      <c r="C783" s="60" t="s">
        <v>398</v>
      </c>
      <c r="D783" s="60" t="s">
        <v>481</v>
      </c>
      <c r="E783" s="115" t="s">
        <v>368</v>
      </c>
      <c r="F783" s="60" t="s">
        <v>991</v>
      </c>
      <c r="G783" s="72" t="s">
        <v>142</v>
      </c>
      <c r="H783" s="83">
        <v>0.89583333333333337</v>
      </c>
      <c r="I783" s="83">
        <v>0.625</v>
      </c>
      <c r="J783" s="63">
        <f>الجدول3[[#This Row],[ساعة الدخول ]]-الجدول3[[#This Row],[ساعة الخروج]]</f>
        <v>0.27083333333333337</v>
      </c>
      <c r="K783" s="88" t="s">
        <v>113</v>
      </c>
      <c r="L783" s="135">
        <f>24*J783</f>
        <v>6.5000000000000009</v>
      </c>
      <c r="N783" s="60"/>
      <c r="O783" s="98" t="s">
        <v>539</v>
      </c>
      <c r="P783" s="88">
        <v>5</v>
      </c>
      <c r="Q783" s="60"/>
      <c r="V783" s="86"/>
      <c r="Z783" s="100"/>
    </row>
    <row r="784" spans="1:26" x14ac:dyDescent="0.25">
      <c r="A784" s="99">
        <v>45505</v>
      </c>
      <c r="B784" s="74">
        <v>45505</v>
      </c>
      <c r="C784" s="60" t="s">
        <v>124</v>
      </c>
      <c r="D784" s="60" t="s">
        <v>98</v>
      </c>
      <c r="E784" s="115" t="s">
        <v>956</v>
      </c>
      <c r="F784" s="60" t="s">
        <v>993</v>
      </c>
      <c r="G784" s="72" t="s">
        <v>142</v>
      </c>
      <c r="H784" s="83">
        <v>0.64583333333333337</v>
      </c>
      <c r="I784" s="83">
        <v>0.66666666666666663</v>
      </c>
      <c r="J784" s="63">
        <f t="shared" ref="J784:J789" si="56">I784-H784</f>
        <v>2.0833333333333259E-2</v>
      </c>
      <c r="K784" s="88" t="s">
        <v>296</v>
      </c>
      <c r="L784" s="135">
        <f>24*J784</f>
        <v>0.49999999999999822</v>
      </c>
      <c r="N784" s="60"/>
      <c r="O784" s="98" t="s">
        <v>304</v>
      </c>
      <c r="P784" s="88">
        <v>5</v>
      </c>
      <c r="Q784" s="60" t="s">
        <v>279</v>
      </c>
      <c r="V784" s="86"/>
      <c r="Z784" s="100"/>
    </row>
    <row r="785" spans="1:26" x14ac:dyDescent="0.25">
      <c r="A785" s="99">
        <v>45505</v>
      </c>
      <c r="B785" s="74">
        <v>45505</v>
      </c>
      <c r="C785" s="60" t="s">
        <v>124</v>
      </c>
      <c r="D785" s="60" t="s">
        <v>483</v>
      </c>
      <c r="E785" s="115" t="s">
        <v>884</v>
      </c>
      <c r="F785" s="60" t="s">
        <v>618</v>
      </c>
      <c r="G785" s="72" t="s">
        <v>142</v>
      </c>
      <c r="H785" s="83">
        <v>0.625</v>
      </c>
      <c r="I785" s="83">
        <v>0.66666666666666663</v>
      </c>
      <c r="J785" s="63">
        <f t="shared" si="56"/>
        <v>4.166666666666663E-2</v>
      </c>
      <c r="K785" s="88" t="s">
        <v>365</v>
      </c>
      <c r="L785" s="135">
        <f>24*J785</f>
        <v>0.99999999999999911</v>
      </c>
      <c r="N785" s="60"/>
      <c r="O785" s="98" t="s">
        <v>363</v>
      </c>
      <c r="P785" s="88">
        <v>5</v>
      </c>
      <c r="Q785" s="60" t="s">
        <v>279</v>
      </c>
      <c r="V785" s="86"/>
      <c r="Z785" s="100"/>
    </row>
    <row r="786" spans="1:26" x14ac:dyDescent="0.25">
      <c r="A786" s="99">
        <v>45505</v>
      </c>
      <c r="B786" s="74">
        <v>45506</v>
      </c>
      <c r="C786" s="60" t="s">
        <v>33</v>
      </c>
      <c r="D786" s="60" t="s">
        <v>98</v>
      </c>
      <c r="E786" s="115" t="s">
        <v>994</v>
      </c>
      <c r="F786" s="60" t="s">
        <v>947</v>
      </c>
      <c r="G786" s="72" t="s">
        <v>142</v>
      </c>
      <c r="H786" s="83">
        <v>0.75</v>
      </c>
      <c r="I786" s="83">
        <v>0.8125</v>
      </c>
      <c r="J786" s="63">
        <f t="shared" si="56"/>
        <v>6.25E-2</v>
      </c>
      <c r="K786" s="88" t="s">
        <v>296</v>
      </c>
      <c r="L786" s="135">
        <f>24*J786</f>
        <v>1.5</v>
      </c>
      <c r="N786" s="60"/>
      <c r="O786" s="98" t="s">
        <v>304</v>
      </c>
      <c r="P786" s="88">
        <v>5</v>
      </c>
      <c r="Q786" s="60" t="s">
        <v>279</v>
      </c>
      <c r="V786" s="86"/>
      <c r="Z786" s="100"/>
    </row>
    <row r="787" spans="1:26" x14ac:dyDescent="0.25">
      <c r="A787" s="99">
        <v>45505</v>
      </c>
      <c r="B787" s="74">
        <v>45507</v>
      </c>
      <c r="C787" s="60" t="s">
        <v>34</v>
      </c>
      <c r="D787" s="60" t="s">
        <v>481</v>
      </c>
      <c r="E787" s="115" t="s">
        <v>996</v>
      </c>
      <c r="F787" s="60" t="s">
        <v>995</v>
      </c>
      <c r="G787" s="72" t="s">
        <v>142</v>
      </c>
      <c r="H787" s="83">
        <v>0.45833333333333331</v>
      </c>
      <c r="I787" s="83">
        <v>0.625</v>
      </c>
      <c r="J787" s="63">
        <f t="shared" si="56"/>
        <v>0.16666666666666669</v>
      </c>
      <c r="K787" s="88" t="s">
        <v>113</v>
      </c>
      <c r="L787" s="135">
        <f>24*J787</f>
        <v>4</v>
      </c>
      <c r="N787" s="60"/>
      <c r="O787" s="98" t="s">
        <v>820</v>
      </c>
      <c r="P787" s="88">
        <v>5</v>
      </c>
      <c r="Q787" s="60"/>
      <c r="V787" s="86"/>
      <c r="Z787" s="100"/>
    </row>
    <row r="788" spans="1:26" x14ac:dyDescent="0.25">
      <c r="A788" s="99">
        <v>45505</v>
      </c>
      <c r="B788" s="74">
        <v>45507</v>
      </c>
      <c r="C788" s="60" t="s">
        <v>34</v>
      </c>
      <c r="D788" s="60" t="s">
        <v>325</v>
      </c>
      <c r="E788" s="115" t="s">
        <v>997</v>
      </c>
      <c r="F788" s="73" t="s">
        <v>998</v>
      </c>
      <c r="G788" s="72" t="s">
        <v>142</v>
      </c>
      <c r="H788" s="83">
        <v>0.4375</v>
      </c>
      <c r="I788" s="83">
        <v>0.72916666666666663</v>
      </c>
      <c r="J788" s="63">
        <f t="shared" si="56"/>
        <v>0.29166666666666663</v>
      </c>
      <c r="K788" s="60" t="s">
        <v>113</v>
      </c>
      <c r="L788" s="135">
        <v>3</v>
      </c>
      <c r="O788" s="98" t="s">
        <v>820</v>
      </c>
      <c r="P788" s="88">
        <v>5</v>
      </c>
      <c r="Z788" s="100"/>
    </row>
    <row r="789" spans="1:26" x14ac:dyDescent="0.25">
      <c r="A789" s="99">
        <v>45505</v>
      </c>
      <c r="B789" s="74">
        <v>45507</v>
      </c>
      <c r="C789" s="60" t="s">
        <v>34</v>
      </c>
      <c r="D789" s="60" t="s">
        <v>98</v>
      </c>
      <c r="E789" s="115" t="s">
        <v>994</v>
      </c>
      <c r="F789" s="60" t="s">
        <v>947</v>
      </c>
      <c r="G789" s="72" t="s">
        <v>142</v>
      </c>
      <c r="H789" s="83">
        <v>0</v>
      </c>
      <c r="I789" s="83">
        <v>0.29166666666666669</v>
      </c>
      <c r="J789" s="63">
        <f t="shared" si="56"/>
        <v>0.29166666666666669</v>
      </c>
      <c r="K789" s="88" t="s">
        <v>296</v>
      </c>
      <c r="L789" s="135">
        <f>24*J789</f>
        <v>7</v>
      </c>
      <c r="N789" s="60"/>
      <c r="O789" s="98" t="s">
        <v>304</v>
      </c>
      <c r="P789" s="88">
        <v>3</v>
      </c>
      <c r="Q789" s="60" t="s">
        <v>808</v>
      </c>
      <c r="V789" s="86"/>
      <c r="Z789" s="100"/>
    </row>
    <row r="790" spans="1:26" x14ac:dyDescent="0.25">
      <c r="A790" s="99">
        <v>45505</v>
      </c>
      <c r="B790" s="74">
        <v>45507</v>
      </c>
      <c r="C790" s="60" t="s">
        <v>34</v>
      </c>
      <c r="D790" s="60" t="s">
        <v>98</v>
      </c>
      <c r="E790" s="115" t="s">
        <v>591</v>
      </c>
      <c r="F790" s="60" t="s">
        <v>999</v>
      </c>
      <c r="G790" s="72" t="s">
        <v>142</v>
      </c>
      <c r="H790" s="83">
        <v>0.875</v>
      </c>
      <c r="I790" s="83">
        <v>0.5</v>
      </c>
      <c r="J790" s="63">
        <f>الجدول3[[#This Row],[ساعة الدخول ]]-الجدول3[[#This Row],[ساعة الخروج]]</f>
        <v>0.375</v>
      </c>
      <c r="K790" s="88" t="s">
        <v>296</v>
      </c>
      <c r="L790" s="135">
        <f>24*J790</f>
        <v>9</v>
      </c>
      <c r="N790" s="60"/>
      <c r="O790" s="98" t="s">
        <v>304</v>
      </c>
      <c r="P790" s="88">
        <v>4</v>
      </c>
      <c r="Q790" s="60" t="s">
        <v>472</v>
      </c>
      <c r="V790" s="86"/>
      <c r="Z790" s="100"/>
    </row>
    <row r="791" spans="1:26" x14ac:dyDescent="0.25">
      <c r="A791" s="99">
        <v>45505</v>
      </c>
      <c r="B791" s="74">
        <v>45508</v>
      </c>
      <c r="C791" s="60" t="s">
        <v>31</v>
      </c>
      <c r="D791" s="60" t="s">
        <v>326</v>
      </c>
      <c r="E791" s="115" t="s">
        <v>1000</v>
      </c>
      <c r="F791" s="73" t="s">
        <v>1001</v>
      </c>
      <c r="G791" s="72" t="s">
        <v>142</v>
      </c>
      <c r="H791" s="83">
        <v>0</v>
      </c>
      <c r="I791" s="83">
        <v>0.52083333333333337</v>
      </c>
      <c r="J791" s="63">
        <f>I791-H791</f>
        <v>0.52083333333333337</v>
      </c>
      <c r="K791" s="60" t="s">
        <v>365</v>
      </c>
      <c r="L791" s="135">
        <v>3</v>
      </c>
      <c r="O791" s="98" t="s">
        <v>360</v>
      </c>
      <c r="P791" s="88">
        <v>4</v>
      </c>
      <c r="Q791" s="88" t="s">
        <v>777</v>
      </c>
      <c r="Z791" s="100"/>
    </row>
    <row r="792" spans="1:26" x14ac:dyDescent="0.25">
      <c r="A792" s="99">
        <v>45505</v>
      </c>
      <c r="B792" s="74">
        <v>45508</v>
      </c>
      <c r="C792" s="60" t="s">
        <v>31</v>
      </c>
      <c r="D792" s="60" t="s">
        <v>313</v>
      </c>
      <c r="E792" s="115" t="s">
        <v>1002</v>
      </c>
      <c r="F792" s="73" t="s">
        <v>379</v>
      </c>
      <c r="G792" s="72" t="s">
        <v>142</v>
      </c>
      <c r="H792" s="83">
        <v>0.45833333333333331</v>
      </c>
      <c r="I792" s="83">
        <v>0</v>
      </c>
      <c r="J792" s="63">
        <f>الجدول3[[#This Row],[ساعة الدخول ]]-الجدول3[[#This Row],[ساعة الخروج]]</f>
        <v>0.45833333333333331</v>
      </c>
      <c r="K792" s="60" t="s">
        <v>110</v>
      </c>
      <c r="L792" s="135">
        <v>3</v>
      </c>
      <c r="O792" s="98" t="s">
        <v>361</v>
      </c>
      <c r="P792" s="88">
        <v>5</v>
      </c>
      <c r="Q792" s="88"/>
      <c r="Z792" s="100"/>
    </row>
    <row r="793" spans="1:26" x14ac:dyDescent="0.25">
      <c r="A793" s="99">
        <v>45505</v>
      </c>
      <c r="B793" s="74">
        <v>45508</v>
      </c>
      <c r="C793" s="60" t="s">
        <v>31</v>
      </c>
      <c r="D793" s="60" t="s">
        <v>126</v>
      </c>
      <c r="E793" s="115" t="s">
        <v>888</v>
      </c>
      <c r="F793" s="73" t="s">
        <v>1003</v>
      </c>
      <c r="G793" s="72" t="s">
        <v>142</v>
      </c>
      <c r="H793" s="83">
        <v>0.58333333333333337</v>
      </c>
      <c r="I793" s="83">
        <v>0.66666666666666663</v>
      </c>
      <c r="J793" s="63">
        <f t="shared" ref="J793:J824" si="57">I793-H793</f>
        <v>8.3333333333333259E-2</v>
      </c>
      <c r="K793" s="60" t="s">
        <v>110</v>
      </c>
      <c r="L793" s="135">
        <v>3</v>
      </c>
      <c r="O793" s="98" t="s">
        <v>361</v>
      </c>
      <c r="P793" s="88">
        <v>5</v>
      </c>
      <c r="Q793" s="88"/>
      <c r="Z793" s="100"/>
    </row>
    <row r="794" spans="1:26" x14ac:dyDescent="0.25">
      <c r="A794" s="99">
        <v>45505</v>
      </c>
      <c r="B794" s="74">
        <v>45508</v>
      </c>
      <c r="C794" s="60" t="s">
        <v>31</v>
      </c>
      <c r="D794" s="60" t="s">
        <v>481</v>
      </c>
      <c r="E794" s="115" t="s">
        <v>368</v>
      </c>
      <c r="F794" s="73" t="s">
        <v>1004</v>
      </c>
      <c r="G794" s="72" t="s">
        <v>142</v>
      </c>
      <c r="H794" s="83">
        <v>0.41666666666666669</v>
      </c>
      <c r="I794" s="83">
        <v>0.70833333333333337</v>
      </c>
      <c r="J794" s="63">
        <f t="shared" si="57"/>
        <v>0.29166666666666669</v>
      </c>
      <c r="K794" s="60" t="s">
        <v>110</v>
      </c>
      <c r="L794" s="135">
        <v>3</v>
      </c>
      <c r="O794" s="98" t="s">
        <v>361</v>
      </c>
      <c r="P794" s="88">
        <v>5</v>
      </c>
      <c r="Q794" s="88"/>
      <c r="Z794" s="100"/>
    </row>
    <row r="795" spans="1:26" x14ac:dyDescent="0.25">
      <c r="A795" s="99">
        <v>45505</v>
      </c>
      <c r="B795" s="74">
        <v>45508</v>
      </c>
      <c r="C795" s="60" t="s">
        <v>31</v>
      </c>
      <c r="D795" s="60" t="s">
        <v>740</v>
      </c>
      <c r="E795" s="115" t="s">
        <v>757</v>
      </c>
      <c r="F795" s="60" t="s">
        <v>883</v>
      </c>
      <c r="G795" s="72" t="s">
        <v>142</v>
      </c>
      <c r="H795" s="83">
        <v>0.41666666666666669</v>
      </c>
      <c r="I795" s="83">
        <v>0.70833333333333337</v>
      </c>
      <c r="J795" s="63">
        <f t="shared" si="57"/>
        <v>0.29166666666666669</v>
      </c>
      <c r="K795" s="88" t="s">
        <v>110</v>
      </c>
      <c r="L795" s="135">
        <f>24*J795</f>
        <v>7</v>
      </c>
      <c r="O795" s="91" t="s">
        <v>361</v>
      </c>
      <c r="P795" s="88">
        <v>5</v>
      </c>
      <c r="Z795" s="100"/>
    </row>
    <row r="796" spans="1:26" x14ac:dyDescent="0.25">
      <c r="A796" s="99">
        <v>45505</v>
      </c>
      <c r="B796" s="74">
        <v>45508</v>
      </c>
      <c r="C796" s="60" t="s">
        <v>31</v>
      </c>
      <c r="D796" s="60" t="s">
        <v>86</v>
      </c>
      <c r="E796" s="115" t="s">
        <v>1005</v>
      </c>
      <c r="F796" s="60" t="s">
        <v>1006</v>
      </c>
      <c r="G796" s="72" t="s">
        <v>142</v>
      </c>
      <c r="H796" s="83">
        <v>0.41666666666666669</v>
      </c>
      <c r="I796" s="83">
        <v>0.70833333333333337</v>
      </c>
      <c r="J796" s="63">
        <f t="shared" si="57"/>
        <v>0.29166666666666669</v>
      </c>
      <c r="K796" s="88" t="s">
        <v>110</v>
      </c>
      <c r="L796" s="135">
        <f>24*J796</f>
        <v>7</v>
      </c>
      <c r="O796" s="91" t="s">
        <v>361</v>
      </c>
      <c r="P796" s="88">
        <v>5</v>
      </c>
      <c r="Z796" s="100"/>
    </row>
    <row r="797" spans="1:26" x14ac:dyDescent="0.25">
      <c r="A797" s="99">
        <v>45505</v>
      </c>
      <c r="B797" s="74">
        <v>45508</v>
      </c>
      <c r="C797" s="60" t="s">
        <v>31</v>
      </c>
      <c r="D797" s="60" t="s">
        <v>126</v>
      </c>
      <c r="E797" s="115" t="s">
        <v>888</v>
      </c>
      <c r="F797" s="73" t="s">
        <v>1003</v>
      </c>
      <c r="G797" s="72" t="s">
        <v>142</v>
      </c>
      <c r="H797" s="83">
        <v>0.52083333333333337</v>
      </c>
      <c r="I797" s="83">
        <v>0.58333333333333337</v>
      </c>
      <c r="J797" s="63">
        <f t="shared" si="57"/>
        <v>6.25E-2</v>
      </c>
      <c r="K797" s="60" t="s">
        <v>295</v>
      </c>
      <c r="L797" s="135">
        <v>3</v>
      </c>
      <c r="O797" s="98" t="s">
        <v>576</v>
      </c>
      <c r="P797" s="88">
        <v>5</v>
      </c>
      <c r="Q797" s="88"/>
      <c r="Z797" s="100"/>
    </row>
    <row r="798" spans="1:26" x14ac:dyDescent="0.25">
      <c r="A798" s="99">
        <v>45505</v>
      </c>
      <c r="B798" s="74">
        <v>45508</v>
      </c>
      <c r="C798" s="60" t="s">
        <v>31</v>
      </c>
      <c r="D798" s="60" t="s">
        <v>122</v>
      </c>
      <c r="E798" s="115" t="s">
        <v>1007</v>
      </c>
      <c r="F798" s="73" t="s">
        <v>1008</v>
      </c>
      <c r="G798" s="72" t="s">
        <v>142</v>
      </c>
      <c r="H798" s="83">
        <v>0</v>
      </c>
      <c r="I798" s="83">
        <v>0.70833333333333337</v>
      </c>
      <c r="J798" s="63">
        <f t="shared" si="57"/>
        <v>0.70833333333333337</v>
      </c>
      <c r="K798" s="60" t="s">
        <v>295</v>
      </c>
      <c r="L798" s="135">
        <v>3</v>
      </c>
      <c r="O798" s="98" t="s">
        <v>576</v>
      </c>
      <c r="P798" s="88">
        <v>5</v>
      </c>
      <c r="Q798" s="88"/>
      <c r="Z798" s="100"/>
    </row>
    <row r="799" spans="1:26" x14ac:dyDescent="0.25">
      <c r="A799" s="99">
        <v>45505</v>
      </c>
      <c r="B799" s="74">
        <v>45508</v>
      </c>
      <c r="C799" s="60" t="s">
        <v>31</v>
      </c>
      <c r="D799" s="60" t="s">
        <v>325</v>
      </c>
      <c r="E799" s="115" t="s">
        <v>997</v>
      </c>
      <c r="F799" s="73" t="s">
        <v>998</v>
      </c>
      <c r="G799" s="72" t="s">
        <v>142</v>
      </c>
      <c r="H799" s="83">
        <v>0</v>
      </c>
      <c r="I799" s="83">
        <v>0.625</v>
      </c>
      <c r="J799" s="63">
        <f t="shared" si="57"/>
        <v>0.625</v>
      </c>
      <c r="K799" s="60" t="s">
        <v>113</v>
      </c>
      <c r="L799" s="135">
        <v>3</v>
      </c>
      <c r="O799" s="98" t="s">
        <v>539</v>
      </c>
      <c r="P799" s="88">
        <v>5</v>
      </c>
      <c r="Z799" s="100"/>
    </row>
    <row r="800" spans="1:26" x14ac:dyDescent="0.25">
      <c r="A800" s="99">
        <v>45505</v>
      </c>
      <c r="B800" s="74">
        <v>45508</v>
      </c>
      <c r="C800" s="60" t="s">
        <v>31</v>
      </c>
      <c r="D800" s="60" t="s">
        <v>126</v>
      </c>
      <c r="E800" s="115" t="s">
        <v>888</v>
      </c>
      <c r="F800" s="73" t="s">
        <v>1003</v>
      </c>
      <c r="G800" s="72" t="s">
        <v>142</v>
      </c>
      <c r="H800" s="83">
        <v>0.45833333333333331</v>
      </c>
      <c r="I800" s="83">
        <v>0.54166666666666663</v>
      </c>
      <c r="J800" s="63">
        <f t="shared" si="57"/>
        <v>8.3333333333333315E-2</v>
      </c>
      <c r="K800" s="60" t="s">
        <v>113</v>
      </c>
      <c r="L800" s="135">
        <v>3</v>
      </c>
      <c r="O800" s="98" t="s">
        <v>539</v>
      </c>
      <c r="P800" s="88">
        <v>5</v>
      </c>
      <c r="Q800" s="88"/>
      <c r="Z800" s="100"/>
    </row>
    <row r="801" spans="1:26" x14ac:dyDescent="0.25">
      <c r="A801" s="99">
        <v>45505</v>
      </c>
      <c r="B801" s="74">
        <v>45508</v>
      </c>
      <c r="C801" s="60" t="s">
        <v>31</v>
      </c>
      <c r="D801" s="60" t="s">
        <v>483</v>
      </c>
      <c r="E801" s="115" t="s">
        <v>884</v>
      </c>
      <c r="F801" s="60" t="s">
        <v>618</v>
      </c>
      <c r="G801" s="72" t="s">
        <v>142</v>
      </c>
      <c r="H801" s="83">
        <v>0.79166666666666663</v>
      </c>
      <c r="I801" s="83">
        <v>0.875</v>
      </c>
      <c r="J801" s="63">
        <f t="shared" si="57"/>
        <v>8.333333333333337E-2</v>
      </c>
      <c r="K801" s="88" t="s">
        <v>365</v>
      </c>
      <c r="L801" s="135">
        <f>24*J801</f>
        <v>2.0000000000000009</v>
      </c>
      <c r="N801" s="60"/>
      <c r="O801" s="98" t="s">
        <v>576</v>
      </c>
      <c r="P801" s="88">
        <v>5</v>
      </c>
      <c r="Q801" s="60" t="s">
        <v>279</v>
      </c>
      <c r="V801" s="86"/>
      <c r="Z801" s="100"/>
    </row>
    <row r="802" spans="1:26" x14ac:dyDescent="0.25">
      <c r="A802" s="99">
        <v>45474</v>
      </c>
      <c r="B802" s="74">
        <v>45509</v>
      </c>
      <c r="C802" s="60" t="s">
        <v>45</v>
      </c>
      <c r="D802" s="60" t="s">
        <v>740</v>
      </c>
      <c r="E802" s="115" t="s">
        <v>861</v>
      </c>
      <c r="F802" s="60" t="s">
        <v>1009</v>
      </c>
      <c r="G802" s="72" t="s">
        <v>142</v>
      </c>
      <c r="H802" s="83">
        <v>0.41666666666666669</v>
      </c>
      <c r="I802" s="83">
        <v>0.70833333333333337</v>
      </c>
      <c r="J802" s="63">
        <f t="shared" si="57"/>
        <v>0.29166666666666669</v>
      </c>
      <c r="K802" s="88" t="s">
        <v>110</v>
      </c>
      <c r="L802" s="135">
        <f>24*J802</f>
        <v>7</v>
      </c>
      <c r="O802" s="91" t="s">
        <v>314</v>
      </c>
      <c r="P802" s="88">
        <v>5</v>
      </c>
      <c r="Z802" s="100"/>
    </row>
    <row r="803" spans="1:26" x14ac:dyDescent="0.25">
      <c r="A803" s="99">
        <v>45505</v>
      </c>
      <c r="B803" s="74">
        <v>45509</v>
      </c>
      <c r="C803" s="60" t="s">
        <v>45</v>
      </c>
      <c r="D803" s="60" t="s">
        <v>98</v>
      </c>
      <c r="E803" s="115" t="s">
        <v>386</v>
      </c>
      <c r="F803" s="60" t="s">
        <v>870</v>
      </c>
      <c r="G803" s="72" t="s">
        <v>142</v>
      </c>
      <c r="H803" s="83">
        <v>0.58333333333333337</v>
      </c>
      <c r="I803" s="83">
        <v>0.79166666666666663</v>
      </c>
      <c r="J803" s="63">
        <f t="shared" si="57"/>
        <v>0.20833333333333326</v>
      </c>
      <c r="K803" s="88" t="s">
        <v>365</v>
      </c>
      <c r="L803" s="135">
        <f>24*J803</f>
        <v>4.9999999999999982</v>
      </c>
      <c r="N803" s="60"/>
      <c r="O803" s="98" t="s">
        <v>358</v>
      </c>
      <c r="P803" s="88">
        <v>5</v>
      </c>
      <c r="Q803" s="60" t="s">
        <v>279</v>
      </c>
      <c r="V803" s="86"/>
      <c r="Z803" s="100"/>
    </row>
    <row r="804" spans="1:26" x14ac:dyDescent="0.25">
      <c r="A804" s="99">
        <v>45505</v>
      </c>
      <c r="B804" s="74">
        <v>45509</v>
      </c>
      <c r="C804" s="60" t="s">
        <v>45</v>
      </c>
      <c r="D804" s="60" t="s">
        <v>481</v>
      </c>
      <c r="E804" s="115" t="s">
        <v>368</v>
      </c>
      <c r="F804" s="73" t="s">
        <v>1010</v>
      </c>
      <c r="G804" s="72" t="s">
        <v>142</v>
      </c>
      <c r="H804" s="83">
        <v>0</v>
      </c>
      <c r="I804" s="83">
        <v>0.58333333333333337</v>
      </c>
      <c r="J804" s="63">
        <f t="shared" si="57"/>
        <v>0.58333333333333337</v>
      </c>
      <c r="K804" s="60" t="s">
        <v>110</v>
      </c>
      <c r="L804" s="135">
        <v>3</v>
      </c>
      <c r="O804" s="98" t="s">
        <v>314</v>
      </c>
      <c r="P804" s="88">
        <v>5</v>
      </c>
      <c r="Q804" s="88"/>
      <c r="Z804" s="100"/>
    </row>
    <row r="805" spans="1:26" x14ac:dyDescent="0.25">
      <c r="A805" s="99">
        <v>45505</v>
      </c>
      <c r="B805" s="74">
        <v>45509</v>
      </c>
      <c r="C805" s="60" t="s">
        <v>45</v>
      </c>
      <c r="D805" s="60" t="s">
        <v>86</v>
      </c>
      <c r="E805" s="115" t="s">
        <v>1005</v>
      </c>
      <c r="F805" s="60" t="s">
        <v>1011</v>
      </c>
      <c r="G805" s="72" t="s">
        <v>142</v>
      </c>
      <c r="H805" s="83">
        <v>0.41666666666666669</v>
      </c>
      <c r="I805" s="83">
        <v>0.66666666666666663</v>
      </c>
      <c r="J805" s="63">
        <f t="shared" si="57"/>
        <v>0.24999999999999994</v>
      </c>
      <c r="K805" s="88" t="s">
        <v>110</v>
      </c>
      <c r="L805" s="135">
        <f t="shared" ref="L805:L811" si="58">24*J805</f>
        <v>5.9999999999999982</v>
      </c>
      <c r="O805" s="91" t="s">
        <v>314</v>
      </c>
      <c r="P805" s="88">
        <v>5</v>
      </c>
      <c r="Z805" s="100"/>
    </row>
    <row r="806" spans="1:26" x14ac:dyDescent="0.25">
      <c r="A806" s="99">
        <v>45505</v>
      </c>
      <c r="B806" s="74">
        <v>45509</v>
      </c>
      <c r="C806" s="60" t="s">
        <v>45</v>
      </c>
      <c r="D806" s="60" t="s">
        <v>32</v>
      </c>
      <c r="E806" s="115" t="s">
        <v>884</v>
      </c>
      <c r="F806" s="60" t="s">
        <v>1012</v>
      </c>
      <c r="G806" s="72" t="s">
        <v>142</v>
      </c>
      <c r="H806" s="83">
        <v>0.41666666666666669</v>
      </c>
      <c r="I806" s="83">
        <v>0.4375</v>
      </c>
      <c r="J806" s="63">
        <f t="shared" si="57"/>
        <v>2.0833333333333315E-2</v>
      </c>
      <c r="K806" s="88" t="s">
        <v>365</v>
      </c>
      <c r="L806" s="135">
        <f t="shared" si="58"/>
        <v>0.49999999999999956</v>
      </c>
      <c r="N806" s="60"/>
      <c r="O806" s="98" t="s">
        <v>820</v>
      </c>
      <c r="P806" s="88">
        <v>5</v>
      </c>
      <c r="Q806" s="60" t="s">
        <v>279</v>
      </c>
      <c r="V806" s="86"/>
      <c r="Z806" s="100"/>
    </row>
    <row r="807" spans="1:26" x14ac:dyDescent="0.25">
      <c r="A807" s="99">
        <v>45505</v>
      </c>
      <c r="B807" s="74">
        <v>45509</v>
      </c>
      <c r="C807" s="60" t="s">
        <v>45</v>
      </c>
      <c r="D807" s="60" t="s">
        <v>32</v>
      </c>
      <c r="E807" s="115" t="s">
        <v>1013</v>
      </c>
      <c r="F807" s="60" t="s">
        <v>1014</v>
      </c>
      <c r="G807" s="72" t="s">
        <v>142</v>
      </c>
      <c r="H807" s="83">
        <v>0.41666666666666669</v>
      </c>
      <c r="I807" s="83">
        <v>0.4375</v>
      </c>
      <c r="J807" s="63">
        <f t="shared" si="57"/>
        <v>2.0833333333333315E-2</v>
      </c>
      <c r="K807" s="88" t="s">
        <v>365</v>
      </c>
      <c r="L807" s="135">
        <f t="shared" si="58"/>
        <v>0.49999999999999956</v>
      </c>
      <c r="N807" s="60"/>
      <c r="O807" s="98" t="s">
        <v>820</v>
      </c>
      <c r="P807" s="88">
        <v>5</v>
      </c>
      <c r="Q807" s="60" t="s">
        <v>279</v>
      </c>
      <c r="V807" s="86"/>
      <c r="Z807" s="100"/>
    </row>
    <row r="808" spans="1:26" x14ac:dyDescent="0.25">
      <c r="A808" s="99">
        <v>45505</v>
      </c>
      <c r="B808" s="74">
        <v>45509</v>
      </c>
      <c r="C808" s="60" t="s">
        <v>45</v>
      </c>
      <c r="D808" s="60" t="s">
        <v>406</v>
      </c>
      <c r="E808" s="115" t="s">
        <v>1015</v>
      </c>
      <c r="F808" s="60" t="s">
        <v>1016</v>
      </c>
      <c r="G808" s="72" t="s">
        <v>142</v>
      </c>
      <c r="H808" s="83">
        <v>0.60416666666666663</v>
      </c>
      <c r="I808" s="83">
        <v>0.64583333333333337</v>
      </c>
      <c r="J808" s="63">
        <f t="shared" si="57"/>
        <v>4.1666666666666741E-2</v>
      </c>
      <c r="K808" s="88" t="s">
        <v>365</v>
      </c>
      <c r="L808" s="135">
        <f t="shared" si="58"/>
        <v>1.0000000000000018</v>
      </c>
      <c r="N808" s="60"/>
      <c r="O808" s="98" t="s">
        <v>576</v>
      </c>
      <c r="P808" s="88">
        <v>5</v>
      </c>
      <c r="Q808" s="60" t="s">
        <v>279</v>
      </c>
      <c r="V808" s="86"/>
      <c r="Z808" s="100"/>
    </row>
    <row r="809" spans="1:26" x14ac:dyDescent="0.25">
      <c r="A809" s="99">
        <v>45505</v>
      </c>
      <c r="B809" s="74">
        <v>45509</v>
      </c>
      <c r="C809" s="60" t="s">
        <v>45</v>
      </c>
      <c r="D809" s="60" t="s">
        <v>327</v>
      </c>
      <c r="E809" s="115" t="s">
        <v>1017</v>
      </c>
      <c r="F809" s="60" t="s">
        <v>1018</v>
      </c>
      <c r="G809" s="72" t="s">
        <v>142</v>
      </c>
      <c r="H809" s="83">
        <v>0.5</v>
      </c>
      <c r="I809" s="83">
        <v>0.54166666666666663</v>
      </c>
      <c r="J809" s="63">
        <f t="shared" si="57"/>
        <v>4.166666666666663E-2</v>
      </c>
      <c r="K809" s="88" t="s">
        <v>365</v>
      </c>
      <c r="L809" s="135">
        <f t="shared" si="58"/>
        <v>0.99999999999999911</v>
      </c>
      <c r="N809" s="60"/>
      <c r="O809" s="98" t="s">
        <v>576</v>
      </c>
      <c r="P809" s="88">
        <v>5</v>
      </c>
      <c r="Q809" s="60" t="s">
        <v>279</v>
      </c>
      <c r="V809" s="86"/>
      <c r="Z809" s="100"/>
    </row>
    <row r="810" spans="1:26" x14ac:dyDescent="0.25">
      <c r="A810" s="99">
        <v>45505</v>
      </c>
      <c r="B810" s="74">
        <v>45510</v>
      </c>
      <c r="C810" s="60" t="s">
        <v>106</v>
      </c>
      <c r="D810" s="60" t="s">
        <v>98</v>
      </c>
      <c r="E810" s="115" t="s">
        <v>505</v>
      </c>
      <c r="F810" s="60" t="s">
        <v>1019</v>
      </c>
      <c r="G810" s="72" t="s">
        <v>142</v>
      </c>
      <c r="H810" s="83">
        <v>0.41666666666666669</v>
      </c>
      <c r="I810" s="83">
        <v>0.54166666666666663</v>
      </c>
      <c r="J810" s="63">
        <f t="shared" si="57"/>
        <v>0.12499999999999994</v>
      </c>
      <c r="K810" s="88" t="s">
        <v>365</v>
      </c>
      <c r="L810" s="135">
        <f t="shared" si="58"/>
        <v>2.9999999999999987</v>
      </c>
      <c r="N810" s="60"/>
      <c r="O810" s="98" t="s">
        <v>360</v>
      </c>
      <c r="P810" s="88">
        <v>5</v>
      </c>
      <c r="Q810" s="60" t="s">
        <v>279</v>
      </c>
      <c r="V810" s="86"/>
      <c r="Z810" s="100"/>
    </row>
    <row r="811" spans="1:26" x14ac:dyDescent="0.25">
      <c r="A811" s="99">
        <v>45505</v>
      </c>
      <c r="B811" s="74">
        <v>45510</v>
      </c>
      <c r="C811" s="60" t="s">
        <v>106</v>
      </c>
      <c r="D811" s="60" t="s">
        <v>32</v>
      </c>
      <c r="E811" s="115" t="s">
        <v>884</v>
      </c>
      <c r="F811" s="60" t="s">
        <v>1020</v>
      </c>
      <c r="G811" s="72" t="s">
        <v>142</v>
      </c>
      <c r="H811" s="83">
        <v>0.625</v>
      </c>
      <c r="I811" s="83">
        <v>0.66666666666666663</v>
      </c>
      <c r="J811" s="63">
        <f t="shared" si="57"/>
        <v>4.166666666666663E-2</v>
      </c>
      <c r="K811" s="88" t="s">
        <v>365</v>
      </c>
      <c r="L811" s="135">
        <f t="shared" si="58"/>
        <v>0.99999999999999911</v>
      </c>
      <c r="N811" s="60"/>
      <c r="O811" s="98" t="s">
        <v>820</v>
      </c>
      <c r="P811" s="88">
        <v>5</v>
      </c>
      <c r="Q811" s="60" t="s">
        <v>279</v>
      </c>
      <c r="V811" s="86"/>
      <c r="Z811" s="100"/>
    </row>
    <row r="812" spans="1:26" x14ac:dyDescent="0.25">
      <c r="A812" s="99">
        <v>45505</v>
      </c>
      <c r="B812" s="74">
        <v>45510</v>
      </c>
      <c r="C812" s="60" t="s">
        <v>106</v>
      </c>
      <c r="D812" s="60" t="s">
        <v>122</v>
      </c>
      <c r="E812" s="115" t="s">
        <v>1007</v>
      </c>
      <c r="F812" s="73" t="s">
        <v>1021</v>
      </c>
      <c r="G812" s="72" t="s">
        <v>142</v>
      </c>
      <c r="H812" s="83">
        <v>0.54166666666666663</v>
      </c>
      <c r="I812" s="83">
        <v>0.70833333333333337</v>
      </c>
      <c r="J812" s="63">
        <f t="shared" si="57"/>
        <v>0.16666666666666674</v>
      </c>
      <c r="K812" s="60" t="s">
        <v>295</v>
      </c>
      <c r="L812" s="135">
        <v>3</v>
      </c>
      <c r="O812" s="98" t="s">
        <v>360</v>
      </c>
      <c r="P812" s="88">
        <v>4</v>
      </c>
      <c r="Q812" s="60" t="s">
        <v>472</v>
      </c>
      <c r="Z812" s="100"/>
    </row>
    <row r="813" spans="1:26" x14ac:dyDescent="0.25">
      <c r="A813" s="99">
        <v>45505</v>
      </c>
      <c r="B813" s="74">
        <v>45510</v>
      </c>
      <c r="C813" s="60" t="s">
        <v>106</v>
      </c>
      <c r="D813" s="60" t="s">
        <v>98</v>
      </c>
      <c r="E813" s="115" t="s">
        <v>1022</v>
      </c>
      <c r="F813" s="60" t="s">
        <v>1023</v>
      </c>
      <c r="G813" s="72" t="s">
        <v>142</v>
      </c>
      <c r="H813" s="83">
        <v>0.66666666666666663</v>
      </c>
      <c r="I813" s="83">
        <v>0.91666666666666663</v>
      </c>
      <c r="J813" s="63">
        <f t="shared" si="57"/>
        <v>0.25</v>
      </c>
      <c r="K813" s="88" t="s">
        <v>296</v>
      </c>
      <c r="L813" s="135">
        <f>24*J813</f>
        <v>6</v>
      </c>
      <c r="N813" s="60"/>
      <c r="O813" s="98" t="s">
        <v>304</v>
      </c>
      <c r="P813" s="88">
        <v>5</v>
      </c>
      <c r="Q813" s="60" t="s">
        <v>279</v>
      </c>
      <c r="V813" s="86"/>
      <c r="Z813" s="100"/>
    </row>
    <row r="814" spans="1:26" x14ac:dyDescent="0.25">
      <c r="A814" s="99">
        <v>45505</v>
      </c>
      <c r="B814" s="74">
        <v>45510</v>
      </c>
      <c r="C814" s="60" t="s">
        <v>106</v>
      </c>
      <c r="D814" s="60" t="s">
        <v>32</v>
      </c>
      <c r="E814" s="115" t="s">
        <v>579</v>
      </c>
      <c r="F814" s="60" t="s">
        <v>1024</v>
      </c>
      <c r="G814" s="72" t="s">
        <v>142</v>
      </c>
      <c r="H814" s="83">
        <v>0.54166666666666663</v>
      </c>
      <c r="I814" s="83">
        <v>0.70833333333333337</v>
      </c>
      <c r="J814" s="63">
        <f t="shared" si="57"/>
        <v>0.16666666666666674</v>
      </c>
      <c r="K814" s="88" t="s">
        <v>110</v>
      </c>
      <c r="L814" s="135">
        <f>24*J814</f>
        <v>4.0000000000000018</v>
      </c>
      <c r="N814" s="60"/>
      <c r="O814" s="98" t="s">
        <v>314</v>
      </c>
      <c r="P814" s="88">
        <v>5</v>
      </c>
      <c r="Q814" s="60" t="s">
        <v>279</v>
      </c>
      <c r="V814" s="86"/>
      <c r="Z814" s="100"/>
    </row>
    <row r="815" spans="1:26" x14ac:dyDescent="0.25">
      <c r="A815" s="99">
        <v>45505</v>
      </c>
      <c r="B815" s="74">
        <v>45510</v>
      </c>
      <c r="C815" s="60" t="s">
        <v>106</v>
      </c>
      <c r="D815" s="60" t="s">
        <v>481</v>
      </c>
      <c r="E815" s="115" t="s">
        <v>368</v>
      </c>
      <c r="F815" s="73" t="s">
        <v>1025</v>
      </c>
      <c r="G815" s="72" t="s">
        <v>142</v>
      </c>
      <c r="H815" s="83">
        <v>0.45833333333333331</v>
      </c>
      <c r="I815" s="83">
        <v>0.66666666666666663</v>
      </c>
      <c r="J815" s="63">
        <f t="shared" si="57"/>
        <v>0.20833333333333331</v>
      </c>
      <c r="K815" s="60" t="s">
        <v>110</v>
      </c>
      <c r="L815" s="135">
        <v>3</v>
      </c>
      <c r="O815" s="98" t="s">
        <v>314</v>
      </c>
      <c r="P815" s="88">
        <v>5</v>
      </c>
      <c r="Q815" s="88"/>
      <c r="Z815" s="100"/>
    </row>
    <row r="816" spans="1:26" x14ac:dyDescent="0.25">
      <c r="A816" s="99">
        <v>45505</v>
      </c>
      <c r="B816" s="74">
        <v>45510</v>
      </c>
      <c r="C816" s="60" t="s">
        <v>106</v>
      </c>
      <c r="D816" s="60" t="s">
        <v>32</v>
      </c>
      <c r="E816" s="115" t="s">
        <v>1027</v>
      </c>
      <c r="F816" s="60" t="s">
        <v>1026</v>
      </c>
      <c r="G816" s="72" t="s">
        <v>142</v>
      </c>
      <c r="H816" s="83">
        <v>0.64583333333333337</v>
      </c>
      <c r="I816" s="83">
        <v>0.70833333333333337</v>
      </c>
      <c r="J816" s="63">
        <f t="shared" si="57"/>
        <v>6.25E-2</v>
      </c>
      <c r="K816" s="88" t="s">
        <v>110</v>
      </c>
      <c r="L816" s="135">
        <f t="shared" ref="L816:L855" si="59">24*J816</f>
        <v>1.5</v>
      </c>
      <c r="N816" s="60"/>
      <c r="O816" s="98" t="s">
        <v>820</v>
      </c>
      <c r="P816" s="88">
        <v>5</v>
      </c>
      <c r="Q816" s="60" t="s">
        <v>279</v>
      </c>
      <c r="V816" s="86"/>
      <c r="Z816" s="100"/>
    </row>
    <row r="817" spans="1:26" x14ac:dyDescent="0.25">
      <c r="A817" s="99">
        <v>45505</v>
      </c>
      <c r="B817" s="74">
        <v>45511</v>
      </c>
      <c r="C817" s="60" t="s">
        <v>398</v>
      </c>
      <c r="D817" s="60" t="s">
        <v>98</v>
      </c>
      <c r="E817" s="115" t="s">
        <v>386</v>
      </c>
      <c r="F817" s="60" t="s">
        <v>870</v>
      </c>
      <c r="G817" s="72" t="s">
        <v>142</v>
      </c>
      <c r="H817" s="83">
        <v>0.66666666666666663</v>
      </c>
      <c r="I817" s="83">
        <v>0.72916666666666663</v>
      </c>
      <c r="J817" s="63">
        <f t="shared" si="57"/>
        <v>6.25E-2</v>
      </c>
      <c r="K817" s="88" t="s">
        <v>365</v>
      </c>
      <c r="L817" s="135">
        <f t="shared" si="59"/>
        <v>1.5</v>
      </c>
      <c r="N817" s="60"/>
      <c r="O817" s="98" t="s">
        <v>576</v>
      </c>
      <c r="P817" s="88">
        <v>5</v>
      </c>
      <c r="Q817" s="60" t="s">
        <v>279</v>
      </c>
      <c r="V817" s="86"/>
      <c r="Z817" s="100"/>
    </row>
    <row r="818" spans="1:26" x14ac:dyDescent="0.25">
      <c r="A818" s="99">
        <v>45505</v>
      </c>
      <c r="B818" s="74">
        <v>45511</v>
      </c>
      <c r="C818" s="60" t="s">
        <v>398</v>
      </c>
      <c r="D818" s="60" t="s">
        <v>32</v>
      </c>
      <c r="E818" s="115" t="s">
        <v>1013</v>
      </c>
      <c r="F818" s="60" t="s">
        <v>1028</v>
      </c>
      <c r="G818" s="72" t="s">
        <v>142</v>
      </c>
      <c r="H818" s="83">
        <v>0.45833333333333331</v>
      </c>
      <c r="I818" s="83">
        <v>0.66666666666666663</v>
      </c>
      <c r="J818" s="63">
        <f t="shared" si="57"/>
        <v>0.20833333333333331</v>
      </c>
      <c r="K818" s="88" t="s">
        <v>365</v>
      </c>
      <c r="L818" s="135">
        <f t="shared" si="59"/>
        <v>5</v>
      </c>
      <c r="N818" s="60"/>
      <c r="O818" s="98" t="s">
        <v>358</v>
      </c>
      <c r="P818" s="88">
        <v>5</v>
      </c>
      <c r="Q818" s="60" t="s">
        <v>279</v>
      </c>
      <c r="V818" s="86"/>
      <c r="Z818" s="100"/>
    </row>
    <row r="819" spans="1:26" x14ac:dyDescent="0.25">
      <c r="A819" s="99">
        <v>45505</v>
      </c>
      <c r="B819" s="74">
        <v>45511</v>
      </c>
      <c r="C819" s="60" t="s">
        <v>398</v>
      </c>
      <c r="D819" s="60" t="s">
        <v>740</v>
      </c>
      <c r="E819" s="115" t="s">
        <v>773</v>
      </c>
      <c r="F819" s="60" t="s">
        <v>1009</v>
      </c>
      <c r="G819" s="72" t="s">
        <v>142</v>
      </c>
      <c r="H819" s="83">
        <v>0.41666666666666669</v>
      </c>
      <c r="I819" s="83">
        <v>0.70833333333333337</v>
      </c>
      <c r="J819" s="63">
        <f t="shared" si="57"/>
        <v>0.29166666666666669</v>
      </c>
      <c r="K819" s="88" t="s">
        <v>110</v>
      </c>
      <c r="L819" s="135">
        <f t="shared" si="59"/>
        <v>7</v>
      </c>
      <c r="O819" s="91" t="s">
        <v>361</v>
      </c>
      <c r="P819" s="88">
        <v>5</v>
      </c>
      <c r="Z819" s="100"/>
    </row>
    <row r="820" spans="1:26" x14ac:dyDescent="0.25">
      <c r="A820" s="99">
        <v>45505</v>
      </c>
      <c r="B820" s="74">
        <v>45511</v>
      </c>
      <c r="C820" s="60" t="s">
        <v>398</v>
      </c>
      <c r="D820" s="60" t="s">
        <v>86</v>
      </c>
      <c r="E820" s="115" t="s">
        <v>1029</v>
      </c>
      <c r="F820" s="60" t="s">
        <v>1030</v>
      </c>
      <c r="G820" s="72" t="s">
        <v>142</v>
      </c>
      <c r="H820" s="83">
        <v>0.5</v>
      </c>
      <c r="I820" s="83">
        <v>0.66666666666666663</v>
      </c>
      <c r="J820" s="63">
        <f t="shared" si="57"/>
        <v>0.16666666666666663</v>
      </c>
      <c r="K820" s="88" t="s">
        <v>110</v>
      </c>
      <c r="L820" s="135">
        <f t="shared" si="59"/>
        <v>3.9999999999999991</v>
      </c>
      <c r="O820" s="91" t="s">
        <v>361</v>
      </c>
      <c r="P820" s="88">
        <v>5</v>
      </c>
      <c r="Z820" s="100"/>
    </row>
    <row r="821" spans="1:26" x14ac:dyDescent="0.25">
      <c r="A821" s="99">
        <v>45505</v>
      </c>
      <c r="B821" s="74">
        <v>45511</v>
      </c>
      <c r="C821" s="60" t="s">
        <v>398</v>
      </c>
      <c r="D821" s="60" t="s">
        <v>98</v>
      </c>
      <c r="E821" s="115" t="s">
        <v>1022</v>
      </c>
      <c r="F821" s="60" t="s">
        <v>1031</v>
      </c>
      <c r="G821" s="72" t="s">
        <v>142</v>
      </c>
      <c r="H821" s="83">
        <v>0</v>
      </c>
      <c r="I821" s="83">
        <v>0.5</v>
      </c>
      <c r="J821" s="63">
        <f t="shared" si="57"/>
        <v>0.5</v>
      </c>
      <c r="K821" s="88" t="s">
        <v>296</v>
      </c>
      <c r="L821" s="135">
        <f t="shared" si="59"/>
        <v>12</v>
      </c>
      <c r="N821" s="60"/>
      <c r="O821" s="98" t="s">
        <v>304</v>
      </c>
      <c r="P821" s="88">
        <v>5</v>
      </c>
      <c r="Q821" s="60" t="s">
        <v>279</v>
      </c>
      <c r="V821" s="86"/>
      <c r="Z821" s="100"/>
    </row>
    <row r="822" spans="1:26" x14ac:dyDescent="0.25">
      <c r="A822" s="99">
        <v>45505</v>
      </c>
      <c r="B822" s="74">
        <v>45512</v>
      </c>
      <c r="C822" s="60" t="s">
        <v>124</v>
      </c>
      <c r="D822" s="60" t="s">
        <v>830</v>
      </c>
      <c r="E822" s="115" t="s">
        <v>1032</v>
      </c>
      <c r="F822" s="60" t="s">
        <v>1033</v>
      </c>
      <c r="G822" s="72" t="s">
        <v>142</v>
      </c>
      <c r="H822" s="83">
        <v>0.5</v>
      </c>
      <c r="I822" s="83">
        <v>0.54166666666666663</v>
      </c>
      <c r="J822" s="63">
        <f t="shared" si="57"/>
        <v>4.166666666666663E-2</v>
      </c>
      <c r="K822" s="88" t="s">
        <v>365</v>
      </c>
      <c r="L822" s="135">
        <f t="shared" si="59"/>
        <v>0.99999999999999911</v>
      </c>
      <c r="N822" s="60"/>
      <c r="O822" s="98" t="s">
        <v>820</v>
      </c>
      <c r="P822" s="88">
        <v>5</v>
      </c>
      <c r="Q822" s="60" t="s">
        <v>279</v>
      </c>
      <c r="V822" s="86"/>
      <c r="Z822" s="100"/>
    </row>
    <row r="823" spans="1:26" x14ac:dyDescent="0.25">
      <c r="A823" s="99">
        <v>45505</v>
      </c>
      <c r="B823" s="74">
        <v>45512</v>
      </c>
      <c r="C823" s="60" t="s">
        <v>124</v>
      </c>
      <c r="D823" s="60" t="s">
        <v>830</v>
      </c>
      <c r="E823" s="115" t="s">
        <v>1032</v>
      </c>
      <c r="F823" s="60" t="s">
        <v>1033</v>
      </c>
      <c r="G823" s="72" t="s">
        <v>142</v>
      </c>
      <c r="H823" s="83">
        <v>0.5625</v>
      </c>
      <c r="I823" s="83">
        <v>0.58333333333333337</v>
      </c>
      <c r="J823" s="63">
        <f t="shared" si="57"/>
        <v>2.083333333333337E-2</v>
      </c>
      <c r="K823" s="88" t="s">
        <v>113</v>
      </c>
      <c r="L823" s="135">
        <f t="shared" si="59"/>
        <v>0.50000000000000089</v>
      </c>
      <c r="N823" s="60"/>
      <c r="O823" s="98" t="s">
        <v>539</v>
      </c>
      <c r="P823" s="88">
        <v>4</v>
      </c>
      <c r="Q823" s="60" t="s">
        <v>472</v>
      </c>
      <c r="V823" s="86"/>
      <c r="Z823" s="100"/>
    </row>
    <row r="824" spans="1:26" x14ac:dyDescent="0.25">
      <c r="A824" s="99">
        <v>45505</v>
      </c>
      <c r="B824" s="74">
        <v>45512</v>
      </c>
      <c r="C824" s="60" t="s">
        <v>124</v>
      </c>
      <c r="D824" s="60" t="s">
        <v>830</v>
      </c>
      <c r="E824" s="115" t="s">
        <v>1032</v>
      </c>
      <c r="F824" s="60" t="s">
        <v>1033</v>
      </c>
      <c r="G824" s="72" t="s">
        <v>142</v>
      </c>
      <c r="H824" s="83">
        <v>0.41666666666666669</v>
      </c>
      <c r="I824" s="83">
        <v>0.45833333333333331</v>
      </c>
      <c r="J824" s="63">
        <f t="shared" si="57"/>
        <v>4.166666666666663E-2</v>
      </c>
      <c r="K824" s="88" t="s">
        <v>110</v>
      </c>
      <c r="L824" s="135">
        <f t="shared" si="59"/>
        <v>0.99999999999999911</v>
      </c>
      <c r="N824" s="60"/>
      <c r="O824" s="98" t="s">
        <v>361</v>
      </c>
      <c r="P824" s="88">
        <v>5</v>
      </c>
      <c r="Q824" s="60"/>
      <c r="V824" s="86"/>
      <c r="Z824" s="100"/>
    </row>
    <row r="825" spans="1:26" x14ac:dyDescent="0.25">
      <c r="A825" s="99">
        <v>45505</v>
      </c>
      <c r="B825" s="74">
        <v>45512</v>
      </c>
      <c r="C825" s="60" t="s">
        <v>124</v>
      </c>
      <c r="D825" s="60" t="s">
        <v>740</v>
      </c>
      <c r="E825" s="115" t="s">
        <v>1034</v>
      </c>
      <c r="F825" s="60" t="s">
        <v>1009</v>
      </c>
      <c r="G825" s="72" t="s">
        <v>142</v>
      </c>
      <c r="H825" s="83">
        <v>0.41666666666666669</v>
      </c>
      <c r="I825" s="83">
        <v>0.70833333333333337</v>
      </c>
      <c r="J825" s="63">
        <f t="shared" ref="J825:J855" si="60">I825-H825</f>
        <v>0.29166666666666669</v>
      </c>
      <c r="K825" s="88" t="s">
        <v>110</v>
      </c>
      <c r="L825" s="135">
        <f t="shared" si="59"/>
        <v>7</v>
      </c>
      <c r="O825" s="91" t="s">
        <v>361</v>
      </c>
      <c r="P825" s="88">
        <v>5</v>
      </c>
      <c r="Z825" s="100"/>
    </row>
    <row r="826" spans="1:26" x14ac:dyDescent="0.25">
      <c r="A826" s="99">
        <v>45505</v>
      </c>
      <c r="B826" s="74">
        <v>45512</v>
      </c>
      <c r="C826" s="60" t="s">
        <v>124</v>
      </c>
      <c r="D826" s="60" t="s">
        <v>481</v>
      </c>
      <c r="E826" s="115" t="s">
        <v>1035</v>
      </c>
      <c r="F826" s="60" t="s">
        <v>1036</v>
      </c>
      <c r="G826" s="72" t="s">
        <v>142</v>
      </c>
      <c r="H826" s="83">
        <v>0.58333333333333337</v>
      </c>
      <c r="I826" s="83">
        <v>0.70833333333333337</v>
      </c>
      <c r="J826" s="63">
        <f t="shared" si="60"/>
        <v>0.125</v>
      </c>
      <c r="K826" s="88" t="s">
        <v>110</v>
      </c>
      <c r="L826" s="135">
        <f t="shared" si="59"/>
        <v>3</v>
      </c>
      <c r="O826" s="91" t="s">
        <v>361</v>
      </c>
      <c r="P826" s="88">
        <v>5</v>
      </c>
      <c r="Z826" s="100"/>
    </row>
    <row r="827" spans="1:26" x14ac:dyDescent="0.25">
      <c r="A827" s="99">
        <v>45505</v>
      </c>
      <c r="B827" s="74">
        <v>45514</v>
      </c>
      <c r="C827" s="60" t="s">
        <v>34</v>
      </c>
      <c r="D827" s="60" t="s">
        <v>406</v>
      </c>
      <c r="E827" s="115" t="s">
        <v>1037</v>
      </c>
      <c r="F827" s="60" t="s">
        <v>1038</v>
      </c>
      <c r="G827" s="72" t="s">
        <v>142</v>
      </c>
      <c r="H827" s="83">
        <v>0.66666666666666663</v>
      </c>
      <c r="I827" s="83">
        <v>0.72916666666666663</v>
      </c>
      <c r="J827" s="63">
        <f t="shared" si="60"/>
        <v>6.25E-2</v>
      </c>
      <c r="K827" s="88" t="s">
        <v>110</v>
      </c>
      <c r="L827" s="135">
        <f t="shared" si="59"/>
        <v>1.5</v>
      </c>
      <c r="O827" s="91" t="s">
        <v>820</v>
      </c>
      <c r="P827" s="88">
        <v>4</v>
      </c>
      <c r="Q827" s="60" t="s">
        <v>472</v>
      </c>
      <c r="Z827" s="100"/>
    </row>
    <row r="828" spans="1:26" x14ac:dyDescent="0.25">
      <c r="A828" s="99">
        <v>45505</v>
      </c>
      <c r="B828" s="74">
        <v>45514</v>
      </c>
      <c r="C828" s="60" t="s">
        <v>34</v>
      </c>
      <c r="D828" s="60" t="s">
        <v>86</v>
      </c>
      <c r="E828" s="115" t="s">
        <v>1029</v>
      </c>
      <c r="F828" s="60" t="s">
        <v>1039</v>
      </c>
      <c r="G828" s="72" t="s">
        <v>142</v>
      </c>
      <c r="H828" s="83">
        <v>0</v>
      </c>
      <c r="I828" s="83">
        <v>0.20833333333333334</v>
      </c>
      <c r="J828" s="63">
        <f t="shared" si="60"/>
        <v>0.20833333333333334</v>
      </c>
      <c r="K828" s="88" t="s">
        <v>110</v>
      </c>
      <c r="L828" s="135">
        <f t="shared" si="59"/>
        <v>5</v>
      </c>
      <c r="O828" s="91" t="s">
        <v>576</v>
      </c>
      <c r="P828" s="88">
        <v>5</v>
      </c>
      <c r="Z828" s="100"/>
    </row>
    <row r="829" spans="1:26" x14ac:dyDescent="0.25">
      <c r="A829" s="99">
        <v>45505</v>
      </c>
      <c r="B829" s="74">
        <v>45514</v>
      </c>
      <c r="C829" s="60" t="s">
        <v>34</v>
      </c>
      <c r="D829" s="60" t="s">
        <v>86</v>
      </c>
      <c r="E829" s="115" t="s">
        <v>1040</v>
      </c>
      <c r="F829" s="60" t="s">
        <v>1041</v>
      </c>
      <c r="G829" s="72" t="s">
        <v>142</v>
      </c>
      <c r="H829" s="83">
        <v>0.41666666666666669</v>
      </c>
      <c r="I829" s="83">
        <v>0.75</v>
      </c>
      <c r="J829" s="63">
        <f t="shared" si="60"/>
        <v>0.33333333333333331</v>
      </c>
      <c r="K829" s="88" t="s">
        <v>110</v>
      </c>
      <c r="L829" s="135">
        <f t="shared" si="59"/>
        <v>8</v>
      </c>
      <c r="O829" s="91" t="s">
        <v>576</v>
      </c>
      <c r="P829" s="88">
        <v>5</v>
      </c>
      <c r="Z829" s="100"/>
    </row>
    <row r="830" spans="1:26" x14ac:dyDescent="0.25">
      <c r="A830" s="99">
        <v>45505</v>
      </c>
      <c r="B830" s="74">
        <v>45515</v>
      </c>
      <c r="C830" s="60" t="s">
        <v>31</v>
      </c>
      <c r="D830" s="60" t="s">
        <v>126</v>
      </c>
      <c r="E830" s="115" t="s">
        <v>497</v>
      </c>
      <c r="F830" s="60" t="s">
        <v>1042</v>
      </c>
      <c r="G830" s="72" t="s">
        <v>142</v>
      </c>
      <c r="H830" s="83">
        <v>0.54166666666666663</v>
      </c>
      <c r="I830" s="83">
        <v>0.625</v>
      </c>
      <c r="J830" s="63">
        <f t="shared" si="60"/>
        <v>8.333333333333337E-2</v>
      </c>
      <c r="K830" s="88" t="s">
        <v>365</v>
      </c>
      <c r="L830" s="135">
        <f t="shared" si="59"/>
        <v>2.0000000000000009</v>
      </c>
      <c r="O830" s="91" t="s">
        <v>363</v>
      </c>
      <c r="P830" s="88">
        <v>5</v>
      </c>
      <c r="Z830" s="100"/>
    </row>
    <row r="831" spans="1:26" x14ac:dyDescent="0.25">
      <c r="A831" s="99">
        <v>45505</v>
      </c>
      <c r="B831" s="74">
        <v>45515</v>
      </c>
      <c r="C831" s="60" t="s">
        <v>31</v>
      </c>
      <c r="D831" s="60" t="s">
        <v>32</v>
      </c>
      <c r="E831" s="115" t="s">
        <v>388</v>
      </c>
      <c r="F831" s="60" t="s">
        <v>1042</v>
      </c>
      <c r="G831" s="72" t="s">
        <v>142</v>
      </c>
      <c r="H831" s="83">
        <v>0.66666666666666663</v>
      </c>
      <c r="I831" s="83">
        <v>0.72916666666666663</v>
      </c>
      <c r="J831" s="63">
        <f t="shared" si="60"/>
        <v>6.25E-2</v>
      </c>
      <c r="K831" s="88" t="s">
        <v>365</v>
      </c>
      <c r="L831" s="135">
        <f t="shared" si="59"/>
        <v>1.5</v>
      </c>
      <c r="O831" s="91" t="s">
        <v>359</v>
      </c>
      <c r="P831" s="88">
        <v>5</v>
      </c>
      <c r="Z831" s="100"/>
    </row>
    <row r="832" spans="1:26" x14ac:dyDescent="0.25">
      <c r="A832" s="99">
        <v>45505</v>
      </c>
      <c r="B832" s="74">
        <v>45515</v>
      </c>
      <c r="C832" s="60" t="s">
        <v>31</v>
      </c>
      <c r="D832" s="60" t="s">
        <v>122</v>
      </c>
      <c r="E832" s="115" t="s">
        <v>1043</v>
      </c>
      <c r="F832" s="60" t="s">
        <v>1044</v>
      </c>
      <c r="G832" s="72" t="s">
        <v>142</v>
      </c>
      <c r="H832" s="83">
        <v>0.4375</v>
      </c>
      <c r="I832" s="83">
        <v>0.64583333333333337</v>
      </c>
      <c r="J832" s="63">
        <f t="shared" si="60"/>
        <v>0.20833333333333337</v>
      </c>
      <c r="K832" s="88" t="s">
        <v>295</v>
      </c>
      <c r="L832" s="135">
        <f t="shared" si="59"/>
        <v>5.0000000000000009</v>
      </c>
      <c r="O832" s="91" t="s">
        <v>359</v>
      </c>
      <c r="P832" s="88">
        <v>5</v>
      </c>
      <c r="Z832" s="100"/>
    </row>
    <row r="833" spans="1:26" ht="14.45" customHeight="1" x14ac:dyDescent="0.25">
      <c r="A833" s="99">
        <v>45505</v>
      </c>
      <c r="B833" s="74">
        <v>45515</v>
      </c>
      <c r="C833" s="60" t="s">
        <v>31</v>
      </c>
      <c r="D833" s="60" t="s">
        <v>720</v>
      </c>
      <c r="E833" s="115" t="s">
        <v>969</v>
      </c>
      <c r="F833" s="60" t="s">
        <v>837</v>
      </c>
      <c r="G833" s="72" t="s">
        <v>142</v>
      </c>
      <c r="H833" s="83">
        <v>0.5</v>
      </c>
      <c r="I833" s="83">
        <v>0.625</v>
      </c>
      <c r="J833" s="63">
        <f t="shared" si="60"/>
        <v>0.125</v>
      </c>
      <c r="K833" s="88" t="s">
        <v>300</v>
      </c>
      <c r="L833" s="135">
        <f t="shared" si="59"/>
        <v>3</v>
      </c>
      <c r="O833" s="91" t="s">
        <v>362</v>
      </c>
      <c r="P833" s="88">
        <v>5</v>
      </c>
      <c r="Z833" s="100"/>
    </row>
    <row r="834" spans="1:26" x14ac:dyDescent="0.25">
      <c r="A834" s="99">
        <v>45505</v>
      </c>
      <c r="B834" s="74">
        <v>45515</v>
      </c>
      <c r="C834" s="60" t="s">
        <v>31</v>
      </c>
      <c r="D834" s="60" t="s">
        <v>840</v>
      </c>
      <c r="E834" s="115" t="s">
        <v>1045</v>
      </c>
      <c r="F834" s="60" t="s">
        <v>837</v>
      </c>
      <c r="G834" s="72" t="s">
        <v>142</v>
      </c>
      <c r="H834" s="83">
        <v>0.45833333333333331</v>
      </c>
      <c r="I834" s="83">
        <v>0.58333333333333337</v>
      </c>
      <c r="J834" s="63">
        <f t="shared" si="60"/>
        <v>0.12500000000000006</v>
      </c>
      <c r="K834" s="88" t="s">
        <v>300</v>
      </c>
      <c r="L834" s="135">
        <f t="shared" si="59"/>
        <v>3.0000000000000013</v>
      </c>
      <c r="O834" s="91" t="s">
        <v>362</v>
      </c>
      <c r="P834" s="88">
        <v>5</v>
      </c>
      <c r="Z834" s="100"/>
    </row>
    <row r="835" spans="1:26" x14ac:dyDescent="0.25">
      <c r="A835" s="99">
        <v>45505</v>
      </c>
      <c r="B835" s="74">
        <v>45515</v>
      </c>
      <c r="C835" s="60" t="s">
        <v>31</v>
      </c>
      <c r="D835" s="60" t="s">
        <v>86</v>
      </c>
      <c r="E835" s="115" t="s">
        <v>1046</v>
      </c>
      <c r="F835" s="60" t="s">
        <v>1047</v>
      </c>
      <c r="G835" s="72" t="s">
        <v>142</v>
      </c>
      <c r="H835" s="83">
        <v>0.45833333333333331</v>
      </c>
      <c r="I835" s="83">
        <v>0.70833333333333337</v>
      </c>
      <c r="J835" s="63">
        <f t="shared" si="60"/>
        <v>0.25000000000000006</v>
      </c>
      <c r="K835" s="88" t="s">
        <v>110</v>
      </c>
      <c r="L835" s="135">
        <f t="shared" si="59"/>
        <v>6.0000000000000018</v>
      </c>
      <c r="O835" s="91" t="s">
        <v>361</v>
      </c>
      <c r="P835" s="88">
        <v>5</v>
      </c>
      <c r="Z835" s="100"/>
    </row>
    <row r="836" spans="1:26" x14ac:dyDescent="0.25">
      <c r="A836" s="99">
        <v>45505</v>
      </c>
      <c r="B836" s="74">
        <v>45515</v>
      </c>
      <c r="C836" s="60" t="s">
        <v>31</v>
      </c>
      <c r="D836" s="60" t="s">
        <v>481</v>
      </c>
      <c r="E836" s="115" t="s">
        <v>368</v>
      </c>
      <c r="F836" s="60" t="s">
        <v>1036</v>
      </c>
      <c r="G836" s="72" t="s">
        <v>142</v>
      </c>
      <c r="H836" s="83">
        <v>0.41666666666666669</v>
      </c>
      <c r="I836" s="83">
        <v>0.70833333333333337</v>
      </c>
      <c r="J836" s="63">
        <f t="shared" si="60"/>
        <v>0.29166666666666669</v>
      </c>
      <c r="K836" s="88" t="s">
        <v>110</v>
      </c>
      <c r="L836" s="135">
        <f t="shared" si="59"/>
        <v>7</v>
      </c>
      <c r="O836" s="91" t="s">
        <v>361</v>
      </c>
      <c r="P836" s="88">
        <v>5</v>
      </c>
      <c r="Z836" s="100"/>
    </row>
    <row r="837" spans="1:26" x14ac:dyDescent="0.25">
      <c r="A837" s="99">
        <v>45505</v>
      </c>
      <c r="B837" s="74">
        <v>45516</v>
      </c>
      <c r="C837" s="60" t="s">
        <v>45</v>
      </c>
      <c r="D837" s="60" t="s">
        <v>98</v>
      </c>
      <c r="E837" s="115" t="s">
        <v>386</v>
      </c>
      <c r="F837" s="60" t="s">
        <v>1048</v>
      </c>
      <c r="G837" s="72" t="s">
        <v>142</v>
      </c>
      <c r="H837" s="83">
        <v>0.5</v>
      </c>
      <c r="I837" s="83">
        <v>0.60416666666666663</v>
      </c>
      <c r="J837" s="63">
        <f t="shared" si="60"/>
        <v>0.10416666666666663</v>
      </c>
      <c r="K837" s="88" t="s">
        <v>365</v>
      </c>
      <c r="L837" s="135">
        <f t="shared" si="59"/>
        <v>2.4999999999999991</v>
      </c>
      <c r="N837" s="60"/>
      <c r="O837" s="98" t="s">
        <v>360</v>
      </c>
      <c r="P837" s="88">
        <v>5</v>
      </c>
      <c r="Q837" s="60" t="s">
        <v>279</v>
      </c>
      <c r="V837" s="86"/>
      <c r="Z837" s="100"/>
    </row>
    <row r="838" spans="1:26" x14ac:dyDescent="0.25">
      <c r="A838" s="99">
        <v>45505</v>
      </c>
      <c r="B838" s="74">
        <v>45516</v>
      </c>
      <c r="C838" s="60" t="s">
        <v>45</v>
      </c>
      <c r="D838" s="60" t="s">
        <v>32</v>
      </c>
      <c r="E838" s="115" t="s">
        <v>388</v>
      </c>
      <c r="F838" s="60" t="s">
        <v>1049</v>
      </c>
      <c r="G838" s="72" t="s">
        <v>142</v>
      </c>
      <c r="H838" s="83">
        <v>0.45833333333333331</v>
      </c>
      <c r="I838" s="83">
        <v>0.5</v>
      </c>
      <c r="J838" s="63">
        <f t="shared" si="60"/>
        <v>4.1666666666666685E-2</v>
      </c>
      <c r="K838" s="88" t="s">
        <v>365</v>
      </c>
      <c r="L838" s="135">
        <f t="shared" si="59"/>
        <v>1.0000000000000004</v>
      </c>
      <c r="O838" s="91" t="s">
        <v>363</v>
      </c>
      <c r="P838" s="88">
        <v>5</v>
      </c>
      <c r="Z838" s="100"/>
    </row>
    <row r="839" spans="1:26" x14ac:dyDescent="0.25">
      <c r="A839" s="99">
        <v>45505</v>
      </c>
      <c r="B839" s="74">
        <v>45516</v>
      </c>
      <c r="C839" s="60" t="s">
        <v>45</v>
      </c>
      <c r="D839" s="60" t="s">
        <v>1060</v>
      </c>
      <c r="E839" s="115" t="s">
        <v>1050</v>
      </c>
      <c r="F839" s="60" t="s">
        <v>1051</v>
      </c>
      <c r="G839" s="72" t="s">
        <v>142</v>
      </c>
      <c r="H839" s="83">
        <v>0.58333333333333337</v>
      </c>
      <c r="I839" s="83">
        <v>0.66666666666666663</v>
      </c>
      <c r="J839" s="63">
        <f t="shared" si="60"/>
        <v>8.3333333333333259E-2</v>
      </c>
      <c r="K839" s="88" t="s">
        <v>365</v>
      </c>
      <c r="L839" s="135">
        <f t="shared" si="59"/>
        <v>1.9999999999999982</v>
      </c>
      <c r="O839" s="91" t="s">
        <v>820</v>
      </c>
      <c r="P839" s="88">
        <v>5</v>
      </c>
      <c r="Z839" s="100"/>
    </row>
    <row r="840" spans="1:26" x14ac:dyDescent="0.25">
      <c r="A840" s="99">
        <v>45505</v>
      </c>
      <c r="B840" s="74">
        <v>45516</v>
      </c>
      <c r="C840" s="60" t="s">
        <v>45</v>
      </c>
      <c r="D840" s="60" t="s">
        <v>406</v>
      </c>
      <c r="E840" s="115" t="s">
        <v>1052</v>
      </c>
      <c r="F840" s="60" t="s">
        <v>1053</v>
      </c>
      <c r="G840" s="72" t="s">
        <v>142</v>
      </c>
      <c r="H840" s="83">
        <v>0.58333333333333337</v>
      </c>
      <c r="I840" s="83">
        <v>0.75</v>
      </c>
      <c r="J840" s="63">
        <f t="shared" si="60"/>
        <v>0.16666666666666663</v>
      </c>
      <c r="K840" s="88" t="s">
        <v>113</v>
      </c>
      <c r="L840" s="135">
        <f t="shared" si="59"/>
        <v>3.9999999999999991</v>
      </c>
      <c r="O840" s="91" t="s">
        <v>539</v>
      </c>
      <c r="P840" s="88">
        <v>5</v>
      </c>
      <c r="Q840" s="60"/>
      <c r="Z840" s="100"/>
    </row>
    <row r="841" spans="1:26" x14ac:dyDescent="0.25">
      <c r="A841" s="99">
        <v>45505</v>
      </c>
      <c r="B841" s="74">
        <v>45516</v>
      </c>
      <c r="C841" s="60" t="s">
        <v>45</v>
      </c>
      <c r="D841" s="60" t="s">
        <v>830</v>
      </c>
      <c r="E841" s="115" t="s">
        <v>799</v>
      </c>
      <c r="F841" s="60" t="s">
        <v>1054</v>
      </c>
      <c r="G841" s="72" t="s">
        <v>142</v>
      </c>
      <c r="H841" s="83">
        <v>0.5</v>
      </c>
      <c r="I841" s="83">
        <v>0.66666666666666663</v>
      </c>
      <c r="J841" s="63">
        <f t="shared" si="60"/>
        <v>0.16666666666666663</v>
      </c>
      <c r="K841" s="88" t="s">
        <v>113</v>
      </c>
      <c r="L841" s="135">
        <f t="shared" si="59"/>
        <v>3.9999999999999991</v>
      </c>
      <c r="N841" s="60"/>
      <c r="O841" s="98" t="s">
        <v>539</v>
      </c>
      <c r="P841" s="88">
        <v>5</v>
      </c>
      <c r="Q841" s="60"/>
      <c r="V841" s="86"/>
      <c r="Z841" s="100"/>
    </row>
    <row r="842" spans="1:26" x14ac:dyDescent="0.25">
      <c r="A842" s="99">
        <v>45505</v>
      </c>
      <c r="B842" s="74">
        <v>45516</v>
      </c>
      <c r="C842" s="60" t="s">
        <v>45</v>
      </c>
      <c r="D842" s="60" t="s">
        <v>481</v>
      </c>
      <c r="E842" s="115" t="s">
        <v>368</v>
      </c>
      <c r="F842" s="60" t="s">
        <v>1036</v>
      </c>
      <c r="G842" s="72" t="s">
        <v>142</v>
      </c>
      <c r="H842" s="83">
        <v>0.41666666666666669</v>
      </c>
      <c r="I842" s="83">
        <v>0.70833333333333337</v>
      </c>
      <c r="J842" s="63">
        <f t="shared" si="60"/>
        <v>0.29166666666666669</v>
      </c>
      <c r="K842" s="88" t="s">
        <v>110</v>
      </c>
      <c r="L842" s="135">
        <f t="shared" si="59"/>
        <v>7</v>
      </c>
      <c r="O842" s="91" t="s">
        <v>361</v>
      </c>
      <c r="P842" s="88">
        <v>5</v>
      </c>
      <c r="Z842" s="100"/>
    </row>
    <row r="843" spans="1:26" x14ac:dyDescent="0.25">
      <c r="A843" s="99">
        <v>45505</v>
      </c>
      <c r="B843" s="74">
        <v>45516</v>
      </c>
      <c r="C843" s="60" t="s">
        <v>45</v>
      </c>
      <c r="D843" s="60" t="s">
        <v>86</v>
      </c>
      <c r="E843" s="115" t="s">
        <v>1046</v>
      </c>
      <c r="F843" s="60" t="s">
        <v>1047</v>
      </c>
      <c r="G843" s="72" t="s">
        <v>142</v>
      </c>
      <c r="H843" s="83">
        <v>0.45833333333333331</v>
      </c>
      <c r="I843" s="83">
        <v>0.70833333333333337</v>
      </c>
      <c r="J843" s="63">
        <f t="shared" si="60"/>
        <v>0.25000000000000006</v>
      </c>
      <c r="K843" s="88" t="s">
        <v>110</v>
      </c>
      <c r="L843" s="135">
        <f t="shared" si="59"/>
        <v>6.0000000000000018</v>
      </c>
      <c r="O843" s="91" t="s">
        <v>361</v>
      </c>
      <c r="P843" s="88">
        <v>5</v>
      </c>
      <c r="Z843" s="100"/>
    </row>
    <row r="844" spans="1:26" x14ac:dyDescent="0.25">
      <c r="A844" s="99">
        <v>45505</v>
      </c>
      <c r="B844" s="74">
        <v>45516</v>
      </c>
      <c r="C844" s="60" t="s">
        <v>45</v>
      </c>
      <c r="D844" s="60" t="s">
        <v>98</v>
      </c>
      <c r="E844" s="115" t="s">
        <v>1055</v>
      </c>
      <c r="F844" s="60" t="s">
        <v>1056</v>
      </c>
      <c r="G844" s="72" t="s">
        <v>142</v>
      </c>
      <c r="H844" s="83">
        <v>0.4375</v>
      </c>
      <c r="I844" s="83">
        <v>0.47916666666666669</v>
      </c>
      <c r="J844" s="63">
        <f t="shared" si="60"/>
        <v>4.1666666666666685E-2</v>
      </c>
      <c r="K844" s="88" t="s">
        <v>296</v>
      </c>
      <c r="L844" s="135">
        <f t="shared" si="59"/>
        <v>1.0000000000000004</v>
      </c>
      <c r="N844" s="60"/>
      <c r="O844" s="98" t="s">
        <v>304</v>
      </c>
      <c r="P844" s="88">
        <v>5</v>
      </c>
      <c r="Q844" s="60"/>
      <c r="V844" s="86"/>
      <c r="Z844" s="100"/>
    </row>
    <row r="845" spans="1:26" x14ac:dyDescent="0.25">
      <c r="A845" s="99">
        <v>45505</v>
      </c>
      <c r="B845" s="74">
        <v>45516</v>
      </c>
      <c r="C845" s="60" t="s">
        <v>45</v>
      </c>
      <c r="D845" s="60" t="s">
        <v>98</v>
      </c>
      <c r="E845" s="115" t="s">
        <v>754</v>
      </c>
      <c r="F845" s="60" t="s">
        <v>1057</v>
      </c>
      <c r="G845" s="72" t="s">
        <v>142</v>
      </c>
      <c r="H845" s="83">
        <v>0.625</v>
      </c>
      <c r="I845" s="83">
        <v>0.64583333333333337</v>
      </c>
      <c r="J845" s="63">
        <f t="shared" si="60"/>
        <v>2.083333333333337E-2</v>
      </c>
      <c r="K845" s="88" t="s">
        <v>296</v>
      </c>
      <c r="L845" s="135">
        <f t="shared" si="59"/>
        <v>0.50000000000000089</v>
      </c>
      <c r="N845" s="60"/>
      <c r="O845" s="98" t="s">
        <v>304</v>
      </c>
      <c r="P845" s="88">
        <v>5</v>
      </c>
      <c r="Q845" s="60"/>
      <c r="V845" s="86"/>
      <c r="Z845" s="100"/>
    </row>
    <row r="846" spans="1:26" x14ac:dyDescent="0.25">
      <c r="A846" s="99">
        <v>45505</v>
      </c>
      <c r="B846" s="74">
        <v>45516</v>
      </c>
      <c r="C846" s="60" t="s">
        <v>45</v>
      </c>
      <c r="D846" s="60" t="s">
        <v>98</v>
      </c>
      <c r="E846" s="115" t="s">
        <v>754</v>
      </c>
      <c r="F846" s="60" t="s">
        <v>1058</v>
      </c>
      <c r="G846" s="72" t="s">
        <v>142</v>
      </c>
      <c r="H846" s="83">
        <v>0.66666666666666663</v>
      </c>
      <c r="I846" s="83">
        <v>0.83333333333333337</v>
      </c>
      <c r="J846" s="63">
        <f t="shared" si="60"/>
        <v>0.16666666666666674</v>
      </c>
      <c r="K846" s="88" t="s">
        <v>296</v>
      </c>
      <c r="L846" s="135">
        <f t="shared" si="59"/>
        <v>4.0000000000000018</v>
      </c>
      <c r="N846" s="60"/>
      <c r="O846" s="98" t="s">
        <v>304</v>
      </c>
      <c r="P846" s="88">
        <v>5</v>
      </c>
      <c r="Q846" s="60"/>
      <c r="V846" s="86"/>
      <c r="Z846" s="100"/>
    </row>
    <row r="847" spans="1:26" x14ac:dyDescent="0.25">
      <c r="A847" s="99">
        <v>45505</v>
      </c>
      <c r="B847" s="74">
        <v>45516</v>
      </c>
      <c r="C847" s="60" t="s">
        <v>45</v>
      </c>
      <c r="D847" s="60" t="s">
        <v>98</v>
      </c>
      <c r="E847" s="115" t="s">
        <v>754</v>
      </c>
      <c r="F847" s="60" t="s">
        <v>1059</v>
      </c>
      <c r="G847" s="72" t="s">
        <v>142</v>
      </c>
      <c r="H847" s="83">
        <v>0.79166666666666663</v>
      </c>
      <c r="I847" s="83">
        <v>0.83333333333333337</v>
      </c>
      <c r="J847" s="63">
        <f t="shared" si="60"/>
        <v>4.1666666666666741E-2</v>
      </c>
      <c r="K847" s="88" t="s">
        <v>296</v>
      </c>
      <c r="L847" s="135">
        <f t="shared" si="59"/>
        <v>1.0000000000000018</v>
      </c>
      <c r="N847" s="60"/>
      <c r="O847" s="98" t="s">
        <v>304</v>
      </c>
      <c r="P847" s="88">
        <v>5</v>
      </c>
      <c r="Q847" s="60"/>
      <c r="V847" s="86"/>
      <c r="Z847" s="100"/>
    </row>
    <row r="848" spans="1:26" x14ac:dyDescent="0.25">
      <c r="A848" s="99">
        <v>45505</v>
      </c>
      <c r="B848" s="74">
        <v>45517</v>
      </c>
      <c r="C848" s="60" t="s">
        <v>106</v>
      </c>
      <c r="D848" s="60" t="s">
        <v>86</v>
      </c>
      <c r="E848" s="115" t="s">
        <v>1046</v>
      </c>
      <c r="F848" s="60" t="s">
        <v>1072</v>
      </c>
      <c r="G848" s="72" t="s">
        <v>142</v>
      </c>
      <c r="H848" s="83">
        <v>0</v>
      </c>
      <c r="I848" s="83">
        <v>0.70833333333333337</v>
      </c>
      <c r="J848" s="63">
        <f t="shared" ref="J848" si="61">I848-H848</f>
        <v>0.70833333333333337</v>
      </c>
      <c r="K848" s="88" t="s">
        <v>110</v>
      </c>
      <c r="L848" s="135">
        <f t="shared" ref="L848" si="62">24*J848</f>
        <v>17</v>
      </c>
      <c r="O848" s="91" t="s">
        <v>361</v>
      </c>
      <c r="P848" s="88">
        <v>5</v>
      </c>
      <c r="Z848" s="100"/>
    </row>
    <row r="849" spans="1:26" x14ac:dyDescent="0.25">
      <c r="A849" s="99">
        <v>45505</v>
      </c>
      <c r="B849" s="74">
        <v>45517</v>
      </c>
      <c r="C849" s="60" t="s">
        <v>106</v>
      </c>
      <c r="D849" s="60" t="s">
        <v>481</v>
      </c>
      <c r="E849" s="115" t="s">
        <v>1071</v>
      </c>
      <c r="F849" s="60" t="s">
        <v>1078</v>
      </c>
      <c r="G849" s="72" t="s">
        <v>142</v>
      </c>
      <c r="H849" s="83">
        <v>0.41666666666666669</v>
      </c>
      <c r="I849" s="83">
        <v>0.70833333333333337</v>
      </c>
      <c r="J849" s="63">
        <f t="shared" ref="J849" si="63">I849-H849</f>
        <v>0.29166666666666669</v>
      </c>
      <c r="K849" s="88" t="s">
        <v>110</v>
      </c>
      <c r="L849" s="135">
        <f t="shared" ref="L849" si="64">24*J849</f>
        <v>7</v>
      </c>
      <c r="O849" s="91" t="s">
        <v>361</v>
      </c>
      <c r="P849" s="88">
        <v>5</v>
      </c>
      <c r="Z849" s="100"/>
    </row>
    <row r="850" spans="1:26" x14ac:dyDescent="0.25">
      <c r="A850" s="99">
        <v>45505</v>
      </c>
      <c r="B850" s="74">
        <v>45517</v>
      </c>
      <c r="C850" s="60" t="s">
        <v>106</v>
      </c>
      <c r="D850" s="60" t="s">
        <v>98</v>
      </c>
      <c r="E850" s="115" t="s">
        <v>884</v>
      </c>
      <c r="F850" s="60" t="s">
        <v>618</v>
      </c>
      <c r="G850" s="72" t="s">
        <v>142</v>
      </c>
      <c r="H850" s="83">
        <v>0.54166666666666663</v>
      </c>
      <c r="I850" s="83">
        <v>0.58333333333333337</v>
      </c>
      <c r="J850" s="63">
        <f t="shared" si="60"/>
        <v>4.1666666666666741E-2</v>
      </c>
      <c r="K850" s="88" t="s">
        <v>365</v>
      </c>
      <c r="L850" s="135">
        <f t="shared" si="59"/>
        <v>1.0000000000000018</v>
      </c>
      <c r="N850" s="60"/>
      <c r="O850" s="98" t="s">
        <v>576</v>
      </c>
      <c r="P850" s="88">
        <v>5</v>
      </c>
      <c r="Q850" s="60"/>
      <c r="V850" s="86"/>
      <c r="Z850" s="100"/>
    </row>
    <row r="851" spans="1:26" x14ac:dyDescent="0.25">
      <c r="A851" s="99">
        <v>45505</v>
      </c>
      <c r="B851" s="74">
        <v>45517</v>
      </c>
      <c r="C851" s="60" t="s">
        <v>106</v>
      </c>
      <c r="D851" s="60" t="s">
        <v>98</v>
      </c>
      <c r="E851" s="115" t="s">
        <v>771</v>
      </c>
      <c r="F851" s="60" t="s">
        <v>618</v>
      </c>
      <c r="G851" s="72" t="s">
        <v>142</v>
      </c>
      <c r="H851" s="83">
        <v>0.45833333333333331</v>
      </c>
      <c r="I851" s="83">
        <v>0.5</v>
      </c>
      <c r="J851" s="63">
        <f t="shared" si="60"/>
        <v>4.1666666666666685E-2</v>
      </c>
      <c r="K851" s="88" t="s">
        <v>365</v>
      </c>
      <c r="L851" s="135">
        <f t="shared" si="59"/>
        <v>1.0000000000000004</v>
      </c>
      <c r="N851" s="60"/>
      <c r="O851" s="98" t="s">
        <v>363</v>
      </c>
      <c r="P851" s="88">
        <v>5</v>
      </c>
      <c r="Q851" s="60"/>
      <c r="V851" s="86"/>
      <c r="Z851" s="100"/>
    </row>
    <row r="852" spans="1:26" x14ac:dyDescent="0.25">
      <c r="A852" s="99">
        <v>45505</v>
      </c>
      <c r="B852" s="74">
        <v>45517</v>
      </c>
      <c r="C852" s="60" t="s">
        <v>106</v>
      </c>
      <c r="D852" s="60" t="s">
        <v>1060</v>
      </c>
      <c r="E852" s="115" t="s">
        <v>1050</v>
      </c>
      <c r="F852" s="60" t="s">
        <v>618</v>
      </c>
      <c r="G852" s="72" t="s">
        <v>142</v>
      </c>
      <c r="H852" s="83">
        <v>0.54166666666666663</v>
      </c>
      <c r="I852" s="83">
        <v>0.66666666666666663</v>
      </c>
      <c r="J852" s="63">
        <f t="shared" si="60"/>
        <v>0.125</v>
      </c>
      <c r="K852" s="88" t="s">
        <v>365</v>
      </c>
      <c r="L852" s="135">
        <f t="shared" si="59"/>
        <v>3</v>
      </c>
      <c r="N852" s="60"/>
      <c r="O852" s="98" t="s">
        <v>363</v>
      </c>
      <c r="P852" s="88">
        <v>5</v>
      </c>
      <c r="Q852" s="60"/>
      <c r="V852" s="86"/>
      <c r="Z852" s="100"/>
    </row>
    <row r="853" spans="1:26" x14ac:dyDescent="0.25">
      <c r="A853" s="99">
        <v>45505</v>
      </c>
      <c r="B853" s="74">
        <v>45518</v>
      </c>
      <c r="C853" s="60" t="s">
        <v>398</v>
      </c>
      <c r="D853" s="60" t="s">
        <v>122</v>
      </c>
      <c r="E853" s="115" t="s">
        <v>1043</v>
      </c>
      <c r="F853" s="60" t="s">
        <v>1061</v>
      </c>
      <c r="G853" s="72" t="s">
        <v>142</v>
      </c>
      <c r="H853" s="83">
        <v>0.58333333333333337</v>
      </c>
      <c r="I853" s="83">
        <v>0.66666666666666663</v>
      </c>
      <c r="J853" s="63">
        <f t="shared" si="60"/>
        <v>8.3333333333333259E-2</v>
      </c>
      <c r="K853" s="88" t="s">
        <v>295</v>
      </c>
      <c r="L853" s="135">
        <f t="shared" si="59"/>
        <v>1.9999999999999982</v>
      </c>
      <c r="O853" s="91" t="s">
        <v>576</v>
      </c>
      <c r="P853" s="88">
        <v>5</v>
      </c>
      <c r="Z853" s="100"/>
    </row>
    <row r="854" spans="1:26" x14ac:dyDescent="0.25">
      <c r="A854" s="99">
        <v>45505</v>
      </c>
      <c r="B854" s="74">
        <v>45518</v>
      </c>
      <c r="C854" s="60" t="s">
        <v>398</v>
      </c>
      <c r="D854" s="60" t="s">
        <v>1064</v>
      </c>
      <c r="E854" s="115" t="s">
        <v>1062</v>
      </c>
      <c r="F854" s="60" t="s">
        <v>1063</v>
      </c>
      <c r="G854" s="72" t="s">
        <v>142</v>
      </c>
      <c r="H854" s="83">
        <v>0.4375</v>
      </c>
      <c r="I854" s="83">
        <v>0.72916666666666663</v>
      </c>
      <c r="J854" s="63">
        <f t="shared" si="60"/>
        <v>0.29166666666666663</v>
      </c>
      <c r="K854" s="88" t="s">
        <v>295</v>
      </c>
      <c r="L854" s="135">
        <f t="shared" si="59"/>
        <v>6.9999999999999991</v>
      </c>
      <c r="O854" s="91" t="s">
        <v>576</v>
      </c>
      <c r="P854" s="88">
        <v>5</v>
      </c>
      <c r="Z854" s="100"/>
    </row>
    <row r="855" spans="1:26" x14ac:dyDescent="0.25">
      <c r="A855" s="99">
        <v>45505</v>
      </c>
      <c r="B855" s="74">
        <v>45518</v>
      </c>
      <c r="C855" s="60" t="s">
        <v>398</v>
      </c>
      <c r="D855" s="60" t="s">
        <v>1067</v>
      </c>
      <c r="E855" s="115" t="s">
        <v>1068</v>
      </c>
      <c r="F855" s="60" t="s">
        <v>1066</v>
      </c>
      <c r="G855" s="72" t="s">
        <v>142</v>
      </c>
      <c r="H855" s="83">
        <v>0.41666666666666669</v>
      </c>
      <c r="I855" s="83">
        <v>0.52083333333333337</v>
      </c>
      <c r="J855" s="63">
        <f t="shared" si="60"/>
        <v>0.10416666666666669</v>
      </c>
      <c r="K855" s="88" t="s">
        <v>365</v>
      </c>
      <c r="L855" s="135">
        <f t="shared" si="59"/>
        <v>2.5000000000000004</v>
      </c>
      <c r="O855" s="91" t="s">
        <v>576</v>
      </c>
      <c r="P855" s="88">
        <v>5</v>
      </c>
      <c r="Z855" s="100"/>
    </row>
    <row r="856" spans="1:26" x14ac:dyDescent="0.25">
      <c r="A856" s="99">
        <v>45505</v>
      </c>
      <c r="B856" s="74">
        <v>45518</v>
      </c>
      <c r="C856" s="60" t="s">
        <v>398</v>
      </c>
      <c r="D856" s="60" t="s">
        <v>98</v>
      </c>
      <c r="E856" s="115" t="s">
        <v>1069</v>
      </c>
      <c r="F856" s="60" t="s">
        <v>1070</v>
      </c>
      <c r="G856" s="72" t="s">
        <v>142</v>
      </c>
      <c r="H856" s="83">
        <v>0.41666666666666669</v>
      </c>
      <c r="I856" s="83">
        <v>0.83333333333333337</v>
      </c>
      <c r="J856" s="63">
        <f t="shared" ref="J856:J863" si="65">I856-H856</f>
        <v>0.41666666666666669</v>
      </c>
      <c r="K856" s="88" t="s">
        <v>365</v>
      </c>
      <c r="L856" s="135">
        <f t="shared" ref="L856:L863" si="66">24*J856</f>
        <v>10</v>
      </c>
      <c r="N856" s="60"/>
      <c r="O856" s="98" t="s">
        <v>359</v>
      </c>
      <c r="P856" s="88">
        <v>5</v>
      </c>
      <c r="Q856" s="60" t="s">
        <v>279</v>
      </c>
      <c r="V856" s="86"/>
      <c r="Z856" s="100"/>
    </row>
    <row r="857" spans="1:26" x14ac:dyDescent="0.25">
      <c r="A857" s="99">
        <v>45505</v>
      </c>
      <c r="B857" s="74">
        <v>45518</v>
      </c>
      <c r="C857" s="60" t="s">
        <v>398</v>
      </c>
      <c r="D857" s="60" t="s">
        <v>830</v>
      </c>
      <c r="E857" s="115" t="s">
        <v>799</v>
      </c>
      <c r="F857" s="60" t="s">
        <v>987</v>
      </c>
      <c r="G857" s="72" t="s">
        <v>142</v>
      </c>
      <c r="H857" s="83">
        <v>0.41666666666666669</v>
      </c>
      <c r="I857" s="83">
        <v>0.58333333333333337</v>
      </c>
      <c r="J857" s="63">
        <f t="shared" si="65"/>
        <v>0.16666666666666669</v>
      </c>
      <c r="K857" s="88" t="s">
        <v>113</v>
      </c>
      <c r="L857" s="135">
        <f t="shared" si="66"/>
        <v>4</v>
      </c>
      <c r="N857" s="60"/>
      <c r="O857" s="98" t="s">
        <v>539</v>
      </c>
      <c r="P857" s="88">
        <v>5</v>
      </c>
      <c r="Q857" s="60"/>
      <c r="V857" s="86"/>
      <c r="Z857" s="100"/>
    </row>
    <row r="858" spans="1:26" x14ac:dyDescent="0.25">
      <c r="A858" s="99">
        <v>45505</v>
      </c>
      <c r="B858" s="74">
        <v>45518</v>
      </c>
      <c r="C858" s="60" t="s">
        <v>398</v>
      </c>
      <c r="D858" s="60" t="s">
        <v>406</v>
      </c>
      <c r="E858" s="115" t="s">
        <v>1052</v>
      </c>
      <c r="F858" s="60" t="s">
        <v>1053</v>
      </c>
      <c r="G858" s="72" t="s">
        <v>142</v>
      </c>
      <c r="H858" s="83">
        <v>0.54166666666666663</v>
      </c>
      <c r="I858" s="83">
        <v>0.83333333333333337</v>
      </c>
      <c r="J858" s="63">
        <f t="shared" si="65"/>
        <v>0.29166666666666674</v>
      </c>
      <c r="K858" s="88" t="s">
        <v>113</v>
      </c>
      <c r="L858" s="135">
        <f t="shared" si="66"/>
        <v>7.0000000000000018</v>
      </c>
      <c r="O858" s="91" t="s">
        <v>539</v>
      </c>
      <c r="P858" s="88">
        <v>5</v>
      </c>
      <c r="Q858" s="60"/>
      <c r="Z858" s="100"/>
    </row>
    <row r="859" spans="1:26" x14ac:dyDescent="0.25">
      <c r="A859" s="99">
        <v>45505</v>
      </c>
      <c r="B859" s="74">
        <v>45518</v>
      </c>
      <c r="C859" s="60" t="s">
        <v>398</v>
      </c>
      <c r="D859" s="60" t="s">
        <v>481</v>
      </c>
      <c r="E859" s="115" t="s">
        <v>1073</v>
      </c>
      <c r="F859" s="60" t="s">
        <v>1074</v>
      </c>
      <c r="G859" s="72" t="s">
        <v>142</v>
      </c>
      <c r="H859" s="83">
        <v>0.41666666666666669</v>
      </c>
      <c r="I859" s="83">
        <v>0.66666666666666663</v>
      </c>
      <c r="J859" s="63">
        <f t="shared" si="65"/>
        <v>0.24999999999999994</v>
      </c>
      <c r="K859" s="88" t="s">
        <v>113</v>
      </c>
      <c r="L859" s="135">
        <f t="shared" si="66"/>
        <v>5.9999999999999982</v>
      </c>
      <c r="O859" s="91" t="s">
        <v>539</v>
      </c>
      <c r="P859" s="88">
        <v>5</v>
      </c>
      <c r="Z859" s="100"/>
    </row>
    <row r="860" spans="1:26" x14ac:dyDescent="0.25">
      <c r="A860" s="99">
        <v>45505</v>
      </c>
      <c r="B860" s="74">
        <v>45518</v>
      </c>
      <c r="C860" s="60" t="s">
        <v>398</v>
      </c>
      <c r="D860" s="60" t="s">
        <v>86</v>
      </c>
      <c r="E860" s="115" t="s">
        <v>1075</v>
      </c>
      <c r="F860" s="60" t="s">
        <v>1076</v>
      </c>
      <c r="G860" s="72" t="s">
        <v>142</v>
      </c>
      <c r="H860" s="83">
        <v>0.41666666666666669</v>
      </c>
      <c r="I860" s="83">
        <v>0.70833333333333337</v>
      </c>
      <c r="J860" s="63">
        <f t="shared" si="65"/>
        <v>0.29166666666666669</v>
      </c>
      <c r="K860" s="88" t="s">
        <v>110</v>
      </c>
      <c r="L860" s="135">
        <f t="shared" si="66"/>
        <v>7</v>
      </c>
      <c r="O860" s="91" t="s">
        <v>361</v>
      </c>
      <c r="P860" s="88">
        <v>5</v>
      </c>
      <c r="Z860" s="100"/>
    </row>
    <row r="861" spans="1:26" x14ac:dyDescent="0.25">
      <c r="A861" s="99">
        <v>45505</v>
      </c>
      <c r="B861" s="74">
        <v>45518</v>
      </c>
      <c r="C861" s="60" t="s">
        <v>398</v>
      </c>
      <c r="D861" s="60" t="s">
        <v>740</v>
      </c>
      <c r="E861" s="115" t="s">
        <v>1034</v>
      </c>
      <c r="F861" s="60" t="s">
        <v>1009</v>
      </c>
      <c r="G861" s="72" t="s">
        <v>142</v>
      </c>
      <c r="H861" s="83">
        <v>0.41666666666666669</v>
      </c>
      <c r="I861" s="83">
        <v>0.70833333333333337</v>
      </c>
      <c r="J861" s="63">
        <f t="shared" si="65"/>
        <v>0.29166666666666669</v>
      </c>
      <c r="K861" s="88" t="s">
        <v>110</v>
      </c>
      <c r="L861" s="135">
        <f t="shared" si="66"/>
        <v>7</v>
      </c>
      <c r="O861" s="91" t="s">
        <v>361</v>
      </c>
      <c r="P861" s="88">
        <v>5</v>
      </c>
      <c r="Z861" s="100"/>
    </row>
    <row r="862" spans="1:26" x14ac:dyDescent="0.25">
      <c r="A862" s="99">
        <v>45505</v>
      </c>
      <c r="B862" s="74">
        <v>45518</v>
      </c>
      <c r="C862" s="60" t="s">
        <v>398</v>
      </c>
      <c r="D862" s="60" t="s">
        <v>481</v>
      </c>
      <c r="E862" s="115" t="s">
        <v>1071</v>
      </c>
      <c r="F862" s="60" t="s">
        <v>1077</v>
      </c>
      <c r="G862" s="72" t="s">
        <v>142</v>
      </c>
      <c r="H862" s="83">
        <v>0.41666666666666669</v>
      </c>
      <c r="I862" s="83">
        <v>0.70833333333333337</v>
      </c>
      <c r="J862" s="63">
        <f t="shared" si="65"/>
        <v>0.29166666666666669</v>
      </c>
      <c r="K862" s="88" t="s">
        <v>110</v>
      </c>
      <c r="L862" s="135">
        <f t="shared" si="66"/>
        <v>7</v>
      </c>
      <c r="O862" s="91" t="s">
        <v>361</v>
      </c>
      <c r="P862" s="88">
        <v>5</v>
      </c>
      <c r="Z862" s="100"/>
    </row>
    <row r="863" spans="1:26" x14ac:dyDescent="0.25">
      <c r="A863" s="99">
        <v>45505</v>
      </c>
      <c r="B863" s="74">
        <v>45519</v>
      </c>
      <c r="C863" s="60" t="s">
        <v>124</v>
      </c>
      <c r="D863" s="60" t="s">
        <v>481</v>
      </c>
      <c r="E863" s="115" t="s">
        <v>1071</v>
      </c>
      <c r="F863" s="60" t="s">
        <v>1036</v>
      </c>
      <c r="G863" s="72" t="s">
        <v>142</v>
      </c>
      <c r="H863" s="83">
        <v>0.41666666666666669</v>
      </c>
      <c r="I863" s="83">
        <v>0.75</v>
      </c>
      <c r="J863" s="63">
        <f t="shared" si="65"/>
        <v>0.33333333333333331</v>
      </c>
      <c r="K863" s="88" t="s">
        <v>110</v>
      </c>
      <c r="L863" s="135">
        <f t="shared" si="66"/>
        <v>8</v>
      </c>
      <c r="O863" s="91" t="s">
        <v>576</v>
      </c>
      <c r="P863" s="88">
        <v>5</v>
      </c>
      <c r="Z863" s="100"/>
    </row>
    <row r="864" spans="1:26" x14ac:dyDescent="0.25">
      <c r="A864" s="99">
        <v>45505</v>
      </c>
      <c r="B864" s="74">
        <v>45519</v>
      </c>
      <c r="C864" s="60" t="s">
        <v>124</v>
      </c>
      <c r="D864" s="60" t="s">
        <v>86</v>
      </c>
      <c r="E864" s="115" t="s">
        <v>1075</v>
      </c>
      <c r="F864" s="60" t="s">
        <v>1079</v>
      </c>
      <c r="G864" s="72" t="s">
        <v>142</v>
      </c>
      <c r="H864" s="83">
        <v>0.5</v>
      </c>
      <c r="I864" s="83">
        <v>0.75</v>
      </c>
      <c r="J864" s="63">
        <f t="shared" ref="J864" si="67">I864-H864</f>
        <v>0.25</v>
      </c>
      <c r="K864" s="88" t="s">
        <v>110</v>
      </c>
      <c r="L864" s="135">
        <f t="shared" ref="L864" si="68">24*J864</f>
        <v>6</v>
      </c>
      <c r="O864" s="91" t="s">
        <v>576</v>
      </c>
      <c r="P864" s="88">
        <v>5</v>
      </c>
      <c r="Z864" s="100"/>
    </row>
    <row r="865" spans="1:26" x14ac:dyDescent="0.25">
      <c r="A865" s="99">
        <v>45505</v>
      </c>
      <c r="B865" s="74">
        <v>45519</v>
      </c>
      <c r="C865" s="60" t="s">
        <v>124</v>
      </c>
      <c r="D865" s="60" t="s">
        <v>86</v>
      </c>
      <c r="E865" s="115" t="s">
        <v>1080</v>
      </c>
      <c r="F865" s="60" t="s">
        <v>1081</v>
      </c>
      <c r="G865" s="72" t="s">
        <v>142</v>
      </c>
      <c r="H865" s="83">
        <v>0.5</v>
      </c>
      <c r="I865" s="83">
        <v>0.75</v>
      </c>
      <c r="J865" s="63">
        <f t="shared" ref="J865:J867" si="69">I865-H865</f>
        <v>0.25</v>
      </c>
      <c r="K865" s="88" t="s">
        <v>110</v>
      </c>
      <c r="L865" s="135">
        <f t="shared" ref="L865:L867" si="70">24*J865</f>
        <v>6</v>
      </c>
      <c r="O865" s="91" t="s">
        <v>576</v>
      </c>
      <c r="P865" s="88">
        <v>5</v>
      </c>
      <c r="Z865" s="100"/>
    </row>
    <row r="866" spans="1:26" x14ac:dyDescent="0.25">
      <c r="A866" s="99">
        <v>45505</v>
      </c>
      <c r="B866" s="74">
        <v>45519</v>
      </c>
      <c r="C866" s="60" t="s">
        <v>124</v>
      </c>
      <c r="D866" s="60" t="s">
        <v>740</v>
      </c>
      <c r="E866" s="115" t="s">
        <v>1082</v>
      </c>
      <c r="F866" s="60" t="s">
        <v>1009</v>
      </c>
      <c r="G866" s="72" t="s">
        <v>142</v>
      </c>
      <c r="H866" s="83">
        <v>0.64583333333333337</v>
      </c>
      <c r="I866" s="83">
        <v>0.8125</v>
      </c>
      <c r="J866" s="63">
        <f t="shared" si="69"/>
        <v>0.16666666666666663</v>
      </c>
      <c r="K866" s="88" t="s">
        <v>110</v>
      </c>
      <c r="L866" s="135">
        <f t="shared" si="70"/>
        <v>3.9999999999999991</v>
      </c>
      <c r="O866" s="91" t="s">
        <v>576</v>
      </c>
      <c r="P866" s="88">
        <v>5</v>
      </c>
      <c r="Z866" s="100"/>
    </row>
    <row r="867" spans="1:26" x14ac:dyDescent="0.25">
      <c r="A867" s="99">
        <v>45505</v>
      </c>
      <c r="B867" s="74">
        <v>45519</v>
      </c>
      <c r="C867" s="60" t="s">
        <v>124</v>
      </c>
      <c r="D867" s="60" t="s">
        <v>122</v>
      </c>
      <c r="E867" s="115" t="s">
        <v>1043</v>
      </c>
      <c r="F867" s="60" t="s">
        <v>1083</v>
      </c>
      <c r="G867" s="72" t="s">
        <v>142</v>
      </c>
      <c r="H867" s="83">
        <v>0.625</v>
      </c>
      <c r="I867" s="83">
        <v>0.66666666666666663</v>
      </c>
      <c r="J867" s="63">
        <f t="shared" si="69"/>
        <v>4.166666666666663E-2</v>
      </c>
      <c r="K867" s="88" t="s">
        <v>295</v>
      </c>
      <c r="L867" s="135">
        <f t="shared" si="70"/>
        <v>0.99999999999999911</v>
      </c>
      <c r="O867" s="91" t="s">
        <v>363</v>
      </c>
      <c r="P867" s="88">
        <v>5</v>
      </c>
      <c r="Z867" s="100"/>
    </row>
    <row r="868" spans="1:26" x14ac:dyDescent="0.25">
      <c r="A868" s="99">
        <v>45505</v>
      </c>
      <c r="B868" s="74">
        <v>45519</v>
      </c>
      <c r="C868" s="60" t="s">
        <v>124</v>
      </c>
      <c r="D868" s="60" t="s">
        <v>609</v>
      </c>
      <c r="E868" s="115" t="s">
        <v>610</v>
      </c>
      <c r="F868" s="60" t="s">
        <v>1084</v>
      </c>
      <c r="G868" s="72" t="s">
        <v>142</v>
      </c>
      <c r="H868" s="83">
        <v>0.64583333333333337</v>
      </c>
      <c r="I868" s="83">
        <v>0.6875</v>
      </c>
      <c r="J868" s="63">
        <f t="shared" ref="J868" si="71">I868-H868</f>
        <v>4.166666666666663E-2</v>
      </c>
      <c r="K868" s="88" t="s">
        <v>365</v>
      </c>
      <c r="L868" s="135">
        <f t="shared" ref="L868" si="72">24*J868</f>
        <v>0.99999999999999911</v>
      </c>
      <c r="O868" s="91" t="s">
        <v>820</v>
      </c>
      <c r="P868" s="88">
        <v>5</v>
      </c>
      <c r="Z868" s="100"/>
    </row>
    <row r="869" spans="1:26" x14ac:dyDescent="0.25">
      <c r="A869" s="99">
        <v>45505</v>
      </c>
      <c r="B869" s="74">
        <v>45520</v>
      </c>
      <c r="C869" s="60" t="s">
        <v>33</v>
      </c>
      <c r="D869" s="60" t="s">
        <v>32</v>
      </c>
      <c r="E869" s="115" t="s">
        <v>1085</v>
      </c>
      <c r="F869" s="60" t="s">
        <v>1086</v>
      </c>
      <c r="G869" s="72" t="s">
        <v>142</v>
      </c>
      <c r="H869" s="83">
        <v>0.41666666666666669</v>
      </c>
      <c r="I869" s="83">
        <v>0.72916666666666663</v>
      </c>
      <c r="J869" s="63">
        <f t="shared" ref="J869" si="73">I869-H869</f>
        <v>0.31249999999999994</v>
      </c>
      <c r="K869" s="88" t="s">
        <v>110</v>
      </c>
      <c r="L869" s="135">
        <f t="shared" ref="L869" si="74">24*J869</f>
        <v>7.4999999999999982</v>
      </c>
      <c r="O869" s="91" t="s">
        <v>363</v>
      </c>
      <c r="P869" s="88">
        <v>4</v>
      </c>
      <c r="Q869" s="88" t="s">
        <v>472</v>
      </c>
      <c r="Z869" s="100"/>
    </row>
    <row r="870" spans="1:26" x14ac:dyDescent="0.25">
      <c r="A870" s="99">
        <v>45505</v>
      </c>
      <c r="B870" s="74">
        <v>45521</v>
      </c>
      <c r="C870" s="60" t="s">
        <v>34</v>
      </c>
      <c r="D870" s="60" t="s">
        <v>632</v>
      </c>
      <c r="E870" s="115" t="s">
        <v>1087</v>
      </c>
      <c r="F870" s="60" t="s">
        <v>1088</v>
      </c>
      <c r="G870" s="72" t="s">
        <v>142</v>
      </c>
      <c r="H870" s="83">
        <v>0.45833333333333331</v>
      </c>
      <c r="I870" s="83">
        <v>0.6875</v>
      </c>
      <c r="J870" s="63">
        <f t="shared" ref="J870:J874" si="75">I870-H870</f>
        <v>0.22916666666666669</v>
      </c>
      <c r="K870" s="88" t="s">
        <v>365</v>
      </c>
      <c r="L870" s="135">
        <f t="shared" ref="L870:L874" si="76">24*J870</f>
        <v>5.5</v>
      </c>
      <c r="O870" s="91" t="s">
        <v>821</v>
      </c>
      <c r="P870" s="88">
        <v>5</v>
      </c>
      <c r="Q870" s="88" t="s">
        <v>279</v>
      </c>
      <c r="Z870" s="100"/>
    </row>
    <row r="871" spans="1:26" x14ac:dyDescent="0.25">
      <c r="A871" s="99">
        <v>45505</v>
      </c>
      <c r="B871" s="74">
        <v>45521</v>
      </c>
      <c r="C871" s="60" t="s">
        <v>34</v>
      </c>
      <c r="D871" s="60" t="s">
        <v>122</v>
      </c>
      <c r="E871" s="115" t="s">
        <v>1089</v>
      </c>
      <c r="F871" s="60" t="s">
        <v>929</v>
      </c>
      <c r="G871" s="72" t="s">
        <v>142</v>
      </c>
      <c r="H871" s="83">
        <v>0.47916666666666669</v>
      </c>
      <c r="I871" s="83">
        <v>0.58333333333333337</v>
      </c>
      <c r="J871" s="63">
        <f t="shared" si="75"/>
        <v>0.10416666666666669</v>
      </c>
      <c r="K871" s="88" t="s">
        <v>295</v>
      </c>
      <c r="L871" s="135">
        <f t="shared" si="76"/>
        <v>2.5000000000000004</v>
      </c>
      <c r="O871" s="91" t="s">
        <v>362</v>
      </c>
      <c r="P871" s="88">
        <v>5</v>
      </c>
      <c r="Q871" s="60"/>
      <c r="Z871" s="100"/>
    </row>
    <row r="872" spans="1:26" x14ac:dyDescent="0.25">
      <c r="A872" s="99">
        <v>45505</v>
      </c>
      <c r="B872" s="74">
        <v>45522</v>
      </c>
      <c r="C872" s="60" t="s">
        <v>31</v>
      </c>
      <c r="D872" s="60" t="s">
        <v>98</v>
      </c>
      <c r="E872" s="115" t="s">
        <v>884</v>
      </c>
      <c r="F872" s="60" t="s">
        <v>1090</v>
      </c>
      <c r="G872" s="72" t="s">
        <v>142</v>
      </c>
      <c r="H872" s="83">
        <v>0.45833333333333331</v>
      </c>
      <c r="I872" s="83">
        <v>0.5</v>
      </c>
      <c r="J872" s="63">
        <f t="shared" si="75"/>
        <v>4.1666666666666685E-2</v>
      </c>
      <c r="K872" s="88" t="s">
        <v>365</v>
      </c>
      <c r="L872" s="135">
        <f t="shared" si="76"/>
        <v>1.0000000000000004</v>
      </c>
      <c r="N872" s="60"/>
      <c r="O872" s="98" t="s">
        <v>363</v>
      </c>
      <c r="P872" s="88">
        <v>5</v>
      </c>
      <c r="Q872" s="60" t="s">
        <v>279</v>
      </c>
      <c r="V872" s="86"/>
      <c r="Z872" s="100"/>
    </row>
    <row r="873" spans="1:26" ht="17.100000000000001" customHeight="1" x14ac:dyDescent="0.25">
      <c r="A873" s="99">
        <v>45505</v>
      </c>
      <c r="B873" s="74">
        <v>45522</v>
      </c>
      <c r="C873" s="60" t="s">
        <v>31</v>
      </c>
      <c r="D873" s="60" t="s">
        <v>98</v>
      </c>
      <c r="E873" s="115" t="s">
        <v>617</v>
      </c>
      <c r="F873" s="60" t="s">
        <v>485</v>
      </c>
      <c r="G873" s="72" t="s">
        <v>142</v>
      </c>
      <c r="H873" s="83">
        <v>0.625</v>
      </c>
      <c r="I873" s="83">
        <v>0.66666666666666663</v>
      </c>
      <c r="J873" s="63">
        <f t="shared" si="75"/>
        <v>4.166666666666663E-2</v>
      </c>
      <c r="K873" s="88" t="s">
        <v>365</v>
      </c>
      <c r="L873" s="135">
        <f t="shared" si="76"/>
        <v>0.99999999999999911</v>
      </c>
      <c r="N873" s="60"/>
      <c r="O873" s="98" t="s">
        <v>363</v>
      </c>
      <c r="P873" s="88">
        <v>5</v>
      </c>
      <c r="Q873" s="60" t="s">
        <v>279</v>
      </c>
      <c r="V873" s="86"/>
      <c r="Z873" s="100"/>
    </row>
    <row r="874" spans="1:26" x14ac:dyDescent="0.25">
      <c r="A874" s="99">
        <v>45505</v>
      </c>
      <c r="B874" s="74">
        <v>45522</v>
      </c>
      <c r="C874" s="60" t="s">
        <v>31</v>
      </c>
      <c r="D874" s="60" t="s">
        <v>740</v>
      </c>
      <c r="E874" s="115" t="s">
        <v>409</v>
      </c>
      <c r="F874" s="60" t="s">
        <v>1105</v>
      </c>
      <c r="G874" s="72" t="s">
        <v>142</v>
      </c>
      <c r="H874" s="83">
        <v>0.66666666666666663</v>
      </c>
      <c r="I874" s="83">
        <v>0.70833333333333337</v>
      </c>
      <c r="J874" s="63">
        <f t="shared" si="75"/>
        <v>4.1666666666666741E-2</v>
      </c>
      <c r="K874" s="88" t="s">
        <v>365</v>
      </c>
      <c r="L874" s="135">
        <f t="shared" si="76"/>
        <v>1.0000000000000018</v>
      </c>
      <c r="O874" s="91" t="s">
        <v>363</v>
      </c>
      <c r="P874" s="88">
        <v>5</v>
      </c>
      <c r="Z874" s="100"/>
    </row>
    <row r="875" spans="1:26" x14ac:dyDescent="0.25">
      <c r="A875" s="99">
        <v>45505</v>
      </c>
      <c r="B875" s="74">
        <v>45522</v>
      </c>
      <c r="C875" s="60" t="s">
        <v>31</v>
      </c>
      <c r="D875" s="60" t="s">
        <v>98</v>
      </c>
      <c r="E875" s="115" t="s">
        <v>1091</v>
      </c>
      <c r="F875" s="60" t="s">
        <v>1092</v>
      </c>
      <c r="G875" s="72" t="s">
        <v>142</v>
      </c>
      <c r="H875" s="83">
        <v>0.58333333333333337</v>
      </c>
      <c r="I875" s="83">
        <v>0.625</v>
      </c>
      <c r="J875" s="63">
        <f t="shared" ref="J875" si="77">I875-H875</f>
        <v>4.166666666666663E-2</v>
      </c>
      <c r="K875" s="88" t="s">
        <v>365</v>
      </c>
      <c r="L875" s="135">
        <f t="shared" ref="L875" si="78">24*J875</f>
        <v>0.99999999999999911</v>
      </c>
      <c r="N875" s="60"/>
      <c r="O875" s="98" t="s">
        <v>314</v>
      </c>
      <c r="P875" s="88">
        <v>5</v>
      </c>
      <c r="Q875" s="60" t="s">
        <v>279</v>
      </c>
      <c r="V875" s="86"/>
      <c r="Z875" s="100"/>
    </row>
    <row r="876" spans="1:26" x14ac:dyDescent="0.25">
      <c r="A876" s="99">
        <v>45505</v>
      </c>
      <c r="B876" s="74">
        <v>45522</v>
      </c>
      <c r="C876" s="60" t="s">
        <v>31</v>
      </c>
      <c r="D876" s="60" t="s">
        <v>98</v>
      </c>
      <c r="E876" s="115" t="s">
        <v>617</v>
      </c>
      <c r="F876" s="60" t="s">
        <v>485</v>
      </c>
      <c r="G876" s="72" t="s">
        <v>142</v>
      </c>
      <c r="H876" s="83">
        <v>0.5625</v>
      </c>
      <c r="I876" s="83">
        <v>0.60416666666666663</v>
      </c>
      <c r="J876" s="63">
        <f t="shared" ref="J876:J879" si="79">I876-H876</f>
        <v>4.166666666666663E-2</v>
      </c>
      <c r="K876" s="88" t="s">
        <v>365</v>
      </c>
      <c r="L876" s="135">
        <f t="shared" ref="L876:L877" si="80">24*J876</f>
        <v>0.99999999999999911</v>
      </c>
      <c r="N876" s="60"/>
      <c r="O876" s="98" t="s">
        <v>314</v>
      </c>
      <c r="P876" s="88">
        <v>5</v>
      </c>
      <c r="Q876" s="60" t="s">
        <v>279</v>
      </c>
      <c r="V876" s="86"/>
      <c r="Z876" s="100"/>
    </row>
    <row r="877" spans="1:26" x14ac:dyDescent="0.25">
      <c r="A877" s="99">
        <v>45505</v>
      </c>
      <c r="B877" s="74">
        <v>45522</v>
      </c>
      <c r="C877" s="60" t="s">
        <v>31</v>
      </c>
      <c r="D877" s="60" t="s">
        <v>481</v>
      </c>
      <c r="E877" s="115" t="s">
        <v>1073</v>
      </c>
      <c r="F877" s="60" t="s">
        <v>1093</v>
      </c>
      <c r="G877" s="72" t="s">
        <v>142</v>
      </c>
      <c r="H877" s="83">
        <v>0.39583333333333331</v>
      </c>
      <c r="I877" s="83">
        <v>0.66666666666666663</v>
      </c>
      <c r="J877" s="63">
        <f t="shared" si="79"/>
        <v>0.27083333333333331</v>
      </c>
      <c r="K877" s="88" t="s">
        <v>113</v>
      </c>
      <c r="L877" s="135">
        <f t="shared" si="80"/>
        <v>6.5</v>
      </c>
      <c r="O877" s="91" t="s">
        <v>539</v>
      </c>
      <c r="P877" s="88">
        <v>5</v>
      </c>
      <c r="Z877" s="100"/>
    </row>
    <row r="878" spans="1:26" x14ac:dyDescent="0.25">
      <c r="A878" s="99">
        <v>45505</v>
      </c>
      <c r="B878" s="74">
        <v>45522</v>
      </c>
      <c r="C878" s="60" t="s">
        <v>31</v>
      </c>
      <c r="D878" s="60" t="s">
        <v>126</v>
      </c>
      <c r="E878" s="115" t="s">
        <v>497</v>
      </c>
      <c r="F878" s="73" t="s">
        <v>1003</v>
      </c>
      <c r="G878" s="72" t="s">
        <v>142</v>
      </c>
      <c r="H878" s="83">
        <v>0.54166666666666663</v>
      </c>
      <c r="I878" s="83">
        <v>0.60416666666666663</v>
      </c>
      <c r="J878" s="63">
        <f t="shared" si="79"/>
        <v>6.25E-2</v>
      </c>
      <c r="K878" s="60" t="s">
        <v>113</v>
      </c>
      <c r="L878" s="135">
        <v>3</v>
      </c>
      <c r="O878" s="98" t="s">
        <v>539</v>
      </c>
      <c r="P878" s="88">
        <v>5</v>
      </c>
      <c r="Q878" s="88"/>
      <c r="Z878" s="100"/>
    </row>
    <row r="879" spans="1:26" x14ac:dyDescent="0.25">
      <c r="A879" s="99">
        <v>45505</v>
      </c>
      <c r="B879" s="74">
        <v>45522</v>
      </c>
      <c r="C879" s="60" t="s">
        <v>31</v>
      </c>
      <c r="D879" s="60" t="s">
        <v>481</v>
      </c>
      <c r="E879" s="115" t="s">
        <v>1094</v>
      </c>
      <c r="F879" s="60" t="s">
        <v>1095</v>
      </c>
      <c r="G879" s="72" t="s">
        <v>142</v>
      </c>
      <c r="H879" s="83">
        <v>0.45833333333333331</v>
      </c>
      <c r="I879" s="83">
        <v>0.70833333333333337</v>
      </c>
      <c r="J879" s="63">
        <f t="shared" si="79"/>
        <v>0.25000000000000006</v>
      </c>
      <c r="K879" s="88" t="s">
        <v>110</v>
      </c>
      <c r="L879" s="135">
        <f t="shared" ref="L879" si="81">24*J879</f>
        <v>6.0000000000000018</v>
      </c>
      <c r="O879" s="91" t="s">
        <v>358</v>
      </c>
      <c r="P879" s="88">
        <v>5</v>
      </c>
      <c r="Z879" s="100"/>
    </row>
    <row r="880" spans="1:26" x14ac:dyDescent="0.25">
      <c r="A880" s="99">
        <v>45505</v>
      </c>
      <c r="B880" s="74">
        <v>45522</v>
      </c>
      <c r="C880" s="60" t="s">
        <v>31</v>
      </c>
      <c r="D880" s="60" t="s">
        <v>406</v>
      </c>
      <c r="E880" s="115" t="s">
        <v>1096</v>
      </c>
      <c r="F880" s="60" t="s">
        <v>1097</v>
      </c>
      <c r="G880" s="72" t="s">
        <v>142</v>
      </c>
      <c r="H880" s="83">
        <v>0.58333333333333337</v>
      </c>
      <c r="I880" s="83">
        <v>0.66666666666666663</v>
      </c>
      <c r="J880" s="63">
        <f t="shared" ref="J880:J881" si="82">I880-H880</f>
        <v>8.3333333333333259E-2</v>
      </c>
      <c r="K880" s="88" t="s">
        <v>365</v>
      </c>
      <c r="L880" s="135">
        <f t="shared" ref="L880:L881" si="83">24*J880</f>
        <v>1.9999999999999982</v>
      </c>
      <c r="O880" s="91" t="s">
        <v>363</v>
      </c>
      <c r="P880" s="88">
        <v>5</v>
      </c>
      <c r="Z880" s="100"/>
    </row>
    <row r="881" spans="1:26" x14ac:dyDescent="0.25">
      <c r="A881" s="99">
        <v>45505</v>
      </c>
      <c r="B881" s="74">
        <v>45523</v>
      </c>
      <c r="C881" s="60" t="s">
        <v>45</v>
      </c>
      <c r="D881" s="60" t="s">
        <v>406</v>
      </c>
      <c r="E881" s="115" t="s">
        <v>1052</v>
      </c>
      <c r="F881" s="60" t="s">
        <v>1053</v>
      </c>
      <c r="G881" s="72" t="s">
        <v>142</v>
      </c>
      <c r="H881" s="83">
        <v>0.58333333333333337</v>
      </c>
      <c r="I881" s="83">
        <v>0.75</v>
      </c>
      <c r="J881" s="63">
        <f t="shared" si="82"/>
        <v>0.16666666666666663</v>
      </c>
      <c r="K881" s="88" t="s">
        <v>113</v>
      </c>
      <c r="L881" s="135">
        <f t="shared" si="83"/>
        <v>3.9999999999999991</v>
      </c>
      <c r="O881" s="91" t="s">
        <v>539</v>
      </c>
      <c r="P881" s="88">
        <v>5</v>
      </c>
      <c r="Q881" s="60"/>
      <c r="Z881" s="100"/>
    </row>
    <row r="882" spans="1:26" x14ac:dyDescent="0.25">
      <c r="A882" s="99">
        <v>45505</v>
      </c>
      <c r="B882" s="74">
        <v>45523</v>
      </c>
      <c r="C882" s="60" t="s">
        <v>45</v>
      </c>
      <c r="D882" s="60" t="s">
        <v>492</v>
      </c>
      <c r="E882" s="115" t="s">
        <v>1098</v>
      </c>
      <c r="F882" s="60" t="s">
        <v>1099</v>
      </c>
      <c r="G882" s="72" t="s">
        <v>142</v>
      </c>
      <c r="H882" s="83">
        <v>0.41666666666666669</v>
      </c>
      <c r="I882" s="83">
        <v>0.58333333333333337</v>
      </c>
      <c r="J882" s="63">
        <f t="shared" ref="J882" si="84">I882-H882</f>
        <v>0.16666666666666669</v>
      </c>
      <c r="K882" s="88" t="s">
        <v>113</v>
      </c>
      <c r="L882" s="135">
        <f t="shared" ref="L882" si="85">24*J882</f>
        <v>4</v>
      </c>
      <c r="O882" s="91" t="s">
        <v>539</v>
      </c>
      <c r="P882" s="88">
        <v>5</v>
      </c>
      <c r="Q882" s="60"/>
      <c r="Z882" s="100"/>
    </row>
    <row r="883" spans="1:26" x14ac:dyDescent="0.25">
      <c r="A883" s="99">
        <v>45505</v>
      </c>
      <c r="B883" s="74">
        <v>45523</v>
      </c>
      <c r="C883" s="60" t="s">
        <v>45</v>
      </c>
      <c r="D883" s="60" t="s">
        <v>830</v>
      </c>
      <c r="E883" s="115" t="s">
        <v>1100</v>
      </c>
      <c r="F883" s="60" t="s">
        <v>1101</v>
      </c>
      <c r="G883" s="72" t="s">
        <v>142</v>
      </c>
      <c r="H883" s="83">
        <v>0.41666666666666669</v>
      </c>
      <c r="I883" s="83">
        <v>0.58333333333333337</v>
      </c>
      <c r="J883" s="63">
        <f t="shared" ref="J883:J888" si="86">I883-H883</f>
        <v>0.16666666666666669</v>
      </c>
      <c r="K883" s="88" t="s">
        <v>113</v>
      </c>
      <c r="L883" s="135">
        <f t="shared" ref="L883:L888" si="87">24*J883</f>
        <v>4</v>
      </c>
      <c r="O883" s="91" t="s">
        <v>539</v>
      </c>
      <c r="P883" s="88">
        <v>5</v>
      </c>
      <c r="Q883" s="60"/>
      <c r="Z883" s="100"/>
    </row>
    <row r="884" spans="1:26" x14ac:dyDescent="0.25">
      <c r="A884" s="99">
        <v>45505</v>
      </c>
      <c r="B884" s="74">
        <v>45523</v>
      </c>
      <c r="C884" s="60" t="s">
        <v>45</v>
      </c>
      <c r="D884" s="60" t="s">
        <v>406</v>
      </c>
      <c r="E884" s="115" t="s">
        <v>1102</v>
      </c>
      <c r="F884" s="60" t="s">
        <v>1097</v>
      </c>
      <c r="G884" s="72" t="s">
        <v>142</v>
      </c>
      <c r="H884" s="83">
        <v>0.45833333333333331</v>
      </c>
      <c r="I884" s="83">
        <v>0.58333333333333337</v>
      </c>
      <c r="J884" s="63">
        <f t="shared" si="86"/>
        <v>0.12500000000000006</v>
      </c>
      <c r="K884" s="88" t="s">
        <v>365</v>
      </c>
      <c r="L884" s="135">
        <f t="shared" si="87"/>
        <v>3.0000000000000013</v>
      </c>
      <c r="O884" s="91" t="s">
        <v>314</v>
      </c>
      <c r="P884" s="88">
        <v>5</v>
      </c>
      <c r="Z884" s="100"/>
    </row>
    <row r="885" spans="1:26" x14ac:dyDescent="0.25">
      <c r="A885" s="99">
        <v>45505</v>
      </c>
      <c r="B885" s="74">
        <v>45523</v>
      </c>
      <c r="C885" s="60" t="s">
        <v>45</v>
      </c>
      <c r="D885" s="60" t="s">
        <v>86</v>
      </c>
      <c r="E885" s="115" t="s">
        <v>1029</v>
      </c>
      <c r="F885" s="60" t="s">
        <v>1103</v>
      </c>
      <c r="G885" s="72" t="s">
        <v>142</v>
      </c>
      <c r="H885" s="83">
        <v>0.375</v>
      </c>
      <c r="I885" s="83">
        <v>0.72916666666666663</v>
      </c>
      <c r="J885" s="63">
        <f t="shared" si="86"/>
        <v>0.35416666666666663</v>
      </c>
      <c r="K885" s="88" t="s">
        <v>110</v>
      </c>
      <c r="L885" s="135">
        <f t="shared" si="87"/>
        <v>8.5</v>
      </c>
      <c r="O885" s="91" t="s">
        <v>358</v>
      </c>
      <c r="P885" s="88">
        <v>5</v>
      </c>
      <c r="Z885" s="100"/>
    </row>
    <row r="886" spans="1:26" x14ac:dyDescent="0.25">
      <c r="A886" s="99">
        <v>45505</v>
      </c>
      <c r="B886" s="74">
        <v>45523</v>
      </c>
      <c r="C886" s="60" t="s">
        <v>45</v>
      </c>
      <c r="D886" s="60" t="s">
        <v>481</v>
      </c>
      <c r="E886" s="115" t="s">
        <v>1094</v>
      </c>
      <c r="F886" s="60" t="s">
        <v>1095</v>
      </c>
      <c r="G886" s="72" t="s">
        <v>142</v>
      </c>
      <c r="H886" s="83">
        <v>0.41666666666666669</v>
      </c>
      <c r="I886" s="83">
        <v>0.70833333333333337</v>
      </c>
      <c r="J886" s="63">
        <f t="shared" si="86"/>
        <v>0.29166666666666669</v>
      </c>
      <c r="K886" s="88" t="s">
        <v>110</v>
      </c>
      <c r="L886" s="135">
        <f t="shared" si="87"/>
        <v>7</v>
      </c>
      <c r="O886" s="91" t="s">
        <v>358</v>
      </c>
      <c r="P886" s="88">
        <v>5</v>
      </c>
      <c r="Z886" s="100"/>
    </row>
    <row r="887" spans="1:26" x14ac:dyDescent="0.25">
      <c r="A887" s="99">
        <v>45505</v>
      </c>
      <c r="B887" s="74">
        <v>45523</v>
      </c>
      <c r="C887" s="60" t="s">
        <v>45</v>
      </c>
      <c r="D887" s="60" t="s">
        <v>740</v>
      </c>
      <c r="E887" s="115" t="s">
        <v>1104</v>
      </c>
      <c r="F887" s="60" t="s">
        <v>1009</v>
      </c>
      <c r="G887" s="72" t="s">
        <v>142</v>
      </c>
      <c r="H887" s="83">
        <v>0.375</v>
      </c>
      <c r="I887" s="83">
        <v>0.66666666666666663</v>
      </c>
      <c r="J887" s="63">
        <f t="shared" si="86"/>
        <v>0.29166666666666663</v>
      </c>
      <c r="K887" s="88" t="s">
        <v>110</v>
      </c>
      <c r="L887" s="135">
        <f t="shared" si="87"/>
        <v>6.9999999999999991</v>
      </c>
      <c r="O887" s="91" t="s">
        <v>358</v>
      </c>
      <c r="P887" s="88">
        <v>5</v>
      </c>
      <c r="Z887" s="100"/>
    </row>
    <row r="888" spans="1:26" x14ac:dyDescent="0.25">
      <c r="A888" s="99">
        <v>45505</v>
      </c>
      <c r="B888" s="74">
        <v>45524</v>
      </c>
      <c r="C888" s="60" t="s">
        <v>106</v>
      </c>
      <c r="D888" s="60" t="s">
        <v>406</v>
      </c>
      <c r="E888" s="115" t="s">
        <v>1096</v>
      </c>
      <c r="F888" s="60" t="s">
        <v>1097</v>
      </c>
      <c r="G888" s="72" t="s">
        <v>142</v>
      </c>
      <c r="H888" s="83">
        <v>0.64583333333333337</v>
      </c>
      <c r="I888" s="83">
        <v>0.72916666666666663</v>
      </c>
      <c r="J888" s="63">
        <f t="shared" si="86"/>
        <v>8.3333333333333259E-2</v>
      </c>
      <c r="K888" s="88" t="s">
        <v>365</v>
      </c>
      <c r="L888" s="135">
        <f t="shared" si="87"/>
        <v>1.9999999999999982</v>
      </c>
      <c r="O888" s="91" t="s">
        <v>314</v>
      </c>
      <c r="P888" s="88">
        <v>5</v>
      </c>
      <c r="Z888" s="100"/>
    </row>
    <row r="889" spans="1:26" x14ac:dyDescent="0.25">
      <c r="A889" s="99">
        <v>45505</v>
      </c>
      <c r="B889" s="74">
        <v>45524</v>
      </c>
      <c r="C889" s="60" t="s">
        <v>106</v>
      </c>
      <c r="D889" s="60" t="s">
        <v>98</v>
      </c>
      <c r="E889" s="115" t="s">
        <v>1106</v>
      </c>
      <c r="F889" s="60" t="s">
        <v>1107</v>
      </c>
      <c r="G889" s="72" t="s">
        <v>142</v>
      </c>
      <c r="H889" s="83">
        <v>0.375</v>
      </c>
      <c r="I889" s="83">
        <v>0.70833333333333337</v>
      </c>
      <c r="J889" s="63">
        <f t="shared" ref="J889" si="88">I889-H889</f>
        <v>0.33333333333333337</v>
      </c>
      <c r="K889" s="88" t="s">
        <v>110</v>
      </c>
      <c r="L889" s="135">
        <f t="shared" ref="L889" si="89">24*J889</f>
        <v>8</v>
      </c>
      <c r="O889" s="91" t="s">
        <v>358</v>
      </c>
      <c r="P889" s="88">
        <v>5</v>
      </c>
      <c r="Z889" s="100"/>
    </row>
    <row r="890" spans="1:26" x14ac:dyDescent="0.25">
      <c r="A890" s="99">
        <v>45505</v>
      </c>
      <c r="B890" s="74">
        <v>45525</v>
      </c>
      <c r="C890" s="60" t="s">
        <v>398</v>
      </c>
      <c r="D890" s="60" t="s">
        <v>983</v>
      </c>
      <c r="E890" s="115" t="s">
        <v>1108</v>
      </c>
      <c r="F890" s="60" t="s">
        <v>982</v>
      </c>
      <c r="G890" s="72" t="s">
        <v>142</v>
      </c>
      <c r="H890" s="83">
        <v>0.5</v>
      </c>
      <c r="I890" s="83">
        <v>0.625</v>
      </c>
      <c r="J890" s="63">
        <f t="shared" ref="J890" si="90">I890-H890</f>
        <v>0.125</v>
      </c>
      <c r="K890" s="88" t="s">
        <v>365</v>
      </c>
      <c r="L890" s="135">
        <f t="shared" ref="L890" si="91">24*J890</f>
        <v>3</v>
      </c>
      <c r="O890" s="91" t="s">
        <v>363</v>
      </c>
      <c r="P890" s="88">
        <v>5</v>
      </c>
      <c r="Z890" s="100"/>
    </row>
    <row r="891" spans="1:26" x14ac:dyDescent="0.25">
      <c r="A891" s="99">
        <v>45505</v>
      </c>
      <c r="B891" s="74">
        <v>45525</v>
      </c>
      <c r="C891" s="60" t="s">
        <v>398</v>
      </c>
      <c r="D891" s="60" t="s">
        <v>609</v>
      </c>
      <c r="E891" s="115" t="s">
        <v>1109</v>
      </c>
      <c r="F891" s="60" t="s">
        <v>1110</v>
      </c>
      <c r="G891" s="72" t="s">
        <v>142</v>
      </c>
      <c r="H891" s="83">
        <v>0.5</v>
      </c>
      <c r="I891" s="83">
        <v>0.72916666666666663</v>
      </c>
      <c r="J891" s="63">
        <f t="shared" ref="J891" si="92">I891-H891</f>
        <v>0.22916666666666663</v>
      </c>
      <c r="K891" s="88" t="s">
        <v>365</v>
      </c>
      <c r="L891" s="135">
        <f t="shared" ref="L891" si="93">24*J891</f>
        <v>5.4999999999999991</v>
      </c>
      <c r="O891" s="91" t="s">
        <v>820</v>
      </c>
      <c r="P891" s="88">
        <v>5</v>
      </c>
      <c r="Z891" s="100"/>
    </row>
    <row r="892" spans="1:26" x14ac:dyDescent="0.25">
      <c r="A892" s="99">
        <v>45505</v>
      </c>
      <c r="B892" s="74">
        <v>45525</v>
      </c>
      <c r="C892" s="60" t="s">
        <v>398</v>
      </c>
      <c r="D892" s="60" t="s">
        <v>672</v>
      </c>
      <c r="E892" s="115" t="s">
        <v>1111</v>
      </c>
      <c r="F892" s="60" t="s">
        <v>1112</v>
      </c>
      <c r="G892" s="72" t="s">
        <v>142</v>
      </c>
      <c r="H892" s="83">
        <v>0.58333333333333337</v>
      </c>
      <c r="I892" s="83">
        <v>0.66666666666666663</v>
      </c>
      <c r="J892" s="63">
        <f t="shared" ref="J892" si="94">I892-H892</f>
        <v>8.3333333333333259E-2</v>
      </c>
      <c r="K892" s="88" t="s">
        <v>365</v>
      </c>
      <c r="L892" s="135">
        <f t="shared" ref="L892" si="95">24*J892</f>
        <v>1.9999999999999982</v>
      </c>
      <c r="O892" s="91" t="s">
        <v>576</v>
      </c>
      <c r="P892" s="88">
        <v>5</v>
      </c>
      <c r="Z892" s="100"/>
    </row>
    <row r="893" spans="1:26" x14ac:dyDescent="0.25">
      <c r="A893" s="99">
        <v>45505</v>
      </c>
      <c r="B893" s="74">
        <v>45525</v>
      </c>
      <c r="C893" s="60" t="s">
        <v>398</v>
      </c>
      <c r="D893" s="60" t="s">
        <v>98</v>
      </c>
      <c r="E893" s="115" t="s">
        <v>1113</v>
      </c>
      <c r="F893" s="60" t="s">
        <v>1114</v>
      </c>
      <c r="G893" s="72" t="s">
        <v>142</v>
      </c>
      <c r="H893" s="83">
        <v>0.58333333333333337</v>
      </c>
      <c r="I893" s="83">
        <v>0.6875</v>
      </c>
      <c r="J893" s="63">
        <f t="shared" ref="J893:J895" si="96">I893-H893</f>
        <v>0.10416666666666663</v>
      </c>
      <c r="K893" s="88" t="s">
        <v>365</v>
      </c>
      <c r="L893" s="135">
        <f t="shared" ref="L893:L895" si="97">24*J893</f>
        <v>2.4999999999999991</v>
      </c>
      <c r="O893" s="91" t="s">
        <v>576</v>
      </c>
      <c r="P893" s="88">
        <v>5</v>
      </c>
      <c r="Z893" s="100"/>
    </row>
    <row r="894" spans="1:26" x14ac:dyDescent="0.25">
      <c r="A894" s="99">
        <v>45505</v>
      </c>
      <c r="B894" s="74">
        <v>45525</v>
      </c>
      <c r="C894" s="60" t="s">
        <v>398</v>
      </c>
      <c r="D894" s="60" t="s">
        <v>86</v>
      </c>
      <c r="E894" s="115" t="s">
        <v>1115</v>
      </c>
      <c r="F894" s="60" t="s">
        <v>1116</v>
      </c>
      <c r="G894" s="72" t="s">
        <v>142</v>
      </c>
      <c r="H894" s="83">
        <v>0.45833333333333331</v>
      </c>
      <c r="I894" s="83">
        <v>0.70833333333333337</v>
      </c>
      <c r="J894" s="63">
        <f t="shared" si="96"/>
        <v>0.25000000000000006</v>
      </c>
      <c r="K894" s="88" t="s">
        <v>110</v>
      </c>
      <c r="L894" s="135">
        <f t="shared" si="97"/>
        <v>6.0000000000000018</v>
      </c>
      <c r="O894" s="91" t="s">
        <v>358</v>
      </c>
      <c r="P894" s="88">
        <v>5</v>
      </c>
      <c r="Z894" s="100"/>
    </row>
    <row r="895" spans="1:26" x14ac:dyDescent="0.25">
      <c r="A895" s="99">
        <v>45505</v>
      </c>
      <c r="B895" s="74">
        <v>45525</v>
      </c>
      <c r="C895" s="60" t="s">
        <v>398</v>
      </c>
      <c r="D895" s="60" t="s">
        <v>98</v>
      </c>
      <c r="E895" s="115" t="s">
        <v>1106</v>
      </c>
      <c r="F895" s="60" t="s">
        <v>1119</v>
      </c>
      <c r="G895" s="72" t="s">
        <v>142</v>
      </c>
      <c r="H895" s="83">
        <v>0.41666666666666669</v>
      </c>
      <c r="I895" s="83">
        <v>0.70833333333333337</v>
      </c>
      <c r="J895" s="63">
        <f t="shared" si="96"/>
        <v>0.29166666666666669</v>
      </c>
      <c r="K895" s="88" t="s">
        <v>110</v>
      </c>
      <c r="L895" s="135">
        <f t="shared" si="97"/>
        <v>7</v>
      </c>
      <c r="O895" s="91" t="s">
        <v>358</v>
      </c>
      <c r="P895" s="88">
        <v>5</v>
      </c>
      <c r="Z895" s="100"/>
    </row>
    <row r="896" spans="1:26" x14ac:dyDescent="0.25">
      <c r="A896" s="99">
        <v>45505</v>
      </c>
      <c r="B896" s="74">
        <v>45525</v>
      </c>
      <c r="C896" s="60" t="s">
        <v>398</v>
      </c>
      <c r="D896" s="60" t="s">
        <v>86</v>
      </c>
      <c r="E896" s="115" t="s">
        <v>1046</v>
      </c>
      <c r="F896" s="60" t="s">
        <v>271</v>
      </c>
      <c r="G896" s="72" t="s">
        <v>142</v>
      </c>
      <c r="H896" s="83">
        <v>0.41666666666666669</v>
      </c>
      <c r="I896" s="83">
        <v>0.72916666666666663</v>
      </c>
      <c r="J896" s="63">
        <f t="shared" ref="J896:J897" si="98">I896-H896</f>
        <v>0.31249999999999994</v>
      </c>
      <c r="K896" s="88" t="s">
        <v>110</v>
      </c>
      <c r="L896" s="135">
        <f t="shared" ref="L896:L897" si="99">24*J896</f>
        <v>7.4999999999999982</v>
      </c>
      <c r="O896" s="91" t="s">
        <v>358</v>
      </c>
      <c r="P896" s="88">
        <v>5</v>
      </c>
      <c r="Z896" s="100"/>
    </row>
    <row r="897" spans="1:26" x14ac:dyDescent="0.25">
      <c r="A897" s="99">
        <v>45505</v>
      </c>
      <c r="B897" s="74">
        <v>45526</v>
      </c>
      <c r="C897" s="60" t="s">
        <v>124</v>
      </c>
      <c r="D897" s="60" t="s">
        <v>86</v>
      </c>
      <c r="E897" s="115" t="s">
        <v>1115</v>
      </c>
      <c r="F897" s="60" t="s">
        <v>1117</v>
      </c>
      <c r="G897" s="72" t="s">
        <v>142</v>
      </c>
      <c r="H897" s="83">
        <v>0.41666666666666669</v>
      </c>
      <c r="I897" s="83">
        <v>0.58333333333333337</v>
      </c>
      <c r="J897" s="63">
        <f t="shared" si="98"/>
        <v>0.16666666666666669</v>
      </c>
      <c r="K897" s="88" t="s">
        <v>110</v>
      </c>
      <c r="L897" s="135">
        <f t="shared" si="99"/>
        <v>4</v>
      </c>
      <c r="O897" s="91" t="s">
        <v>358</v>
      </c>
      <c r="P897" s="88">
        <v>5</v>
      </c>
      <c r="Z897" s="100"/>
    </row>
    <row r="898" spans="1:26" x14ac:dyDescent="0.25">
      <c r="A898" s="99">
        <v>45505</v>
      </c>
      <c r="B898" s="74">
        <v>45526</v>
      </c>
      <c r="C898" s="60" t="s">
        <v>124</v>
      </c>
      <c r="D898" s="60" t="s">
        <v>86</v>
      </c>
      <c r="E898" s="115" t="s">
        <v>1046</v>
      </c>
      <c r="F898" s="60" t="s">
        <v>271</v>
      </c>
      <c r="G898" s="72" t="s">
        <v>142</v>
      </c>
      <c r="H898" s="83">
        <v>0.41666666666666669</v>
      </c>
      <c r="I898" s="83">
        <v>0.70833333333333337</v>
      </c>
      <c r="J898" s="63">
        <f t="shared" ref="J898:J900" si="100">I898-H898</f>
        <v>0.29166666666666669</v>
      </c>
      <c r="K898" s="88" t="s">
        <v>110</v>
      </c>
      <c r="L898" s="135">
        <f t="shared" ref="L898:L900" si="101">24*J898</f>
        <v>7</v>
      </c>
      <c r="O898" s="91" t="s">
        <v>358</v>
      </c>
      <c r="P898" s="88">
        <v>3</v>
      </c>
      <c r="Q898" s="88" t="s">
        <v>1118</v>
      </c>
      <c r="Z898" s="100"/>
    </row>
    <row r="899" spans="1:26" x14ac:dyDescent="0.25">
      <c r="A899" s="99">
        <v>45505</v>
      </c>
      <c r="B899" s="74">
        <v>45526</v>
      </c>
      <c r="C899" s="60" t="s">
        <v>124</v>
      </c>
      <c r="D899" s="60" t="s">
        <v>98</v>
      </c>
      <c r="E899" s="115" t="s">
        <v>1106</v>
      </c>
      <c r="F899" s="60" t="s">
        <v>1119</v>
      </c>
      <c r="G899" s="72" t="s">
        <v>142</v>
      </c>
      <c r="H899" s="83">
        <v>0.41666666666666669</v>
      </c>
      <c r="I899" s="83">
        <v>0.70833333333333337</v>
      </c>
      <c r="J899" s="63">
        <f t="shared" si="100"/>
        <v>0.29166666666666669</v>
      </c>
      <c r="K899" s="88" t="s">
        <v>110</v>
      </c>
      <c r="L899" s="135">
        <f t="shared" si="101"/>
        <v>7</v>
      </c>
      <c r="O899" s="91" t="s">
        <v>358</v>
      </c>
      <c r="P899" s="88">
        <v>5</v>
      </c>
      <c r="Z899" s="100"/>
    </row>
    <row r="900" spans="1:26" x14ac:dyDescent="0.25">
      <c r="A900" s="99">
        <v>45505</v>
      </c>
      <c r="B900" s="74">
        <v>45526</v>
      </c>
      <c r="C900" s="60" t="s">
        <v>124</v>
      </c>
      <c r="D900" s="60" t="s">
        <v>830</v>
      </c>
      <c r="E900" s="115" t="s">
        <v>1100</v>
      </c>
      <c r="F900" s="60" t="s">
        <v>1120</v>
      </c>
      <c r="G900" s="72" t="s">
        <v>142</v>
      </c>
      <c r="H900" s="83">
        <v>0.5</v>
      </c>
      <c r="I900" s="83">
        <v>0.625</v>
      </c>
      <c r="J900" s="63">
        <f t="shared" si="100"/>
        <v>0.125</v>
      </c>
      <c r="K900" s="88" t="s">
        <v>110</v>
      </c>
      <c r="L900" s="135">
        <f t="shared" si="101"/>
        <v>3</v>
      </c>
      <c r="O900" s="91" t="s">
        <v>358</v>
      </c>
      <c r="P900" s="88">
        <v>5</v>
      </c>
      <c r="Q900" s="60"/>
      <c r="Z900" s="100"/>
    </row>
    <row r="901" spans="1:26" x14ac:dyDescent="0.25">
      <c r="A901" s="99">
        <v>45505</v>
      </c>
      <c r="B901" s="74">
        <v>45526</v>
      </c>
      <c r="C901" s="60" t="s">
        <v>124</v>
      </c>
      <c r="D901" s="60" t="s">
        <v>308</v>
      </c>
      <c r="E901" s="115" t="s">
        <v>377</v>
      </c>
      <c r="F901" s="60" t="s">
        <v>379</v>
      </c>
      <c r="G901" s="72" t="s">
        <v>142</v>
      </c>
      <c r="H901" s="83">
        <v>0.5</v>
      </c>
      <c r="I901" s="83">
        <v>0.625</v>
      </c>
      <c r="J901" s="63">
        <f t="shared" ref="J901" si="102">I901-H901</f>
        <v>0.125</v>
      </c>
      <c r="K901" s="88" t="s">
        <v>365</v>
      </c>
      <c r="L901" s="135">
        <f t="shared" ref="L901" si="103">24*J901</f>
        <v>3</v>
      </c>
      <c r="O901" s="91" t="s">
        <v>363</v>
      </c>
      <c r="P901" s="88">
        <v>4</v>
      </c>
      <c r="Q901" s="60" t="s">
        <v>472</v>
      </c>
      <c r="Z901" s="100"/>
    </row>
    <row r="902" spans="1:26" x14ac:dyDescent="0.25">
      <c r="A902" s="99">
        <v>45505</v>
      </c>
      <c r="B902" s="74">
        <v>45528</v>
      </c>
      <c r="C902" s="60" t="s">
        <v>34</v>
      </c>
      <c r="D902" s="60" t="s">
        <v>481</v>
      </c>
      <c r="E902" s="115" t="s">
        <v>711</v>
      </c>
      <c r="F902" s="60" t="s">
        <v>1121</v>
      </c>
      <c r="G902" s="72" t="s">
        <v>142</v>
      </c>
      <c r="H902" s="83">
        <v>0.41666666666666669</v>
      </c>
      <c r="I902" s="83">
        <v>0.625</v>
      </c>
      <c r="J902" s="63">
        <f t="shared" ref="J902" si="104">I902-H902</f>
        <v>0.20833333333333331</v>
      </c>
      <c r="K902" s="88" t="s">
        <v>113</v>
      </c>
      <c r="L902" s="135">
        <f t="shared" ref="L902" si="105">24*J902</f>
        <v>5</v>
      </c>
      <c r="O902" s="91" t="s">
        <v>539</v>
      </c>
      <c r="P902" s="88">
        <v>5</v>
      </c>
      <c r="Q902" s="60"/>
      <c r="Z902" s="100"/>
    </row>
    <row r="903" spans="1:26" x14ac:dyDescent="0.25">
      <c r="A903" s="99">
        <v>45505</v>
      </c>
      <c r="B903" s="74">
        <v>45528</v>
      </c>
      <c r="C903" s="60" t="s">
        <v>34</v>
      </c>
      <c r="D903" s="60" t="s">
        <v>98</v>
      </c>
      <c r="E903" s="115" t="s">
        <v>1122</v>
      </c>
      <c r="F903" s="60" t="s">
        <v>1123</v>
      </c>
      <c r="G903" s="72" t="s">
        <v>142</v>
      </c>
      <c r="H903" s="83">
        <v>0.4375</v>
      </c>
      <c r="I903" s="83">
        <v>0.70833333333333337</v>
      </c>
      <c r="J903" s="63">
        <f t="shared" ref="J903" si="106">I903-H903</f>
        <v>0.27083333333333337</v>
      </c>
      <c r="K903" s="88" t="s">
        <v>365</v>
      </c>
      <c r="L903" s="135">
        <f t="shared" ref="L903" si="107">24*J903</f>
        <v>6.5000000000000009</v>
      </c>
      <c r="O903" s="91" t="s">
        <v>357</v>
      </c>
      <c r="P903" s="88">
        <v>5</v>
      </c>
      <c r="Q903" s="60"/>
      <c r="Z903" s="100"/>
    </row>
    <row r="904" spans="1:26" x14ac:dyDescent="0.25">
      <c r="A904" s="99">
        <v>45505</v>
      </c>
      <c r="B904" s="74">
        <v>45529</v>
      </c>
      <c r="C904" s="60" t="s">
        <v>31</v>
      </c>
      <c r="D904" s="60" t="s">
        <v>98</v>
      </c>
      <c r="E904" s="115" t="s">
        <v>1122</v>
      </c>
      <c r="F904" s="60" t="s">
        <v>1124</v>
      </c>
      <c r="G904" s="72" t="s">
        <v>142</v>
      </c>
      <c r="H904" s="83">
        <v>0.41666666666666669</v>
      </c>
      <c r="I904" s="83">
        <v>0.45833333333333331</v>
      </c>
      <c r="J904" s="63">
        <f t="shared" ref="J904" si="108">I904-H904</f>
        <v>4.166666666666663E-2</v>
      </c>
      <c r="K904" s="88" t="s">
        <v>365</v>
      </c>
      <c r="L904" s="135">
        <f t="shared" ref="L904" si="109">24*J904</f>
        <v>0.99999999999999911</v>
      </c>
      <c r="O904" s="91" t="s">
        <v>363</v>
      </c>
      <c r="P904" s="88">
        <v>5</v>
      </c>
      <c r="Q904" s="60"/>
      <c r="Z904" s="100"/>
    </row>
    <row r="905" spans="1:26" x14ac:dyDescent="0.25">
      <c r="A905" s="99">
        <v>45505</v>
      </c>
      <c r="B905" s="74">
        <v>45529</v>
      </c>
      <c r="C905" s="60" t="s">
        <v>31</v>
      </c>
      <c r="D905" s="60" t="s">
        <v>126</v>
      </c>
      <c r="E905" s="115" t="s">
        <v>497</v>
      </c>
      <c r="F905" s="60" t="s">
        <v>1137</v>
      </c>
      <c r="G905" s="72" t="s">
        <v>142</v>
      </c>
      <c r="H905" s="83">
        <v>0.45833333333333331</v>
      </c>
      <c r="I905" s="83">
        <v>0.66666666666666663</v>
      </c>
      <c r="J905" s="63">
        <f t="shared" ref="J905" si="110">I905-H905</f>
        <v>0.20833333333333331</v>
      </c>
      <c r="K905" s="88" t="s">
        <v>365</v>
      </c>
      <c r="L905" s="135">
        <f t="shared" ref="L905" si="111">24*J905</f>
        <v>5</v>
      </c>
      <c r="O905" s="91" t="s">
        <v>363</v>
      </c>
      <c r="P905" s="88">
        <v>5</v>
      </c>
      <c r="Q905" s="60"/>
      <c r="Z905" s="100"/>
    </row>
    <row r="906" spans="1:26" x14ac:dyDescent="0.25">
      <c r="A906" s="99">
        <v>45505</v>
      </c>
      <c r="B906" s="74">
        <v>45529</v>
      </c>
      <c r="C906" s="60" t="s">
        <v>31</v>
      </c>
      <c r="D906" s="60" t="s">
        <v>98</v>
      </c>
      <c r="E906" s="115" t="s">
        <v>888</v>
      </c>
      <c r="F906" s="60" t="s">
        <v>1126</v>
      </c>
      <c r="G906" s="72" t="s">
        <v>142</v>
      </c>
      <c r="H906" s="83">
        <v>0.5</v>
      </c>
      <c r="I906" s="83">
        <v>0.625</v>
      </c>
      <c r="J906" s="63">
        <f t="shared" ref="J906:J912" si="112">I906-H906</f>
        <v>0.125</v>
      </c>
      <c r="K906" s="88" t="s">
        <v>365</v>
      </c>
      <c r="L906" s="135">
        <f t="shared" ref="L906:L912" si="113">24*J906</f>
        <v>3</v>
      </c>
      <c r="O906" s="91" t="s">
        <v>314</v>
      </c>
      <c r="P906" s="88">
        <v>5</v>
      </c>
      <c r="Q906" s="60"/>
      <c r="Z906" s="100"/>
    </row>
    <row r="907" spans="1:26" x14ac:dyDescent="0.25">
      <c r="A907" s="99">
        <v>45505</v>
      </c>
      <c r="B907" s="74">
        <v>45529</v>
      </c>
      <c r="C907" s="60" t="s">
        <v>31</v>
      </c>
      <c r="D907" s="60" t="s">
        <v>830</v>
      </c>
      <c r="E907" s="115" t="s">
        <v>1127</v>
      </c>
      <c r="F907" s="60" t="s">
        <v>1128</v>
      </c>
      <c r="G907" s="72" t="s">
        <v>142</v>
      </c>
      <c r="H907" s="83">
        <v>0.4375</v>
      </c>
      <c r="I907" s="83">
        <v>0.60416666666666663</v>
      </c>
      <c r="J907" s="63">
        <f t="shared" si="112"/>
        <v>0.16666666666666663</v>
      </c>
      <c r="K907" s="88" t="s">
        <v>365</v>
      </c>
      <c r="L907" s="135">
        <f t="shared" si="113"/>
        <v>3.9999999999999991</v>
      </c>
      <c r="O907" s="91" t="s">
        <v>820</v>
      </c>
      <c r="P907" s="88">
        <v>5</v>
      </c>
      <c r="Q907" s="60"/>
      <c r="Z907" s="100"/>
    </row>
    <row r="908" spans="1:26" x14ac:dyDescent="0.25">
      <c r="A908" s="99">
        <v>45505</v>
      </c>
      <c r="B908" s="74">
        <v>45529</v>
      </c>
      <c r="C908" s="60" t="s">
        <v>31</v>
      </c>
      <c r="D908" s="60" t="s">
        <v>481</v>
      </c>
      <c r="E908" s="115" t="s">
        <v>1129</v>
      </c>
      <c r="F908" s="60" t="s">
        <v>1036</v>
      </c>
      <c r="G908" s="72" t="s">
        <v>142</v>
      </c>
      <c r="H908" s="83">
        <v>0.41666666666666669</v>
      </c>
      <c r="I908" s="83">
        <v>0.70833333333333337</v>
      </c>
      <c r="J908" s="63">
        <f t="shared" si="112"/>
        <v>0.29166666666666669</v>
      </c>
      <c r="K908" s="88" t="s">
        <v>110</v>
      </c>
      <c r="L908" s="135">
        <f t="shared" si="113"/>
        <v>7</v>
      </c>
      <c r="O908" s="91" t="s">
        <v>361</v>
      </c>
      <c r="P908" s="88">
        <v>5</v>
      </c>
      <c r="Z908" s="100"/>
    </row>
    <row r="909" spans="1:26" x14ac:dyDescent="0.25">
      <c r="A909" s="99">
        <v>45505</v>
      </c>
      <c r="B909" s="74">
        <v>45529</v>
      </c>
      <c r="C909" s="60" t="s">
        <v>31</v>
      </c>
      <c r="D909" s="60" t="s">
        <v>126</v>
      </c>
      <c r="E909" s="115" t="s">
        <v>888</v>
      </c>
      <c r="F909" s="60" t="s">
        <v>1125</v>
      </c>
      <c r="G909" s="72" t="s">
        <v>142</v>
      </c>
      <c r="H909" s="83">
        <v>0.5</v>
      </c>
      <c r="I909" s="83">
        <v>0.54166666666666663</v>
      </c>
      <c r="J909" s="63">
        <f t="shared" si="112"/>
        <v>4.166666666666663E-2</v>
      </c>
      <c r="K909" s="88" t="s">
        <v>295</v>
      </c>
      <c r="L909" s="135">
        <f t="shared" si="113"/>
        <v>0.99999999999999911</v>
      </c>
      <c r="O909" s="91" t="s">
        <v>360</v>
      </c>
      <c r="P909" s="88">
        <v>5</v>
      </c>
      <c r="Q909" s="60"/>
      <c r="Z909" s="100"/>
    </row>
    <row r="910" spans="1:26" x14ac:dyDescent="0.25">
      <c r="A910" s="99">
        <v>45505</v>
      </c>
      <c r="B910" s="74">
        <v>45529</v>
      </c>
      <c r="C910" s="60" t="s">
        <v>31</v>
      </c>
      <c r="D910" s="60" t="s">
        <v>86</v>
      </c>
      <c r="E910" s="115" t="s">
        <v>1115</v>
      </c>
      <c r="F910" s="60" t="s">
        <v>1130</v>
      </c>
      <c r="G910" s="72" t="s">
        <v>142</v>
      </c>
      <c r="H910" s="83">
        <v>0.45833333333333331</v>
      </c>
      <c r="I910" s="83">
        <v>0.70833333333333337</v>
      </c>
      <c r="J910" s="63">
        <f t="shared" si="112"/>
        <v>0.25000000000000006</v>
      </c>
      <c r="K910" s="88" t="s">
        <v>110</v>
      </c>
      <c r="L910" s="135">
        <f t="shared" si="113"/>
        <v>6.0000000000000018</v>
      </c>
      <c r="O910" s="91" t="s">
        <v>361</v>
      </c>
      <c r="P910" s="88">
        <v>5</v>
      </c>
      <c r="Z910" s="100"/>
    </row>
    <row r="911" spans="1:26" x14ac:dyDescent="0.25">
      <c r="A911" s="99">
        <v>45505</v>
      </c>
      <c r="B911" s="74">
        <v>45529</v>
      </c>
      <c r="C911" s="60" t="s">
        <v>31</v>
      </c>
      <c r="D911" s="60" t="s">
        <v>481</v>
      </c>
      <c r="E911" s="115" t="s">
        <v>711</v>
      </c>
      <c r="F911" s="60" t="s">
        <v>1144</v>
      </c>
      <c r="G911" s="72" t="s">
        <v>142</v>
      </c>
      <c r="H911" s="83">
        <v>0.41666666666666669</v>
      </c>
      <c r="I911" s="83">
        <v>0.625</v>
      </c>
      <c r="J911" s="63">
        <f t="shared" si="112"/>
        <v>0.20833333333333331</v>
      </c>
      <c r="K911" s="88" t="s">
        <v>113</v>
      </c>
      <c r="L911" s="135">
        <f t="shared" si="113"/>
        <v>5</v>
      </c>
      <c r="O911" s="91" t="s">
        <v>539</v>
      </c>
      <c r="P911" s="88">
        <v>5</v>
      </c>
      <c r="Q911" s="60"/>
      <c r="Z911" s="100"/>
    </row>
    <row r="912" spans="1:26" x14ac:dyDescent="0.25">
      <c r="A912" s="99">
        <v>45505</v>
      </c>
      <c r="B912" s="74">
        <v>45529</v>
      </c>
      <c r="C912" s="60" t="s">
        <v>31</v>
      </c>
      <c r="D912" s="60" t="s">
        <v>86</v>
      </c>
      <c r="E912" s="115" t="s">
        <v>1046</v>
      </c>
      <c r="F912" s="60" t="s">
        <v>1131</v>
      </c>
      <c r="G912" s="72" t="s">
        <v>142</v>
      </c>
      <c r="H912" s="83">
        <v>0.41666666666666669</v>
      </c>
      <c r="I912" s="83">
        <v>0.70833333333333337</v>
      </c>
      <c r="J912" s="63">
        <f t="shared" si="112"/>
        <v>0.29166666666666669</v>
      </c>
      <c r="K912" s="88" t="s">
        <v>110</v>
      </c>
      <c r="L912" s="135">
        <f t="shared" si="113"/>
        <v>7</v>
      </c>
      <c r="O912" s="91" t="s">
        <v>361</v>
      </c>
      <c r="P912" s="88">
        <v>5</v>
      </c>
      <c r="Z912" s="100"/>
    </row>
    <row r="913" spans="1:26" x14ac:dyDescent="0.25">
      <c r="A913" s="99">
        <v>45505</v>
      </c>
      <c r="B913" s="74">
        <v>45529</v>
      </c>
      <c r="C913" s="60" t="s">
        <v>31</v>
      </c>
      <c r="D913" s="60" t="s">
        <v>32</v>
      </c>
      <c r="E913" s="115" t="s">
        <v>388</v>
      </c>
      <c r="F913" s="60" t="s">
        <v>1132</v>
      </c>
      <c r="G913" s="72" t="s">
        <v>142</v>
      </c>
      <c r="H913" s="83">
        <v>0.45833333333333331</v>
      </c>
      <c r="I913" s="83">
        <v>0.70833333333333337</v>
      </c>
      <c r="J913" s="63">
        <f t="shared" ref="J913" si="114">I913-H913</f>
        <v>0.25000000000000006</v>
      </c>
      <c r="K913" s="88" t="s">
        <v>110</v>
      </c>
      <c r="L913" s="135">
        <f t="shared" ref="L913" si="115">24*J913</f>
        <v>6.0000000000000018</v>
      </c>
      <c r="O913" s="91" t="s">
        <v>361</v>
      </c>
      <c r="P913" s="88">
        <v>5</v>
      </c>
      <c r="Z913" s="100"/>
    </row>
    <row r="914" spans="1:26" x14ac:dyDescent="0.25">
      <c r="A914" s="99">
        <v>45505</v>
      </c>
      <c r="B914" s="74">
        <v>45529</v>
      </c>
      <c r="C914" s="60" t="s">
        <v>31</v>
      </c>
      <c r="D914" s="60" t="s">
        <v>32</v>
      </c>
      <c r="E914" s="115" t="s">
        <v>635</v>
      </c>
      <c r="F914" s="60" t="s">
        <v>1133</v>
      </c>
      <c r="G914" s="72" t="s">
        <v>142</v>
      </c>
      <c r="H914" s="83">
        <v>0.41666666666666669</v>
      </c>
      <c r="I914" s="83">
        <v>0.70833333333333337</v>
      </c>
      <c r="J914" s="63">
        <f t="shared" ref="J914" si="116">I914-H914</f>
        <v>0.29166666666666669</v>
      </c>
      <c r="K914" s="88" t="s">
        <v>110</v>
      </c>
      <c r="L914" s="135">
        <f t="shared" ref="L914" si="117">24*J914</f>
        <v>7</v>
      </c>
      <c r="O914" s="91" t="s">
        <v>361</v>
      </c>
      <c r="P914" s="88">
        <v>5</v>
      </c>
      <c r="Z914" s="100"/>
    </row>
    <row r="915" spans="1:26" x14ac:dyDescent="0.25">
      <c r="A915" s="99">
        <v>45505</v>
      </c>
      <c r="B915" s="74">
        <v>45529</v>
      </c>
      <c r="C915" s="60" t="s">
        <v>31</v>
      </c>
      <c r="D915" s="60" t="s">
        <v>1060</v>
      </c>
      <c r="E915" s="115" t="s">
        <v>1050</v>
      </c>
      <c r="F915" s="60" t="s">
        <v>1134</v>
      </c>
      <c r="G915" s="72" t="s">
        <v>142</v>
      </c>
      <c r="H915" s="83">
        <v>0.5</v>
      </c>
      <c r="I915" s="83">
        <v>0.75</v>
      </c>
      <c r="J915" s="63">
        <f t="shared" ref="J915:J916" si="118">I915-H915</f>
        <v>0.25</v>
      </c>
      <c r="K915" s="88" t="s">
        <v>365</v>
      </c>
      <c r="L915" s="135">
        <f t="shared" ref="L915:L916" si="119">24*J915</f>
        <v>6</v>
      </c>
      <c r="O915" s="91" t="s">
        <v>359</v>
      </c>
      <c r="P915" s="88">
        <v>5</v>
      </c>
      <c r="Z915" s="100"/>
    </row>
    <row r="916" spans="1:26" x14ac:dyDescent="0.25">
      <c r="A916" s="99">
        <v>45505</v>
      </c>
      <c r="B916" s="74">
        <v>45530</v>
      </c>
      <c r="C916" s="60" t="s">
        <v>45</v>
      </c>
      <c r="D916" s="60" t="s">
        <v>98</v>
      </c>
      <c r="E916" s="115" t="s">
        <v>1135</v>
      </c>
      <c r="F916" s="60" t="s">
        <v>1136</v>
      </c>
      <c r="G916" s="72" t="s">
        <v>142</v>
      </c>
      <c r="H916" s="83">
        <v>0.47916666666666669</v>
      </c>
      <c r="I916" s="83">
        <v>0.5</v>
      </c>
      <c r="J916" s="63">
        <f t="shared" si="118"/>
        <v>2.0833333333333315E-2</v>
      </c>
      <c r="K916" s="88" t="s">
        <v>365</v>
      </c>
      <c r="L916" s="135">
        <f t="shared" si="119"/>
        <v>0.49999999999999956</v>
      </c>
      <c r="O916" s="91" t="s">
        <v>359</v>
      </c>
      <c r="P916" s="88">
        <v>5</v>
      </c>
      <c r="Q916" s="60"/>
      <c r="Z916" s="100"/>
    </row>
    <row r="917" spans="1:26" x14ac:dyDescent="0.25">
      <c r="A917" s="99">
        <v>45505</v>
      </c>
      <c r="B917" s="74">
        <v>45530</v>
      </c>
      <c r="C917" s="60" t="s">
        <v>45</v>
      </c>
      <c r="D917" s="60" t="s">
        <v>98</v>
      </c>
      <c r="E917" s="115" t="s">
        <v>1138</v>
      </c>
      <c r="F917" s="60" t="s">
        <v>1139</v>
      </c>
      <c r="G917" s="72" t="s">
        <v>142</v>
      </c>
      <c r="H917" s="83">
        <v>0.58333333333333337</v>
      </c>
      <c r="I917" s="83">
        <v>0.625</v>
      </c>
      <c r="J917" s="63">
        <f t="shared" ref="J917:J918" si="120">I917-H917</f>
        <v>4.166666666666663E-2</v>
      </c>
      <c r="K917" s="88" t="s">
        <v>365</v>
      </c>
      <c r="L917" s="135">
        <f t="shared" ref="L917:L918" si="121">24*J917</f>
        <v>0.99999999999999911</v>
      </c>
      <c r="O917" s="91" t="s">
        <v>363</v>
      </c>
      <c r="P917" s="88">
        <v>5</v>
      </c>
      <c r="Q917" s="60"/>
      <c r="Z917" s="100"/>
    </row>
    <row r="918" spans="1:26" x14ac:dyDescent="0.25">
      <c r="A918" s="99">
        <v>45505</v>
      </c>
      <c r="B918" s="74">
        <v>45530</v>
      </c>
      <c r="C918" s="60" t="s">
        <v>45</v>
      </c>
      <c r="D918" s="60" t="s">
        <v>86</v>
      </c>
      <c r="E918" s="115" t="s">
        <v>1046</v>
      </c>
      <c r="F918" s="60" t="s">
        <v>1131</v>
      </c>
      <c r="G918" s="72" t="s">
        <v>142</v>
      </c>
      <c r="H918" s="83">
        <v>0.41666666666666669</v>
      </c>
      <c r="I918" s="83">
        <v>0.70833333333333337</v>
      </c>
      <c r="J918" s="63">
        <f t="shared" si="120"/>
        <v>0.29166666666666669</v>
      </c>
      <c r="K918" s="88" t="s">
        <v>110</v>
      </c>
      <c r="L918" s="135">
        <f t="shared" si="121"/>
        <v>7</v>
      </c>
      <c r="O918" s="91" t="s">
        <v>361</v>
      </c>
      <c r="P918" s="88">
        <v>5</v>
      </c>
      <c r="Z918" s="100"/>
    </row>
    <row r="919" spans="1:26" x14ac:dyDescent="0.25">
      <c r="A919" s="99">
        <v>45505</v>
      </c>
      <c r="B919" s="74">
        <v>45530</v>
      </c>
      <c r="C919" s="60" t="s">
        <v>45</v>
      </c>
      <c r="D919" s="60" t="s">
        <v>481</v>
      </c>
      <c r="E919" s="115" t="s">
        <v>1071</v>
      </c>
      <c r="F919" s="60" t="s">
        <v>1140</v>
      </c>
      <c r="G919" s="72" t="s">
        <v>142</v>
      </c>
      <c r="H919" s="83">
        <v>0.45833333333333331</v>
      </c>
      <c r="I919" s="83">
        <v>0.70833333333333337</v>
      </c>
      <c r="J919" s="63">
        <f t="shared" ref="J919:J920" si="122">I919-H919</f>
        <v>0.25000000000000006</v>
      </c>
      <c r="K919" s="88" t="s">
        <v>110</v>
      </c>
      <c r="L919" s="135">
        <f t="shared" ref="L919:L920" si="123">24*J919</f>
        <v>6.0000000000000018</v>
      </c>
      <c r="O919" s="91" t="s">
        <v>361</v>
      </c>
      <c r="P919" s="88">
        <v>5</v>
      </c>
      <c r="Z919" s="100"/>
    </row>
    <row r="920" spans="1:26" x14ac:dyDescent="0.25">
      <c r="A920" s="99">
        <v>45505</v>
      </c>
      <c r="B920" s="74">
        <v>45530</v>
      </c>
      <c r="C920" s="60" t="s">
        <v>45</v>
      </c>
      <c r="D920" s="60" t="s">
        <v>32</v>
      </c>
      <c r="E920" s="115" t="s">
        <v>388</v>
      </c>
      <c r="F920" s="60" t="s">
        <v>1132</v>
      </c>
      <c r="G920" s="72" t="s">
        <v>142</v>
      </c>
      <c r="H920" s="83">
        <v>0.45833333333333331</v>
      </c>
      <c r="I920" s="83">
        <v>0.70833333333333337</v>
      </c>
      <c r="J920" s="63">
        <f t="shared" si="122"/>
        <v>0.25000000000000006</v>
      </c>
      <c r="K920" s="88" t="s">
        <v>110</v>
      </c>
      <c r="L920" s="135">
        <f t="shared" si="123"/>
        <v>6.0000000000000018</v>
      </c>
      <c r="O920" s="91" t="s">
        <v>361</v>
      </c>
      <c r="P920" s="88">
        <v>5</v>
      </c>
      <c r="Z920" s="100"/>
    </row>
    <row r="921" spans="1:26" x14ac:dyDescent="0.25">
      <c r="A921" s="99">
        <v>45505</v>
      </c>
      <c r="B921" s="74">
        <v>45530</v>
      </c>
      <c r="C921" s="60" t="s">
        <v>45</v>
      </c>
      <c r="D921" s="60" t="s">
        <v>32</v>
      </c>
      <c r="E921" s="115" t="s">
        <v>1141</v>
      </c>
      <c r="F921" s="60" t="s">
        <v>1142</v>
      </c>
      <c r="G921" s="72" t="s">
        <v>142</v>
      </c>
      <c r="H921" s="83">
        <v>0.41666666666666669</v>
      </c>
      <c r="I921" s="83">
        <v>0.70833333333333337</v>
      </c>
      <c r="J921" s="63">
        <f t="shared" ref="J921:J925" si="124">I921-H921</f>
        <v>0.29166666666666669</v>
      </c>
      <c r="K921" s="88" t="s">
        <v>110</v>
      </c>
      <c r="L921" s="135">
        <f t="shared" ref="L921:L925" si="125">24*J921</f>
        <v>7</v>
      </c>
      <c r="O921" s="91" t="s">
        <v>361</v>
      </c>
      <c r="P921" s="88">
        <v>5</v>
      </c>
      <c r="Z921" s="100"/>
    </row>
    <row r="922" spans="1:26" x14ac:dyDescent="0.25">
      <c r="A922" s="99">
        <v>45505</v>
      </c>
      <c r="B922" s="74">
        <v>45530</v>
      </c>
      <c r="C922" s="60" t="s">
        <v>45</v>
      </c>
      <c r="D922" s="60" t="s">
        <v>481</v>
      </c>
      <c r="E922" s="115" t="s">
        <v>1129</v>
      </c>
      <c r="F922" s="60" t="s">
        <v>1143</v>
      </c>
      <c r="G922" s="72" t="s">
        <v>142</v>
      </c>
      <c r="H922" s="83">
        <v>0.41666666666666669</v>
      </c>
      <c r="I922" s="83">
        <v>0.70833333333333337</v>
      </c>
      <c r="J922" s="63">
        <f t="shared" si="124"/>
        <v>0.29166666666666669</v>
      </c>
      <c r="K922" s="88" t="s">
        <v>110</v>
      </c>
      <c r="L922" s="135">
        <f t="shared" si="125"/>
        <v>7</v>
      </c>
      <c r="O922" s="91" t="s">
        <v>361</v>
      </c>
      <c r="P922" s="88">
        <v>5</v>
      </c>
      <c r="Z922" s="100"/>
    </row>
    <row r="923" spans="1:26" x14ac:dyDescent="0.25">
      <c r="A923" s="99">
        <v>45505</v>
      </c>
      <c r="B923" s="74">
        <v>45530</v>
      </c>
      <c r="C923" s="60" t="s">
        <v>45</v>
      </c>
      <c r="D923" s="60" t="s">
        <v>406</v>
      </c>
      <c r="E923" s="115" t="s">
        <v>1052</v>
      </c>
      <c r="F923" s="60" t="s">
        <v>1053</v>
      </c>
      <c r="G923" s="72" t="s">
        <v>142</v>
      </c>
      <c r="H923" s="83">
        <v>0.58333333333333337</v>
      </c>
      <c r="I923" s="83">
        <v>0.75</v>
      </c>
      <c r="J923" s="63">
        <f t="shared" si="124"/>
        <v>0.16666666666666663</v>
      </c>
      <c r="K923" s="88" t="s">
        <v>113</v>
      </c>
      <c r="L923" s="135">
        <f t="shared" si="125"/>
        <v>3.9999999999999991</v>
      </c>
      <c r="O923" s="91" t="s">
        <v>539</v>
      </c>
      <c r="P923" s="88">
        <v>5</v>
      </c>
      <c r="Q923" s="60"/>
      <c r="Z923" s="100"/>
    </row>
    <row r="924" spans="1:26" x14ac:dyDescent="0.25">
      <c r="A924" s="99">
        <v>45505</v>
      </c>
      <c r="B924" s="74">
        <v>45530</v>
      </c>
      <c r="C924" s="60" t="s">
        <v>45</v>
      </c>
      <c r="D924" s="60" t="s">
        <v>481</v>
      </c>
      <c r="E924" s="115" t="s">
        <v>711</v>
      </c>
      <c r="F924" s="60" t="s">
        <v>1144</v>
      </c>
      <c r="G924" s="72" t="s">
        <v>142</v>
      </c>
      <c r="H924" s="83">
        <v>0.41666666666666669</v>
      </c>
      <c r="I924" s="83">
        <v>0.625</v>
      </c>
      <c r="J924" s="63">
        <f t="shared" si="124"/>
        <v>0.20833333333333331</v>
      </c>
      <c r="K924" s="88" t="s">
        <v>113</v>
      </c>
      <c r="L924" s="135">
        <f t="shared" si="125"/>
        <v>5</v>
      </c>
      <c r="O924" s="91" t="s">
        <v>539</v>
      </c>
      <c r="P924" s="88">
        <v>5</v>
      </c>
      <c r="Q924" s="60"/>
      <c r="Z924" s="100"/>
    </row>
    <row r="925" spans="1:26" x14ac:dyDescent="0.25">
      <c r="A925" s="99">
        <v>45505</v>
      </c>
      <c r="B925" s="74">
        <v>45530</v>
      </c>
      <c r="C925" s="60" t="s">
        <v>45</v>
      </c>
      <c r="D925" s="60" t="s">
        <v>406</v>
      </c>
      <c r="E925" s="115" t="s">
        <v>1096</v>
      </c>
      <c r="F925" s="60" t="s">
        <v>1097</v>
      </c>
      <c r="G925" s="72" t="s">
        <v>142</v>
      </c>
      <c r="H925" s="83">
        <v>0.58333333333333337</v>
      </c>
      <c r="I925" s="83">
        <v>0.75</v>
      </c>
      <c r="J925" s="63">
        <f t="shared" si="124"/>
        <v>0.16666666666666663</v>
      </c>
      <c r="K925" s="88" t="s">
        <v>365</v>
      </c>
      <c r="L925" s="135">
        <f t="shared" si="125"/>
        <v>3.9999999999999991</v>
      </c>
      <c r="O925" s="91" t="s">
        <v>359</v>
      </c>
      <c r="P925" s="88">
        <v>5</v>
      </c>
      <c r="Z925" s="100"/>
    </row>
    <row r="926" spans="1:26" x14ac:dyDescent="0.25">
      <c r="A926" s="99">
        <v>45505</v>
      </c>
      <c r="B926" s="74">
        <v>45530</v>
      </c>
      <c r="C926" s="60" t="s">
        <v>45</v>
      </c>
      <c r="D926" s="60" t="s">
        <v>98</v>
      </c>
      <c r="E926" s="115" t="s">
        <v>1145</v>
      </c>
      <c r="F926" s="60" t="s">
        <v>1146</v>
      </c>
      <c r="G926" s="72" t="s">
        <v>142</v>
      </c>
      <c r="H926" s="83">
        <v>0.72916666666666663</v>
      </c>
      <c r="I926" s="83">
        <v>0.83333333333333337</v>
      </c>
      <c r="J926" s="63">
        <f t="shared" ref="J926:J927" si="126">I926-H926</f>
        <v>0.10416666666666674</v>
      </c>
      <c r="K926" s="88" t="s">
        <v>365</v>
      </c>
      <c r="L926" s="135">
        <f t="shared" ref="L926:L927" si="127">24*J926</f>
        <v>2.5000000000000018</v>
      </c>
      <c r="O926" s="91" t="s">
        <v>314</v>
      </c>
      <c r="P926" s="88">
        <v>5</v>
      </c>
      <c r="Z926" s="100"/>
    </row>
    <row r="927" spans="1:26" x14ac:dyDescent="0.25">
      <c r="A927" s="99">
        <v>45505</v>
      </c>
      <c r="B927" s="74">
        <v>45531</v>
      </c>
      <c r="C927" s="60" t="s">
        <v>106</v>
      </c>
      <c r="D927" s="60" t="s">
        <v>98</v>
      </c>
      <c r="E927" s="115" t="s">
        <v>1138</v>
      </c>
      <c r="F927" s="60" t="s">
        <v>1147</v>
      </c>
      <c r="G927" s="72" t="s">
        <v>142</v>
      </c>
      <c r="H927" s="83">
        <v>0.41666666666666669</v>
      </c>
      <c r="I927" s="83">
        <v>0.625</v>
      </c>
      <c r="J927" s="63">
        <f t="shared" si="126"/>
        <v>0.20833333333333331</v>
      </c>
      <c r="K927" s="88" t="s">
        <v>365</v>
      </c>
      <c r="L927" s="135">
        <f t="shared" si="127"/>
        <v>5</v>
      </c>
      <c r="O927" s="91" t="s">
        <v>359</v>
      </c>
      <c r="P927" s="88">
        <v>5</v>
      </c>
      <c r="Q927" s="60"/>
      <c r="Z927" s="100"/>
    </row>
    <row r="928" spans="1:26" x14ac:dyDescent="0.25">
      <c r="A928" s="99">
        <v>45505</v>
      </c>
      <c r="B928" s="74">
        <v>45531</v>
      </c>
      <c r="C928" s="60" t="s">
        <v>106</v>
      </c>
      <c r="D928" s="60" t="s">
        <v>1152</v>
      </c>
      <c r="E928" s="115" t="s">
        <v>1148</v>
      </c>
      <c r="F928" s="60" t="s">
        <v>1149</v>
      </c>
      <c r="G928" s="72" t="s">
        <v>142</v>
      </c>
      <c r="H928" s="83">
        <v>0.625</v>
      </c>
      <c r="I928" s="83">
        <v>0.66666666666666663</v>
      </c>
      <c r="J928" s="63">
        <f t="shared" ref="J928" si="128">I928-H928</f>
        <v>4.166666666666663E-2</v>
      </c>
      <c r="K928" s="88" t="s">
        <v>365</v>
      </c>
      <c r="L928" s="135">
        <f t="shared" ref="L928" si="129">24*J928</f>
        <v>0.99999999999999911</v>
      </c>
      <c r="O928" s="91" t="s">
        <v>363</v>
      </c>
      <c r="P928" s="88">
        <v>5</v>
      </c>
      <c r="Q928" s="60"/>
      <c r="Z928" s="100"/>
    </row>
    <row r="929" spans="1:26" x14ac:dyDescent="0.25">
      <c r="A929" s="99">
        <v>45505</v>
      </c>
      <c r="B929" s="74">
        <v>45531</v>
      </c>
      <c r="C929" s="60" t="s">
        <v>106</v>
      </c>
      <c r="D929" s="60" t="s">
        <v>98</v>
      </c>
      <c r="E929" s="115" t="s">
        <v>1150</v>
      </c>
      <c r="F929" s="60" t="s">
        <v>1151</v>
      </c>
      <c r="G929" s="72" t="s">
        <v>142</v>
      </c>
      <c r="H929" s="83">
        <v>0.64583333333333337</v>
      </c>
      <c r="I929" s="83">
        <v>0.72916666666666663</v>
      </c>
      <c r="J929" s="63">
        <f t="shared" ref="J929:J934" si="130">I929-H929</f>
        <v>8.3333333333333259E-2</v>
      </c>
      <c r="K929" s="88" t="s">
        <v>365</v>
      </c>
      <c r="L929" s="135">
        <f t="shared" ref="L929:L934" si="131">24*J929</f>
        <v>1.9999999999999982</v>
      </c>
      <c r="O929" s="91" t="s">
        <v>359</v>
      </c>
      <c r="P929" s="88">
        <v>5</v>
      </c>
      <c r="Q929" s="60"/>
      <c r="Z929" s="100"/>
    </row>
    <row r="930" spans="1:26" x14ac:dyDescent="0.25">
      <c r="A930" s="99">
        <v>45505</v>
      </c>
      <c r="B930" s="74">
        <v>45531</v>
      </c>
      <c r="C930" s="60" t="s">
        <v>106</v>
      </c>
      <c r="D930" s="60" t="s">
        <v>98</v>
      </c>
      <c r="E930" s="115" t="s">
        <v>1138</v>
      </c>
      <c r="F930" s="60" t="s">
        <v>1153</v>
      </c>
      <c r="G930" s="72" t="s">
        <v>142</v>
      </c>
      <c r="H930" s="83">
        <v>0.66666666666666663</v>
      </c>
      <c r="I930" s="83">
        <v>0.70833333333333337</v>
      </c>
      <c r="J930" s="63">
        <f t="shared" si="130"/>
        <v>4.1666666666666741E-2</v>
      </c>
      <c r="K930" s="88" t="s">
        <v>365</v>
      </c>
      <c r="L930" s="135">
        <f t="shared" si="131"/>
        <v>1.0000000000000018</v>
      </c>
      <c r="O930" s="91" t="s">
        <v>363</v>
      </c>
      <c r="P930" s="88">
        <v>5</v>
      </c>
      <c r="Q930" s="60"/>
      <c r="Z930" s="100"/>
    </row>
    <row r="931" spans="1:26" x14ac:dyDescent="0.25">
      <c r="A931" s="99">
        <v>45505</v>
      </c>
      <c r="B931" s="74">
        <v>45531</v>
      </c>
      <c r="C931" s="60" t="s">
        <v>106</v>
      </c>
      <c r="D931" s="60" t="s">
        <v>481</v>
      </c>
      <c r="E931" s="115" t="s">
        <v>1129</v>
      </c>
      <c r="F931" s="60" t="s">
        <v>1140</v>
      </c>
      <c r="G931" s="72" t="s">
        <v>142</v>
      </c>
      <c r="H931" s="83">
        <v>0.45833333333333331</v>
      </c>
      <c r="I931" s="83">
        <v>0.70833333333333337</v>
      </c>
      <c r="J931" s="63">
        <f t="shared" si="130"/>
        <v>0.25000000000000006</v>
      </c>
      <c r="K931" s="88" t="s">
        <v>110</v>
      </c>
      <c r="L931" s="135">
        <f t="shared" si="131"/>
        <v>6.0000000000000018</v>
      </c>
      <c r="O931" s="91" t="s">
        <v>361</v>
      </c>
      <c r="P931" s="88">
        <v>5</v>
      </c>
      <c r="Z931" s="100"/>
    </row>
    <row r="932" spans="1:26" x14ac:dyDescent="0.25">
      <c r="A932" s="99">
        <v>45505</v>
      </c>
      <c r="B932" s="74">
        <v>45531</v>
      </c>
      <c r="C932" s="60" t="s">
        <v>106</v>
      </c>
      <c r="D932" s="60" t="s">
        <v>32</v>
      </c>
      <c r="E932" s="115" t="s">
        <v>388</v>
      </c>
      <c r="F932" s="60" t="s">
        <v>1154</v>
      </c>
      <c r="G932" s="72" t="s">
        <v>142</v>
      </c>
      <c r="H932" s="83">
        <v>0</v>
      </c>
      <c r="I932" s="83">
        <v>0.70833333333333337</v>
      </c>
      <c r="J932" s="63">
        <f t="shared" si="130"/>
        <v>0.70833333333333337</v>
      </c>
      <c r="K932" s="88" t="s">
        <v>110</v>
      </c>
      <c r="L932" s="135">
        <f t="shared" si="131"/>
        <v>17</v>
      </c>
      <c r="O932" s="91" t="s">
        <v>361</v>
      </c>
      <c r="P932" s="88">
        <v>5</v>
      </c>
      <c r="Z932" s="100"/>
    </row>
    <row r="933" spans="1:26" x14ac:dyDescent="0.25">
      <c r="A933" s="99">
        <v>45505</v>
      </c>
      <c r="B933" s="74">
        <v>45531</v>
      </c>
      <c r="C933" s="60" t="s">
        <v>106</v>
      </c>
      <c r="D933" s="60" t="s">
        <v>86</v>
      </c>
      <c r="E933" s="115" t="s">
        <v>1046</v>
      </c>
      <c r="F933" s="60" t="s">
        <v>1155</v>
      </c>
      <c r="G933" s="72" t="s">
        <v>142</v>
      </c>
      <c r="H933" s="83">
        <v>0.41666666666666669</v>
      </c>
      <c r="I933" s="83">
        <v>0.70833333333333337</v>
      </c>
      <c r="J933" s="63">
        <f t="shared" si="130"/>
        <v>0.29166666666666669</v>
      </c>
      <c r="K933" s="88" t="s">
        <v>110</v>
      </c>
      <c r="L933" s="135">
        <f t="shared" si="131"/>
        <v>7</v>
      </c>
      <c r="O933" s="91" t="s">
        <v>361</v>
      </c>
      <c r="P933" s="88">
        <v>5</v>
      </c>
      <c r="Z933" s="100"/>
    </row>
    <row r="934" spans="1:26" x14ac:dyDescent="0.25">
      <c r="A934" s="99">
        <v>45505</v>
      </c>
      <c r="B934" s="74">
        <v>45532</v>
      </c>
      <c r="C934" s="60" t="s">
        <v>398</v>
      </c>
      <c r="D934" s="60" t="s">
        <v>830</v>
      </c>
      <c r="E934" s="115" t="s">
        <v>412</v>
      </c>
      <c r="F934" s="60" t="s">
        <v>1156</v>
      </c>
      <c r="G934" s="72" t="s">
        <v>142</v>
      </c>
      <c r="H934" s="83">
        <v>0.39583333333333331</v>
      </c>
      <c r="I934" s="83">
        <v>0.47916666666666669</v>
      </c>
      <c r="J934" s="63">
        <f t="shared" si="130"/>
        <v>8.333333333333337E-2</v>
      </c>
      <c r="K934" s="88" t="s">
        <v>365</v>
      </c>
      <c r="L934" s="135">
        <f t="shared" si="131"/>
        <v>2.0000000000000009</v>
      </c>
      <c r="O934" s="91" t="s">
        <v>820</v>
      </c>
      <c r="P934" s="88">
        <v>5</v>
      </c>
      <c r="Q934" s="60"/>
      <c r="Z934" s="100"/>
    </row>
    <row r="935" spans="1:26" x14ac:dyDescent="0.25">
      <c r="A935" s="99">
        <v>45505</v>
      </c>
      <c r="B935" s="74">
        <v>45532</v>
      </c>
      <c r="C935" s="60" t="s">
        <v>398</v>
      </c>
      <c r="D935" s="60" t="s">
        <v>98</v>
      </c>
      <c r="E935" s="115" t="s">
        <v>1138</v>
      </c>
      <c r="F935" s="60" t="s">
        <v>1153</v>
      </c>
      <c r="G935" s="72" t="s">
        <v>142</v>
      </c>
      <c r="H935" s="83">
        <v>0.66666666666666663</v>
      </c>
      <c r="I935" s="83">
        <v>0.70833333333333337</v>
      </c>
      <c r="J935" s="63">
        <f t="shared" ref="J935" si="132">I935-H935</f>
        <v>4.1666666666666741E-2</v>
      </c>
      <c r="K935" s="88" t="s">
        <v>365</v>
      </c>
      <c r="L935" s="135">
        <f t="shared" ref="L935" si="133">24*J935</f>
        <v>1.0000000000000018</v>
      </c>
      <c r="O935" s="91" t="s">
        <v>820</v>
      </c>
      <c r="P935" s="88">
        <v>5</v>
      </c>
      <c r="Q935" s="60"/>
      <c r="Z935" s="100"/>
    </row>
    <row r="936" spans="1:26" x14ac:dyDescent="0.25">
      <c r="A936" s="99">
        <v>45505</v>
      </c>
      <c r="B936" s="74">
        <v>45532</v>
      </c>
      <c r="C936" s="60" t="s">
        <v>398</v>
      </c>
      <c r="D936" s="60" t="s">
        <v>98</v>
      </c>
      <c r="E936" s="115" t="s">
        <v>1138</v>
      </c>
      <c r="F936" s="60" t="s">
        <v>1153</v>
      </c>
      <c r="G936" s="72" t="s">
        <v>142</v>
      </c>
      <c r="H936" s="83">
        <v>0</v>
      </c>
      <c r="I936" s="83">
        <v>0.66666666666666663</v>
      </c>
      <c r="J936" s="63">
        <f t="shared" ref="J936:J937" si="134">I936-H936</f>
        <v>0.66666666666666663</v>
      </c>
      <c r="K936" s="88" t="s">
        <v>365</v>
      </c>
      <c r="L936" s="135">
        <f t="shared" ref="L936:L937" si="135">24*J936</f>
        <v>16</v>
      </c>
      <c r="O936" s="91" t="s">
        <v>360</v>
      </c>
      <c r="P936" s="88">
        <v>5</v>
      </c>
      <c r="Q936" s="60"/>
      <c r="Z936" s="100"/>
    </row>
    <row r="937" spans="1:26" x14ac:dyDescent="0.25">
      <c r="A937" s="99">
        <v>45505</v>
      </c>
      <c r="B937" s="74">
        <v>45532</v>
      </c>
      <c r="C937" s="60" t="s">
        <v>398</v>
      </c>
      <c r="D937" s="60" t="s">
        <v>32</v>
      </c>
      <c r="E937" s="115" t="s">
        <v>555</v>
      </c>
      <c r="F937" s="60" t="s">
        <v>1157</v>
      </c>
      <c r="G937" s="72" t="s">
        <v>142</v>
      </c>
      <c r="H937" s="83">
        <v>0</v>
      </c>
      <c r="I937" s="83">
        <v>0.70833333333333337</v>
      </c>
      <c r="J937" s="63">
        <f t="shared" si="134"/>
        <v>0.70833333333333337</v>
      </c>
      <c r="K937" s="88" t="s">
        <v>365</v>
      </c>
      <c r="L937" s="135">
        <f t="shared" si="135"/>
        <v>17</v>
      </c>
      <c r="O937" s="91" t="s">
        <v>314</v>
      </c>
      <c r="P937" s="88">
        <v>5</v>
      </c>
      <c r="Z937" s="100"/>
    </row>
    <row r="938" spans="1:26" x14ac:dyDescent="0.25">
      <c r="A938" s="99">
        <v>45505</v>
      </c>
      <c r="B938" s="74">
        <v>45532</v>
      </c>
      <c r="C938" s="60" t="s">
        <v>398</v>
      </c>
      <c r="D938" s="60" t="s">
        <v>46</v>
      </c>
      <c r="E938" s="115" t="s">
        <v>446</v>
      </c>
      <c r="F938" s="60" t="s">
        <v>1158</v>
      </c>
      <c r="G938" s="72" t="s">
        <v>142</v>
      </c>
      <c r="H938" s="83">
        <v>0.60416666666666663</v>
      </c>
      <c r="I938" s="83">
        <v>0.64583333333333337</v>
      </c>
      <c r="J938" s="63">
        <f t="shared" ref="J938:J940" si="136">I938-H938</f>
        <v>4.1666666666666741E-2</v>
      </c>
      <c r="K938" s="88" t="s">
        <v>366</v>
      </c>
      <c r="L938" s="135">
        <f t="shared" ref="L938:L940" si="137">24*J938</f>
        <v>1.0000000000000018</v>
      </c>
      <c r="O938" s="91" t="s">
        <v>314</v>
      </c>
      <c r="P938" s="88">
        <v>5</v>
      </c>
      <c r="Z938" s="100"/>
    </row>
    <row r="939" spans="1:26" x14ac:dyDescent="0.25">
      <c r="A939" s="99">
        <v>45505</v>
      </c>
      <c r="B939" s="74">
        <v>45532</v>
      </c>
      <c r="C939" s="60" t="s">
        <v>398</v>
      </c>
      <c r="D939" s="60" t="s">
        <v>86</v>
      </c>
      <c r="E939" s="115" t="s">
        <v>1046</v>
      </c>
      <c r="F939" s="60" t="s">
        <v>1159</v>
      </c>
      <c r="G939" s="72" t="s">
        <v>142</v>
      </c>
      <c r="H939" s="83">
        <v>0.41666666666666669</v>
      </c>
      <c r="I939" s="83">
        <v>0.70833333333333337</v>
      </c>
      <c r="J939" s="63">
        <f t="shared" si="136"/>
        <v>0.29166666666666669</v>
      </c>
      <c r="K939" s="88" t="s">
        <v>110</v>
      </c>
      <c r="L939" s="135">
        <f t="shared" si="137"/>
        <v>7</v>
      </c>
      <c r="O939" s="91" t="s">
        <v>361</v>
      </c>
      <c r="P939" s="88">
        <v>5</v>
      </c>
      <c r="Z939" s="100"/>
    </row>
    <row r="940" spans="1:26" x14ac:dyDescent="0.25">
      <c r="A940" s="99">
        <v>45505</v>
      </c>
      <c r="B940" s="74">
        <v>45532</v>
      </c>
      <c r="C940" s="60" t="s">
        <v>398</v>
      </c>
      <c r="D940" s="60" t="s">
        <v>32</v>
      </c>
      <c r="E940" s="115" t="s">
        <v>1141</v>
      </c>
      <c r="F940" s="60" t="s">
        <v>1160</v>
      </c>
      <c r="G940" s="72" t="s">
        <v>142</v>
      </c>
      <c r="H940" s="83">
        <v>0.41666666666666669</v>
      </c>
      <c r="I940" s="83">
        <v>0.70833333333333337</v>
      </c>
      <c r="J940" s="63">
        <f t="shared" si="136"/>
        <v>0.29166666666666669</v>
      </c>
      <c r="K940" s="88" t="s">
        <v>110</v>
      </c>
      <c r="L940" s="135">
        <f t="shared" si="137"/>
        <v>7</v>
      </c>
      <c r="O940" s="91" t="s">
        <v>361</v>
      </c>
      <c r="P940" s="88">
        <v>5</v>
      </c>
      <c r="Z940" s="100"/>
    </row>
    <row r="941" spans="1:26" x14ac:dyDescent="0.25">
      <c r="A941" s="99">
        <v>45505</v>
      </c>
      <c r="B941" s="74">
        <v>45535</v>
      </c>
      <c r="C941" s="60" t="s">
        <v>34</v>
      </c>
      <c r="D941" s="60" t="s">
        <v>46</v>
      </c>
      <c r="E941" s="115" t="s">
        <v>446</v>
      </c>
      <c r="F941" s="60" t="s">
        <v>1158</v>
      </c>
      <c r="G941" s="72" t="s">
        <v>142</v>
      </c>
      <c r="H941" s="83">
        <v>0</v>
      </c>
      <c r="I941" s="83">
        <v>0.64583333333333337</v>
      </c>
      <c r="J941" s="63">
        <f t="shared" ref="J941:J942" si="138">I941-H941</f>
        <v>0.64583333333333337</v>
      </c>
      <c r="K941" s="88" t="s">
        <v>366</v>
      </c>
      <c r="L941" s="135">
        <f t="shared" ref="L941:L942" si="139">24*J941</f>
        <v>15.5</v>
      </c>
      <c r="O941" s="91" t="s">
        <v>821</v>
      </c>
      <c r="P941" s="88">
        <v>5</v>
      </c>
      <c r="Z941" s="100"/>
    </row>
    <row r="942" spans="1:26" x14ac:dyDescent="0.25">
      <c r="A942" s="99">
        <v>45505</v>
      </c>
      <c r="B942" s="74">
        <v>45535</v>
      </c>
      <c r="C942" s="60" t="s">
        <v>34</v>
      </c>
      <c r="D942" s="60" t="s">
        <v>86</v>
      </c>
      <c r="E942" s="115" t="s">
        <v>1046</v>
      </c>
      <c r="F942" s="60" t="s">
        <v>1161</v>
      </c>
      <c r="G942" s="72" t="s">
        <v>142</v>
      </c>
      <c r="H942" s="83">
        <v>0.41666666666666669</v>
      </c>
      <c r="I942" s="83">
        <v>0.72916666666666663</v>
      </c>
      <c r="J942" s="63">
        <f t="shared" si="138"/>
        <v>0.31249999999999994</v>
      </c>
      <c r="K942" s="88" t="s">
        <v>110</v>
      </c>
      <c r="L942" s="135">
        <f t="shared" si="139"/>
        <v>7.4999999999999982</v>
      </c>
      <c r="O942" s="91" t="s">
        <v>820</v>
      </c>
      <c r="P942" s="88">
        <v>5</v>
      </c>
      <c r="Z942" s="100"/>
    </row>
    <row r="943" spans="1:26" x14ac:dyDescent="0.25">
      <c r="A943" s="99">
        <v>45505</v>
      </c>
      <c r="B943" s="74">
        <v>45535</v>
      </c>
      <c r="C943" s="60" t="s">
        <v>34</v>
      </c>
      <c r="D943" s="60" t="s">
        <v>740</v>
      </c>
      <c r="E943" s="115" t="s">
        <v>1162</v>
      </c>
      <c r="F943" s="60" t="s">
        <v>1163</v>
      </c>
      <c r="G943" s="72" t="s">
        <v>142</v>
      </c>
      <c r="H943" s="83">
        <v>0.41666666666666669</v>
      </c>
      <c r="I943" s="83">
        <v>0.72916666666666663</v>
      </c>
      <c r="J943" s="63">
        <f t="shared" ref="J943" si="140">I943-H943</f>
        <v>0.31249999999999994</v>
      </c>
      <c r="K943" s="88" t="s">
        <v>110</v>
      </c>
      <c r="L943" s="135">
        <f t="shared" ref="L943" si="141">24*J943</f>
        <v>7.4999999999999982</v>
      </c>
      <c r="O943" s="91" t="s">
        <v>820</v>
      </c>
      <c r="P943" s="88">
        <v>5</v>
      </c>
      <c r="Z943" s="100"/>
    </row>
    <row r="944" spans="1:26" x14ac:dyDescent="0.25">
      <c r="A944" s="99">
        <v>45505</v>
      </c>
      <c r="B944" s="74">
        <v>45535</v>
      </c>
      <c r="C944" s="60" t="s">
        <v>34</v>
      </c>
      <c r="D944" s="60" t="s">
        <v>313</v>
      </c>
      <c r="E944" s="115" t="s">
        <v>350</v>
      </c>
      <c r="F944" s="60" t="s">
        <v>1164</v>
      </c>
      <c r="G944" s="72" t="s">
        <v>142</v>
      </c>
      <c r="H944" s="83">
        <v>0.45833333333333331</v>
      </c>
      <c r="I944" s="83">
        <v>0.6875</v>
      </c>
      <c r="J944" s="63">
        <f t="shared" ref="J944:J952" si="142">I944-H944</f>
        <v>0.22916666666666669</v>
      </c>
      <c r="K944" s="88" t="s">
        <v>113</v>
      </c>
      <c r="L944" s="135">
        <f t="shared" ref="L944:L949" si="143">24*J944</f>
        <v>5.5</v>
      </c>
      <c r="O944" s="91" t="s">
        <v>360</v>
      </c>
      <c r="P944" s="88">
        <v>4</v>
      </c>
      <c r="Q944" s="61" t="s">
        <v>777</v>
      </c>
      <c r="Z944" s="100"/>
    </row>
    <row r="945" spans="1:26" x14ac:dyDescent="0.25">
      <c r="A945" s="99">
        <v>45536</v>
      </c>
      <c r="B945" s="74">
        <v>45536</v>
      </c>
      <c r="C945" s="61" t="s">
        <v>31</v>
      </c>
      <c r="D945" s="60" t="s">
        <v>126</v>
      </c>
      <c r="E945" s="62" t="s">
        <v>1165</v>
      </c>
      <c r="F945" s="73" t="s">
        <v>1003</v>
      </c>
      <c r="G945" s="72" t="s">
        <v>142</v>
      </c>
      <c r="H945" s="83">
        <v>0.58333333333333337</v>
      </c>
      <c r="I945" s="83">
        <v>0.625</v>
      </c>
      <c r="J945" s="63">
        <f t="shared" si="142"/>
        <v>4.166666666666663E-2</v>
      </c>
      <c r="K945" s="88" t="s">
        <v>113</v>
      </c>
      <c r="L945" s="135">
        <f t="shared" si="143"/>
        <v>0.99999999999999911</v>
      </c>
      <c r="O945" s="91" t="s">
        <v>539</v>
      </c>
      <c r="P945" s="88">
        <v>5</v>
      </c>
      <c r="Z945" s="100"/>
    </row>
    <row r="946" spans="1:26" x14ac:dyDescent="0.25">
      <c r="A946" s="99">
        <v>45536</v>
      </c>
      <c r="B946" s="74">
        <v>45536</v>
      </c>
      <c r="C946" s="60" t="s">
        <v>31</v>
      </c>
      <c r="D946" s="60" t="s">
        <v>313</v>
      </c>
      <c r="E946" s="115" t="s">
        <v>350</v>
      </c>
      <c r="F946" s="60" t="s">
        <v>400</v>
      </c>
      <c r="G946" s="72" t="s">
        <v>142</v>
      </c>
      <c r="H946" s="83">
        <v>0.45833333333333331</v>
      </c>
      <c r="I946" s="83">
        <v>0.54166666666666663</v>
      </c>
      <c r="J946" s="63">
        <f t="shared" ref="J946" si="144">I946-H946</f>
        <v>8.3333333333333315E-2</v>
      </c>
      <c r="K946" s="88" t="s">
        <v>110</v>
      </c>
      <c r="L946" s="135">
        <f t="shared" si="143"/>
        <v>1.9999999999999996</v>
      </c>
      <c r="O946" s="91" t="s">
        <v>363</v>
      </c>
      <c r="P946" s="88">
        <v>5</v>
      </c>
      <c r="Z946" s="100"/>
    </row>
    <row r="947" spans="1:26" x14ac:dyDescent="0.25">
      <c r="A947" s="99">
        <v>45536</v>
      </c>
      <c r="B947" s="74">
        <v>45536</v>
      </c>
      <c r="C947" s="60" t="s">
        <v>31</v>
      </c>
      <c r="D947" s="60" t="s">
        <v>126</v>
      </c>
      <c r="E947" s="62" t="s">
        <v>1165</v>
      </c>
      <c r="F947" s="60" t="s">
        <v>1125</v>
      </c>
      <c r="G947" s="72" t="s">
        <v>142</v>
      </c>
      <c r="H947" s="83">
        <v>0.5</v>
      </c>
      <c r="I947" s="83">
        <v>0.54166666666666663</v>
      </c>
      <c r="J947" s="63">
        <f t="shared" si="142"/>
        <v>4.166666666666663E-2</v>
      </c>
      <c r="K947" s="88" t="s">
        <v>295</v>
      </c>
      <c r="L947" s="135">
        <f t="shared" si="143"/>
        <v>0.99999999999999911</v>
      </c>
      <c r="O947" s="91" t="s">
        <v>361</v>
      </c>
      <c r="P947" s="88">
        <v>5</v>
      </c>
      <c r="Z947" s="100"/>
    </row>
    <row r="948" spans="1:26" x14ac:dyDescent="0.25">
      <c r="A948" s="99">
        <v>45536</v>
      </c>
      <c r="B948" s="74">
        <v>45536</v>
      </c>
      <c r="C948" s="60" t="s">
        <v>31</v>
      </c>
      <c r="D948" s="60" t="s">
        <v>86</v>
      </c>
      <c r="E948" s="115" t="s">
        <v>1046</v>
      </c>
      <c r="F948" s="60" t="s">
        <v>1161</v>
      </c>
      <c r="G948" s="72" t="s">
        <v>142</v>
      </c>
      <c r="H948" s="83">
        <v>0.54166666666666663</v>
      </c>
      <c r="I948" s="83">
        <v>0.70833333333333337</v>
      </c>
      <c r="J948" s="63">
        <f t="shared" si="142"/>
        <v>0.16666666666666674</v>
      </c>
      <c r="K948" s="88" t="s">
        <v>110</v>
      </c>
      <c r="L948" s="135">
        <f t="shared" si="143"/>
        <v>4.0000000000000018</v>
      </c>
      <c r="O948" s="91" t="s">
        <v>361</v>
      </c>
      <c r="P948" s="88">
        <v>4</v>
      </c>
      <c r="Q948" s="60" t="s">
        <v>472</v>
      </c>
      <c r="Z948" s="100"/>
    </row>
    <row r="949" spans="1:26" x14ac:dyDescent="0.25">
      <c r="A949" s="99">
        <v>45536</v>
      </c>
      <c r="B949" s="74">
        <v>45536</v>
      </c>
      <c r="C949" s="60" t="s">
        <v>31</v>
      </c>
      <c r="D949" s="60" t="s">
        <v>126</v>
      </c>
      <c r="E949" s="62" t="s">
        <v>1165</v>
      </c>
      <c r="F949" s="60" t="s">
        <v>1125</v>
      </c>
      <c r="G949" s="72" t="s">
        <v>142</v>
      </c>
      <c r="H949" s="83">
        <v>0.45833333333333331</v>
      </c>
      <c r="I949" s="83">
        <v>0.5</v>
      </c>
      <c r="J949" s="63">
        <f t="shared" si="142"/>
        <v>4.1666666666666685E-2</v>
      </c>
      <c r="K949" s="88" t="s">
        <v>110</v>
      </c>
      <c r="L949" s="135">
        <f t="shared" si="143"/>
        <v>1.0000000000000004</v>
      </c>
      <c r="O949" s="91" t="s">
        <v>361</v>
      </c>
      <c r="P949" s="88">
        <v>5</v>
      </c>
      <c r="Z949" s="100"/>
    </row>
    <row r="950" spans="1:26" x14ac:dyDescent="0.25">
      <c r="A950" s="99">
        <v>45536</v>
      </c>
      <c r="B950" s="74">
        <v>45536</v>
      </c>
      <c r="C950" s="60" t="s">
        <v>31</v>
      </c>
      <c r="D950" s="60" t="s">
        <v>313</v>
      </c>
      <c r="E950" s="115" t="s">
        <v>350</v>
      </c>
      <c r="F950" s="60" t="s">
        <v>1164</v>
      </c>
      <c r="G950" s="72" t="s">
        <v>142</v>
      </c>
      <c r="H950" s="83">
        <v>0.58333333333333337</v>
      </c>
      <c r="I950" s="83">
        <v>0.625</v>
      </c>
      <c r="J950" s="63">
        <f t="shared" si="142"/>
        <v>4.166666666666663E-2</v>
      </c>
      <c r="K950" s="88" t="s">
        <v>110</v>
      </c>
      <c r="L950" s="135">
        <f t="shared" ref="L950:L952" si="145">24*J950</f>
        <v>0.99999999999999911</v>
      </c>
      <c r="O950" s="91" t="s">
        <v>361</v>
      </c>
      <c r="P950" s="88">
        <v>5</v>
      </c>
      <c r="Z950" s="100"/>
    </row>
    <row r="951" spans="1:26" x14ac:dyDescent="0.25">
      <c r="A951" s="99">
        <v>45536</v>
      </c>
      <c r="B951" s="74">
        <v>45537</v>
      </c>
      <c r="C951" s="60" t="s">
        <v>45</v>
      </c>
      <c r="D951" s="60" t="s">
        <v>98</v>
      </c>
      <c r="E951" s="62" t="s">
        <v>505</v>
      </c>
      <c r="F951" s="73" t="s">
        <v>485</v>
      </c>
      <c r="G951" s="72" t="s">
        <v>142</v>
      </c>
      <c r="H951" s="83">
        <v>0.41666666666666669</v>
      </c>
      <c r="I951" s="83">
        <v>0.5</v>
      </c>
      <c r="J951" s="63">
        <f t="shared" si="142"/>
        <v>8.3333333333333315E-2</v>
      </c>
      <c r="K951" s="88" t="s">
        <v>365</v>
      </c>
      <c r="L951" s="135">
        <f t="shared" si="145"/>
        <v>1.9999999999999996</v>
      </c>
      <c r="O951" s="91" t="s">
        <v>576</v>
      </c>
      <c r="P951" s="88">
        <v>5</v>
      </c>
      <c r="Z951" s="100"/>
    </row>
    <row r="952" spans="1:26" x14ac:dyDescent="0.25">
      <c r="A952" s="99">
        <v>45536</v>
      </c>
      <c r="B952" s="74">
        <v>45537</v>
      </c>
      <c r="C952" s="60" t="s">
        <v>45</v>
      </c>
      <c r="D952" s="60" t="s">
        <v>98</v>
      </c>
      <c r="E952" s="115" t="s">
        <v>1138</v>
      </c>
      <c r="F952" s="60" t="s">
        <v>1153</v>
      </c>
      <c r="G952" s="72" t="s">
        <v>142</v>
      </c>
      <c r="H952" s="83">
        <v>0.52083333333333337</v>
      </c>
      <c r="I952" s="83">
        <v>0.5625</v>
      </c>
      <c r="J952" s="63">
        <f t="shared" si="142"/>
        <v>4.166666666666663E-2</v>
      </c>
      <c r="K952" s="88" t="s">
        <v>365</v>
      </c>
      <c r="L952" s="135">
        <f t="shared" si="145"/>
        <v>0.99999999999999911</v>
      </c>
      <c r="O952" s="91" t="s">
        <v>314</v>
      </c>
      <c r="P952" s="88">
        <v>5</v>
      </c>
      <c r="Z952" s="100"/>
    </row>
    <row r="953" spans="1:26" x14ac:dyDescent="0.25">
      <c r="A953" s="99">
        <v>45536</v>
      </c>
      <c r="B953" s="74">
        <v>45538</v>
      </c>
      <c r="C953" s="60" t="s">
        <v>106</v>
      </c>
      <c r="D953" s="60" t="s">
        <v>954</v>
      </c>
      <c r="E953" s="115" t="s">
        <v>1166</v>
      </c>
      <c r="F953" s="60" t="s">
        <v>1167</v>
      </c>
      <c r="G953" s="72" t="s">
        <v>142</v>
      </c>
      <c r="H953" s="83">
        <v>0.54166666666666663</v>
      </c>
      <c r="I953" s="83">
        <v>0.625</v>
      </c>
      <c r="J953" s="63">
        <f t="shared" ref="J953:J954" si="146">I953-H953</f>
        <v>8.333333333333337E-2</v>
      </c>
      <c r="K953" s="88" t="s">
        <v>365</v>
      </c>
      <c r="L953" s="135">
        <f t="shared" ref="L953:L954" si="147">24*J953</f>
        <v>2.0000000000000009</v>
      </c>
      <c r="O953" s="91" t="s">
        <v>576</v>
      </c>
      <c r="P953" s="88">
        <v>5</v>
      </c>
      <c r="Z953" s="100"/>
    </row>
    <row r="954" spans="1:26" x14ac:dyDescent="0.25">
      <c r="A954" s="99">
        <v>45536</v>
      </c>
      <c r="B954" s="74">
        <v>45538</v>
      </c>
      <c r="C954" s="60" t="s">
        <v>106</v>
      </c>
      <c r="D954" s="60" t="s">
        <v>481</v>
      </c>
      <c r="E954" s="115" t="s">
        <v>711</v>
      </c>
      <c r="F954" s="60" t="s">
        <v>1168</v>
      </c>
      <c r="G954" s="72" t="s">
        <v>142</v>
      </c>
      <c r="H954" s="83">
        <v>0.41666666666666669</v>
      </c>
      <c r="I954" s="83">
        <v>0.625</v>
      </c>
      <c r="J954" s="63">
        <f t="shared" si="146"/>
        <v>0.20833333333333331</v>
      </c>
      <c r="K954" s="88" t="s">
        <v>113</v>
      </c>
      <c r="L954" s="135">
        <f t="shared" si="147"/>
        <v>5</v>
      </c>
      <c r="O954" s="91" t="s">
        <v>539</v>
      </c>
      <c r="P954" s="88">
        <v>5</v>
      </c>
      <c r="Q954" s="60"/>
      <c r="Z954" s="100"/>
    </row>
    <row r="955" spans="1:26" x14ac:dyDescent="0.25">
      <c r="A955" s="99">
        <v>45536</v>
      </c>
      <c r="B955" s="74">
        <v>45538</v>
      </c>
      <c r="C955" s="60" t="s">
        <v>106</v>
      </c>
      <c r="D955" s="60" t="s">
        <v>406</v>
      </c>
      <c r="E955" s="115" t="s">
        <v>1052</v>
      </c>
      <c r="F955" s="60" t="s">
        <v>1169</v>
      </c>
      <c r="G955" s="72" t="s">
        <v>142</v>
      </c>
      <c r="H955" s="83">
        <v>0.58333333333333337</v>
      </c>
      <c r="I955" s="83">
        <v>0.75</v>
      </c>
      <c r="J955" s="63">
        <f t="shared" ref="J955:J957" si="148">I955-H955</f>
        <v>0.16666666666666663</v>
      </c>
      <c r="K955" s="88" t="s">
        <v>113</v>
      </c>
      <c r="L955" s="135">
        <f t="shared" ref="L955:L957" si="149">24*J955</f>
        <v>3.9999999999999991</v>
      </c>
      <c r="O955" s="91" t="s">
        <v>539</v>
      </c>
      <c r="P955" s="88">
        <v>5</v>
      </c>
      <c r="Q955" s="60"/>
      <c r="Z955" s="100"/>
    </row>
    <row r="956" spans="1:26" x14ac:dyDescent="0.25">
      <c r="A956" s="99">
        <v>45536</v>
      </c>
      <c r="B956" s="74">
        <v>45539</v>
      </c>
      <c r="C956" s="60" t="s">
        <v>398</v>
      </c>
      <c r="D956" s="60" t="s">
        <v>98</v>
      </c>
      <c r="E956" s="115" t="s">
        <v>1138</v>
      </c>
      <c r="F956" s="60" t="s">
        <v>1171</v>
      </c>
      <c r="G956" s="72" t="s">
        <v>142</v>
      </c>
      <c r="H956" s="83">
        <v>0.9375</v>
      </c>
      <c r="I956" s="83">
        <v>0.95833333333333337</v>
      </c>
      <c r="J956" s="63">
        <f t="shared" si="148"/>
        <v>2.083333333333337E-2</v>
      </c>
      <c r="K956" s="88" t="s">
        <v>365</v>
      </c>
      <c r="L956" s="135">
        <f t="shared" si="149"/>
        <v>0.50000000000000089</v>
      </c>
      <c r="O956" s="91" t="s">
        <v>821</v>
      </c>
      <c r="P956" s="88">
        <v>5</v>
      </c>
      <c r="Z956" s="100"/>
    </row>
    <row r="957" spans="1:26" x14ac:dyDescent="0.25">
      <c r="A957" s="99">
        <v>45536</v>
      </c>
      <c r="B957" s="74">
        <v>45539</v>
      </c>
      <c r="C957" s="60" t="s">
        <v>398</v>
      </c>
      <c r="D957" s="60" t="s">
        <v>1180</v>
      </c>
      <c r="E957" s="62" t="s">
        <v>1176</v>
      </c>
      <c r="F957" s="60" t="s">
        <v>1177</v>
      </c>
      <c r="G957" s="72" t="s">
        <v>142</v>
      </c>
      <c r="H957" s="83">
        <v>0.5</v>
      </c>
      <c r="I957" s="83">
        <v>0.66666666666666663</v>
      </c>
      <c r="J957" s="63">
        <f t="shared" si="148"/>
        <v>0.16666666666666663</v>
      </c>
      <c r="K957" s="88" t="s">
        <v>300</v>
      </c>
      <c r="L957" s="135">
        <f t="shared" si="149"/>
        <v>3.9999999999999991</v>
      </c>
      <c r="O957" s="91" t="s">
        <v>362</v>
      </c>
      <c r="P957" s="88">
        <v>5</v>
      </c>
      <c r="Z957" s="100"/>
    </row>
    <row r="958" spans="1:26" x14ac:dyDescent="0.25">
      <c r="A958" s="99">
        <v>45536</v>
      </c>
      <c r="B958" s="74">
        <v>45539</v>
      </c>
      <c r="C958" s="60" t="s">
        <v>398</v>
      </c>
      <c r="D958" s="60" t="s">
        <v>98</v>
      </c>
      <c r="E958" s="115" t="s">
        <v>1138</v>
      </c>
      <c r="F958" s="60" t="s">
        <v>1170</v>
      </c>
      <c r="G958" s="72" t="s">
        <v>142</v>
      </c>
      <c r="H958" s="83">
        <v>0.47916666666666669</v>
      </c>
      <c r="I958" s="83">
        <v>0.54166666666666663</v>
      </c>
      <c r="J958" s="63">
        <f t="shared" ref="J958:J959" si="150">I958-H958</f>
        <v>6.2499999999999944E-2</v>
      </c>
      <c r="K958" s="88" t="s">
        <v>365</v>
      </c>
      <c r="L958" s="135">
        <f t="shared" ref="L958:L959" si="151">24*J958</f>
        <v>1.4999999999999987</v>
      </c>
      <c r="O958" s="91" t="s">
        <v>576</v>
      </c>
      <c r="P958" s="88">
        <v>5</v>
      </c>
      <c r="Z958" s="100"/>
    </row>
    <row r="959" spans="1:26" x14ac:dyDescent="0.25">
      <c r="A959" s="99">
        <v>45536</v>
      </c>
      <c r="B959" s="74">
        <v>45539</v>
      </c>
      <c r="C959" s="60" t="s">
        <v>398</v>
      </c>
      <c r="D959" s="60" t="s">
        <v>32</v>
      </c>
      <c r="E959" s="115" t="s">
        <v>1172</v>
      </c>
      <c r="F959" s="60" t="s">
        <v>1133</v>
      </c>
      <c r="G959" s="72" t="s">
        <v>142</v>
      </c>
      <c r="H959" s="83">
        <v>0.41666666666666669</v>
      </c>
      <c r="I959" s="83">
        <v>0.45833333333333331</v>
      </c>
      <c r="J959" s="63">
        <f t="shared" si="150"/>
        <v>4.166666666666663E-2</v>
      </c>
      <c r="K959" s="88" t="s">
        <v>110</v>
      </c>
      <c r="L959" s="135">
        <f t="shared" si="151"/>
        <v>0.99999999999999911</v>
      </c>
      <c r="O959" s="91" t="s">
        <v>314</v>
      </c>
      <c r="P959" s="88">
        <v>5</v>
      </c>
      <c r="Z959" s="100"/>
    </row>
    <row r="960" spans="1:26" x14ac:dyDescent="0.25">
      <c r="A960" s="99">
        <v>45536</v>
      </c>
      <c r="B960" s="74">
        <v>45540</v>
      </c>
      <c r="C960" s="60" t="s">
        <v>124</v>
      </c>
      <c r="D960" s="60" t="s">
        <v>1060</v>
      </c>
      <c r="E960" s="115" t="s">
        <v>1050</v>
      </c>
      <c r="F960" s="60" t="s">
        <v>618</v>
      </c>
      <c r="G960" s="72" t="s">
        <v>142</v>
      </c>
      <c r="H960" s="83">
        <v>0.47916666666666669</v>
      </c>
      <c r="I960" s="83">
        <v>0.58333333333333337</v>
      </c>
      <c r="J960" s="63">
        <f t="shared" ref="J960:J961" si="152">I960-H960</f>
        <v>0.10416666666666669</v>
      </c>
      <c r="K960" s="88" t="s">
        <v>365</v>
      </c>
      <c r="L960" s="135">
        <f t="shared" ref="L960:L961" si="153">24*J960</f>
        <v>2.5000000000000004</v>
      </c>
      <c r="O960" s="91" t="s">
        <v>576</v>
      </c>
      <c r="P960" s="88">
        <v>5</v>
      </c>
      <c r="Z960" s="100"/>
    </row>
    <row r="961" spans="1:26" x14ac:dyDescent="0.25">
      <c r="A961" s="99">
        <v>45536</v>
      </c>
      <c r="B961" s="74">
        <v>45540</v>
      </c>
      <c r="C961" s="60" t="s">
        <v>124</v>
      </c>
      <c r="D961" s="60" t="s">
        <v>98</v>
      </c>
      <c r="E961" s="62" t="s">
        <v>1178</v>
      </c>
      <c r="F961" s="60" t="s">
        <v>1179</v>
      </c>
      <c r="G961" s="72" t="s">
        <v>142</v>
      </c>
      <c r="H961" s="83">
        <v>0.47916666666666669</v>
      </c>
      <c r="I961" s="83">
        <v>0.625</v>
      </c>
      <c r="J961" s="63">
        <f t="shared" si="152"/>
        <v>0.14583333333333331</v>
      </c>
      <c r="K961" s="88" t="s">
        <v>300</v>
      </c>
      <c r="L961" s="135">
        <f t="shared" si="153"/>
        <v>3.4999999999999996</v>
      </c>
      <c r="O961" s="91" t="s">
        <v>362</v>
      </c>
      <c r="P961" s="88">
        <v>5</v>
      </c>
      <c r="Z961" s="100"/>
    </row>
    <row r="962" spans="1:26" x14ac:dyDescent="0.25">
      <c r="A962" s="99">
        <v>45536</v>
      </c>
      <c r="B962" s="74">
        <v>45540</v>
      </c>
      <c r="C962" s="60" t="s">
        <v>124</v>
      </c>
      <c r="D962" s="60" t="s">
        <v>98</v>
      </c>
      <c r="E962" s="115" t="s">
        <v>1050</v>
      </c>
      <c r="F962" s="60" t="s">
        <v>618</v>
      </c>
      <c r="G962" s="72" t="s">
        <v>142</v>
      </c>
      <c r="H962" s="83">
        <v>0.47916666666666669</v>
      </c>
      <c r="I962" s="83">
        <v>0.54166666666666663</v>
      </c>
      <c r="J962" s="63">
        <f t="shared" ref="J962:J963" si="154">I962-H962</f>
        <v>6.2499999999999944E-2</v>
      </c>
      <c r="K962" s="88" t="s">
        <v>365</v>
      </c>
      <c r="L962" s="135">
        <f t="shared" ref="L962:L963" si="155">24*J962</f>
        <v>1.4999999999999987</v>
      </c>
      <c r="O962" s="91" t="s">
        <v>576</v>
      </c>
      <c r="P962" s="88">
        <v>5</v>
      </c>
      <c r="Z962" s="100"/>
    </row>
    <row r="963" spans="1:26" x14ac:dyDescent="0.25">
      <c r="A963" s="99">
        <v>45536</v>
      </c>
      <c r="B963" s="74">
        <v>45540</v>
      </c>
      <c r="C963" s="60" t="s">
        <v>124</v>
      </c>
      <c r="D963" s="60" t="s">
        <v>126</v>
      </c>
      <c r="E963" s="62" t="s">
        <v>1173</v>
      </c>
      <c r="F963" s="60" t="s">
        <v>1174</v>
      </c>
      <c r="G963" s="72" t="s">
        <v>142</v>
      </c>
      <c r="H963" s="83">
        <v>0.41666666666666669</v>
      </c>
      <c r="I963" s="83">
        <v>0.5</v>
      </c>
      <c r="J963" s="63">
        <f t="shared" si="154"/>
        <v>8.3333333333333315E-2</v>
      </c>
      <c r="K963" s="88" t="s">
        <v>365</v>
      </c>
      <c r="L963" s="135">
        <f t="shared" si="155"/>
        <v>1.9999999999999996</v>
      </c>
      <c r="O963" s="91" t="s">
        <v>363</v>
      </c>
      <c r="P963" s="88">
        <v>5</v>
      </c>
      <c r="Z963" s="100"/>
    </row>
    <row r="964" spans="1:26" x14ac:dyDescent="0.25">
      <c r="A964" s="99">
        <v>45536</v>
      </c>
      <c r="B964" s="74">
        <v>45541</v>
      </c>
      <c r="C964" s="60" t="s">
        <v>33</v>
      </c>
      <c r="D964" s="60" t="s">
        <v>931</v>
      </c>
      <c r="E964" s="62" t="s">
        <v>1175</v>
      </c>
      <c r="F964" s="60" t="s">
        <v>837</v>
      </c>
      <c r="G964" s="72" t="s">
        <v>142</v>
      </c>
      <c r="H964" s="83">
        <v>0.375</v>
      </c>
      <c r="I964" s="83">
        <v>0.66666666666666663</v>
      </c>
      <c r="J964" s="63">
        <f t="shared" ref="J964:J965" si="156">I964-H964</f>
        <v>0.29166666666666663</v>
      </c>
      <c r="K964" s="88" t="s">
        <v>300</v>
      </c>
      <c r="L964" s="135">
        <f t="shared" ref="L964:L965" si="157">24*J964</f>
        <v>6.9999999999999991</v>
      </c>
      <c r="O964" s="91" t="s">
        <v>362</v>
      </c>
      <c r="P964" s="88">
        <v>5</v>
      </c>
      <c r="Z964" s="100"/>
    </row>
    <row r="965" spans="1:26" x14ac:dyDescent="0.25">
      <c r="A965" s="99">
        <v>45536</v>
      </c>
      <c r="B965" s="74">
        <v>45542</v>
      </c>
      <c r="C965" s="60" t="s">
        <v>34</v>
      </c>
      <c r="D965" s="60" t="s">
        <v>481</v>
      </c>
      <c r="E965" s="115" t="s">
        <v>711</v>
      </c>
      <c r="F965" s="60" t="s">
        <v>1181</v>
      </c>
      <c r="G965" s="72" t="s">
        <v>142</v>
      </c>
      <c r="H965" s="83">
        <v>0.45833333333333331</v>
      </c>
      <c r="I965" s="83">
        <v>0.70833333333333337</v>
      </c>
      <c r="J965" s="63">
        <f t="shared" si="156"/>
        <v>0.25000000000000006</v>
      </c>
      <c r="K965" s="88" t="s">
        <v>113</v>
      </c>
      <c r="L965" s="135">
        <f t="shared" si="157"/>
        <v>6.0000000000000018</v>
      </c>
      <c r="O965" s="91" t="s">
        <v>361</v>
      </c>
      <c r="P965" s="88">
        <v>5</v>
      </c>
      <c r="Q965" s="60"/>
      <c r="Z965" s="100"/>
    </row>
    <row r="966" spans="1:26" x14ac:dyDescent="0.25">
      <c r="A966" s="99">
        <v>45536</v>
      </c>
      <c r="B966" s="74">
        <v>45543</v>
      </c>
      <c r="C966" s="60" t="s">
        <v>31</v>
      </c>
      <c r="D966" s="60" t="s">
        <v>830</v>
      </c>
      <c r="E966" s="115" t="s">
        <v>1182</v>
      </c>
      <c r="F966" s="60" t="s">
        <v>1183</v>
      </c>
      <c r="G966" s="72" t="s">
        <v>142</v>
      </c>
      <c r="H966" s="83">
        <v>0.45833333333333331</v>
      </c>
      <c r="I966" s="83">
        <v>0.5</v>
      </c>
      <c r="J966" s="63">
        <f t="shared" ref="J966:J969" si="158">I966-H966</f>
        <v>4.1666666666666685E-2</v>
      </c>
      <c r="K966" s="88" t="s">
        <v>365</v>
      </c>
      <c r="L966" s="135">
        <f t="shared" ref="L966:L969" si="159">24*J966</f>
        <v>1.0000000000000004</v>
      </c>
      <c r="O966" s="91" t="s">
        <v>820</v>
      </c>
      <c r="P966" s="88">
        <v>5</v>
      </c>
      <c r="Q966" s="60"/>
      <c r="Z966" s="100"/>
    </row>
    <row r="967" spans="1:26" x14ac:dyDescent="0.25">
      <c r="A967" s="99">
        <v>45536</v>
      </c>
      <c r="B967" s="74">
        <v>45543</v>
      </c>
      <c r="C967" s="60" t="s">
        <v>31</v>
      </c>
      <c r="D967" s="60" t="s">
        <v>98</v>
      </c>
      <c r="E967" s="115" t="s">
        <v>1138</v>
      </c>
      <c r="F967" s="60" t="s">
        <v>1184</v>
      </c>
      <c r="G967" s="72" t="s">
        <v>142</v>
      </c>
      <c r="H967" s="83">
        <v>0.47916666666666669</v>
      </c>
      <c r="I967" s="83">
        <v>0.5</v>
      </c>
      <c r="J967" s="63">
        <f t="shared" si="158"/>
        <v>2.0833333333333315E-2</v>
      </c>
      <c r="K967" s="88" t="s">
        <v>365</v>
      </c>
      <c r="L967" s="135">
        <f t="shared" si="159"/>
        <v>0.49999999999999956</v>
      </c>
      <c r="O967" s="91" t="s">
        <v>360</v>
      </c>
      <c r="P967" s="88">
        <v>5</v>
      </c>
      <c r="Z967" s="100"/>
    </row>
    <row r="968" spans="1:26" x14ac:dyDescent="0.25">
      <c r="A968" s="99">
        <v>45536</v>
      </c>
      <c r="B968" s="74">
        <v>45543</v>
      </c>
      <c r="C968" s="60" t="s">
        <v>31</v>
      </c>
      <c r="D968" s="60" t="s">
        <v>406</v>
      </c>
      <c r="E968" s="115" t="s">
        <v>1096</v>
      </c>
      <c r="F968" s="60" t="s">
        <v>1097</v>
      </c>
      <c r="G968" s="72" t="s">
        <v>142</v>
      </c>
      <c r="H968" s="83">
        <v>0.5625</v>
      </c>
      <c r="I968" s="83">
        <v>0.70833333333333337</v>
      </c>
      <c r="J968" s="63">
        <f t="shared" si="158"/>
        <v>0.14583333333333337</v>
      </c>
      <c r="K968" s="88" t="s">
        <v>365</v>
      </c>
      <c r="L968" s="135">
        <f t="shared" si="159"/>
        <v>3.5000000000000009</v>
      </c>
      <c r="O968" s="91" t="s">
        <v>314</v>
      </c>
      <c r="P968" s="88">
        <v>5</v>
      </c>
      <c r="Z968" s="100"/>
    </row>
    <row r="969" spans="1:26" x14ac:dyDescent="0.25">
      <c r="A969" s="99">
        <v>45536</v>
      </c>
      <c r="B969" s="74">
        <v>45543</v>
      </c>
      <c r="C969" s="60" t="s">
        <v>31</v>
      </c>
      <c r="D969" s="60" t="s">
        <v>126</v>
      </c>
      <c r="E969" s="88" t="s">
        <v>497</v>
      </c>
      <c r="F969" s="60" t="s">
        <v>1185</v>
      </c>
      <c r="G969" s="72" t="s">
        <v>142</v>
      </c>
      <c r="H969" s="83">
        <v>0.52083333333333337</v>
      </c>
      <c r="I969" s="83">
        <v>0.625</v>
      </c>
      <c r="J969" s="63">
        <f t="shared" si="158"/>
        <v>0.10416666666666663</v>
      </c>
      <c r="K969" s="88" t="s">
        <v>365</v>
      </c>
      <c r="L969" s="135">
        <f t="shared" si="159"/>
        <v>2.4999999999999991</v>
      </c>
      <c r="O969" s="91" t="s">
        <v>314</v>
      </c>
      <c r="P969" s="88">
        <v>5</v>
      </c>
      <c r="Z969" s="100"/>
    </row>
    <row r="970" spans="1:26" x14ac:dyDescent="0.25">
      <c r="A970" s="99">
        <v>45536</v>
      </c>
      <c r="B970" s="74">
        <v>45543</v>
      </c>
      <c r="C970" s="60" t="s">
        <v>31</v>
      </c>
      <c r="D970" s="60" t="s">
        <v>740</v>
      </c>
      <c r="E970" s="88" t="s">
        <v>1186</v>
      </c>
      <c r="F970" s="60" t="s">
        <v>1187</v>
      </c>
      <c r="G970" s="72" t="s">
        <v>142</v>
      </c>
      <c r="H970" s="83">
        <v>0.66666666666666663</v>
      </c>
      <c r="I970" s="83">
        <v>0.6875</v>
      </c>
      <c r="J970" s="63">
        <f t="shared" ref="J970:J972" si="160">I970-H970</f>
        <v>2.083333333333337E-2</v>
      </c>
      <c r="K970" s="88" t="s">
        <v>365</v>
      </c>
      <c r="L970" s="135">
        <f t="shared" ref="L970" si="161">24*J970</f>
        <v>0.50000000000000089</v>
      </c>
      <c r="O970" s="91" t="s">
        <v>360</v>
      </c>
      <c r="P970" s="88">
        <v>5</v>
      </c>
      <c r="Z970" s="100"/>
    </row>
    <row r="971" spans="1:26" x14ac:dyDescent="0.25">
      <c r="A971" s="99">
        <v>45536</v>
      </c>
      <c r="B971" s="74">
        <v>45543</v>
      </c>
      <c r="C971" s="60" t="s">
        <v>31</v>
      </c>
      <c r="D971" s="60" t="s">
        <v>98</v>
      </c>
      <c r="E971" s="115" t="s">
        <v>522</v>
      </c>
      <c r="F971" s="60" t="s">
        <v>1188</v>
      </c>
      <c r="G971" s="72" t="s">
        <v>142</v>
      </c>
      <c r="H971" s="83">
        <v>0.39583333333333331</v>
      </c>
      <c r="I971" s="83">
        <v>0.66666666666666663</v>
      </c>
      <c r="J971" s="63">
        <f t="shared" si="160"/>
        <v>0.27083333333333331</v>
      </c>
      <c r="K971" s="88" t="s">
        <v>365</v>
      </c>
      <c r="L971" s="135">
        <f>24*J972</f>
        <v>1.5</v>
      </c>
      <c r="O971" s="91" t="s">
        <v>359</v>
      </c>
      <c r="P971" s="88">
        <v>5</v>
      </c>
      <c r="Z971" s="100"/>
    </row>
    <row r="972" spans="1:26" x14ac:dyDescent="0.25">
      <c r="A972" s="99">
        <v>45536</v>
      </c>
      <c r="B972" s="74">
        <v>45544</v>
      </c>
      <c r="C972" s="60" t="s">
        <v>45</v>
      </c>
      <c r="D972" s="60" t="s">
        <v>98</v>
      </c>
      <c r="E972" s="115" t="s">
        <v>1138</v>
      </c>
      <c r="F972" s="60" t="s">
        <v>1189</v>
      </c>
      <c r="G972" s="72" t="s">
        <v>142</v>
      </c>
      <c r="H972" s="83">
        <v>0.625</v>
      </c>
      <c r="I972" s="83">
        <v>0.6875</v>
      </c>
      <c r="J972" s="63">
        <f t="shared" si="160"/>
        <v>6.25E-2</v>
      </c>
      <c r="K972" s="88" t="s">
        <v>113</v>
      </c>
      <c r="L972" s="135">
        <v>1.5</v>
      </c>
      <c r="O972" s="91" t="s">
        <v>539</v>
      </c>
      <c r="P972" s="88">
        <v>5</v>
      </c>
      <c r="Z972" s="100"/>
    </row>
    <row r="973" spans="1:26" x14ac:dyDescent="0.25">
      <c r="A973" s="99">
        <v>45536</v>
      </c>
      <c r="B973" s="74">
        <v>45544</v>
      </c>
      <c r="C973" s="60" t="s">
        <v>45</v>
      </c>
      <c r="D973" s="60" t="s">
        <v>1198</v>
      </c>
      <c r="E973" s="115" t="s">
        <v>1190</v>
      </c>
      <c r="F973" s="60" t="s">
        <v>1191</v>
      </c>
      <c r="G973" s="72" t="s">
        <v>142</v>
      </c>
      <c r="H973" s="83">
        <v>0</v>
      </c>
      <c r="I973" s="83">
        <v>0.625</v>
      </c>
      <c r="J973" s="63">
        <f t="shared" ref="J973" si="162">I973-H973</f>
        <v>0.625</v>
      </c>
      <c r="K973" s="88" t="s">
        <v>365</v>
      </c>
      <c r="L973" s="135">
        <v>1.5</v>
      </c>
      <c r="O973" s="91" t="s">
        <v>363</v>
      </c>
      <c r="P973" s="88">
        <v>5</v>
      </c>
      <c r="Z973" s="100"/>
    </row>
    <row r="974" spans="1:26" x14ac:dyDescent="0.25">
      <c r="A974" s="99">
        <v>45536</v>
      </c>
      <c r="B974" s="74">
        <v>45544</v>
      </c>
      <c r="C974" s="60" t="s">
        <v>45</v>
      </c>
      <c r="D974" s="60" t="s">
        <v>98</v>
      </c>
      <c r="E974" s="115" t="s">
        <v>1193</v>
      </c>
      <c r="F974" s="60" t="s">
        <v>1192</v>
      </c>
      <c r="G974" s="72" t="s">
        <v>142</v>
      </c>
      <c r="H974" s="83">
        <v>0.45833333333333331</v>
      </c>
      <c r="I974" s="83">
        <v>0.52083333333333337</v>
      </c>
      <c r="J974" s="63">
        <f t="shared" ref="J974:J975" si="163">I974-H974</f>
        <v>6.2500000000000056E-2</v>
      </c>
      <c r="K974" s="88" t="s">
        <v>113</v>
      </c>
      <c r="L974" s="135">
        <v>1.5</v>
      </c>
      <c r="O974" s="91" t="s">
        <v>539</v>
      </c>
      <c r="P974" s="88">
        <v>5</v>
      </c>
      <c r="Z974" s="100"/>
    </row>
    <row r="975" spans="1:26" x14ac:dyDescent="0.25">
      <c r="A975" s="99">
        <v>45536</v>
      </c>
      <c r="B975" s="74">
        <v>45545</v>
      </c>
      <c r="C975" s="60" t="s">
        <v>106</v>
      </c>
      <c r="D975" s="60" t="s">
        <v>740</v>
      </c>
      <c r="E975" s="88" t="s">
        <v>1194</v>
      </c>
      <c r="F975" s="60" t="s">
        <v>1105</v>
      </c>
      <c r="G975" s="72" t="s">
        <v>142</v>
      </c>
      <c r="H975" s="83">
        <v>0.41666666666666669</v>
      </c>
      <c r="I975" s="83">
        <v>0.66666666666666663</v>
      </c>
      <c r="J975" s="63">
        <f t="shared" si="163"/>
        <v>0.24999999999999994</v>
      </c>
      <c r="K975" s="88" t="s">
        <v>365</v>
      </c>
      <c r="L975" s="135">
        <f t="shared" ref="L975" si="164">24*J975</f>
        <v>5.9999999999999982</v>
      </c>
      <c r="O975" s="91" t="s">
        <v>363</v>
      </c>
      <c r="P975" s="88">
        <v>5</v>
      </c>
      <c r="Z975" s="100"/>
    </row>
    <row r="976" spans="1:26" x14ac:dyDescent="0.25">
      <c r="A976" s="99">
        <v>45536</v>
      </c>
      <c r="B976" s="74">
        <v>45545</v>
      </c>
      <c r="C976" s="60" t="s">
        <v>106</v>
      </c>
      <c r="D976" s="60" t="s">
        <v>311</v>
      </c>
      <c r="E976" s="88" t="s">
        <v>861</v>
      </c>
      <c r="F976" s="60" t="s">
        <v>1195</v>
      </c>
      <c r="G976" s="72" t="s">
        <v>142</v>
      </c>
      <c r="H976" s="83">
        <v>0.58333333333333337</v>
      </c>
      <c r="I976" s="83">
        <v>0.66666666666666663</v>
      </c>
      <c r="J976" s="63">
        <f t="shared" ref="J976" si="165">I976-H976</f>
        <v>8.3333333333333259E-2</v>
      </c>
      <c r="K976" s="88" t="s">
        <v>365</v>
      </c>
      <c r="L976" s="135">
        <f t="shared" ref="L976" si="166">24*J976</f>
        <v>1.9999999999999982</v>
      </c>
      <c r="O976" s="91" t="s">
        <v>314</v>
      </c>
      <c r="P976" s="88">
        <v>5</v>
      </c>
      <c r="Z976" s="100"/>
    </row>
    <row r="977" spans="1:26" x14ac:dyDescent="0.25">
      <c r="A977" s="99">
        <v>45536</v>
      </c>
      <c r="B977" s="74">
        <v>45545</v>
      </c>
      <c r="C977" s="60" t="s">
        <v>106</v>
      </c>
      <c r="D977" s="60" t="s">
        <v>1198</v>
      </c>
      <c r="E977" s="88" t="s">
        <v>1196</v>
      </c>
      <c r="F977" s="60" t="s">
        <v>1197</v>
      </c>
      <c r="G977" s="72" t="s">
        <v>142</v>
      </c>
      <c r="H977" s="83">
        <v>0.625</v>
      </c>
      <c r="I977" s="83">
        <v>0.66666666666666663</v>
      </c>
      <c r="J977" s="63">
        <f t="shared" ref="J977:J978" si="167">I977-H977</f>
        <v>4.166666666666663E-2</v>
      </c>
      <c r="K977" s="88" t="s">
        <v>365</v>
      </c>
      <c r="L977" s="135">
        <f t="shared" ref="L977:L978" si="168">24*J977</f>
        <v>0.99999999999999911</v>
      </c>
      <c r="O977" s="91" t="s">
        <v>314</v>
      </c>
      <c r="P977" s="88">
        <v>5</v>
      </c>
      <c r="Z977" s="100"/>
    </row>
    <row r="978" spans="1:26" x14ac:dyDescent="0.25">
      <c r="A978" s="99">
        <v>45536</v>
      </c>
      <c r="B978" s="74">
        <v>45546</v>
      </c>
      <c r="C978" s="60" t="s">
        <v>398</v>
      </c>
      <c r="D978" s="60" t="s">
        <v>86</v>
      </c>
      <c r="E978" s="115" t="s">
        <v>1046</v>
      </c>
      <c r="F978" s="60" t="s">
        <v>1199</v>
      </c>
      <c r="G978" s="72" t="s">
        <v>142</v>
      </c>
      <c r="H978" s="83">
        <v>0.375</v>
      </c>
      <c r="I978" s="83">
        <v>0.58333333333333337</v>
      </c>
      <c r="J978" s="63">
        <f t="shared" si="167"/>
        <v>0.20833333333333337</v>
      </c>
      <c r="K978" s="88" t="s">
        <v>110</v>
      </c>
      <c r="L978" s="135">
        <f t="shared" si="168"/>
        <v>5.0000000000000009</v>
      </c>
      <c r="O978" s="91" t="s">
        <v>361</v>
      </c>
      <c r="P978" s="88">
        <v>5</v>
      </c>
      <c r="Q978" s="60" t="s">
        <v>279</v>
      </c>
      <c r="Z978" s="100"/>
    </row>
    <row r="979" spans="1:26" x14ac:dyDescent="0.25">
      <c r="A979" s="99">
        <v>45536</v>
      </c>
      <c r="B979" s="74">
        <v>45546</v>
      </c>
      <c r="C979" s="60" t="s">
        <v>398</v>
      </c>
      <c r="D979" s="60" t="s">
        <v>662</v>
      </c>
      <c r="E979" s="115" t="s">
        <v>1200</v>
      </c>
      <c r="F979" s="60" t="s">
        <v>1201</v>
      </c>
      <c r="G979" s="72" t="s">
        <v>142</v>
      </c>
      <c r="H979" s="83">
        <v>0.45833333333333331</v>
      </c>
      <c r="I979" s="83">
        <v>0.66666666666666663</v>
      </c>
      <c r="J979" s="63">
        <f t="shared" ref="J979:J980" si="169">I979-H979</f>
        <v>0.20833333333333331</v>
      </c>
      <c r="K979" s="88" t="s">
        <v>110</v>
      </c>
      <c r="L979" s="135">
        <f t="shared" ref="L979:L980" si="170">24*J979</f>
        <v>5</v>
      </c>
      <c r="O979" s="91" t="s">
        <v>361</v>
      </c>
      <c r="P979" s="88">
        <v>5</v>
      </c>
      <c r="Q979" s="60" t="s">
        <v>279</v>
      </c>
      <c r="Z979" s="100"/>
    </row>
    <row r="980" spans="1:26" x14ac:dyDescent="0.25">
      <c r="A980" s="99">
        <v>45536</v>
      </c>
      <c r="B980" s="74">
        <v>45547</v>
      </c>
      <c r="C980" s="60" t="s">
        <v>124</v>
      </c>
      <c r="D980" s="60" t="s">
        <v>86</v>
      </c>
      <c r="E980" s="115" t="s">
        <v>1046</v>
      </c>
      <c r="F980" s="60" t="s">
        <v>1199</v>
      </c>
      <c r="G980" s="72" t="s">
        <v>142</v>
      </c>
      <c r="H980" s="83">
        <v>0.45833333333333331</v>
      </c>
      <c r="I980" s="83">
        <v>0.70833333333333337</v>
      </c>
      <c r="J980" s="63">
        <f t="shared" si="169"/>
        <v>0.25000000000000006</v>
      </c>
      <c r="K980" s="88" t="s">
        <v>110</v>
      </c>
      <c r="L980" s="135">
        <f t="shared" si="170"/>
        <v>6.0000000000000018</v>
      </c>
      <c r="O980" s="91" t="s">
        <v>361</v>
      </c>
      <c r="P980" s="88">
        <v>5</v>
      </c>
      <c r="Q980" s="60" t="s">
        <v>279</v>
      </c>
      <c r="Z980" s="100"/>
    </row>
    <row r="981" spans="1:26" x14ac:dyDescent="0.25">
      <c r="A981" s="99">
        <v>45536</v>
      </c>
      <c r="B981" s="74">
        <v>45547</v>
      </c>
      <c r="C981" s="60" t="s">
        <v>124</v>
      </c>
      <c r="D981" s="60" t="s">
        <v>672</v>
      </c>
      <c r="E981" s="115" t="s">
        <v>449</v>
      </c>
      <c r="F981" s="60" t="s">
        <v>1202</v>
      </c>
      <c r="G981" s="72" t="s">
        <v>142</v>
      </c>
      <c r="H981" s="83">
        <v>0.66666666666666663</v>
      </c>
      <c r="I981" s="83">
        <v>0.6875</v>
      </c>
      <c r="J981" s="63">
        <f t="shared" ref="J981" si="171">I981-H981</f>
        <v>2.083333333333337E-2</v>
      </c>
      <c r="K981" s="88" t="s">
        <v>113</v>
      </c>
      <c r="L981" s="135">
        <f t="shared" ref="L981" si="172">24*J981</f>
        <v>0.50000000000000089</v>
      </c>
      <c r="O981" s="91" t="s">
        <v>820</v>
      </c>
      <c r="P981" s="88">
        <v>5</v>
      </c>
      <c r="Q981" s="60" t="s">
        <v>279</v>
      </c>
      <c r="Z981" s="100"/>
    </row>
    <row r="982" spans="1:26" x14ac:dyDescent="0.25">
      <c r="A982" s="99">
        <v>45536</v>
      </c>
      <c r="B982" s="74">
        <v>45547</v>
      </c>
      <c r="C982" s="60" t="s">
        <v>124</v>
      </c>
      <c r="D982" s="60" t="s">
        <v>1060</v>
      </c>
      <c r="E982" s="115" t="s">
        <v>1050</v>
      </c>
      <c r="F982" s="60" t="s">
        <v>485</v>
      </c>
      <c r="G982" s="72" t="s">
        <v>142</v>
      </c>
      <c r="H982" s="83">
        <v>0.4375</v>
      </c>
      <c r="I982" s="83">
        <v>0.54166666666666663</v>
      </c>
      <c r="J982" s="63">
        <f t="shared" ref="J982:J986" si="173">I982-H982</f>
        <v>0.10416666666666663</v>
      </c>
      <c r="K982" s="88" t="s">
        <v>365</v>
      </c>
      <c r="L982" s="135">
        <f t="shared" ref="L982:L986" si="174">24*J982</f>
        <v>2.4999999999999991</v>
      </c>
      <c r="O982" s="91" t="s">
        <v>314</v>
      </c>
      <c r="P982" s="88">
        <v>5</v>
      </c>
      <c r="Q982" s="60" t="s">
        <v>279</v>
      </c>
      <c r="Z982" s="100"/>
    </row>
    <row r="983" spans="1:26" x14ac:dyDescent="0.25">
      <c r="A983" s="99">
        <v>45536</v>
      </c>
      <c r="B983" s="74">
        <v>45549</v>
      </c>
      <c r="C983" s="60" t="s">
        <v>34</v>
      </c>
      <c r="D983" s="60" t="s">
        <v>86</v>
      </c>
      <c r="E983" s="115" t="s">
        <v>1046</v>
      </c>
      <c r="F983" s="60" t="s">
        <v>1203</v>
      </c>
      <c r="G983" s="72" t="s">
        <v>142</v>
      </c>
      <c r="H983" s="83">
        <v>0.41666666666666669</v>
      </c>
      <c r="I983" s="83">
        <v>0.72916666666666663</v>
      </c>
      <c r="J983" s="63">
        <f t="shared" si="173"/>
        <v>0.31249999999999994</v>
      </c>
      <c r="K983" s="88" t="s">
        <v>110</v>
      </c>
      <c r="L983" s="135">
        <f t="shared" si="174"/>
        <v>7.4999999999999982</v>
      </c>
      <c r="O983" s="91" t="s">
        <v>820</v>
      </c>
      <c r="P983" s="88">
        <v>5</v>
      </c>
      <c r="Q983" s="60" t="s">
        <v>279</v>
      </c>
      <c r="Z983" s="100"/>
    </row>
    <row r="984" spans="1:26" x14ac:dyDescent="0.25">
      <c r="A984" s="99">
        <v>45536</v>
      </c>
      <c r="B984" s="74">
        <v>45549</v>
      </c>
      <c r="C984" s="60" t="s">
        <v>34</v>
      </c>
      <c r="D984" s="60" t="s">
        <v>740</v>
      </c>
      <c r="E984" s="88" t="s">
        <v>1204</v>
      </c>
      <c r="F984" s="60" t="s">
        <v>1205</v>
      </c>
      <c r="G984" s="72" t="s">
        <v>142</v>
      </c>
      <c r="H984" s="83">
        <v>0.41666666666666669</v>
      </c>
      <c r="I984" s="83">
        <v>0.72916666666666663</v>
      </c>
      <c r="J984" s="63">
        <f t="shared" si="173"/>
        <v>0.31249999999999994</v>
      </c>
      <c r="K984" s="88" t="s">
        <v>110</v>
      </c>
      <c r="L984" s="135">
        <f t="shared" si="174"/>
        <v>7.4999999999999982</v>
      </c>
      <c r="O984" s="91" t="s">
        <v>820</v>
      </c>
      <c r="P984" s="88">
        <v>5</v>
      </c>
      <c r="Z984" s="100"/>
    </row>
    <row r="985" spans="1:26" x14ac:dyDescent="0.25">
      <c r="A985" s="99">
        <v>45536</v>
      </c>
      <c r="B985" s="74">
        <v>45549</v>
      </c>
      <c r="C985" s="60" t="s">
        <v>34</v>
      </c>
      <c r="D985" s="60" t="s">
        <v>481</v>
      </c>
      <c r="E985" s="115" t="s">
        <v>711</v>
      </c>
      <c r="F985" s="60" t="s">
        <v>1206</v>
      </c>
      <c r="G985" s="72" t="s">
        <v>142</v>
      </c>
      <c r="H985" s="83">
        <v>0.39583333333333331</v>
      </c>
      <c r="I985" s="83">
        <v>0.6875</v>
      </c>
      <c r="J985" s="63">
        <f t="shared" si="173"/>
        <v>0.29166666666666669</v>
      </c>
      <c r="K985" s="88" t="s">
        <v>113</v>
      </c>
      <c r="L985" s="135">
        <f t="shared" si="174"/>
        <v>7</v>
      </c>
      <c r="O985" s="91" t="s">
        <v>362</v>
      </c>
      <c r="P985" s="88">
        <v>4</v>
      </c>
      <c r="Q985" s="60" t="s">
        <v>777</v>
      </c>
      <c r="Z985" s="100"/>
    </row>
    <row r="986" spans="1:26" x14ac:dyDescent="0.25">
      <c r="A986" s="99">
        <v>45536</v>
      </c>
      <c r="B986" s="74">
        <v>45550</v>
      </c>
      <c r="C986" s="60" t="s">
        <v>31</v>
      </c>
      <c r="D986" s="60" t="s">
        <v>406</v>
      </c>
      <c r="E986" s="115" t="s">
        <v>1096</v>
      </c>
      <c r="F986" s="60" t="s">
        <v>1097</v>
      </c>
      <c r="G986" s="72" t="s">
        <v>142</v>
      </c>
      <c r="H986" s="83">
        <v>0.52083333333333337</v>
      </c>
      <c r="I986" s="83">
        <v>0.58333333333333337</v>
      </c>
      <c r="J986" s="63">
        <f t="shared" si="173"/>
        <v>6.25E-2</v>
      </c>
      <c r="K986" s="88" t="s">
        <v>113</v>
      </c>
      <c r="L986" s="135">
        <f t="shared" si="174"/>
        <v>1.5</v>
      </c>
      <c r="O986" s="91" t="s">
        <v>539</v>
      </c>
      <c r="P986" s="88">
        <v>5</v>
      </c>
      <c r="Z986" s="100"/>
    </row>
    <row r="987" spans="1:26" x14ac:dyDescent="0.25">
      <c r="A987" s="99">
        <v>45536</v>
      </c>
      <c r="B987" s="74">
        <v>45550</v>
      </c>
      <c r="C987" s="60" t="s">
        <v>31</v>
      </c>
      <c r="D987" s="60" t="s">
        <v>481</v>
      </c>
      <c r="E987" s="115" t="s">
        <v>1207</v>
      </c>
      <c r="F987" s="60" t="s">
        <v>1208</v>
      </c>
      <c r="G987" s="72" t="s">
        <v>142</v>
      </c>
      <c r="H987" s="83">
        <v>0.41666666666666669</v>
      </c>
      <c r="I987" s="83">
        <v>0.625</v>
      </c>
      <c r="J987" s="63">
        <f t="shared" ref="J987" si="175">I987-H987</f>
        <v>0.20833333333333331</v>
      </c>
      <c r="K987" s="88" t="s">
        <v>365</v>
      </c>
      <c r="L987" s="135">
        <f t="shared" ref="L987" si="176">24*J987</f>
        <v>5</v>
      </c>
      <c r="O987" s="91" t="s">
        <v>821</v>
      </c>
      <c r="P987" s="88">
        <v>5</v>
      </c>
      <c r="Q987" s="60"/>
      <c r="Z987" s="100"/>
    </row>
    <row r="988" spans="1:26" x14ac:dyDescent="0.25">
      <c r="A988" s="99">
        <v>45536</v>
      </c>
      <c r="B988" s="74">
        <v>45550</v>
      </c>
      <c r="C988" s="60" t="s">
        <v>31</v>
      </c>
      <c r="D988" s="60" t="s">
        <v>98</v>
      </c>
      <c r="E988" s="115" t="s">
        <v>1209</v>
      </c>
      <c r="F988" s="60" t="s">
        <v>1210</v>
      </c>
      <c r="G988" s="72" t="s">
        <v>142</v>
      </c>
      <c r="H988" s="83">
        <v>0.41666666666666669</v>
      </c>
      <c r="I988" s="83">
        <v>0.70833333333333337</v>
      </c>
      <c r="J988" s="63">
        <f t="shared" ref="J988:J991" si="177">I988-H988</f>
        <v>0.29166666666666669</v>
      </c>
      <c r="K988" s="88" t="s">
        <v>365</v>
      </c>
      <c r="L988" s="135">
        <f t="shared" ref="L988:L991" si="178">24*J988</f>
        <v>7</v>
      </c>
      <c r="O988" s="91" t="s">
        <v>821</v>
      </c>
      <c r="P988" s="88">
        <v>5</v>
      </c>
      <c r="Q988" s="60"/>
      <c r="Z988" s="100"/>
    </row>
    <row r="989" spans="1:26" x14ac:dyDescent="0.25">
      <c r="A989" s="99">
        <v>45536</v>
      </c>
      <c r="B989" s="74">
        <v>45550</v>
      </c>
      <c r="C989" s="60" t="s">
        <v>31</v>
      </c>
      <c r="D989" s="60" t="s">
        <v>740</v>
      </c>
      <c r="E989" s="88" t="s">
        <v>1204</v>
      </c>
      <c r="F989" s="60" t="s">
        <v>1205</v>
      </c>
      <c r="G989" s="72" t="s">
        <v>142</v>
      </c>
      <c r="H989" s="83">
        <v>0.41666666666666669</v>
      </c>
      <c r="I989" s="83">
        <v>0.72916666666666663</v>
      </c>
      <c r="J989" s="63">
        <f t="shared" si="177"/>
        <v>0.31249999999999994</v>
      </c>
      <c r="K989" s="88" t="s">
        <v>110</v>
      </c>
      <c r="L989" s="135">
        <f t="shared" si="178"/>
        <v>7.4999999999999982</v>
      </c>
      <c r="O989" s="91" t="s">
        <v>360</v>
      </c>
      <c r="P989" s="88">
        <v>5</v>
      </c>
      <c r="Z989" s="100"/>
    </row>
    <row r="990" spans="1:26" x14ac:dyDescent="0.25">
      <c r="A990" s="99">
        <v>45536</v>
      </c>
      <c r="B990" s="74">
        <v>45550</v>
      </c>
      <c r="C990" s="60" t="s">
        <v>31</v>
      </c>
      <c r="D990" s="60" t="s">
        <v>86</v>
      </c>
      <c r="E990" s="115" t="s">
        <v>1046</v>
      </c>
      <c r="F990" s="60" t="s">
        <v>1203</v>
      </c>
      <c r="G990" s="72" t="s">
        <v>142</v>
      </c>
      <c r="H990" s="83">
        <v>0.41666666666666669</v>
      </c>
      <c r="I990" s="83">
        <v>0.72916666666666663</v>
      </c>
      <c r="J990" s="63">
        <f t="shared" si="177"/>
        <v>0.31249999999999994</v>
      </c>
      <c r="K990" s="88" t="s">
        <v>110</v>
      </c>
      <c r="L990" s="135">
        <f t="shared" si="178"/>
        <v>7.4999999999999982</v>
      </c>
      <c r="O990" s="91" t="s">
        <v>360</v>
      </c>
      <c r="P990" s="88">
        <v>5</v>
      </c>
      <c r="Q990" s="60" t="s">
        <v>279</v>
      </c>
      <c r="Z990" s="100"/>
    </row>
    <row r="991" spans="1:26" x14ac:dyDescent="0.25">
      <c r="A991" s="99">
        <v>45536</v>
      </c>
      <c r="B991" s="74">
        <v>45550</v>
      </c>
      <c r="C991" s="60" t="s">
        <v>31</v>
      </c>
      <c r="D991" s="60" t="s">
        <v>481</v>
      </c>
      <c r="E991" s="115" t="s">
        <v>1211</v>
      </c>
      <c r="F991" s="60" t="s">
        <v>1212</v>
      </c>
      <c r="G991" s="72" t="s">
        <v>142</v>
      </c>
      <c r="H991" s="83">
        <v>0.375</v>
      </c>
      <c r="I991" s="83">
        <v>0.66666666666666663</v>
      </c>
      <c r="J991" s="63">
        <f t="shared" si="177"/>
        <v>0.29166666666666663</v>
      </c>
      <c r="K991" s="88" t="s">
        <v>113</v>
      </c>
      <c r="L991" s="135">
        <f t="shared" si="178"/>
        <v>6.9999999999999991</v>
      </c>
      <c r="O991" s="91" t="s">
        <v>539</v>
      </c>
      <c r="P991" s="88">
        <v>5</v>
      </c>
      <c r="Q991" s="60"/>
      <c r="Z991" s="100"/>
    </row>
    <row r="992" spans="1:26" x14ac:dyDescent="0.25">
      <c r="A992" s="99">
        <v>45536</v>
      </c>
      <c r="B992" s="74">
        <v>45551</v>
      </c>
      <c r="C992" s="60" t="s">
        <v>45</v>
      </c>
      <c r="D992" s="60" t="s">
        <v>98</v>
      </c>
      <c r="E992" s="115" t="s">
        <v>505</v>
      </c>
      <c r="F992" s="60" t="s">
        <v>1213</v>
      </c>
      <c r="G992" s="72" t="s">
        <v>142</v>
      </c>
      <c r="H992" s="83">
        <v>0.41666666666666669</v>
      </c>
      <c r="I992" s="83">
        <v>0.47916666666666669</v>
      </c>
      <c r="J992" s="63">
        <f t="shared" ref="J992" si="179">I992-H992</f>
        <v>6.25E-2</v>
      </c>
      <c r="K992" s="88" t="s">
        <v>365</v>
      </c>
      <c r="L992" s="135">
        <f t="shared" ref="L992" si="180">24*J992</f>
        <v>1.5</v>
      </c>
      <c r="O992" s="91" t="s">
        <v>1214</v>
      </c>
      <c r="P992" s="88">
        <v>5</v>
      </c>
      <c r="Q992" s="60"/>
      <c r="Z992" s="100"/>
    </row>
    <row r="993" spans="1:26" x14ac:dyDescent="0.25">
      <c r="A993" s="99">
        <v>45536</v>
      </c>
      <c r="B993" s="74">
        <v>45551</v>
      </c>
      <c r="C993" s="60" t="s">
        <v>45</v>
      </c>
      <c r="D993" s="60" t="s">
        <v>98</v>
      </c>
      <c r="E993" s="115" t="s">
        <v>1138</v>
      </c>
      <c r="F993" s="60" t="s">
        <v>844</v>
      </c>
      <c r="G993" s="72" t="s">
        <v>142</v>
      </c>
      <c r="H993" s="83">
        <v>2.0833333333333332E-2</v>
      </c>
      <c r="I993" s="83">
        <v>0.6875</v>
      </c>
      <c r="J993" s="63">
        <f>I993-H993</f>
        <v>0.66666666666666663</v>
      </c>
      <c r="K993" s="88" t="s">
        <v>113</v>
      </c>
      <c r="L993" s="135">
        <v>1.5</v>
      </c>
      <c r="O993" s="91" t="s">
        <v>539</v>
      </c>
      <c r="P993" s="88">
        <v>5</v>
      </c>
      <c r="Z993" s="100"/>
    </row>
    <row r="994" spans="1:26" x14ac:dyDescent="0.25">
      <c r="A994" s="99">
        <v>45536</v>
      </c>
      <c r="B994" s="74">
        <v>45551</v>
      </c>
      <c r="C994" s="60" t="s">
        <v>45</v>
      </c>
      <c r="D994" s="60" t="s">
        <v>308</v>
      </c>
      <c r="E994" s="115" t="s">
        <v>377</v>
      </c>
      <c r="F994" s="60" t="s">
        <v>379</v>
      </c>
      <c r="G994" s="72" t="s">
        <v>142</v>
      </c>
      <c r="H994" s="83">
        <v>0.60416666666666663</v>
      </c>
      <c r="I994" s="83">
        <v>0.66666666666666663</v>
      </c>
      <c r="J994" s="63">
        <f t="shared" ref="J994:J997" si="181">I994-H994</f>
        <v>6.25E-2</v>
      </c>
      <c r="K994" s="88" t="s">
        <v>365</v>
      </c>
      <c r="L994" s="135">
        <f t="shared" ref="L994:L997" si="182">24*J994</f>
        <v>1.5</v>
      </c>
      <c r="O994" s="91" t="s">
        <v>1214</v>
      </c>
      <c r="P994" s="88">
        <v>5</v>
      </c>
      <c r="Q994" s="60"/>
      <c r="Z994" s="100"/>
    </row>
    <row r="995" spans="1:26" x14ac:dyDescent="0.25">
      <c r="A995" s="99">
        <v>45536</v>
      </c>
      <c r="B995" s="74">
        <v>45551</v>
      </c>
      <c r="C995" s="60" t="s">
        <v>45</v>
      </c>
      <c r="D995" s="60" t="s">
        <v>481</v>
      </c>
      <c r="E995" s="115" t="s">
        <v>1211</v>
      </c>
      <c r="F995" s="60" t="s">
        <v>1224</v>
      </c>
      <c r="G995" s="72" t="s">
        <v>142</v>
      </c>
      <c r="H995" s="83">
        <v>0.375</v>
      </c>
      <c r="I995" s="83">
        <v>0.66666666666666663</v>
      </c>
      <c r="J995" s="63">
        <f t="shared" si="181"/>
        <v>0.29166666666666663</v>
      </c>
      <c r="K995" s="88" t="s">
        <v>113</v>
      </c>
      <c r="L995" s="135">
        <f t="shared" si="182"/>
        <v>6.9999999999999991</v>
      </c>
      <c r="O995" s="91" t="s">
        <v>539</v>
      </c>
      <c r="P995" s="88">
        <v>5</v>
      </c>
      <c r="Q995" s="60"/>
      <c r="Z995" s="100"/>
    </row>
    <row r="996" spans="1:26" x14ac:dyDescent="0.25">
      <c r="A996" s="99">
        <v>45536</v>
      </c>
      <c r="B996" s="74">
        <v>45551</v>
      </c>
      <c r="C996" s="60" t="s">
        <v>45</v>
      </c>
      <c r="D996" s="60" t="s">
        <v>98</v>
      </c>
      <c r="E996" s="115" t="s">
        <v>1215</v>
      </c>
      <c r="F996" s="60" t="s">
        <v>1216</v>
      </c>
      <c r="G996" s="72" t="s">
        <v>142</v>
      </c>
      <c r="H996" s="83">
        <v>0.41666666666666669</v>
      </c>
      <c r="I996" s="83">
        <v>0.70833333333333337</v>
      </c>
      <c r="J996" s="63">
        <f t="shared" si="181"/>
        <v>0.29166666666666669</v>
      </c>
      <c r="K996" s="88" t="s">
        <v>365</v>
      </c>
      <c r="L996" s="135">
        <f t="shared" si="182"/>
        <v>7</v>
      </c>
      <c r="O996" s="91" t="s">
        <v>358</v>
      </c>
      <c r="P996" s="88">
        <v>5</v>
      </c>
      <c r="Q996" s="60"/>
      <c r="Z996" s="100"/>
    </row>
    <row r="997" spans="1:26" x14ac:dyDescent="0.25">
      <c r="A997" s="99">
        <v>45536</v>
      </c>
      <c r="B997" s="74">
        <v>45551</v>
      </c>
      <c r="C997" s="60" t="s">
        <v>45</v>
      </c>
      <c r="D997" s="60" t="s">
        <v>86</v>
      </c>
      <c r="E997" s="115" t="s">
        <v>1046</v>
      </c>
      <c r="F997" s="60" t="s">
        <v>1217</v>
      </c>
      <c r="G997" s="72" t="s">
        <v>142</v>
      </c>
      <c r="H997" s="83">
        <v>0.41666666666666669</v>
      </c>
      <c r="I997" s="83">
        <v>0.70833333333333337</v>
      </c>
      <c r="J997" s="63">
        <f t="shared" si="181"/>
        <v>0.29166666666666669</v>
      </c>
      <c r="K997" s="88" t="s">
        <v>110</v>
      </c>
      <c r="L997" s="135">
        <f t="shared" si="182"/>
        <v>7</v>
      </c>
      <c r="O997" s="91" t="s">
        <v>360</v>
      </c>
      <c r="P997" s="88">
        <v>5</v>
      </c>
      <c r="Q997" s="60" t="s">
        <v>279</v>
      </c>
      <c r="Z997" s="100"/>
    </row>
    <row r="998" spans="1:26" x14ac:dyDescent="0.25">
      <c r="A998" s="99">
        <v>45536</v>
      </c>
      <c r="B998" s="74">
        <v>45551</v>
      </c>
      <c r="C998" s="60" t="s">
        <v>45</v>
      </c>
      <c r="D998" s="60" t="s">
        <v>1220</v>
      </c>
      <c r="E998" s="115" t="s">
        <v>1218</v>
      </c>
      <c r="F998" s="60" t="s">
        <v>1219</v>
      </c>
      <c r="G998" s="72" t="s">
        <v>142</v>
      </c>
      <c r="H998" s="83">
        <v>0.39583333333333331</v>
      </c>
      <c r="I998" s="83">
        <v>0.66666666666666663</v>
      </c>
      <c r="J998" s="63">
        <f t="shared" ref="J998" si="183">I998-H998</f>
        <v>0.27083333333333331</v>
      </c>
      <c r="K998" s="88" t="s">
        <v>110</v>
      </c>
      <c r="L998" s="135">
        <f t="shared" ref="L998" si="184">24*J998</f>
        <v>6.5</v>
      </c>
      <c r="O998" s="91" t="s">
        <v>360</v>
      </c>
      <c r="P998" s="88">
        <v>5</v>
      </c>
      <c r="Q998" s="60" t="s">
        <v>279</v>
      </c>
      <c r="Z998" s="100"/>
    </row>
    <row r="999" spans="1:26" x14ac:dyDescent="0.25">
      <c r="A999" s="99">
        <v>45536</v>
      </c>
      <c r="B999" s="74">
        <v>45552</v>
      </c>
      <c r="C999" s="60" t="s">
        <v>106</v>
      </c>
      <c r="D999" s="60" t="s">
        <v>327</v>
      </c>
      <c r="E999" s="115" t="s">
        <v>1221</v>
      </c>
      <c r="F999" s="60" t="s">
        <v>1222</v>
      </c>
      <c r="G999" s="72" t="s">
        <v>142</v>
      </c>
      <c r="H999" s="83">
        <v>0.5625</v>
      </c>
      <c r="I999" s="83">
        <v>0.64583333333333337</v>
      </c>
      <c r="J999" s="63">
        <f t="shared" ref="J999:J1000" si="185">I999-H999</f>
        <v>8.333333333333337E-2</v>
      </c>
      <c r="K999" s="88" t="s">
        <v>365</v>
      </c>
      <c r="L999" s="135">
        <f t="shared" ref="L999:L1000" si="186">24*J999</f>
        <v>2.0000000000000009</v>
      </c>
      <c r="O999" s="91" t="s">
        <v>1214</v>
      </c>
      <c r="P999" s="88">
        <v>5</v>
      </c>
      <c r="Q999" s="60" t="s">
        <v>279</v>
      </c>
      <c r="Z999" s="100"/>
    </row>
    <row r="1000" spans="1:26" x14ac:dyDescent="0.25">
      <c r="A1000" s="99">
        <v>45536</v>
      </c>
      <c r="B1000" s="74">
        <v>45552</v>
      </c>
      <c r="C1000" s="60" t="s">
        <v>106</v>
      </c>
      <c r="D1000" s="60" t="s">
        <v>406</v>
      </c>
      <c r="E1000" s="115" t="s">
        <v>1096</v>
      </c>
      <c r="F1000" s="60" t="s">
        <v>1097</v>
      </c>
      <c r="G1000" s="72" t="s">
        <v>142</v>
      </c>
      <c r="H1000" s="83">
        <v>0.47916666666666669</v>
      </c>
      <c r="I1000" s="83">
        <v>0.70833333333333337</v>
      </c>
      <c r="J1000" s="63">
        <f t="shared" si="185"/>
        <v>0.22916666666666669</v>
      </c>
      <c r="K1000" s="88" t="s">
        <v>365</v>
      </c>
      <c r="L1000" s="135">
        <f t="shared" si="186"/>
        <v>5.5</v>
      </c>
      <c r="O1000" s="91" t="s">
        <v>576</v>
      </c>
      <c r="P1000" s="88">
        <v>5</v>
      </c>
      <c r="Z1000" s="100"/>
    </row>
    <row r="1001" spans="1:26" x14ac:dyDescent="0.25">
      <c r="A1001" s="99">
        <v>45536</v>
      </c>
      <c r="B1001" s="74">
        <v>45552</v>
      </c>
      <c r="C1001" s="60" t="s">
        <v>106</v>
      </c>
      <c r="D1001" s="60" t="s">
        <v>98</v>
      </c>
      <c r="E1001" s="115" t="s">
        <v>1138</v>
      </c>
      <c r="F1001" s="60" t="s">
        <v>844</v>
      </c>
      <c r="G1001" s="72" t="s">
        <v>142</v>
      </c>
      <c r="H1001" s="83">
        <v>0</v>
      </c>
      <c r="I1001" s="83">
        <v>0.58333333333333337</v>
      </c>
      <c r="J1001" s="63">
        <f>I1001-H1001</f>
        <v>0.58333333333333337</v>
      </c>
      <c r="K1001" s="88" t="s">
        <v>113</v>
      </c>
      <c r="L1001" s="135">
        <v>1.5</v>
      </c>
      <c r="O1001" s="91" t="s">
        <v>539</v>
      </c>
      <c r="P1001" s="88">
        <v>5</v>
      </c>
      <c r="Z1001" s="100"/>
    </row>
    <row r="1002" spans="1:26" x14ac:dyDescent="0.25">
      <c r="A1002" s="99">
        <v>45536</v>
      </c>
      <c r="B1002" s="74">
        <v>45552</v>
      </c>
      <c r="C1002" s="60" t="s">
        <v>106</v>
      </c>
      <c r="D1002" s="60" t="s">
        <v>481</v>
      </c>
      <c r="E1002" s="115" t="s">
        <v>1211</v>
      </c>
      <c r="F1002" s="60" t="s">
        <v>1223</v>
      </c>
      <c r="G1002" s="72" t="s">
        <v>142</v>
      </c>
      <c r="H1002" s="83">
        <v>0.375</v>
      </c>
      <c r="I1002" s="83">
        <v>0.66666666666666663</v>
      </c>
      <c r="J1002" s="63">
        <f t="shared" ref="J1002" si="187">I1002-H1002</f>
        <v>0.29166666666666663</v>
      </c>
      <c r="K1002" s="88" t="s">
        <v>113</v>
      </c>
      <c r="L1002" s="135">
        <f t="shared" ref="L1002" si="188">24*J1002</f>
        <v>6.9999999999999991</v>
      </c>
      <c r="O1002" s="91" t="s">
        <v>539</v>
      </c>
      <c r="P1002" s="88">
        <v>5</v>
      </c>
      <c r="Q1002" s="60"/>
      <c r="Z1002" s="100"/>
    </row>
    <row r="1003" spans="1:26" x14ac:dyDescent="0.25">
      <c r="A1003" s="99">
        <v>45536</v>
      </c>
      <c r="B1003" s="74">
        <v>45553</v>
      </c>
      <c r="C1003" s="60" t="s">
        <v>398</v>
      </c>
      <c r="D1003" s="60" t="s">
        <v>830</v>
      </c>
      <c r="E1003" s="115" t="s">
        <v>967</v>
      </c>
      <c r="F1003" s="60" t="s">
        <v>1225</v>
      </c>
      <c r="G1003" s="72" t="s">
        <v>142</v>
      </c>
      <c r="H1003" s="83">
        <v>0.41666666666666669</v>
      </c>
      <c r="I1003" s="83">
        <v>0.58333333333333337</v>
      </c>
      <c r="J1003" s="63">
        <f t="shared" ref="J1003" si="189">I1003-H1003</f>
        <v>0.16666666666666669</v>
      </c>
      <c r="K1003" s="88" t="s">
        <v>365</v>
      </c>
      <c r="L1003" s="135">
        <f t="shared" ref="L1003" si="190">24*J1003</f>
        <v>4</v>
      </c>
      <c r="O1003" s="91" t="s">
        <v>820</v>
      </c>
      <c r="P1003" s="88">
        <v>5</v>
      </c>
      <c r="Q1003" s="60"/>
      <c r="Z1003" s="100"/>
    </row>
    <row r="1004" spans="1:26" x14ac:dyDescent="0.25">
      <c r="A1004" s="99">
        <v>45536</v>
      </c>
      <c r="B1004" s="74">
        <v>45553</v>
      </c>
      <c r="C1004" s="60" t="s">
        <v>398</v>
      </c>
      <c r="D1004" s="60" t="s">
        <v>830</v>
      </c>
      <c r="E1004" s="115" t="s">
        <v>967</v>
      </c>
      <c r="F1004" s="60" t="s">
        <v>1226</v>
      </c>
      <c r="G1004" s="72" t="s">
        <v>142</v>
      </c>
      <c r="H1004" s="83">
        <v>0.41666666666666669</v>
      </c>
      <c r="I1004" s="83">
        <v>0.5</v>
      </c>
      <c r="J1004" s="63">
        <f t="shared" ref="J1004:J1005" si="191">I1004-H1004</f>
        <v>8.3333333333333315E-2</v>
      </c>
      <c r="K1004" s="88" t="s">
        <v>365</v>
      </c>
      <c r="L1004" s="135">
        <f t="shared" ref="L1004:L1005" si="192">24*J1004</f>
        <v>1.9999999999999996</v>
      </c>
      <c r="O1004" s="91" t="s">
        <v>820</v>
      </c>
      <c r="P1004" s="88">
        <v>5</v>
      </c>
      <c r="Q1004" s="60"/>
      <c r="Z1004" s="100"/>
    </row>
    <row r="1005" spans="1:26" x14ac:dyDescent="0.25">
      <c r="A1005" s="99">
        <v>45536</v>
      </c>
      <c r="B1005" s="74">
        <v>45553</v>
      </c>
      <c r="C1005" s="60" t="s">
        <v>398</v>
      </c>
      <c r="D1005" s="60" t="s">
        <v>327</v>
      </c>
      <c r="E1005" s="115" t="s">
        <v>1017</v>
      </c>
      <c r="F1005" s="60" t="s">
        <v>1222</v>
      </c>
      <c r="G1005" s="72" t="s">
        <v>142</v>
      </c>
      <c r="H1005" s="83">
        <v>0.5625</v>
      </c>
      <c r="I1005" s="83">
        <v>0.625</v>
      </c>
      <c r="J1005" s="63">
        <f t="shared" si="191"/>
        <v>6.25E-2</v>
      </c>
      <c r="K1005" s="88" t="s">
        <v>365</v>
      </c>
      <c r="L1005" s="135">
        <f t="shared" si="192"/>
        <v>1.5</v>
      </c>
      <c r="O1005" s="91" t="s">
        <v>576</v>
      </c>
      <c r="P1005" s="88">
        <v>5</v>
      </c>
      <c r="Q1005" s="60" t="s">
        <v>279</v>
      </c>
      <c r="Z1005" s="100"/>
    </row>
    <row r="1006" spans="1:26" x14ac:dyDescent="0.25">
      <c r="A1006" s="99">
        <v>45536</v>
      </c>
      <c r="B1006" s="74">
        <v>45553</v>
      </c>
      <c r="C1006" s="60" t="s">
        <v>398</v>
      </c>
      <c r="D1006" s="60" t="s">
        <v>672</v>
      </c>
      <c r="E1006" s="115" t="s">
        <v>449</v>
      </c>
      <c r="F1006" s="60" t="s">
        <v>1227</v>
      </c>
      <c r="G1006" s="72" t="s">
        <v>142</v>
      </c>
      <c r="H1006" s="83">
        <v>0.64583333333333337</v>
      </c>
      <c r="I1006" s="83">
        <v>0.66666666666666663</v>
      </c>
      <c r="J1006" s="63">
        <f t="shared" ref="J1006:J1007" si="193">I1006-H1006</f>
        <v>2.0833333333333259E-2</v>
      </c>
      <c r="K1006" s="88" t="s">
        <v>365</v>
      </c>
      <c r="L1006" s="135">
        <f t="shared" ref="L1006:L1007" si="194">24*J1006</f>
        <v>0.49999999999999822</v>
      </c>
      <c r="O1006" s="91" t="s">
        <v>1214</v>
      </c>
      <c r="P1006" s="88">
        <v>5</v>
      </c>
      <c r="Q1006" s="60" t="s">
        <v>279</v>
      </c>
      <c r="Z1006" s="100"/>
    </row>
    <row r="1007" spans="1:26" x14ac:dyDescent="0.25">
      <c r="A1007" s="99">
        <v>45536</v>
      </c>
      <c r="B1007" s="74">
        <v>45553</v>
      </c>
      <c r="C1007" s="60" t="s">
        <v>398</v>
      </c>
      <c r="D1007" s="60" t="s">
        <v>481</v>
      </c>
      <c r="E1007" s="115" t="s">
        <v>1211</v>
      </c>
      <c r="F1007" s="60" t="s">
        <v>1236</v>
      </c>
      <c r="G1007" s="72" t="s">
        <v>142</v>
      </c>
      <c r="H1007" s="83">
        <v>0.375</v>
      </c>
      <c r="I1007" s="83">
        <v>0.66666666666666663</v>
      </c>
      <c r="J1007" s="63">
        <f t="shared" si="193"/>
        <v>0.29166666666666663</v>
      </c>
      <c r="K1007" s="88" t="s">
        <v>113</v>
      </c>
      <c r="L1007" s="135">
        <f t="shared" si="194"/>
        <v>6.9999999999999991</v>
      </c>
      <c r="O1007" s="91" t="s">
        <v>539</v>
      </c>
      <c r="P1007" s="88">
        <v>5</v>
      </c>
      <c r="Q1007" s="60"/>
      <c r="Z1007" s="100"/>
    </row>
    <row r="1008" spans="1:26" x14ac:dyDescent="0.25">
      <c r="A1008" s="99">
        <v>45536</v>
      </c>
      <c r="B1008" s="74">
        <v>45553</v>
      </c>
      <c r="C1008" s="60" t="s">
        <v>398</v>
      </c>
      <c r="D1008" s="60" t="s">
        <v>672</v>
      </c>
      <c r="E1008" s="115" t="s">
        <v>449</v>
      </c>
      <c r="F1008" s="60" t="s">
        <v>1228</v>
      </c>
      <c r="G1008" s="72" t="s">
        <v>142</v>
      </c>
      <c r="H1008" s="83">
        <v>0.54166666666666663</v>
      </c>
      <c r="I1008" s="83">
        <v>0.6875</v>
      </c>
      <c r="J1008" s="63">
        <f t="shared" ref="J1008" si="195">I1008-H1008</f>
        <v>0.14583333333333337</v>
      </c>
      <c r="K1008" s="88" t="s">
        <v>365</v>
      </c>
      <c r="L1008" s="135">
        <f t="shared" ref="L1008" si="196">24*J1008</f>
        <v>3.5000000000000009</v>
      </c>
      <c r="O1008" s="91" t="s">
        <v>1214</v>
      </c>
      <c r="P1008" s="88">
        <v>5</v>
      </c>
      <c r="Q1008" s="60" t="s">
        <v>279</v>
      </c>
      <c r="Z1008" s="100"/>
    </row>
    <row r="1009" spans="1:26" x14ac:dyDescent="0.25">
      <c r="A1009" s="99">
        <v>45536</v>
      </c>
      <c r="B1009" s="74">
        <v>45553</v>
      </c>
      <c r="C1009" s="60" t="s">
        <v>398</v>
      </c>
      <c r="D1009" s="60" t="s">
        <v>86</v>
      </c>
      <c r="E1009" s="115" t="s">
        <v>1046</v>
      </c>
      <c r="F1009" s="60" t="s">
        <v>1229</v>
      </c>
      <c r="G1009" s="72" t="s">
        <v>142</v>
      </c>
      <c r="H1009" s="83">
        <v>0.5</v>
      </c>
      <c r="I1009" s="83">
        <v>0.70833333333333337</v>
      </c>
      <c r="J1009" s="63">
        <f>I1009-H1009</f>
        <v>0.20833333333333337</v>
      </c>
      <c r="K1009" s="88" t="s">
        <v>110</v>
      </c>
      <c r="L1009" s="135">
        <f>24*J1009</f>
        <v>5.0000000000000009</v>
      </c>
      <c r="O1009" s="91" t="s">
        <v>358</v>
      </c>
      <c r="P1009" s="88">
        <v>5</v>
      </c>
      <c r="Q1009" s="60" t="s">
        <v>279</v>
      </c>
      <c r="Z1009" s="100"/>
    </row>
    <row r="1010" spans="1:26" x14ac:dyDescent="0.25">
      <c r="A1010" s="99">
        <v>45536</v>
      </c>
      <c r="B1010" s="74">
        <v>45553</v>
      </c>
      <c r="C1010" s="60" t="s">
        <v>398</v>
      </c>
      <c r="D1010" s="60" t="s">
        <v>1220</v>
      </c>
      <c r="E1010" s="115" t="s">
        <v>1218</v>
      </c>
      <c r="F1010" s="60" t="s">
        <v>1219</v>
      </c>
      <c r="G1010" s="72" t="s">
        <v>142</v>
      </c>
      <c r="H1010" s="83">
        <v>0.41666666666666669</v>
      </c>
      <c r="I1010" s="83">
        <v>0.66666666666666663</v>
      </c>
      <c r="J1010" s="63">
        <f t="shared" ref="J1010" si="197">I1010-H1010</f>
        <v>0.24999999999999994</v>
      </c>
      <c r="K1010" s="88" t="s">
        <v>110</v>
      </c>
      <c r="L1010" s="135">
        <f t="shared" ref="L1010" si="198">24*J1010</f>
        <v>5.9999999999999982</v>
      </c>
      <c r="O1010" s="91" t="s">
        <v>358</v>
      </c>
      <c r="P1010" s="88">
        <v>5</v>
      </c>
      <c r="Q1010" s="60" t="s">
        <v>279</v>
      </c>
      <c r="Z1010" s="100"/>
    </row>
    <row r="1011" spans="1:26" x14ac:dyDescent="0.25">
      <c r="A1011" s="99">
        <v>45536</v>
      </c>
      <c r="B1011" s="74">
        <v>45554</v>
      </c>
      <c r="C1011" s="60" t="s">
        <v>124</v>
      </c>
      <c r="D1011" s="60" t="s">
        <v>1232</v>
      </c>
      <c r="E1011" s="115" t="s">
        <v>1230</v>
      </c>
      <c r="F1011" s="60" t="s">
        <v>1231</v>
      </c>
      <c r="G1011" s="72" t="s">
        <v>142</v>
      </c>
      <c r="H1011" s="83">
        <v>0.52083333333333337</v>
      </c>
      <c r="I1011" s="83">
        <v>0.60416666666666663</v>
      </c>
      <c r="J1011" s="63">
        <f t="shared" ref="J1011:J1012" si="199">I1011-H1011</f>
        <v>8.3333333333333259E-2</v>
      </c>
      <c r="K1011" s="88" t="s">
        <v>365</v>
      </c>
      <c r="L1011" s="135">
        <f t="shared" ref="L1011:L1012" si="200">24*J1011</f>
        <v>1.9999999999999982</v>
      </c>
      <c r="O1011" s="91" t="s">
        <v>820</v>
      </c>
      <c r="P1011" s="88">
        <v>5</v>
      </c>
      <c r="Q1011" s="60" t="s">
        <v>279</v>
      </c>
      <c r="Z1011" s="100"/>
    </row>
    <row r="1012" spans="1:26" x14ac:dyDescent="0.25">
      <c r="A1012" s="99">
        <v>45536</v>
      </c>
      <c r="B1012" s="74">
        <v>45556</v>
      </c>
      <c r="C1012" s="60" t="s">
        <v>34</v>
      </c>
      <c r="D1012" s="60" t="s">
        <v>481</v>
      </c>
      <c r="E1012" s="115" t="s">
        <v>1233</v>
      </c>
      <c r="F1012" s="60" t="s">
        <v>1234</v>
      </c>
      <c r="G1012" s="72" t="s">
        <v>142</v>
      </c>
      <c r="H1012" s="83">
        <v>0.41666666666666669</v>
      </c>
      <c r="I1012" s="83">
        <v>0.66666666666666663</v>
      </c>
      <c r="J1012" s="63">
        <f t="shared" si="199"/>
        <v>0.24999999999999994</v>
      </c>
      <c r="K1012" s="88" t="s">
        <v>113</v>
      </c>
      <c r="L1012" s="135">
        <f t="shared" si="200"/>
        <v>5.9999999999999982</v>
      </c>
      <c r="O1012" s="91" t="s">
        <v>576</v>
      </c>
      <c r="P1012" s="88">
        <v>5</v>
      </c>
      <c r="Q1012" s="60"/>
      <c r="Z1012" s="100"/>
    </row>
    <row r="1013" spans="1:26" x14ac:dyDescent="0.25">
      <c r="A1013" s="99">
        <v>45536</v>
      </c>
      <c r="B1013" s="74">
        <v>45557</v>
      </c>
      <c r="C1013" s="60" t="s">
        <v>31</v>
      </c>
      <c r="D1013" s="60" t="s">
        <v>98</v>
      </c>
      <c r="E1013" s="115" t="s">
        <v>1138</v>
      </c>
      <c r="F1013" s="60" t="s">
        <v>1235</v>
      </c>
      <c r="G1013" s="72" t="s">
        <v>142</v>
      </c>
      <c r="H1013" s="83">
        <v>0.60416666666666663</v>
      </c>
      <c r="I1013" s="83">
        <v>0.64583333333333337</v>
      </c>
      <c r="J1013" s="63">
        <f>I1013-H1013</f>
        <v>4.1666666666666741E-2</v>
      </c>
      <c r="K1013" s="88" t="s">
        <v>365</v>
      </c>
      <c r="L1013" s="135">
        <v>1.5</v>
      </c>
      <c r="O1013" s="91" t="s">
        <v>576</v>
      </c>
      <c r="P1013" s="88">
        <v>5</v>
      </c>
      <c r="Z1013" s="100"/>
    </row>
    <row r="1014" spans="1:26" x14ac:dyDescent="0.25">
      <c r="A1014" s="99">
        <v>45536</v>
      </c>
      <c r="B1014" s="74">
        <v>45557</v>
      </c>
      <c r="C1014" s="60" t="s">
        <v>31</v>
      </c>
      <c r="D1014" s="60" t="s">
        <v>481</v>
      </c>
      <c r="E1014" s="115" t="s">
        <v>1211</v>
      </c>
      <c r="F1014" s="60" t="s">
        <v>1236</v>
      </c>
      <c r="G1014" s="72" t="s">
        <v>142</v>
      </c>
      <c r="H1014" s="83">
        <v>0.41666666666666669</v>
      </c>
      <c r="I1014" s="83">
        <v>0.625</v>
      </c>
      <c r="J1014" s="63">
        <f t="shared" ref="J1014" si="201">I1014-H1014</f>
        <v>0.20833333333333331</v>
      </c>
      <c r="K1014" s="88" t="s">
        <v>113</v>
      </c>
      <c r="L1014" s="135">
        <f t="shared" ref="L1014" si="202">24*J1014</f>
        <v>5</v>
      </c>
      <c r="O1014" s="91" t="s">
        <v>1214</v>
      </c>
      <c r="P1014" s="88">
        <v>5</v>
      </c>
      <c r="Q1014" s="60"/>
      <c r="Z1014" s="100"/>
    </row>
    <row r="1015" spans="1:26" x14ac:dyDescent="0.25">
      <c r="A1015" s="99">
        <v>45536</v>
      </c>
      <c r="B1015" s="74">
        <v>45558</v>
      </c>
      <c r="C1015" s="60" t="s">
        <v>45</v>
      </c>
      <c r="D1015" s="60" t="s">
        <v>445</v>
      </c>
      <c r="E1015" s="115" t="s">
        <v>555</v>
      </c>
      <c r="F1015" s="60" t="s">
        <v>1237</v>
      </c>
      <c r="G1015" s="72" t="s">
        <v>142</v>
      </c>
      <c r="H1015" s="83">
        <v>0.625</v>
      </c>
      <c r="I1015" s="83">
        <v>0.6875</v>
      </c>
      <c r="J1015" s="63">
        <f t="shared" ref="J1015" si="203">I1015-H1015</f>
        <v>6.25E-2</v>
      </c>
      <c r="K1015" s="88" t="s">
        <v>365</v>
      </c>
      <c r="L1015" s="135">
        <f t="shared" ref="L1015" si="204">24*J1015</f>
        <v>1.5</v>
      </c>
      <c r="O1015" s="91" t="s">
        <v>359</v>
      </c>
      <c r="P1015" s="88">
        <v>4</v>
      </c>
      <c r="Q1015" s="60" t="s">
        <v>472</v>
      </c>
      <c r="Z1015" s="100"/>
    </row>
    <row r="1016" spans="1:26" x14ac:dyDescent="0.25">
      <c r="A1016" s="99">
        <v>45536</v>
      </c>
      <c r="B1016" s="74">
        <v>45558</v>
      </c>
      <c r="C1016" s="60" t="s">
        <v>45</v>
      </c>
      <c r="D1016" s="60" t="s">
        <v>98</v>
      </c>
      <c r="E1016" s="115" t="s">
        <v>884</v>
      </c>
      <c r="F1016" s="60" t="s">
        <v>1238</v>
      </c>
      <c r="G1016" s="72" t="s">
        <v>142</v>
      </c>
      <c r="H1016" s="83">
        <v>0.52083333333333337</v>
      </c>
      <c r="I1016" s="83">
        <v>0.66666666666666663</v>
      </c>
      <c r="J1016" s="63">
        <f t="shared" ref="J1016:J1017" si="205">I1016-H1016</f>
        <v>0.14583333333333326</v>
      </c>
      <c r="K1016" s="88" t="s">
        <v>365</v>
      </c>
      <c r="L1016" s="135">
        <f t="shared" ref="L1016:L1017" si="206">24*J1016</f>
        <v>3.4999999999999982</v>
      </c>
      <c r="O1016" s="91" t="s">
        <v>820</v>
      </c>
      <c r="P1016" s="88">
        <v>4</v>
      </c>
      <c r="Q1016" s="60" t="s">
        <v>472</v>
      </c>
      <c r="Z1016" s="100"/>
    </row>
    <row r="1017" spans="1:26" x14ac:dyDescent="0.25">
      <c r="A1017" s="99">
        <v>45536</v>
      </c>
      <c r="B1017" s="74">
        <v>45558</v>
      </c>
      <c r="C1017" s="60" t="s">
        <v>45</v>
      </c>
      <c r="D1017" s="60" t="s">
        <v>481</v>
      </c>
      <c r="E1017" s="115" t="s">
        <v>1233</v>
      </c>
      <c r="F1017" s="60" t="s">
        <v>1239</v>
      </c>
      <c r="G1017" s="72" t="s">
        <v>142</v>
      </c>
      <c r="H1017" s="83">
        <v>0.375</v>
      </c>
      <c r="I1017" s="83">
        <v>0.66666666666666663</v>
      </c>
      <c r="J1017" s="63">
        <f t="shared" si="205"/>
        <v>0.29166666666666663</v>
      </c>
      <c r="K1017" s="88" t="s">
        <v>113</v>
      </c>
      <c r="L1017" s="135">
        <f t="shared" si="206"/>
        <v>6.9999999999999991</v>
      </c>
      <c r="O1017" s="91" t="s">
        <v>539</v>
      </c>
      <c r="P1017" s="88">
        <v>5</v>
      </c>
      <c r="Q1017" s="60"/>
      <c r="Z1017" s="100"/>
    </row>
    <row r="1018" spans="1:26" x14ac:dyDescent="0.25">
      <c r="A1018" s="99">
        <v>45536</v>
      </c>
      <c r="B1018" s="74">
        <v>45558</v>
      </c>
      <c r="C1018" s="60" t="s">
        <v>45</v>
      </c>
      <c r="D1018" s="60" t="s">
        <v>830</v>
      </c>
      <c r="E1018" s="115" t="s">
        <v>1100</v>
      </c>
      <c r="F1018" s="60" t="s">
        <v>1240</v>
      </c>
      <c r="G1018" s="72" t="s">
        <v>142</v>
      </c>
      <c r="H1018" s="83">
        <v>0.5</v>
      </c>
      <c r="I1018" s="83">
        <v>0.54166666666666663</v>
      </c>
      <c r="J1018" s="63">
        <f t="shared" ref="J1018" si="207">I1018-H1018</f>
        <v>4.166666666666663E-2</v>
      </c>
      <c r="K1018" s="88" t="s">
        <v>113</v>
      </c>
      <c r="L1018" s="135">
        <f t="shared" ref="L1018" si="208">24*J1018</f>
        <v>0.99999999999999911</v>
      </c>
      <c r="O1018" s="91" t="s">
        <v>539</v>
      </c>
      <c r="P1018" s="88">
        <v>5</v>
      </c>
      <c r="Q1018" s="60"/>
      <c r="Z1018" s="100"/>
    </row>
    <row r="1019" spans="1:26" x14ac:dyDescent="0.25">
      <c r="A1019" s="99">
        <v>45536</v>
      </c>
      <c r="B1019" s="74">
        <v>45558</v>
      </c>
      <c r="C1019" s="60" t="s">
        <v>45</v>
      </c>
      <c r="D1019" s="60" t="s">
        <v>492</v>
      </c>
      <c r="E1019" s="115" t="s">
        <v>1241</v>
      </c>
      <c r="F1019" s="60" t="s">
        <v>1242</v>
      </c>
      <c r="G1019" s="72" t="s">
        <v>142</v>
      </c>
      <c r="H1019" s="83">
        <v>0.54166666666666663</v>
      </c>
      <c r="I1019" s="83">
        <v>0.66666666666666663</v>
      </c>
      <c r="J1019" s="63">
        <f t="shared" ref="J1019:J1021" si="209">I1019-H1019</f>
        <v>0.125</v>
      </c>
      <c r="K1019" s="88" t="s">
        <v>113</v>
      </c>
      <c r="L1019" s="135">
        <f t="shared" ref="L1019:L1021" si="210">24*J1019</f>
        <v>3</v>
      </c>
      <c r="O1019" s="91" t="s">
        <v>539</v>
      </c>
      <c r="P1019" s="88">
        <v>5</v>
      </c>
      <c r="Q1019" s="60"/>
      <c r="Z1019" s="100"/>
    </row>
    <row r="1020" spans="1:26" x14ac:dyDescent="0.25">
      <c r="A1020" s="99">
        <v>45536</v>
      </c>
      <c r="B1020" s="74">
        <v>45559</v>
      </c>
      <c r="C1020" s="60" t="s">
        <v>106</v>
      </c>
      <c r="D1020" s="60" t="s">
        <v>98</v>
      </c>
      <c r="E1020" s="115" t="s">
        <v>884</v>
      </c>
      <c r="F1020" s="60" t="s">
        <v>1243</v>
      </c>
      <c r="G1020" s="72" t="s">
        <v>142</v>
      </c>
      <c r="H1020" s="83">
        <v>0.41666666666666669</v>
      </c>
      <c r="I1020" s="83">
        <v>0.72916666666666663</v>
      </c>
      <c r="J1020" s="63">
        <f t="shared" si="209"/>
        <v>0.31249999999999994</v>
      </c>
      <c r="K1020" s="88" t="s">
        <v>365</v>
      </c>
      <c r="L1020" s="135">
        <f t="shared" si="210"/>
        <v>7.4999999999999982</v>
      </c>
      <c r="O1020" s="91" t="s">
        <v>820</v>
      </c>
      <c r="P1020" s="88">
        <v>5</v>
      </c>
      <c r="Q1020" s="60"/>
      <c r="Z1020" s="100"/>
    </row>
    <row r="1021" spans="1:26" x14ac:dyDescent="0.25">
      <c r="A1021" s="99">
        <v>45536</v>
      </c>
      <c r="B1021" s="74">
        <v>45560</v>
      </c>
      <c r="C1021" s="60" t="s">
        <v>398</v>
      </c>
      <c r="D1021" s="60" t="s">
        <v>481</v>
      </c>
      <c r="E1021" s="115" t="s">
        <v>1233</v>
      </c>
      <c r="F1021" s="60" t="s">
        <v>1255</v>
      </c>
      <c r="G1021" s="72" t="s">
        <v>142</v>
      </c>
      <c r="H1021" s="83">
        <v>0.41666666666666669</v>
      </c>
      <c r="I1021" s="83">
        <v>0.66666666666666663</v>
      </c>
      <c r="J1021" s="63">
        <f t="shared" si="209"/>
        <v>0.24999999999999994</v>
      </c>
      <c r="K1021" s="88" t="s">
        <v>113</v>
      </c>
      <c r="L1021" s="135">
        <f t="shared" si="210"/>
        <v>5.9999999999999982</v>
      </c>
      <c r="O1021" s="91" t="s">
        <v>539</v>
      </c>
      <c r="P1021" s="88">
        <v>5</v>
      </c>
      <c r="Q1021" s="60"/>
      <c r="Z1021" s="100"/>
    </row>
    <row r="1022" spans="1:26" x14ac:dyDescent="0.25">
      <c r="A1022" s="99">
        <v>45536</v>
      </c>
      <c r="B1022" s="74">
        <v>45560</v>
      </c>
      <c r="C1022" s="60" t="s">
        <v>398</v>
      </c>
      <c r="D1022" s="60" t="s">
        <v>32</v>
      </c>
      <c r="E1022" s="115" t="s">
        <v>388</v>
      </c>
      <c r="F1022" s="60" t="s">
        <v>1229</v>
      </c>
      <c r="G1022" s="72" t="s">
        <v>142</v>
      </c>
      <c r="H1022" s="83">
        <v>0.5</v>
      </c>
      <c r="I1022" s="83">
        <v>0.52083333333333337</v>
      </c>
      <c r="J1022" s="63">
        <f>I1022-H1022</f>
        <v>2.083333333333337E-2</v>
      </c>
      <c r="K1022" s="88" t="s">
        <v>365</v>
      </c>
      <c r="L1022" s="135">
        <f>24*J1022</f>
        <v>0.50000000000000089</v>
      </c>
      <c r="O1022" s="91" t="s">
        <v>820</v>
      </c>
      <c r="P1022" s="88">
        <v>5</v>
      </c>
      <c r="Q1022" s="60" t="s">
        <v>279</v>
      </c>
      <c r="Z1022" s="100"/>
    </row>
    <row r="1023" spans="1:26" x14ac:dyDescent="0.25">
      <c r="A1023" s="99">
        <v>45536</v>
      </c>
      <c r="B1023" s="74">
        <v>45560</v>
      </c>
      <c r="C1023" s="60" t="s">
        <v>398</v>
      </c>
      <c r="D1023" s="60" t="s">
        <v>672</v>
      </c>
      <c r="E1023" s="115" t="s">
        <v>449</v>
      </c>
      <c r="F1023" s="60" t="s">
        <v>1244</v>
      </c>
      <c r="G1023" s="72" t="s">
        <v>142</v>
      </c>
      <c r="H1023" s="83">
        <v>0.60416666666666663</v>
      </c>
      <c r="I1023" s="83">
        <v>0.66666666666666663</v>
      </c>
      <c r="J1023" s="63">
        <f t="shared" ref="J1023:J1024" si="211">I1023-H1023</f>
        <v>6.25E-2</v>
      </c>
      <c r="K1023" s="88" t="s">
        <v>365</v>
      </c>
      <c r="L1023" s="135">
        <f t="shared" ref="L1023:L1024" si="212">24*J1023</f>
        <v>1.5</v>
      </c>
      <c r="O1023" s="91" t="s">
        <v>820</v>
      </c>
      <c r="P1023" s="88">
        <v>5</v>
      </c>
      <c r="Q1023" s="60" t="s">
        <v>279</v>
      </c>
      <c r="Z1023" s="100"/>
    </row>
    <row r="1024" spans="1:26" x14ac:dyDescent="0.25">
      <c r="A1024" s="99">
        <v>45536</v>
      </c>
      <c r="B1024" s="74">
        <v>45561</v>
      </c>
      <c r="C1024" s="60" t="s">
        <v>124</v>
      </c>
      <c r="D1024" s="60" t="s">
        <v>481</v>
      </c>
      <c r="E1024" s="115" t="s">
        <v>1233</v>
      </c>
      <c r="F1024" s="60" t="s">
        <v>1256</v>
      </c>
      <c r="G1024" s="72" t="s">
        <v>142</v>
      </c>
      <c r="H1024" s="83">
        <v>0.375</v>
      </c>
      <c r="I1024" s="83">
        <v>0.66666666666666663</v>
      </c>
      <c r="J1024" s="63">
        <f t="shared" si="211"/>
        <v>0.29166666666666663</v>
      </c>
      <c r="K1024" s="88" t="s">
        <v>113</v>
      </c>
      <c r="L1024" s="135">
        <f t="shared" si="212"/>
        <v>6.9999999999999991</v>
      </c>
      <c r="O1024" s="91" t="s">
        <v>539</v>
      </c>
      <c r="P1024" s="88">
        <v>5</v>
      </c>
      <c r="Q1024" s="60"/>
      <c r="Z1024" s="100"/>
    </row>
    <row r="1025" spans="1:26" x14ac:dyDescent="0.25">
      <c r="A1025" s="99">
        <v>45536</v>
      </c>
      <c r="B1025" s="74">
        <v>45561</v>
      </c>
      <c r="C1025" s="60" t="s">
        <v>124</v>
      </c>
      <c r="D1025" s="60" t="s">
        <v>672</v>
      </c>
      <c r="E1025" s="115" t="s">
        <v>449</v>
      </c>
      <c r="F1025" s="60" t="s">
        <v>1245</v>
      </c>
      <c r="G1025" s="72" t="s">
        <v>142</v>
      </c>
      <c r="H1025" s="83">
        <v>0.54166666666666663</v>
      </c>
      <c r="I1025" s="83">
        <v>0.70833333333333337</v>
      </c>
      <c r="J1025" s="63">
        <f t="shared" ref="J1025:J1026" si="213">I1025-H1025</f>
        <v>0.16666666666666674</v>
      </c>
      <c r="K1025" s="88" t="s">
        <v>365</v>
      </c>
      <c r="L1025" s="135">
        <f t="shared" ref="L1025:L1026" si="214">24*J1025</f>
        <v>4.0000000000000018</v>
      </c>
      <c r="O1025" s="91" t="s">
        <v>820</v>
      </c>
      <c r="P1025" s="88">
        <v>5</v>
      </c>
      <c r="Q1025" s="60" t="s">
        <v>279</v>
      </c>
      <c r="Z1025" s="100"/>
    </row>
    <row r="1026" spans="1:26" x14ac:dyDescent="0.25">
      <c r="A1026" s="99">
        <v>45536</v>
      </c>
      <c r="B1026" s="74">
        <v>45561</v>
      </c>
      <c r="C1026" s="60" t="s">
        <v>124</v>
      </c>
      <c r="D1026" s="60" t="s">
        <v>317</v>
      </c>
      <c r="E1026" s="115" t="s">
        <v>1257</v>
      </c>
      <c r="F1026" s="60" t="s">
        <v>1258</v>
      </c>
      <c r="G1026" s="72" t="s">
        <v>142</v>
      </c>
      <c r="H1026" s="83">
        <v>0.625</v>
      </c>
      <c r="I1026" s="83">
        <v>0.72916666666666663</v>
      </c>
      <c r="J1026" s="63">
        <f t="shared" si="213"/>
        <v>0.10416666666666663</v>
      </c>
      <c r="K1026" s="88" t="s">
        <v>300</v>
      </c>
      <c r="L1026" s="135">
        <f t="shared" si="214"/>
        <v>2.4999999999999991</v>
      </c>
      <c r="O1026" s="91" t="s">
        <v>362</v>
      </c>
      <c r="P1026" s="88">
        <v>5</v>
      </c>
      <c r="Q1026" s="60" t="s">
        <v>279</v>
      </c>
      <c r="Z1026" s="100"/>
    </row>
    <row r="1027" spans="1:26" x14ac:dyDescent="0.25">
      <c r="A1027" s="99">
        <v>45536</v>
      </c>
      <c r="B1027" s="74">
        <v>45561</v>
      </c>
      <c r="C1027" s="60" t="s">
        <v>124</v>
      </c>
      <c r="D1027" s="60" t="s">
        <v>1249</v>
      </c>
      <c r="E1027" s="115" t="s">
        <v>1246</v>
      </c>
      <c r="F1027" s="60" t="s">
        <v>1247</v>
      </c>
      <c r="G1027" s="72" t="s">
        <v>142</v>
      </c>
      <c r="H1027" s="83">
        <v>0.54166666666666663</v>
      </c>
      <c r="I1027" s="83">
        <v>0.58333333333333337</v>
      </c>
      <c r="J1027" s="63">
        <f t="shared" ref="J1027" si="215">I1027-H1027</f>
        <v>4.1666666666666741E-2</v>
      </c>
      <c r="K1027" s="88" t="s">
        <v>365</v>
      </c>
      <c r="L1027" s="135">
        <f t="shared" ref="L1027" si="216">24*J1027</f>
        <v>1.0000000000000018</v>
      </c>
      <c r="O1027" s="91" t="s">
        <v>359</v>
      </c>
      <c r="P1027" s="88">
        <v>5</v>
      </c>
      <c r="Q1027" s="60" t="s">
        <v>279</v>
      </c>
      <c r="Z1027" s="100"/>
    </row>
    <row r="1028" spans="1:26" x14ac:dyDescent="0.25">
      <c r="A1028" s="99">
        <v>45536</v>
      </c>
      <c r="B1028" s="74">
        <v>45561</v>
      </c>
      <c r="C1028" s="60" t="s">
        <v>124</v>
      </c>
      <c r="D1028" s="60" t="s">
        <v>1250</v>
      </c>
      <c r="E1028" s="115" t="s">
        <v>1248</v>
      </c>
      <c r="F1028" s="60" t="s">
        <v>1251</v>
      </c>
      <c r="G1028" s="72" t="s">
        <v>142</v>
      </c>
      <c r="H1028" s="83">
        <v>0.5</v>
      </c>
      <c r="I1028" s="83">
        <v>0.58333333333333337</v>
      </c>
      <c r="J1028" s="63">
        <f t="shared" ref="J1028:J1030" si="217">I1028-H1028</f>
        <v>8.333333333333337E-2</v>
      </c>
      <c r="K1028" s="88" t="s">
        <v>365</v>
      </c>
      <c r="L1028" s="135">
        <f t="shared" ref="L1028:L1030" si="218">24*J1028</f>
        <v>2.0000000000000009</v>
      </c>
      <c r="O1028" s="91" t="s">
        <v>363</v>
      </c>
      <c r="P1028" s="88">
        <v>5</v>
      </c>
      <c r="Q1028" s="60" t="s">
        <v>279</v>
      </c>
      <c r="Z1028" s="100"/>
    </row>
    <row r="1029" spans="1:26" x14ac:dyDescent="0.25">
      <c r="A1029" s="99">
        <v>45536</v>
      </c>
      <c r="B1029" s="74">
        <v>45563</v>
      </c>
      <c r="C1029" s="60" t="s">
        <v>34</v>
      </c>
      <c r="D1029" s="60" t="s">
        <v>499</v>
      </c>
      <c r="E1029" s="115" t="s">
        <v>505</v>
      </c>
      <c r="F1029" s="60" t="s">
        <v>1259</v>
      </c>
      <c r="G1029" s="72" t="s">
        <v>142</v>
      </c>
      <c r="H1029" s="83">
        <v>0.41666666666666669</v>
      </c>
      <c r="I1029" s="83">
        <v>0.79166666666666663</v>
      </c>
      <c r="J1029" s="63">
        <f t="shared" si="217"/>
        <v>0.37499999999999994</v>
      </c>
      <c r="K1029" s="88" t="s">
        <v>300</v>
      </c>
      <c r="L1029" s="135">
        <f t="shared" si="218"/>
        <v>8.9999999999999982</v>
      </c>
      <c r="O1029" s="91" t="s">
        <v>362</v>
      </c>
      <c r="P1029" s="88">
        <v>5</v>
      </c>
      <c r="Q1029" s="60" t="s">
        <v>279</v>
      </c>
      <c r="Z1029" s="100"/>
    </row>
    <row r="1030" spans="1:26" x14ac:dyDescent="0.25">
      <c r="A1030" s="99">
        <v>45536</v>
      </c>
      <c r="B1030" s="74">
        <v>45563</v>
      </c>
      <c r="C1030" s="60" t="s">
        <v>34</v>
      </c>
      <c r="D1030" s="60" t="s">
        <v>481</v>
      </c>
      <c r="E1030" s="115" t="s">
        <v>1233</v>
      </c>
      <c r="F1030" s="60" t="s">
        <v>1256</v>
      </c>
      <c r="G1030" s="72" t="s">
        <v>142</v>
      </c>
      <c r="H1030" s="83">
        <v>0.41666666666666669</v>
      </c>
      <c r="I1030" s="83">
        <v>0.6875</v>
      </c>
      <c r="J1030" s="63">
        <f t="shared" si="217"/>
        <v>0.27083333333333331</v>
      </c>
      <c r="K1030" s="88" t="s">
        <v>113</v>
      </c>
      <c r="L1030" s="135">
        <f t="shared" si="218"/>
        <v>6.5</v>
      </c>
      <c r="O1030" s="91" t="s">
        <v>539</v>
      </c>
      <c r="P1030" s="88">
        <v>5</v>
      </c>
      <c r="Q1030" s="60"/>
      <c r="Z1030" s="100"/>
    </row>
    <row r="1031" spans="1:26" x14ac:dyDescent="0.25">
      <c r="A1031" s="99">
        <v>45536</v>
      </c>
      <c r="B1031" s="74">
        <v>45563</v>
      </c>
      <c r="C1031" s="60" t="s">
        <v>34</v>
      </c>
      <c r="D1031" s="60" t="s">
        <v>1253</v>
      </c>
      <c r="E1031" s="115" t="s">
        <v>1252</v>
      </c>
      <c r="F1031" s="60" t="s">
        <v>1251</v>
      </c>
      <c r="G1031" s="72" t="s">
        <v>142</v>
      </c>
      <c r="H1031" s="83">
        <v>0.58333333333333337</v>
      </c>
      <c r="I1031" s="83">
        <v>0.70833333333333337</v>
      </c>
      <c r="J1031" s="63">
        <f t="shared" ref="J1031" si="219">I1031-H1031</f>
        <v>0.125</v>
      </c>
      <c r="K1031" s="88" t="s">
        <v>365</v>
      </c>
      <c r="L1031" s="135">
        <f t="shared" ref="L1031" si="220">24*J1031</f>
        <v>3</v>
      </c>
      <c r="O1031" s="91" t="s">
        <v>361</v>
      </c>
      <c r="P1031" s="88">
        <v>5</v>
      </c>
      <c r="Q1031" s="60" t="s">
        <v>279</v>
      </c>
      <c r="Z1031" s="100"/>
    </row>
    <row r="1032" spans="1:26" x14ac:dyDescent="0.25">
      <c r="A1032" s="99">
        <v>45536</v>
      </c>
      <c r="B1032" s="74">
        <v>45564</v>
      </c>
      <c r="C1032" s="60" t="s">
        <v>31</v>
      </c>
      <c r="D1032" s="60" t="s">
        <v>1250</v>
      </c>
      <c r="E1032" s="115" t="s">
        <v>1085</v>
      </c>
      <c r="F1032" s="60" t="s">
        <v>1254</v>
      </c>
      <c r="G1032" s="72" t="s">
        <v>142</v>
      </c>
      <c r="H1032" s="83">
        <v>0.58333333333333337</v>
      </c>
      <c r="I1032" s="83">
        <v>0.70833333333333337</v>
      </c>
      <c r="J1032" s="63">
        <f t="shared" ref="J1032:J1035" si="221">I1032-H1032</f>
        <v>0.125</v>
      </c>
      <c r="K1032" s="88" t="s">
        <v>365</v>
      </c>
      <c r="L1032" s="135">
        <f t="shared" ref="L1032:L1035" si="222">24*J1032</f>
        <v>3</v>
      </c>
      <c r="O1032" s="91" t="s">
        <v>314</v>
      </c>
      <c r="P1032" s="88">
        <v>5</v>
      </c>
      <c r="Q1032" s="60" t="s">
        <v>279</v>
      </c>
      <c r="Z1032" s="100"/>
    </row>
    <row r="1033" spans="1:26" x14ac:dyDescent="0.25">
      <c r="A1033" s="99">
        <v>45536</v>
      </c>
      <c r="B1033" s="74">
        <v>45564</v>
      </c>
      <c r="C1033" s="60" t="s">
        <v>31</v>
      </c>
      <c r="D1033" s="60" t="s">
        <v>599</v>
      </c>
      <c r="E1033" s="115" t="s">
        <v>1260</v>
      </c>
      <c r="F1033" s="60" t="s">
        <v>1259</v>
      </c>
      <c r="G1033" s="72" t="s">
        <v>142</v>
      </c>
      <c r="H1033" s="83">
        <v>0.41666666666666669</v>
      </c>
      <c r="I1033" s="83">
        <v>0.75</v>
      </c>
      <c r="J1033" s="63">
        <f t="shared" si="221"/>
        <v>0.33333333333333331</v>
      </c>
      <c r="K1033" s="88" t="s">
        <v>300</v>
      </c>
      <c r="L1033" s="135">
        <f t="shared" si="222"/>
        <v>8</v>
      </c>
      <c r="O1033" s="91" t="s">
        <v>362</v>
      </c>
      <c r="P1033" s="88">
        <v>5</v>
      </c>
      <c r="Q1033" s="60" t="s">
        <v>279</v>
      </c>
      <c r="Z1033" s="100"/>
    </row>
    <row r="1034" spans="1:26" x14ac:dyDescent="0.25">
      <c r="A1034" s="99">
        <v>45536</v>
      </c>
      <c r="B1034" s="74">
        <v>45565</v>
      </c>
      <c r="C1034" s="60" t="s">
        <v>45</v>
      </c>
      <c r="D1034" s="60" t="s">
        <v>126</v>
      </c>
      <c r="E1034" s="115" t="s">
        <v>1264</v>
      </c>
      <c r="F1034" s="60" t="s">
        <v>1265</v>
      </c>
      <c r="G1034" s="72" t="s">
        <v>142</v>
      </c>
      <c r="H1034" s="83">
        <v>0.5</v>
      </c>
      <c r="I1034" s="83">
        <v>0.58333333333333337</v>
      </c>
      <c r="J1034" s="63">
        <f t="shared" ref="J1034" si="223">I1034-H1034</f>
        <v>8.333333333333337E-2</v>
      </c>
      <c r="K1034" s="88" t="s">
        <v>110</v>
      </c>
      <c r="L1034" s="135">
        <f t="shared" ref="L1034" si="224">24*J1034</f>
        <v>2.0000000000000009</v>
      </c>
      <c r="O1034" s="91" t="s">
        <v>361</v>
      </c>
      <c r="P1034" s="88">
        <v>4</v>
      </c>
      <c r="Q1034" s="60" t="s">
        <v>1266</v>
      </c>
      <c r="Z1034" s="100"/>
    </row>
    <row r="1035" spans="1:26" x14ac:dyDescent="0.25">
      <c r="A1035" s="99">
        <v>45536</v>
      </c>
      <c r="B1035" s="74">
        <v>45565</v>
      </c>
      <c r="C1035" s="60" t="s">
        <v>45</v>
      </c>
      <c r="D1035" s="60" t="s">
        <v>98</v>
      </c>
      <c r="E1035" s="115" t="s">
        <v>884</v>
      </c>
      <c r="F1035" s="60" t="s">
        <v>1261</v>
      </c>
      <c r="G1035" s="72" t="s">
        <v>142</v>
      </c>
      <c r="H1035" s="83">
        <v>0.64583333333333337</v>
      </c>
      <c r="I1035" s="83">
        <v>0.70833333333333337</v>
      </c>
      <c r="J1035" s="63">
        <f t="shared" si="221"/>
        <v>6.25E-2</v>
      </c>
      <c r="K1035" s="88" t="s">
        <v>365</v>
      </c>
      <c r="L1035" s="135">
        <f t="shared" si="222"/>
        <v>1.5</v>
      </c>
      <c r="O1035" s="91" t="s">
        <v>1214</v>
      </c>
      <c r="P1035" s="88">
        <v>5</v>
      </c>
      <c r="Q1035" s="60"/>
      <c r="Z1035" s="100"/>
    </row>
    <row r="1036" spans="1:26" x14ac:dyDescent="0.25">
      <c r="A1036" s="99">
        <v>45536</v>
      </c>
      <c r="B1036" s="74">
        <v>45565</v>
      </c>
      <c r="C1036" s="60" t="s">
        <v>45</v>
      </c>
      <c r="D1036" s="60" t="s">
        <v>126</v>
      </c>
      <c r="E1036" s="115" t="s">
        <v>1262</v>
      </c>
      <c r="F1036" s="60" t="s">
        <v>926</v>
      </c>
      <c r="G1036" s="72" t="s">
        <v>142</v>
      </c>
      <c r="H1036" s="83">
        <v>0.58333333333333337</v>
      </c>
      <c r="I1036" s="83">
        <v>0.625</v>
      </c>
      <c r="J1036" s="63">
        <f t="shared" ref="J1036:J1048" si="225">I1036-H1036</f>
        <v>4.166666666666663E-2</v>
      </c>
      <c r="K1036" s="88" t="s">
        <v>110</v>
      </c>
      <c r="L1036" s="135">
        <f t="shared" ref="L1036:L1048" si="226">24*J1036</f>
        <v>0.99999999999999911</v>
      </c>
      <c r="O1036" s="91" t="s">
        <v>539</v>
      </c>
      <c r="P1036" s="88">
        <v>5</v>
      </c>
      <c r="Q1036" s="60"/>
      <c r="Z1036" s="100"/>
    </row>
    <row r="1037" spans="1:26" x14ac:dyDescent="0.25">
      <c r="A1037" s="99">
        <v>45566</v>
      </c>
      <c r="B1037" s="74">
        <v>45566</v>
      </c>
      <c r="C1037" s="60" t="s">
        <v>106</v>
      </c>
      <c r="D1037" s="60" t="s">
        <v>98</v>
      </c>
      <c r="E1037" s="115" t="s">
        <v>884</v>
      </c>
      <c r="F1037" s="60" t="s">
        <v>1261</v>
      </c>
      <c r="G1037" s="72" t="s">
        <v>142</v>
      </c>
      <c r="H1037" s="83">
        <v>0.39583333333333331</v>
      </c>
      <c r="I1037" s="83">
        <v>0.70833333333333337</v>
      </c>
      <c r="J1037" s="63">
        <f t="shared" ref="J1037:J1038" si="227">I1037-H1037</f>
        <v>0.31250000000000006</v>
      </c>
      <c r="K1037" s="88" t="s">
        <v>365</v>
      </c>
      <c r="L1037" s="135">
        <f t="shared" ref="L1037:L1038" si="228">24*J1037</f>
        <v>7.5000000000000018</v>
      </c>
      <c r="O1037" s="91" t="s">
        <v>820</v>
      </c>
      <c r="P1037" s="88">
        <v>5</v>
      </c>
      <c r="Q1037" s="60"/>
      <c r="Z1037" s="100"/>
    </row>
    <row r="1038" spans="1:26" x14ac:dyDescent="0.25">
      <c r="A1038" s="99">
        <v>45566</v>
      </c>
      <c r="B1038" s="74">
        <v>45566</v>
      </c>
      <c r="C1038" s="60" t="s">
        <v>106</v>
      </c>
      <c r="D1038" s="60" t="s">
        <v>672</v>
      </c>
      <c r="E1038" s="115" t="s">
        <v>449</v>
      </c>
      <c r="F1038" s="60" t="s">
        <v>1244</v>
      </c>
      <c r="G1038" s="72" t="s">
        <v>142</v>
      </c>
      <c r="H1038" s="83">
        <v>0.60416666666666663</v>
      </c>
      <c r="I1038" s="83">
        <v>0.70833333333333337</v>
      </c>
      <c r="J1038" s="63">
        <f t="shared" si="227"/>
        <v>0.10416666666666674</v>
      </c>
      <c r="K1038" s="88" t="s">
        <v>365</v>
      </c>
      <c r="L1038" s="135">
        <f t="shared" si="228"/>
        <v>2.5000000000000018</v>
      </c>
      <c r="O1038" s="91" t="s">
        <v>1214</v>
      </c>
      <c r="P1038" s="88">
        <v>5</v>
      </c>
      <c r="Q1038" s="60"/>
      <c r="Z1038" s="100"/>
    </row>
    <row r="1039" spans="1:26" x14ac:dyDescent="0.25">
      <c r="A1039" s="99">
        <v>45566</v>
      </c>
      <c r="B1039" s="74">
        <v>45567</v>
      </c>
      <c r="C1039" s="60" t="s">
        <v>398</v>
      </c>
      <c r="D1039" s="60" t="s">
        <v>98</v>
      </c>
      <c r="E1039" s="115" t="s">
        <v>884</v>
      </c>
      <c r="F1039" s="60" t="s">
        <v>1261</v>
      </c>
      <c r="G1039" s="72" t="s">
        <v>142</v>
      </c>
      <c r="H1039" s="83">
        <v>0.39583333333333331</v>
      </c>
      <c r="I1039" s="83">
        <v>0.70833333333333337</v>
      </c>
      <c r="J1039" s="63">
        <f t="shared" si="225"/>
        <v>0.31250000000000006</v>
      </c>
      <c r="K1039" s="88" t="s">
        <v>365</v>
      </c>
      <c r="L1039" s="135">
        <f t="shared" si="226"/>
        <v>7.5000000000000018</v>
      </c>
      <c r="O1039" s="91" t="s">
        <v>820</v>
      </c>
      <c r="P1039" s="88">
        <v>5</v>
      </c>
      <c r="Z1039" s="100"/>
    </row>
    <row r="1040" spans="1:26" x14ac:dyDescent="0.25">
      <c r="A1040" s="99">
        <v>45566</v>
      </c>
      <c r="B1040" s="74">
        <v>45567</v>
      </c>
      <c r="C1040" s="60" t="s">
        <v>398</v>
      </c>
      <c r="D1040" s="60" t="s">
        <v>481</v>
      </c>
      <c r="E1040" s="115" t="s">
        <v>1233</v>
      </c>
      <c r="F1040" s="60" t="s">
        <v>1256</v>
      </c>
      <c r="G1040" s="72" t="s">
        <v>142</v>
      </c>
      <c r="H1040" s="83">
        <v>0.41666666666666669</v>
      </c>
      <c r="I1040" s="83">
        <v>0.6875</v>
      </c>
      <c r="J1040" s="63">
        <f t="shared" si="225"/>
        <v>0.27083333333333331</v>
      </c>
      <c r="K1040" s="88" t="s">
        <v>113</v>
      </c>
      <c r="L1040" s="135">
        <f t="shared" si="226"/>
        <v>6.5</v>
      </c>
      <c r="O1040" s="91" t="s">
        <v>363</v>
      </c>
      <c r="P1040" s="88">
        <v>3</v>
      </c>
      <c r="Q1040" s="60" t="s">
        <v>1267</v>
      </c>
      <c r="Z1040" s="100"/>
    </row>
    <row r="1041" spans="1:26" x14ac:dyDescent="0.25">
      <c r="A1041" s="99">
        <v>45566</v>
      </c>
      <c r="B1041" s="74">
        <v>45567</v>
      </c>
      <c r="C1041" s="60" t="s">
        <v>398</v>
      </c>
      <c r="D1041" s="60" t="s">
        <v>326</v>
      </c>
      <c r="E1041" s="115" t="s">
        <v>1000</v>
      </c>
      <c r="F1041" s="60" t="s">
        <v>1268</v>
      </c>
      <c r="G1041" s="72" t="s">
        <v>142</v>
      </c>
      <c r="H1041" s="83">
        <v>0.58333333333333337</v>
      </c>
      <c r="I1041" s="83">
        <v>0.625</v>
      </c>
      <c r="J1041" s="63">
        <f t="shared" ref="J1041" si="229">I1041-H1041</f>
        <v>4.166666666666663E-2</v>
      </c>
      <c r="K1041" s="88" t="s">
        <v>113</v>
      </c>
      <c r="L1041" s="135">
        <f t="shared" ref="L1041" si="230">24*J1041</f>
        <v>0.99999999999999911</v>
      </c>
      <c r="O1041" s="91" t="s">
        <v>363</v>
      </c>
      <c r="P1041" s="88">
        <v>3</v>
      </c>
      <c r="Q1041" s="60" t="s">
        <v>1267</v>
      </c>
      <c r="Z1041" s="100"/>
    </row>
    <row r="1042" spans="1:26" x14ac:dyDescent="0.25">
      <c r="A1042" s="99">
        <v>45566</v>
      </c>
      <c r="B1042" s="74">
        <v>45567</v>
      </c>
      <c r="C1042" s="60" t="s">
        <v>398</v>
      </c>
      <c r="D1042" s="60" t="s">
        <v>830</v>
      </c>
      <c r="E1042" s="60" t="s">
        <v>403</v>
      </c>
      <c r="F1042" s="60" t="s">
        <v>934</v>
      </c>
      <c r="G1042" s="59" t="s">
        <v>142</v>
      </c>
      <c r="H1042" s="83">
        <v>0.5</v>
      </c>
      <c r="I1042" s="83">
        <v>0.54166666666666663</v>
      </c>
      <c r="J1042" s="63">
        <f t="shared" ref="J1042" si="231">I1042-H1042</f>
        <v>4.166666666666663E-2</v>
      </c>
      <c r="K1042" s="88" t="s">
        <v>113</v>
      </c>
      <c r="L1042" s="135">
        <f t="shared" ref="L1042" si="232">24*J1042</f>
        <v>0.99999999999999911</v>
      </c>
      <c r="O1042" s="91" t="s">
        <v>363</v>
      </c>
      <c r="P1042" s="88">
        <v>4</v>
      </c>
      <c r="Q1042" s="60" t="s">
        <v>472</v>
      </c>
      <c r="Z1042" s="100"/>
    </row>
    <row r="1043" spans="1:26" x14ac:dyDescent="0.25">
      <c r="A1043" s="99">
        <v>45566</v>
      </c>
      <c r="B1043" s="74">
        <v>45567</v>
      </c>
      <c r="C1043" s="60" t="s">
        <v>398</v>
      </c>
      <c r="D1043" s="60" t="s">
        <v>830</v>
      </c>
      <c r="E1043" s="60" t="s">
        <v>403</v>
      </c>
      <c r="F1043" s="60" t="s">
        <v>934</v>
      </c>
      <c r="G1043" s="59" t="s">
        <v>142</v>
      </c>
      <c r="H1043" s="83">
        <v>0.4375</v>
      </c>
      <c r="I1043" s="83">
        <v>0.5</v>
      </c>
      <c r="J1043" s="63">
        <f t="shared" si="225"/>
        <v>6.25E-2</v>
      </c>
      <c r="K1043" s="88" t="s">
        <v>365</v>
      </c>
      <c r="L1043" s="135">
        <f t="shared" si="226"/>
        <v>1.5</v>
      </c>
      <c r="O1043" s="91" t="s">
        <v>820</v>
      </c>
      <c r="P1043" s="88">
        <v>5</v>
      </c>
      <c r="Z1043" s="100"/>
    </row>
    <row r="1044" spans="1:26" x14ac:dyDescent="0.25">
      <c r="A1044" s="99">
        <v>45566</v>
      </c>
      <c r="B1044" s="74">
        <v>45567</v>
      </c>
      <c r="C1044" s="60" t="s">
        <v>398</v>
      </c>
      <c r="D1044" s="60" t="s">
        <v>599</v>
      </c>
      <c r="E1044" s="62" t="s">
        <v>1017</v>
      </c>
      <c r="F1044" s="60" t="s">
        <v>837</v>
      </c>
      <c r="G1044" s="72" t="s">
        <v>142</v>
      </c>
      <c r="H1044" s="83">
        <v>0.64583333333333337</v>
      </c>
      <c r="I1044" s="83">
        <v>0.8125</v>
      </c>
      <c r="J1044" s="63">
        <f t="shared" si="225"/>
        <v>0.16666666666666663</v>
      </c>
      <c r="K1044" s="88" t="s">
        <v>300</v>
      </c>
      <c r="L1044" s="135">
        <f t="shared" si="226"/>
        <v>3.9999999999999991</v>
      </c>
      <c r="O1044" s="91" t="s">
        <v>362</v>
      </c>
      <c r="P1044" s="88">
        <v>5</v>
      </c>
      <c r="Z1044" s="100"/>
    </row>
    <row r="1045" spans="1:26" x14ac:dyDescent="0.25">
      <c r="A1045" s="99">
        <v>45566</v>
      </c>
      <c r="B1045" s="74">
        <v>45567</v>
      </c>
      <c r="C1045" s="60" t="s">
        <v>398</v>
      </c>
      <c r="D1045" s="60" t="s">
        <v>481</v>
      </c>
      <c r="E1045" s="115" t="s">
        <v>1233</v>
      </c>
      <c r="F1045" s="73" t="s">
        <v>1025</v>
      </c>
      <c r="G1045" s="59" t="s">
        <v>142</v>
      </c>
      <c r="H1045" s="83">
        <v>0.41666666666666669</v>
      </c>
      <c r="I1045" s="83">
        <v>0.70833333333333337</v>
      </c>
      <c r="J1045" s="63">
        <f t="shared" si="225"/>
        <v>0.29166666666666669</v>
      </c>
      <c r="K1045" s="88" t="s">
        <v>110</v>
      </c>
      <c r="L1045" s="135">
        <f t="shared" si="226"/>
        <v>7</v>
      </c>
      <c r="O1045" s="91" t="s">
        <v>361</v>
      </c>
      <c r="P1045" s="88">
        <v>5</v>
      </c>
      <c r="Z1045" s="100"/>
    </row>
    <row r="1046" spans="1:26" x14ac:dyDescent="0.25">
      <c r="A1046" s="99">
        <v>45566</v>
      </c>
      <c r="B1046" s="74">
        <v>45567</v>
      </c>
      <c r="C1046" s="60" t="s">
        <v>398</v>
      </c>
      <c r="D1046" s="60" t="s">
        <v>830</v>
      </c>
      <c r="E1046" s="60" t="s">
        <v>403</v>
      </c>
      <c r="F1046" s="60" t="s">
        <v>934</v>
      </c>
      <c r="G1046" s="59" t="s">
        <v>142</v>
      </c>
      <c r="H1046" s="83">
        <v>0.41666666666666669</v>
      </c>
      <c r="I1046" s="83">
        <v>0.45833333333333331</v>
      </c>
      <c r="J1046" s="63">
        <f t="shared" si="225"/>
        <v>4.166666666666663E-2</v>
      </c>
      <c r="K1046" s="88" t="s">
        <v>110</v>
      </c>
      <c r="L1046" s="135">
        <f t="shared" si="226"/>
        <v>0.99999999999999911</v>
      </c>
      <c r="O1046" s="91" t="s">
        <v>361</v>
      </c>
      <c r="P1046" s="88">
        <v>5</v>
      </c>
      <c r="Z1046" s="100"/>
    </row>
    <row r="1047" spans="1:26" x14ac:dyDescent="0.25">
      <c r="A1047" s="99">
        <v>45566</v>
      </c>
      <c r="B1047" s="74">
        <v>45567</v>
      </c>
      <c r="C1047" s="60" t="s">
        <v>398</v>
      </c>
      <c r="D1047" s="60" t="s">
        <v>46</v>
      </c>
      <c r="E1047" s="115" t="s">
        <v>1233</v>
      </c>
      <c r="F1047" s="73" t="s">
        <v>1263</v>
      </c>
      <c r="G1047" s="59" t="s">
        <v>142</v>
      </c>
      <c r="H1047" s="83">
        <v>0.45833333333333298</v>
      </c>
      <c r="I1047" s="83">
        <v>0.66666666666666663</v>
      </c>
      <c r="J1047" s="63">
        <f t="shared" si="225"/>
        <v>0.20833333333333365</v>
      </c>
      <c r="K1047" s="88" t="s">
        <v>110</v>
      </c>
      <c r="L1047" s="135">
        <f t="shared" si="226"/>
        <v>5.0000000000000071</v>
      </c>
      <c r="O1047" s="91" t="s">
        <v>361</v>
      </c>
      <c r="P1047" s="88">
        <v>5</v>
      </c>
      <c r="Z1047" s="100"/>
    </row>
    <row r="1048" spans="1:26" x14ac:dyDescent="0.25">
      <c r="A1048" s="99">
        <v>45566</v>
      </c>
      <c r="B1048" s="74">
        <v>45568</v>
      </c>
      <c r="C1048" s="60" t="s">
        <v>124</v>
      </c>
      <c r="D1048" s="60" t="s">
        <v>98</v>
      </c>
      <c r="E1048" s="115" t="s">
        <v>884</v>
      </c>
      <c r="F1048" s="60" t="s">
        <v>1261</v>
      </c>
      <c r="G1048" s="72" t="s">
        <v>142</v>
      </c>
      <c r="H1048" s="83">
        <v>0.41666666666666669</v>
      </c>
      <c r="I1048" s="83">
        <v>0.45833333333333331</v>
      </c>
      <c r="J1048" s="63">
        <f t="shared" si="225"/>
        <v>4.166666666666663E-2</v>
      </c>
      <c r="K1048" s="88" t="s">
        <v>365</v>
      </c>
      <c r="L1048" s="135">
        <f t="shared" si="226"/>
        <v>0.99999999999999911</v>
      </c>
      <c r="O1048" s="91" t="s">
        <v>363</v>
      </c>
      <c r="P1048" s="88">
        <v>5</v>
      </c>
      <c r="Q1048" s="60"/>
      <c r="Z1048" s="100"/>
    </row>
    <row r="1049" spans="1:26" x14ac:dyDescent="0.25">
      <c r="A1049" s="99">
        <v>45566</v>
      </c>
      <c r="B1049" s="74">
        <v>45568</v>
      </c>
      <c r="C1049" s="60" t="s">
        <v>124</v>
      </c>
      <c r="D1049" s="60" t="s">
        <v>840</v>
      </c>
      <c r="E1049" s="62" t="s">
        <v>505</v>
      </c>
      <c r="F1049" s="60" t="s">
        <v>1269</v>
      </c>
      <c r="G1049" s="72" t="s">
        <v>142</v>
      </c>
      <c r="H1049" s="83">
        <v>0.5</v>
      </c>
      <c r="I1049" s="83">
        <v>0.58333333333333337</v>
      </c>
      <c r="J1049" s="63">
        <f t="shared" ref="J1049:J1050" si="233">I1049-H1049</f>
        <v>8.333333333333337E-2</v>
      </c>
      <c r="K1049" s="88" t="s">
        <v>300</v>
      </c>
      <c r="L1049" s="135">
        <f t="shared" ref="L1049:L1050" si="234">24*J1049</f>
        <v>2.0000000000000009</v>
      </c>
      <c r="O1049" s="91" t="s">
        <v>362</v>
      </c>
      <c r="P1049" s="88">
        <v>5</v>
      </c>
      <c r="Z1049" s="100"/>
    </row>
    <row r="1050" spans="1:26" x14ac:dyDescent="0.25">
      <c r="A1050" s="99">
        <v>45566</v>
      </c>
      <c r="B1050" s="74">
        <v>45570</v>
      </c>
      <c r="C1050" s="60" t="s">
        <v>34</v>
      </c>
      <c r="D1050" s="60" t="s">
        <v>720</v>
      </c>
      <c r="E1050" s="115" t="s">
        <v>969</v>
      </c>
      <c r="F1050" s="60" t="s">
        <v>1259</v>
      </c>
      <c r="G1050" s="72" t="s">
        <v>142</v>
      </c>
      <c r="H1050" s="83">
        <v>0.47916666666666669</v>
      </c>
      <c r="I1050" s="83">
        <v>0.875</v>
      </c>
      <c r="J1050" s="63">
        <f t="shared" si="233"/>
        <v>0.39583333333333331</v>
      </c>
      <c r="K1050" s="88" t="s">
        <v>300</v>
      </c>
      <c r="L1050" s="135">
        <f t="shared" si="234"/>
        <v>9.5</v>
      </c>
      <c r="O1050" s="91" t="s">
        <v>362</v>
      </c>
      <c r="P1050" s="88">
        <v>5</v>
      </c>
      <c r="Q1050" s="60" t="s">
        <v>279</v>
      </c>
      <c r="Z1050" s="100"/>
    </row>
    <row r="1051" spans="1:26" x14ac:dyDescent="0.25">
      <c r="A1051" s="99">
        <v>45566</v>
      </c>
      <c r="B1051" s="74">
        <v>45570</v>
      </c>
      <c r="C1051" s="60" t="s">
        <v>34</v>
      </c>
      <c r="D1051" s="60" t="s">
        <v>599</v>
      </c>
      <c r="E1051" s="115" t="s">
        <v>1017</v>
      </c>
      <c r="F1051" s="60" t="s">
        <v>1259</v>
      </c>
      <c r="G1051" s="72" t="s">
        <v>142</v>
      </c>
      <c r="H1051" s="83">
        <v>0.41666666666666669</v>
      </c>
      <c r="I1051" s="83">
        <v>0.75</v>
      </c>
      <c r="J1051" s="63">
        <f t="shared" ref="J1051:J1053" si="235">I1051-H1051</f>
        <v>0.33333333333333331</v>
      </c>
      <c r="K1051" s="88" t="s">
        <v>300</v>
      </c>
      <c r="L1051" s="135">
        <f t="shared" ref="L1051:L1053" si="236">24*J1051</f>
        <v>8</v>
      </c>
      <c r="O1051" s="91" t="s">
        <v>362</v>
      </c>
      <c r="P1051" s="88">
        <v>5</v>
      </c>
      <c r="Q1051" s="60" t="s">
        <v>279</v>
      </c>
      <c r="Z1051" s="100"/>
    </row>
    <row r="1052" spans="1:26" x14ac:dyDescent="0.25">
      <c r="A1052" s="99">
        <v>45566</v>
      </c>
      <c r="B1052" s="74">
        <v>45572</v>
      </c>
      <c r="C1052" s="60" t="s">
        <v>45</v>
      </c>
      <c r="D1052" s="60" t="s">
        <v>481</v>
      </c>
      <c r="E1052" s="115" t="s">
        <v>1275</v>
      </c>
      <c r="F1052" s="60" t="s">
        <v>1276</v>
      </c>
      <c r="G1052" s="72" t="s">
        <v>142</v>
      </c>
      <c r="H1052" s="83">
        <v>0.41666666666666669</v>
      </c>
      <c r="I1052" s="83">
        <v>0.66666666666666663</v>
      </c>
      <c r="J1052" s="63">
        <f t="shared" si="235"/>
        <v>0.24999999999999994</v>
      </c>
      <c r="K1052" s="88" t="s">
        <v>113</v>
      </c>
      <c r="L1052" s="135">
        <f t="shared" si="236"/>
        <v>5.9999999999999982</v>
      </c>
      <c r="O1052" s="91" t="s">
        <v>363</v>
      </c>
      <c r="P1052" s="88">
        <v>3</v>
      </c>
      <c r="Q1052" s="60" t="s">
        <v>1267</v>
      </c>
      <c r="Z1052" s="100"/>
    </row>
    <row r="1053" spans="1:26" x14ac:dyDescent="0.25">
      <c r="A1053" s="99">
        <v>45566</v>
      </c>
      <c r="B1053" s="74">
        <v>45572</v>
      </c>
      <c r="C1053" s="60" t="s">
        <v>45</v>
      </c>
      <c r="D1053" s="60" t="s">
        <v>98</v>
      </c>
      <c r="E1053" s="115" t="s">
        <v>884</v>
      </c>
      <c r="F1053" s="60" t="s">
        <v>1261</v>
      </c>
      <c r="G1053" s="72" t="s">
        <v>142</v>
      </c>
      <c r="H1053" s="83">
        <v>0.375</v>
      </c>
      <c r="I1053" s="83">
        <v>0.66666666666666663</v>
      </c>
      <c r="J1053" s="63">
        <f t="shared" si="235"/>
        <v>0.29166666666666663</v>
      </c>
      <c r="K1053" s="88" t="s">
        <v>113</v>
      </c>
      <c r="L1053" s="135">
        <f t="shared" si="236"/>
        <v>6.9999999999999991</v>
      </c>
      <c r="O1053" s="91" t="s">
        <v>539</v>
      </c>
      <c r="P1053" s="88">
        <v>5</v>
      </c>
      <c r="Q1053" s="60"/>
      <c r="Z1053" s="100"/>
    </row>
    <row r="1054" spans="1:26" x14ac:dyDescent="0.25">
      <c r="A1054" s="99">
        <v>45566</v>
      </c>
      <c r="B1054" s="74">
        <v>45573</v>
      </c>
      <c r="C1054" s="60" t="s">
        <v>106</v>
      </c>
      <c r="D1054" s="60" t="s">
        <v>322</v>
      </c>
      <c r="E1054" s="115" t="s">
        <v>1270</v>
      </c>
      <c r="F1054" s="60" t="s">
        <v>1271</v>
      </c>
      <c r="G1054" s="72" t="s">
        <v>142</v>
      </c>
      <c r="H1054" s="83">
        <v>0.4375</v>
      </c>
      <c r="I1054" s="83">
        <v>0.5</v>
      </c>
      <c r="J1054" s="63">
        <f t="shared" ref="J1054" si="237">I1054-H1054</f>
        <v>6.25E-2</v>
      </c>
      <c r="K1054" s="88" t="s">
        <v>365</v>
      </c>
      <c r="L1054" s="135">
        <f t="shared" ref="L1054" si="238">24*J1054</f>
        <v>1.5</v>
      </c>
      <c r="O1054" s="91" t="s">
        <v>576</v>
      </c>
      <c r="P1054" s="88">
        <v>3</v>
      </c>
      <c r="Q1054" s="60" t="s">
        <v>1272</v>
      </c>
      <c r="Z1054" s="100"/>
    </row>
    <row r="1055" spans="1:26" x14ac:dyDescent="0.25">
      <c r="A1055" s="99">
        <v>45566</v>
      </c>
      <c r="B1055" s="74">
        <v>45573</v>
      </c>
      <c r="C1055" s="60" t="s">
        <v>106</v>
      </c>
      <c r="D1055" s="60" t="s">
        <v>658</v>
      </c>
      <c r="E1055" s="115" t="s">
        <v>1273</v>
      </c>
      <c r="F1055" s="60" t="s">
        <v>1274</v>
      </c>
      <c r="G1055" s="72" t="s">
        <v>142</v>
      </c>
      <c r="H1055" s="83">
        <v>0.5</v>
      </c>
      <c r="I1055" s="83">
        <v>0.625</v>
      </c>
      <c r="J1055" s="63">
        <f t="shared" ref="J1055" si="239">I1055-H1055</f>
        <v>0.125</v>
      </c>
      <c r="K1055" s="88" t="s">
        <v>295</v>
      </c>
      <c r="L1055" s="135">
        <f t="shared" ref="L1055" si="240">24*J1055</f>
        <v>3</v>
      </c>
      <c r="O1055" s="91" t="s">
        <v>314</v>
      </c>
      <c r="P1055" s="88">
        <v>5</v>
      </c>
      <c r="Q1055" s="60"/>
      <c r="Z1055" s="100"/>
    </row>
    <row r="1056" spans="1:26" x14ac:dyDescent="0.25">
      <c r="A1056" s="99">
        <v>45566</v>
      </c>
      <c r="B1056" s="74">
        <v>45573</v>
      </c>
      <c r="C1056" s="60" t="s">
        <v>106</v>
      </c>
      <c r="D1056" s="60" t="s">
        <v>1279</v>
      </c>
      <c r="E1056" s="115" t="s">
        <v>1277</v>
      </c>
      <c r="F1056" s="60" t="s">
        <v>1278</v>
      </c>
      <c r="G1056" s="72" t="s">
        <v>142</v>
      </c>
      <c r="H1056" s="83">
        <v>0.5</v>
      </c>
      <c r="I1056" s="83">
        <v>0.83333333333333337</v>
      </c>
      <c r="J1056" s="63">
        <f t="shared" ref="J1056:J1057" si="241">I1056-H1056</f>
        <v>0.33333333333333337</v>
      </c>
      <c r="K1056" s="88" t="s">
        <v>365</v>
      </c>
      <c r="L1056" s="135">
        <f t="shared" ref="L1056:L1057" si="242">24*J1056</f>
        <v>8</v>
      </c>
      <c r="O1056" s="91" t="s">
        <v>1214</v>
      </c>
      <c r="P1056" s="88">
        <v>5</v>
      </c>
      <c r="Q1056" s="60"/>
      <c r="Z1056" s="100"/>
    </row>
    <row r="1057" spans="1:26" x14ac:dyDescent="0.25">
      <c r="A1057" s="99">
        <v>45566</v>
      </c>
      <c r="B1057" s="74">
        <v>45574</v>
      </c>
      <c r="C1057" s="60" t="s">
        <v>398</v>
      </c>
      <c r="D1057" s="60" t="s">
        <v>126</v>
      </c>
      <c r="E1057" s="115" t="s">
        <v>888</v>
      </c>
      <c r="F1057" s="60" t="s">
        <v>926</v>
      </c>
      <c r="G1057" s="72" t="s">
        <v>142</v>
      </c>
      <c r="H1057" s="83">
        <v>0.45833333333333331</v>
      </c>
      <c r="I1057" s="83">
        <v>0.54166666666666663</v>
      </c>
      <c r="J1057" s="63">
        <f t="shared" si="241"/>
        <v>8.3333333333333315E-2</v>
      </c>
      <c r="K1057" s="88" t="s">
        <v>365</v>
      </c>
      <c r="L1057" s="135">
        <f t="shared" si="242"/>
        <v>1.9999999999999996</v>
      </c>
      <c r="O1057" s="91" t="s">
        <v>314</v>
      </c>
      <c r="P1057" s="88">
        <v>5</v>
      </c>
      <c r="Q1057" s="60"/>
      <c r="Z1057" s="100"/>
    </row>
    <row r="1058" spans="1:26" x14ac:dyDescent="0.25">
      <c r="A1058" s="99">
        <v>45566</v>
      </c>
      <c r="B1058" s="74">
        <v>45575</v>
      </c>
      <c r="C1058" s="60" t="s">
        <v>124</v>
      </c>
      <c r="D1058" s="60" t="s">
        <v>481</v>
      </c>
      <c r="E1058" s="115" t="s">
        <v>1275</v>
      </c>
      <c r="F1058" s="60" t="s">
        <v>1276</v>
      </c>
      <c r="G1058" s="72" t="s">
        <v>142</v>
      </c>
      <c r="H1058" s="83">
        <v>0.41666666666666669</v>
      </c>
      <c r="I1058" s="83">
        <v>0.70833333333333337</v>
      </c>
      <c r="J1058" s="63">
        <f t="shared" ref="J1058:J1059" si="243">I1058-H1058</f>
        <v>0.29166666666666669</v>
      </c>
      <c r="K1058" s="88" t="s">
        <v>113</v>
      </c>
      <c r="L1058" s="135">
        <f t="shared" ref="L1058" si="244">24*J1058</f>
        <v>7</v>
      </c>
      <c r="O1058" s="91" t="s">
        <v>1214</v>
      </c>
      <c r="P1058" s="88">
        <v>5</v>
      </c>
      <c r="Q1058" s="60"/>
      <c r="Z1058" s="100"/>
    </row>
    <row r="1059" spans="1:26" x14ac:dyDescent="0.25">
      <c r="A1059" s="99">
        <v>45566</v>
      </c>
      <c r="B1059" s="74">
        <v>45577</v>
      </c>
      <c r="C1059" s="60" t="s">
        <v>34</v>
      </c>
      <c r="D1059" s="60" t="s">
        <v>720</v>
      </c>
      <c r="E1059" s="115" t="s">
        <v>969</v>
      </c>
      <c r="F1059" s="60" t="s">
        <v>837</v>
      </c>
      <c r="G1059" s="72" t="s">
        <v>142</v>
      </c>
      <c r="H1059" s="83">
        <v>0.95833333333333337</v>
      </c>
      <c r="I1059" s="83">
        <v>0.72916666666666663</v>
      </c>
      <c r="J1059" s="63">
        <f t="shared" si="243"/>
        <v>-0.22916666666666674</v>
      </c>
      <c r="K1059" s="88" t="s">
        <v>300</v>
      </c>
      <c r="L1059" s="135">
        <v>6.5</v>
      </c>
      <c r="O1059" s="91" t="s">
        <v>362</v>
      </c>
      <c r="P1059" s="88">
        <v>5</v>
      </c>
      <c r="Q1059" s="60"/>
      <c r="Z1059" s="100"/>
    </row>
    <row r="1060" spans="1:26" x14ac:dyDescent="0.25">
      <c r="A1060" s="99">
        <v>45566</v>
      </c>
      <c r="B1060" s="74">
        <v>45577</v>
      </c>
      <c r="C1060" s="60" t="s">
        <v>34</v>
      </c>
      <c r="D1060" s="60" t="s">
        <v>481</v>
      </c>
      <c r="E1060" s="115" t="s">
        <v>1233</v>
      </c>
      <c r="F1060" s="60" t="s">
        <v>1284</v>
      </c>
      <c r="G1060" s="72" t="s">
        <v>142</v>
      </c>
      <c r="H1060" s="83">
        <v>0.41666666666666669</v>
      </c>
      <c r="I1060" s="83">
        <v>0.72916666666666663</v>
      </c>
      <c r="J1060" s="63">
        <f t="shared" ref="J1060" si="245">I1060-H1060</f>
        <v>0.31249999999999994</v>
      </c>
      <c r="K1060" s="88" t="s">
        <v>113</v>
      </c>
      <c r="L1060" s="135">
        <f t="shared" ref="L1060" si="246">24*J1060</f>
        <v>7.4999999999999982</v>
      </c>
      <c r="O1060" s="91" t="s">
        <v>357</v>
      </c>
      <c r="P1060" s="88">
        <v>5</v>
      </c>
      <c r="Q1060" s="60"/>
      <c r="Z1060" s="100"/>
    </row>
    <row r="1061" spans="1:26" x14ac:dyDescent="0.25">
      <c r="A1061" s="99">
        <v>45566</v>
      </c>
      <c r="B1061" s="74">
        <v>45577</v>
      </c>
      <c r="C1061" s="60" t="s">
        <v>34</v>
      </c>
      <c r="D1061" s="60" t="s">
        <v>311</v>
      </c>
      <c r="E1061" s="115" t="s">
        <v>1280</v>
      </c>
      <c r="F1061" s="60" t="s">
        <v>1281</v>
      </c>
      <c r="G1061" s="72" t="s">
        <v>142</v>
      </c>
      <c r="H1061" s="83">
        <v>0.52083333333333337</v>
      </c>
      <c r="I1061" s="83">
        <v>0.54166666666666663</v>
      </c>
      <c r="J1061" s="63">
        <f t="shared" ref="J1061:J1064" si="247">I1061-H1061</f>
        <v>2.0833333333333259E-2</v>
      </c>
      <c r="K1061" s="88" t="s">
        <v>365</v>
      </c>
      <c r="L1061" s="135">
        <f t="shared" ref="L1061:L1064" si="248">24*J1061</f>
        <v>0.49999999999999822</v>
      </c>
      <c r="O1061" s="91" t="s">
        <v>821</v>
      </c>
      <c r="P1061" s="88">
        <v>5</v>
      </c>
      <c r="Q1061" s="60"/>
      <c r="Z1061" s="100"/>
    </row>
    <row r="1062" spans="1:26" x14ac:dyDescent="0.25">
      <c r="A1062" s="99">
        <v>45566</v>
      </c>
      <c r="B1062" s="74">
        <v>45578</v>
      </c>
      <c r="C1062" s="60" t="s">
        <v>31</v>
      </c>
      <c r="D1062" s="60" t="s">
        <v>830</v>
      </c>
      <c r="E1062" s="60" t="s">
        <v>1282</v>
      </c>
      <c r="F1062" s="60" t="s">
        <v>1283</v>
      </c>
      <c r="G1062" s="59" t="s">
        <v>142</v>
      </c>
      <c r="H1062" s="83">
        <v>0.41666666666666669</v>
      </c>
      <c r="I1062" s="83">
        <v>0.5</v>
      </c>
      <c r="J1062" s="63">
        <f t="shared" si="247"/>
        <v>8.3333333333333315E-2</v>
      </c>
      <c r="K1062" s="88" t="s">
        <v>365</v>
      </c>
      <c r="L1062" s="135">
        <f t="shared" si="248"/>
        <v>1.9999999999999996</v>
      </c>
      <c r="O1062" s="91" t="s">
        <v>820</v>
      </c>
      <c r="P1062" s="88">
        <v>5</v>
      </c>
      <c r="Z1062" s="100"/>
    </row>
    <row r="1063" spans="1:26" x14ac:dyDescent="0.25">
      <c r="A1063" s="99">
        <v>45566</v>
      </c>
      <c r="B1063" s="74">
        <v>45578</v>
      </c>
      <c r="C1063" s="60" t="s">
        <v>31</v>
      </c>
      <c r="D1063" s="60" t="s">
        <v>98</v>
      </c>
      <c r="E1063" s="115" t="s">
        <v>884</v>
      </c>
      <c r="F1063" s="60" t="s">
        <v>1261</v>
      </c>
      <c r="G1063" s="72" t="s">
        <v>142</v>
      </c>
      <c r="H1063" s="83">
        <v>0.41666666666666669</v>
      </c>
      <c r="I1063" s="83">
        <v>0.70833333333333337</v>
      </c>
      <c r="J1063" s="63">
        <f t="shared" si="247"/>
        <v>0.29166666666666669</v>
      </c>
      <c r="K1063" s="88" t="s">
        <v>365</v>
      </c>
      <c r="L1063" s="135">
        <f t="shared" si="248"/>
        <v>7</v>
      </c>
      <c r="O1063" s="91" t="s">
        <v>820</v>
      </c>
      <c r="P1063" s="88">
        <v>5</v>
      </c>
      <c r="Q1063" s="60"/>
      <c r="Z1063" s="100"/>
    </row>
    <row r="1064" spans="1:26" x14ac:dyDescent="0.25">
      <c r="A1064" s="99">
        <v>45566</v>
      </c>
      <c r="B1064" s="74">
        <v>45578</v>
      </c>
      <c r="C1064" s="60" t="s">
        <v>31</v>
      </c>
      <c r="D1064" s="60" t="s">
        <v>126</v>
      </c>
      <c r="E1064" s="115" t="s">
        <v>1285</v>
      </c>
      <c r="F1064" s="60" t="s">
        <v>926</v>
      </c>
      <c r="G1064" s="72" t="s">
        <v>142</v>
      </c>
      <c r="H1064" s="83">
        <v>0.54166666666666663</v>
      </c>
      <c r="I1064" s="83">
        <v>0.625</v>
      </c>
      <c r="J1064" s="63">
        <f t="shared" si="247"/>
        <v>8.333333333333337E-2</v>
      </c>
      <c r="K1064" s="88" t="s">
        <v>110</v>
      </c>
      <c r="L1064" s="135">
        <f t="shared" si="248"/>
        <v>2.0000000000000009</v>
      </c>
      <c r="O1064" s="91" t="s">
        <v>576</v>
      </c>
      <c r="P1064" s="88">
        <v>5</v>
      </c>
      <c r="Q1064" s="60"/>
      <c r="Z1064" s="100"/>
    </row>
    <row r="1065" spans="1:26" x14ac:dyDescent="0.25">
      <c r="A1065" s="99">
        <v>45566</v>
      </c>
      <c r="B1065" s="74">
        <v>45578</v>
      </c>
      <c r="C1065" s="60" t="s">
        <v>31</v>
      </c>
      <c r="D1065" s="60" t="s">
        <v>126</v>
      </c>
      <c r="E1065" s="115" t="s">
        <v>1285</v>
      </c>
      <c r="F1065" s="60" t="s">
        <v>926</v>
      </c>
      <c r="G1065" s="72" t="s">
        <v>142</v>
      </c>
      <c r="H1065" s="83">
        <v>0.625</v>
      </c>
      <c r="I1065" s="83">
        <v>0.66666666666666663</v>
      </c>
      <c r="J1065" s="63">
        <f t="shared" ref="J1065" si="249">I1065-H1065</f>
        <v>4.166666666666663E-2</v>
      </c>
      <c r="K1065" s="88" t="s">
        <v>295</v>
      </c>
      <c r="L1065" s="135">
        <f t="shared" ref="L1065" si="250">24*J1065</f>
        <v>0.99999999999999911</v>
      </c>
      <c r="O1065" s="91" t="s">
        <v>576</v>
      </c>
      <c r="P1065" s="88">
        <v>5</v>
      </c>
      <c r="Q1065" s="60"/>
      <c r="Z1065" s="100"/>
    </row>
    <row r="1066" spans="1:26" x14ac:dyDescent="0.25">
      <c r="A1066" s="99">
        <v>45566</v>
      </c>
      <c r="B1066" s="74">
        <v>45578</v>
      </c>
      <c r="C1066" s="60" t="s">
        <v>31</v>
      </c>
      <c r="D1066" s="60" t="s">
        <v>126</v>
      </c>
      <c r="E1066" s="115" t="s">
        <v>1285</v>
      </c>
      <c r="F1066" s="60" t="s">
        <v>926</v>
      </c>
      <c r="G1066" s="72" t="s">
        <v>142</v>
      </c>
      <c r="H1066" s="83">
        <v>0.70833333333333337</v>
      </c>
      <c r="I1066" s="83">
        <v>0.72916666666666663</v>
      </c>
      <c r="J1066" s="63">
        <f t="shared" ref="J1066:J1071" si="251">I1066-H1066</f>
        <v>2.0833333333333259E-2</v>
      </c>
      <c r="K1066" s="88" t="s">
        <v>113</v>
      </c>
      <c r="L1066" s="135">
        <f t="shared" ref="L1066:L1071" si="252">24*J1066</f>
        <v>0.49999999999999822</v>
      </c>
      <c r="O1066" s="91" t="s">
        <v>1214</v>
      </c>
      <c r="P1066" s="88">
        <v>4</v>
      </c>
      <c r="Q1066" s="60" t="s">
        <v>472</v>
      </c>
      <c r="Z1066" s="100"/>
    </row>
    <row r="1067" spans="1:26" x14ac:dyDescent="0.25">
      <c r="A1067" s="99">
        <v>45566</v>
      </c>
      <c r="B1067" s="74">
        <v>45578</v>
      </c>
      <c r="C1067" s="60" t="s">
        <v>31</v>
      </c>
      <c r="D1067" s="60" t="s">
        <v>481</v>
      </c>
      <c r="E1067" s="115" t="s">
        <v>1233</v>
      </c>
      <c r="F1067" s="60" t="s">
        <v>1276</v>
      </c>
      <c r="G1067" s="72" t="s">
        <v>142</v>
      </c>
      <c r="H1067" s="83">
        <v>0.41666666666666669</v>
      </c>
      <c r="I1067" s="83">
        <v>0.625</v>
      </c>
      <c r="J1067" s="63">
        <f t="shared" si="251"/>
        <v>0.20833333333333331</v>
      </c>
      <c r="K1067" s="88" t="s">
        <v>113</v>
      </c>
      <c r="L1067" s="135">
        <f t="shared" si="252"/>
        <v>5</v>
      </c>
      <c r="O1067" s="91" t="s">
        <v>1214</v>
      </c>
      <c r="P1067" s="88">
        <v>5</v>
      </c>
      <c r="Q1067" s="60"/>
      <c r="Z1067" s="100"/>
    </row>
    <row r="1068" spans="1:26" x14ac:dyDescent="0.25">
      <c r="A1068" s="99">
        <v>45566</v>
      </c>
      <c r="B1068" s="74">
        <v>45579</v>
      </c>
      <c r="C1068" s="60" t="s">
        <v>45</v>
      </c>
      <c r="D1068" s="60" t="s">
        <v>308</v>
      </c>
      <c r="E1068" s="115" t="s">
        <v>377</v>
      </c>
      <c r="F1068" s="60" t="s">
        <v>379</v>
      </c>
      <c r="G1068" s="72" t="s">
        <v>142</v>
      </c>
      <c r="H1068" s="83">
        <v>0.54166666666666663</v>
      </c>
      <c r="I1068" s="83">
        <v>0.58333333333333337</v>
      </c>
      <c r="J1068" s="63">
        <f t="shared" ref="J1068" si="253">I1068-H1068</f>
        <v>4.1666666666666741E-2</v>
      </c>
      <c r="K1068" s="88" t="s">
        <v>110</v>
      </c>
      <c r="L1068" s="135">
        <f t="shared" ref="L1068" si="254">24*J1068</f>
        <v>1.0000000000000018</v>
      </c>
      <c r="O1068" s="91" t="s">
        <v>363</v>
      </c>
      <c r="P1068" s="88">
        <v>5</v>
      </c>
      <c r="Q1068" s="60"/>
      <c r="Z1068" s="100"/>
    </row>
    <row r="1069" spans="1:26" x14ac:dyDescent="0.25">
      <c r="A1069" s="99">
        <v>45566</v>
      </c>
      <c r="B1069" s="74">
        <v>45579</v>
      </c>
      <c r="C1069" s="60" t="s">
        <v>45</v>
      </c>
      <c r="D1069" s="60" t="s">
        <v>98</v>
      </c>
      <c r="E1069" s="115" t="s">
        <v>884</v>
      </c>
      <c r="F1069" s="60" t="s">
        <v>1261</v>
      </c>
      <c r="G1069" s="72" t="s">
        <v>142</v>
      </c>
      <c r="H1069" s="83">
        <v>0.45833333333333331</v>
      </c>
      <c r="I1069" s="83">
        <v>0.625</v>
      </c>
      <c r="J1069" s="63">
        <f t="shared" si="251"/>
        <v>0.16666666666666669</v>
      </c>
      <c r="K1069" s="88" t="s">
        <v>110</v>
      </c>
      <c r="L1069" s="135">
        <f t="shared" si="252"/>
        <v>4</v>
      </c>
      <c r="O1069" s="91" t="s">
        <v>363</v>
      </c>
      <c r="P1069" s="88">
        <v>5</v>
      </c>
      <c r="Q1069" s="60"/>
      <c r="Z1069" s="100"/>
    </row>
    <row r="1070" spans="1:26" x14ac:dyDescent="0.25">
      <c r="A1070" s="99">
        <v>45566</v>
      </c>
      <c r="B1070" s="74">
        <v>45579</v>
      </c>
      <c r="C1070" s="60" t="s">
        <v>45</v>
      </c>
      <c r="D1070" s="60" t="s">
        <v>740</v>
      </c>
      <c r="E1070" s="88" t="s">
        <v>757</v>
      </c>
      <c r="F1070" s="60" t="s">
        <v>1300</v>
      </c>
      <c r="G1070" s="72" t="s">
        <v>142</v>
      </c>
      <c r="H1070" s="83">
        <v>0.41666666666666669</v>
      </c>
      <c r="I1070" s="83">
        <v>0.66666666666666663</v>
      </c>
      <c r="J1070" s="63">
        <f t="shared" si="251"/>
        <v>0.24999999999999994</v>
      </c>
      <c r="K1070" s="88" t="s">
        <v>110</v>
      </c>
      <c r="L1070" s="135">
        <f t="shared" si="252"/>
        <v>5.9999999999999982</v>
      </c>
      <c r="O1070" s="91" t="s">
        <v>363</v>
      </c>
      <c r="P1070" s="88">
        <v>5</v>
      </c>
      <c r="Z1070" s="100"/>
    </row>
    <row r="1071" spans="1:26" x14ac:dyDescent="0.25">
      <c r="A1071" s="99">
        <v>45566</v>
      </c>
      <c r="B1071" s="74">
        <v>45579</v>
      </c>
      <c r="C1071" s="60" t="s">
        <v>45</v>
      </c>
      <c r="D1071" s="60" t="s">
        <v>481</v>
      </c>
      <c r="E1071" s="62" t="s">
        <v>1291</v>
      </c>
      <c r="F1071" s="73" t="s">
        <v>1206</v>
      </c>
      <c r="G1071" s="72" t="s">
        <v>142</v>
      </c>
      <c r="H1071" s="83">
        <v>0.41666666666666669</v>
      </c>
      <c r="I1071" s="83">
        <v>0.70833333333333337</v>
      </c>
      <c r="J1071" s="63">
        <f t="shared" si="251"/>
        <v>0.29166666666666669</v>
      </c>
      <c r="K1071" s="88" t="s">
        <v>300</v>
      </c>
      <c r="L1071" s="135">
        <f t="shared" si="252"/>
        <v>7</v>
      </c>
      <c r="O1071" s="91" t="s">
        <v>362</v>
      </c>
      <c r="P1071" s="88">
        <v>5</v>
      </c>
      <c r="Q1071" s="60"/>
      <c r="Z1071" s="100"/>
    </row>
    <row r="1072" spans="1:26" x14ac:dyDescent="0.25">
      <c r="A1072" s="99">
        <v>45566</v>
      </c>
      <c r="B1072" s="74">
        <v>45579</v>
      </c>
      <c r="C1072" s="60" t="s">
        <v>45</v>
      </c>
      <c r="D1072" s="60" t="s">
        <v>1288</v>
      </c>
      <c r="E1072" s="115" t="s">
        <v>1286</v>
      </c>
      <c r="F1072" s="60" t="s">
        <v>1287</v>
      </c>
      <c r="G1072" s="72" t="s">
        <v>142</v>
      </c>
      <c r="H1072" s="83">
        <v>0.64583333333333337</v>
      </c>
      <c r="I1072" s="83">
        <v>0.6875</v>
      </c>
      <c r="J1072" s="63">
        <f t="shared" ref="J1072:J1074" si="255">I1072-H1072</f>
        <v>4.166666666666663E-2</v>
      </c>
      <c r="K1072" s="88" t="s">
        <v>365</v>
      </c>
      <c r="L1072" s="135">
        <f t="shared" ref="L1072:L1074" si="256">24*J1072</f>
        <v>0.99999999999999911</v>
      </c>
      <c r="O1072" s="91" t="s">
        <v>1214</v>
      </c>
      <c r="P1072" s="88">
        <v>5</v>
      </c>
      <c r="Q1072" s="60"/>
      <c r="Z1072" s="100"/>
    </row>
    <row r="1073" spans="1:26" x14ac:dyDescent="0.25">
      <c r="A1073" s="99">
        <v>45566</v>
      </c>
      <c r="B1073" s="74">
        <v>45580</v>
      </c>
      <c r="C1073" s="60" t="s">
        <v>106</v>
      </c>
      <c r="D1073" s="60" t="s">
        <v>98</v>
      </c>
      <c r="E1073" s="115" t="s">
        <v>505</v>
      </c>
      <c r="F1073" s="60" t="s">
        <v>1261</v>
      </c>
      <c r="G1073" s="72" t="s">
        <v>142</v>
      </c>
      <c r="H1073" s="83">
        <v>0.41666666666666669</v>
      </c>
      <c r="I1073" s="83">
        <v>0.54166666666666663</v>
      </c>
      <c r="J1073" s="63">
        <f t="shared" si="255"/>
        <v>0.12499999999999994</v>
      </c>
      <c r="K1073" s="88" t="s">
        <v>365</v>
      </c>
      <c r="L1073" s="135">
        <f t="shared" si="256"/>
        <v>2.9999999999999987</v>
      </c>
      <c r="O1073" s="91" t="s">
        <v>576</v>
      </c>
      <c r="P1073" s="88">
        <v>5</v>
      </c>
      <c r="Q1073" s="60"/>
      <c r="Z1073" s="100"/>
    </row>
    <row r="1074" spans="1:26" x14ac:dyDescent="0.25">
      <c r="A1074" s="99">
        <v>45566</v>
      </c>
      <c r="B1074" s="74">
        <v>45580</v>
      </c>
      <c r="C1074" s="60" t="s">
        <v>106</v>
      </c>
      <c r="D1074" s="60" t="s">
        <v>98</v>
      </c>
      <c r="E1074" s="115" t="s">
        <v>884</v>
      </c>
      <c r="F1074" s="60" t="s">
        <v>1261</v>
      </c>
      <c r="G1074" s="72" t="s">
        <v>142</v>
      </c>
      <c r="H1074" s="83">
        <v>0.41666666666666669</v>
      </c>
      <c r="I1074" s="83">
        <v>0.72916666666666663</v>
      </c>
      <c r="J1074" s="63">
        <f t="shared" si="255"/>
        <v>0.31249999999999994</v>
      </c>
      <c r="K1074" s="88" t="s">
        <v>365</v>
      </c>
      <c r="L1074" s="135">
        <f t="shared" si="256"/>
        <v>7.4999999999999982</v>
      </c>
      <c r="O1074" s="91" t="s">
        <v>576</v>
      </c>
      <c r="P1074" s="88">
        <v>5</v>
      </c>
      <c r="Q1074" s="60"/>
      <c r="Z1074" s="100"/>
    </row>
    <row r="1075" spans="1:26" x14ac:dyDescent="0.25">
      <c r="A1075" s="99">
        <v>45566</v>
      </c>
      <c r="B1075" s="74">
        <v>45580</v>
      </c>
      <c r="C1075" s="60" t="s">
        <v>106</v>
      </c>
      <c r="D1075" s="60" t="s">
        <v>406</v>
      </c>
      <c r="E1075" s="115" t="s">
        <v>1096</v>
      </c>
      <c r="F1075" s="60" t="s">
        <v>616</v>
      </c>
      <c r="G1075" s="72" t="s">
        <v>142</v>
      </c>
      <c r="H1075" s="83">
        <v>0.58333333333333337</v>
      </c>
      <c r="I1075" s="83">
        <v>0.72916666666666663</v>
      </c>
      <c r="J1075" s="63">
        <f t="shared" ref="J1075" si="257">I1075-H1075</f>
        <v>0.14583333333333326</v>
      </c>
      <c r="K1075" s="88" t="s">
        <v>365</v>
      </c>
      <c r="L1075" s="135">
        <f t="shared" ref="L1075" si="258">24*J1075</f>
        <v>3.4999999999999982</v>
      </c>
      <c r="O1075" s="91" t="s">
        <v>314</v>
      </c>
      <c r="P1075" s="88">
        <v>5</v>
      </c>
      <c r="Q1075" s="60"/>
      <c r="Z1075" s="100"/>
    </row>
    <row r="1076" spans="1:26" x14ac:dyDescent="0.25">
      <c r="A1076" s="99">
        <v>45566</v>
      </c>
      <c r="B1076" s="74">
        <v>45580</v>
      </c>
      <c r="C1076" s="60" t="s">
        <v>106</v>
      </c>
      <c r="D1076" s="60" t="s">
        <v>32</v>
      </c>
      <c r="E1076" s="115" t="s">
        <v>1289</v>
      </c>
      <c r="F1076" s="60" t="s">
        <v>1290</v>
      </c>
      <c r="G1076" s="72" t="s">
        <v>142</v>
      </c>
      <c r="H1076" s="83">
        <v>0.58333333333333337</v>
      </c>
      <c r="I1076" s="83">
        <v>0.625</v>
      </c>
      <c r="J1076" s="63">
        <f t="shared" ref="J1076:J1079" si="259">I1076-H1076</f>
        <v>4.166666666666663E-2</v>
      </c>
      <c r="K1076" s="88" t="s">
        <v>295</v>
      </c>
      <c r="L1076" s="135">
        <f t="shared" ref="L1076:L1079" si="260">24*J1076</f>
        <v>0.99999999999999911</v>
      </c>
      <c r="O1076" s="91" t="s">
        <v>576</v>
      </c>
      <c r="P1076" s="88">
        <v>5</v>
      </c>
      <c r="Q1076" s="60"/>
      <c r="Z1076" s="100"/>
    </row>
    <row r="1077" spans="1:26" x14ac:dyDescent="0.25">
      <c r="A1077" s="99">
        <v>45566</v>
      </c>
      <c r="B1077" s="74">
        <v>45580</v>
      </c>
      <c r="C1077" s="60" t="s">
        <v>106</v>
      </c>
      <c r="D1077" s="60" t="s">
        <v>481</v>
      </c>
      <c r="E1077" s="62" t="s">
        <v>1291</v>
      </c>
      <c r="F1077" s="73" t="s">
        <v>1206</v>
      </c>
      <c r="G1077" s="72" t="s">
        <v>142</v>
      </c>
      <c r="H1077" s="83">
        <v>0.39583333333333331</v>
      </c>
      <c r="I1077" s="83">
        <v>0.6875</v>
      </c>
      <c r="J1077" s="63">
        <f t="shared" si="259"/>
        <v>0.29166666666666669</v>
      </c>
      <c r="K1077" s="88" t="s">
        <v>300</v>
      </c>
      <c r="L1077" s="135">
        <f t="shared" si="260"/>
        <v>7</v>
      </c>
      <c r="O1077" s="91" t="s">
        <v>362</v>
      </c>
      <c r="P1077" s="88">
        <v>5</v>
      </c>
      <c r="Z1077" s="100"/>
    </row>
    <row r="1078" spans="1:26" x14ac:dyDescent="0.25">
      <c r="A1078" s="99">
        <v>45566</v>
      </c>
      <c r="B1078" s="74">
        <v>45580</v>
      </c>
      <c r="C1078" s="60" t="s">
        <v>106</v>
      </c>
      <c r="D1078" s="60" t="s">
        <v>98</v>
      </c>
      <c r="E1078" s="62" t="s">
        <v>1292</v>
      </c>
      <c r="F1078" s="73" t="s">
        <v>1293</v>
      </c>
      <c r="G1078" s="72" t="s">
        <v>142</v>
      </c>
      <c r="H1078" s="83">
        <v>0.54166666666666663</v>
      </c>
      <c r="I1078" s="83">
        <v>0.58333333333333337</v>
      </c>
      <c r="J1078" s="63">
        <f t="shared" si="259"/>
        <v>4.1666666666666741E-2</v>
      </c>
      <c r="K1078" s="88" t="s">
        <v>296</v>
      </c>
      <c r="L1078" s="135">
        <f t="shared" si="260"/>
        <v>1.0000000000000018</v>
      </c>
      <c r="O1078" s="91" t="s">
        <v>304</v>
      </c>
      <c r="P1078" s="88">
        <v>5</v>
      </c>
      <c r="Z1078" s="100"/>
    </row>
    <row r="1079" spans="1:26" x14ac:dyDescent="0.25">
      <c r="A1079" s="99">
        <v>45566</v>
      </c>
      <c r="B1079" s="74">
        <v>45581</v>
      </c>
      <c r="C1079" s="60" t="s">
        <v>398</v>
      </c>
      <c r="D1079" s="60" t="s">
        <v>481</v>
      </c>
      <c r="E1079" s="62" t="s">
        <v>1071</v>
      </c>
      <c r="F1079" s="73" t="s">
        <v>1206</v>
      </c>
      <c r="G1079" s="72" t="s">
        <v>142</v>
      </c>
      <c r="H1079" s="83">
        <v>0.41666666666666669</v>
      </c>
      <c r="I1079" s="83">
        <v>0.66666666666666663</v>
      </c>
      <c r="J1079" s="63">
        <f t="shared" si="259"/>
        <v>0.24999999999999994</v>
      </c>
      <c r="K1079" s="88" t="s">
        <v>300</v>
      </c>
      <c r="L1079" s="135">
        <f t="shared" si="260"/>
        <v>5.9999999999999982</v>
      </c>
      <c r="O1079" s="91" t="s">
        <v>362</v>
      </c>
      <c r="P1079" s="88">
        <v>5</v>
      </c>
      <c r="Q1079" s="60"/>
      <c r="Z1079" s="100"/>
    </row>
    <row r="1080" spans="1:26" x14ac:dyDescent="0.25">
      <c r="A1080" s="99">
        <v>45566</v>
      </c>
      <c r="B1080" s="74">
        <v>45581</v>
      </c>
      <c r="C1080" s="60" t="s">
        <v>398</v>
      </c>
      <c r="D1080" s="60" t="s">
        <v>658</v>
      </c>
      <c r="E1080" s="62" t="s">
        <v>1294</v>
      </c>
      <c r="F1080" s="73" t="s">
        <v>1295</v>
      </c>
      <c r="G1080" s="72" t="s">
        <v>142</v>
      </c>
      <c r="H1080" s="83">
        <v>0.41666666666666669</v>
      </c>
      <c r="I1080" s="83">
        <v>0.58333333333333337</v>
      </c>
      <c r="J1080" s="63">
        <f t="shared" ref="J1080:J1084" si="261">I1080-H1080</f>
        <v>0.16666666666666669</v>
      </c>
      <c r="K1080" s="88" t="s">
        <v>110</v>
      </c>
      <c r="L1080" s="135">
        <f t="shared" ref="L1080:L1084" si="262">24*J1080</f>
        <v>4</v>
      </c>
      <c r="O1080" s="91" t="s">
        <v>363</v>
      </c>
      <c r="P1080" s="88">
        <v>3</v>
      </c>
      <c r="Q1080" s="60" t="s">
        <v>1272</v>
      </c>
      <c r="Z1080" s="100"/>
    </row>
    <row r="1081" spans="1:26" x14ac:dyDescent="0.25">
      <c r="A1081" s="99">
        <v>45566</v>
      </c>
      <c r="B1081" s="74">
        <v>45581</v>
      </c>
      <c r="C1081" s="60" t="s">
        <v>398</v>
      </c>
      <c r="D1081" s="60" t="s">
        <v>599</v>
      </c>
      <c r="E1081" s="115" t="s">
        <v>1017</v>
      </c>
      <c r="F1081" s="60" t="s">
        <v>1259</v>
      </c>
      <c r="G1081" s="72" t="s">
        <v>142</v>
      </c>
      <c r="H1081" s="83">
        <v>0.45833333333333331</v>
      </c>
      <c r="I1081" s="83">
        <v>0.70833333333333337</v>
      </c>
      <c r="J1081" s="63">
        <f t="shared" si="261"/>
        <v>0.25000000000000006</v>
      </c>
      <c r="K1081" s="88" t="s">
        <v>300</v>
      </c>
      <c r="L1081" s="135">
        <f t="shared" si="262"/>
        <v>6.0000000000000018</v>
      </c>
      <c r="O1081" s="91" t="s">
        <v>362</v>
      </c>
      <c r="P1081" s="88">
        <v>5</v>
      </c>
      <c r="Q1081" s="60" t="s">
        <v>279</v>
      </c>
      <c r="Z1081" s="100"/>
    </row>
    <row r="1082" spans="1:26" x14ac:dyDescent="0.25">
      <c r="A1082" s="99">
        <v>45566</v>
      </c>
      <c r="B1082" s="74">
        <v>45581</v>
      </c>
      <c r="C1082" s="60" t="s">
        <v>398</v>
      </c>
      <c r="D1082" s="60" t="s">
        <v>1220</v>
      </c>
      <c r="E1082" s="88" t="s">
        <v>1301</v>
      </c>
      <c r="F1082" s="60" t="s">
        <v>1302</v>
      </c>
      <c r="G1082" s="72" t="s">
        <v>142</v>
      </c>
      <c r="H1082" s="83">
        <v>0.41666666666666669</v>
      </c>
      <c r="I1082" s="83">
        <v>0.66666666666666663</v>
      </c>
      <c r="J1082" s="63">
        <f t="shared" ref="J1082" si="263">I1082-H1082</f>
        <v>0.24999999999999994</v>
      </c>
      <c r="K1082" s="88" t="s">
        <v>110</v>
      </c>
      <c r="L1082" s="135">
        <f t="shared" ref="L1082" si="264">24*J1082</f>
        <v>5.9999999999999982</v>
      </c>
      <c r="O1082" s="91" t="s">
        <v>363</v>
      </c>
      <c r="P1082" s="88">
        <v>5</v>
      </c>
      <c r="Z1082" s="100"/>
    </row>
    <row r="1083" spans="1:26" x14ac:dyDescent="0.25">
      <c r="A1083" s="99">
        <v>45566</v>
      </c>
      <c r="B1083" s="74">
        <v>45581</v>
      </c>
      <c r="C1083" s="60" t="s">
        <v>398</v>
      </c>
      <c r="D1083" s="60" t="s">
        <v>740</v>
      </c>
      <c r="E1083" s="88" t="s">
        <v>757</v>
      </c>
      <c r="F1083" s="60" t="s">
        <v>1300</v>
      </c>
      <c r="G1083" s="72" t="s">
        <v>142</v>
      </c>
      <c r="H1083" s="83">
        <v>0.41666666666666669</v>
      </c>
      <c r="I1083" s="83">
        <v>0.66666666666666663</v>
      </c>
      <c r="J1083" s="63">
        <f t="shared" si="261"/>
        <v>0.24999999999999994</v>
      </c>
      <c r="K1083" s="88" t="s">
        <v>110</v>
      </c>
      <c r="L1083" s="135">
        <f t="shared" si="262"/>
        <v>5.9999999999999982</v>
      </c>
      <c r="O1083" s="91" t="s">
        <v>363</v>
      </c>
      <c r="P1083" s="88">
        <v>5</v>
      </c>
      <c r="Z1083" s="100"/>
    </row>
    <row r="1084" spans="1:26" x14ac:dyDescent="0.25">
      <c r="A1084" s="99">
        <v>45566</v>
      </c>
      <c r="B1084" s="74">
        <v>45581</v>
      </c>
      <c r="C1084" s="60" t="s">
        <v>398</v>
      </c>
      <c r="D1084" s="60" t="s">
        <v>830</v>
      </c>
      <c r="E1084" s="60" t="s">
        <v>1282</v>
      </c>
      <c r="F1084" s="60" t="s">
        <v>1283</v>
      </c>
      <c r="G1084" s="59" t="s">
        <v>142</v>
      </c>
      <c r="H1084" s="83">
        <v>0.41666666666666669</v>
      </c>
      <c r="I1084" s="83">
        <v>0.5</v>
      </c>
      <c r="J1084" s="63">
        <f t="shared" si="261"/>
        <v>8.3333333333333315E-2</v>
      </c>
      <c r="K1084" s="88" t="s">
        <v>365</v>
      </c>
      <c r="L1084" s="135">
        <f t="shared" si="262"/>
        <v>1.9999999999999996</v>
      </c>
      <c r="O1084" s="91" t="s">
        <v>820</v>
      </c>
      <c r="P1084" s="88">
        <v>5</v>
      </c>
      <c r="Z1084" s="100"/>
    </row>
    <row r="1085" spans="1:26" x14ac:dyDescent="0.25">
      <c r="A1085" s="99">
        <v>45566</v>
      </c>
      <c r="B1085" s="74">
        <v>45581</v>
      </c>
      <c r="C1085" s="60" t="s">
        <v>398</v>
      </c>
      <c r="D1085" s="60" t="s">
        <v>122</v>
      </c>
      <c r="E1085" s="62" t="s">
        <v>1294</v>
      </c>
      <c r="F1085" s="73" t="s">
        <v>1296</v>
      </c>
      <c r="G1085" s="72" t="s">
        <v>142</v>
      </c>
      <c r="H1085" s="83">
        <v>0.41666666666666669</v>
      </c>
      <c r="I1085" s="83">
        <v>0.70833333333333337</v>
      </c>
      <c r="J1085" s="63">
        <f t="shared" ref="J1085:J1089" si="265">I1085-H1085</f>
        <v>0.29166666666666669</v>
      </c>
      <c r="K1085" s="88" t="s">
        <v>295</v>
      </c>
      <c r="L1085" s="135">
        <f t="shared" ref="L1085:L1089" si="266">24*J1085</f>
        <v>7</v>
      </c>
      <c r="O1085" s="91" t="s">
        <v>576</v>
      </c>
      <c r="P1085" s="88">
        <v>5</v>
      </c>
      <c r="Z1085" s="100"/>
    </row>
    <row r="1086" spans="1:26" x14ac:dyDescent="0.25">
      <c r="A1086" s="99">
        <v>45566</v>
      </c>
      <c r="B1086" s="74">
        <v>45582</v>
      </c>
      <c r="C1086" s="61" t="s">
        <v>124</v>
      </c>
      <c r="D1086" s="60" t="s">
        <v>327</v>
      </c>
      <c r="E1086" s="62" t="s">
        <v>1297</v>
      </c>
      <c r="F1086" s="73" t="s">
        <v>1298</v>
      </c>
      <c r="G1086" s="72" t="s">
        <v>142</v>
      </c>
      <c r="H1086" s="83">
        <v>0.58333333333333337</v>
      </c>
      <c r="I1086" s="83">
        <v>0.625</v>
      </c>
      <c r="J1086" s="63">
        <f t="shared" si="265"/>
        <v>4.166666666666663E-2</v>
      </c>
      <c r="K1086" s="88" t="s">
        <v>365</v>
      </c>
      <c r="L1086" s="135">
        <f t="shared" si="266"/>
        <v>0.99999999999999911</v>
      </c>
      <c r="O1086" s="91" t="s">
        <v>1214</v>
      </c>
      <c r="P1086" s="88">
        <v>5</v>
      </c>
      <c r="Z1086" s="100"/>
    </row>
    <row r="1087" spans="1:26" x14ac:dyDescent="0.25">
      <c r="A1087" s="99">
        <v>45566</v>
      </c>
      <c r="B1087" s="74">
        <v>45582</v>
      </c>
      <c r="C1087" s="61" t="s">
        <v>124</v>
      </c>
      <c r="D1087" s="60" t="s">
        <v>740</v>
      </c>
      <c r="E1087" s="62" t="s">
        <v>409</v>
      </c>
      <c r="F1087" s="73" t="s">
        <v>1299</v>
      </c>
      <c r="G1087" s="72" t="s">
        <v>142</v>
      </c>
      <c r="H1087" s="83">
        <v>0.625</v>
      </c>
      <c r="I1087" s="83">
        <v>0.66666666666666696</v>
      </c>
      <c r="J1087" s="63">
        <f t="shared" si="265"/>
        <v>4.1666666666666963E-2</v>
      </c>
      <c r="K1087" s="88" t="s">
        <v>365</v>
      </c>
      <c r="L1087" s="135">
        <f t="shared" si="266"/>
        <v>1.0000000000000071</v>
      </c>
      <c r="O1087" s="91" t="s">
        <v>1214</v>
      </c>
      <c r="P1087" s="88">
        <v>5</v>
      </c>
      <c r="Z1087" s="100"/>
    </row>
    <row r="1088" spans="1:26" x14ac:dyDescent="0.25">
      <c r="A1088" s="99">
        <v>45566</v>
      </c>
      <c r="B1088" s="74">
        <v>45582</v>
      </c>
      <c r="C1088" s="61" t="s">
        <v>124</v>
      </c>
      <c r="D1088" s="60" t="s">
        <v>481</v>
      </c>
      <c r="E1088" s="62" t="s">
        <v>1071</v>
      </c>
      <c r="F1088" s="73" t="s">
        <v>1206</v>
      </c>
      <c r="G1088" s="72" t="s">
        <v>142</v>
      </c>
      <c r="H1088" s="83">
        <v>0.39583333333333331</v>
      </c>
      <c r="I1088" s="83">
        <v>0.70833333333333337</v>
      </c>
      <c r="J1088" s="63">
        <f t="shared" si="265"/>
        <v>0.31250000000000006</v>
      </c>
      <c r="K1088" s="88" t="s">
        <v>300</v>
      </c>
      <c r="L1088" s="135">
        <f t="shared" si="266"/>
        <v>7.5000000000000018</v>
      </c>
      <c r="O1088" s="91" t="s">
        <v>362</v>
      </c>
      <c r="P1088" s="88">
        <v>5</v>
      </c>
      <c r="Q1088" s="60"/>
      <c r="Z1088" s="100"/>
    </row>
    <row r="1089" spans="1:26" x14ac:dyDescent="0.25">
      <c r="A1089" s="99">
        <v>45566</v>
      </c>
      <c r="B1089" s="74">
        <v>45584</v>
      </c>
      <c r="C1089" s="61" t="s">
        <v>34</v>
      </c>
      <c r="D1089" s="60" t="s">
        <v>481</v>
      </c>
      <c r="E1089" s="62" t="s">
        <v>1304</v>
      </c>
      <c r="F1089" s="73" t="s">
        <v>1305</v>
      </c>
      <c r="G1089" s="72" t="s">
        <v>142</v>
      </c>
      <c r="H1089" s="83">
        <v>0.41666666666666669</v>
      </c>
      <c r="I1089" s="83">
        <v>0.70833333333333337</v>
      </c>
      <c r="J1089" s="63">
        <f t="shared" si="265"/>
        <v>0.29166666666666669</v>
      </c>
      <c r="K1089" s="88" t="s">
        <v>113</v>
      </c>
      <c r="L1089" s="135">
        <f t="shared" si="266"/>
        <v>7</v>
      </c>
      <c r="O1089" s="91" t="s">
        <v>357</v>
      </c>
      <c r="P1089" s="88">
        <v>5</v>
      </c>
      <c r="Z1089" s="100"/>
    </row>
    <row r="1090" spans="1:26" x14ac:dyDescent="0.25">
      <c r="A1090" s="99">
        <v>45566</v>
      </c>
      <c r="B1090" s="74">
        <v>45584</v>
      </c>
      <c r="C1090" s="61" t="s">
        <v>34</v>
      </c>
      <c r="D1090" s="60" t="s">
        <v>740</v>
      </c>
      <c r="E1090" s="62" t="s">
        <v>961</v>
      </c>
      <c r="F1090" s="73" t="s">
        <v>1299</v>
      </c>
      <c r="G1090" s="72" t="s">
        <v>142</v>
      </c>
      <c r="H1090" s="83">
        <v>0.41666666666666669</v>
      </c>
      <c r="I1090" s="83">
        <v>0.70833333333333337</v>
      </c>
      <c r="J1090" s="63">
        <f t="shared" ref="J1090" si="267">I1090-H1090</f>
        <v>0.29166666666666669</v>
      </c>
      <c r="K1090" s="88" t="s">
        <v>110</v>
      </c>
      <c r="L1090" s="135">
        <f t="shared" ref="L1090" si="268">24*J1090</f>
        <v>7</v>
      </c>
      <c r="O1090" s="91" t="s">
        <v>576</v>
      </c>
      <c r="P1090" s="88">
        <v>5</v>
      </c>
      <c r="Z1090" s="100"/>
    </row>
    <row r="1091" spans="1:26" x14ac:dyDescent="0.25">
      <c r="A1091" s="99">
        <v>45566</v>
      </c>
      <c r="B1091" s="74">
        <v>45584</v>
      </c>
      <c r="C1091" s="61" t="s">
        <v>34</v>
      </c>
      <c r="D1091" s="60" t="s">
        <v>317</v>
      </c>
      <c r="E1091" s="62" t="s">
        <v>1303</v>
      </c>
      <c r="F1091" s="73" t="s">
        <v>1206</v>
      </c>
      <c r="G1091" s="72" t="s">
        <v>142</v>
      </c>
      <c r="H1091" s="83">
        <v>0.45833333333333331</v>
      </c>
      <c r="I1091" s="83">
        <v>0.58333333333333337</v>
      </c>
      <c r="J1091" s="63">
        <f t="shared" ref="J1091:J1093" si="269">I1091-H1091</f>
        <v>0.12500000000000006</v>
      </c>
      <c r="K1091" s="88" t="s">
        <v>300</v>
      </c>
      <c r="L1091" s="135">
        <f t="shared" ref="L1091:L1093" si="270">24*J1091</f>
        <v>3.0000000000000013</v>
      </c>
      <c r="O1091" s="91" t="s">
        <v>362</v>
      </c>
      <c r="P1091" s="88">
        <v>5</v>
      </c>
      <c r="Q1091" s="60"/>
      <c r="Z1091" s="100"/>
    </row>
    <row r="1092" spans="1:26" x14ac:dyDescent="0.25">
      <c r="A1092" s="99">
        <v>45566</v>
      </c>
      <c r="B1092" s="74">
        <v>45584</v>
      </c>
      <c r="C1092" s="61" t="s">
        <v>34</v>
      </c>
      <c r="D1092" s="60" t="s">
        <v>481</v>
      </c>
      <c r="E1092" s="62" t="s">
        <v>1071</v>
      </c>
      <c r="F1092" s="73" t="s">
        <v>1206</v>
      </c>
      <c r="G1092" s="72" t="s">
        <v>142</v>
      </c>
      <c r="H1092" s="83">
        <v>0.41666666666666669</v>
      </c>
      <c r="I1092" s="83">
        <v>0.72916666666666663</v>
      </c>
      <c r="J1092" s="63">
        <f t="shared" si="269"/>
        <v>0.31249999999999994</v>
      </c>
      <c r="K1092" s="88" t="s">
        <v>300</v>
      </c>
      <c r="L1092" s="135">
        <f t="shared" si="270"/>
        <v>7.4999999999999982</v>
      </c>
      <c r="O1092" s="91" t="s">
        <v>362</v>
      </c>
      <c r="P1092" s="88">
        <v>5</v>
      </c>
      <c r="Q1092" s="60"/>
      <c r="Z1092" s="100"/>
    </row>
    <row r="1093" spans="1:26" x14ac:dyDescent="0.25">
      <c r="A1093" s="99">
        <v>45566</v>
      </c>
      <c r="B1093" s="74">
        <v>45585</v>
      </c>
      <c r="C1093" s="60" t="s">
        <v>31</v>
      </c>
      <c r="D1093" s="60" t="s">
        <v>1288</v>
      </c>
      <c r="E1093" s="115" t="s">
        <v>1286</v>
      </c>
      <c r="F1093" s="60" t="s">
        <v>1287</v>
      </c>
      <c r="G1093" s="72" t="s">
        <v>142</v>
      </c>
      <c r="H1093" s="83">
        <v>0.60416666666666663</v>
      </c>
      <c r="I1093" s="83">
        <v>0.625</v>
      </c>
      <c r="J1093" s="63">
        <f t="shared" si="269"/>
        <v>2.083333333333337E-2</v>
      </c>
      <c r="K1093" s="88" t="s">
        <v>365</v>
      </c>
      <c r="L1093" s="135">
        <f t="shared" si="270"/>
        <v>0.50000000000000089</v>
      </c>
      <c r="O1093" s="91" t="s">
        <v>359</v>
      </c>
      <c r="P1093" s="88">
        <v>5</v>
      </c>
      <c r="Q1093" s="60"/>
      <c r="Z1093" s="100"/>
    </row>
    <row r="1094" spans="1:26" x14ac:dyDescent="0.25">
      <c r="A1094" s="99">
        <v>45566</v>
      </c>
      <c r="B1094" s="74">
        <v>45585</v>
      </c>
      <c r="C1094" s="60" t="s">
        <v>31</v>
      </c>
      <c r="D1094" s="60" t="s">
        <v>32</v>
      </c>
      <c r="E1094" s="115" t="s">
        <v>388</v>
      </c>
      <c r="F1094" s="60" t="s">
        <v>1306</v>
      </c>
      <c r="G1094" s="72" t="s">
        <v>142</v>
      </c>
      <c r="H1094" s="83">
        <v>0.45833333333333331</v>
      </c>
      <c r="I1094" s="83">
        <v>0.70833333333333337</v>
      </c>
      <c r="J1094" s="63">
        <f t="shared" ref="J1094:J1097" si="271">I1094-H1094</f>
        <v>0.25000000000000006</v>
      </c>
      <c r="K1094" s="88" t="s">
        <v>113</v>
      </c>
      <c r="L1094" s="135">
        <f t="shared" ref="L1094:L1097" si="272">24*J1094</f>
        <v>6.0000000000000018</v>
      </c>
      <c r="O1094" s="91" t="s">
        <v>1214</v>
      </c>
      <c r="P1094" s="88">
        <v>5</v>
      </c>
      <c r="Q1094" s="60"/>
      <c r="Z1094" s="100"/>
    </row>
    <row r="1095" spans="1:26" x14ac:dyDescent="0.25">
      <c r="A1095" s="99">
        <v>45566</v>
      </c>
      <c r="B1095" s="74">
        <v>45585</v>
      </c>
      <c r="C1095" s="60" t="s">
        <v>31</v>
      </c>
      <c r="D1095" s="60" t="s">
        <v>720</v>
      </c>
      <c r="E1095" s="115" t="s">
        <v>1176</v>
      </c>
      <c r="F1095" s="60" t="s">
        <v>837</v>
      </c>
      <c r="G1095" s="72" t="s">
        <v>142</v>
      </c>
      <c r="H1095" s="83">
        <v>0.60416666666666663</v>
      </c>
      <c r="I1095" s="83">
        <v>0.72916666666666663</v>
      </c>
      <c r="J1095" s="63">
        <f t="shared" si="271"/>
        <v>0.125</v>
      </c>
      <c r="K1095" s="88" t="s">
        <v>300</v>
      </c>
      <c r="L1095" s="135">
        <v>6.5</v>
      </c>
      <c r="O1095" s="91" t="s">
        <v>362</v>
      </c>
      <c r="P1095" s="88">
        <v>5</v>
      </c>
      <c r="Q1095" s="60"/>
      <c r="Z1095" s="100"/>
    </row>
    <row r="1096" spans="1:26" x14ac:dyDescent="0.25">
      <c r="A1096" s="99">
        <v>45566</v>
      </c>
      <c r="B1096" s="74">
        <v>45585</v>
      </c>
      <c r="C1096" s="60" t="s">
        <v>31</v>
      </c>
      <c r="D1096" s="60" t="s">
        <v>481</v>
      </c>
      <c r="E1096" s="115" t="s">
        <v>1304</v>
      </c>
      <c r="F1096" s="60" t="s">
        <v>1276</v>
      </c>
      <c r="G1096" s="72" t="s">
        <v>142</v>
      </c>
      <c r="H1096" s="83">
        <v>0.375</v>
      </c>
      <c r="I1096" s="83">
        <v>0.66666666666666696</v>
      </c>
      <c r="J1096" s="63">
        <f t="shared" si="271"/>
        <v>0.29166666666666696</v>
      </c>
      <c r="K1096" s="88" t="s">
        <v>113</v>
      </c>
      <c r="L1096" s="135">
        <f t="shared" si="272"/>
        <v>7.0000000000000071</v>
      </c>
      <c r="O1096" s="91" t="s">
        <v>1214</v>
      </c>
      <c r="P1096" s="88">
        <v>5</v>
      </c>
      <c r="Q1096" s="60"/>
      <c r="Z1096" s="100"/>
    </row>
    <row r="1097" spans="1:26" x14ac:dyDescent="0.25">
      <c r="A1097" s="99">
        <v>45566</v>
      </c>
      <c r="B1097" s="74">
        <v>45585</v>
      </c>
      <c r="C1097" s="60" t="s">
        <v>31</v>
      </c>
      <c r="D1097" s="60" t="s">
        <v>481</v>
      </c>
      <c r="E1097" s="62" t="s">
        <v>1071</v>
      </c>
      <c r="F1097" s="73" t="s">
        <v>1206</v>
      </c>
      <c r="G1097" s="72" t="s">
        <v>142</v>
      </c>
      <c r="H1097" s="83">
        <v>0.41666666666666669</v>
      </c>
      <c r="I1097" s="83">
        <v>0.75</v>
      </c>
      <c r="J1097" s="63">
        <f t="shared" si="271"/>
        <v>0.33333333333333331</v>
      </c>
      <c r="K1097" s="88" t="s">
        <v>300</v>
      </c>
      <c r="L1097" s="135">
        <f t="shared" si="272"/>
        <v>8</v>
      </c>
      <c r="O1097" s="91" t="s">
        <v>362</v>
      </c>
      <c r="P1097" s="88">
        <v>5</v>
      </c>
      <c r="Q1097" s="60"/>
      <c r="Z1097" s="100"/>
    </row>
    <row r="1098" spans="1:26" x14ac:dyDescent="0.25">
      <c r="A1098" s="99">
        <v>45566</v>
      </c>
      <c r="B1098" s="74">
        <v>45585</v>
      </c>
      <c r="C1098" s="60" t="s">
        <v>31</v>
      </c>
      <c r="D1098" s="60" t="s">
        <v>98</v>
      </c>
      <c r="E1098" s="115" t="s">
        <v>617</v>
      </c>
      <c r="F1098" s="60" t="s">
        <v>1307</v>
      </c>
      <c r="G1098" s="72" t="s">
        <v>142</v>
      </c>
      <c r="H1098" s="83">
        <v>0.5625</v>
      </c>
      <c r="I1098" s="83">
        <v>0.58333333333333337</v>
      </c>
      <c r="J1098" s="63">
        <f t="shared" ref="J1098:J1101" si="273">I1098-H1098</f>
        <v>2.083333333333337E-2</v>
      </c>
      <c r="K1098" s="88" t="s">
        <v>113</v>
      </c>
      <c r="L1098" s="135">
        <f t="shared" ref="L1098:L1101" si="274">24*J1098</f>
        <v>0.50000000000000089</v>
      </c>
      <c r="O1098" s="91" t="s">
        <v>1214</v>
      </c>
      <c r="P1098" s="88">
        <v>5</v>
      </c>
      <c r="Q1098" s="60"/>
      <c r="Z1098" s="100"/>
    </row>
    <row r="1099" spans="1:26" x14ac:dyDescent="0.25">
      <c r="A1099" s="99">
        <v>45566</v>
      </c>
      <c r="B1099" s="74">
        <v>45585</v>
      </c>
      <c r="C1099" s="60" t="s">
        <v>31</v>
      </c>
      <c r="D1099" s="60" t="s">
        <v>1220</v>
      </c>
      <c r="E1099" s="88" t="s">
        <v>1308</v>
      </c>
      <c r="F1099" s="60" t="s">
        <v>1302</v>
      </c>
      <c r="G1099" s="72" t="s">
        <v>142</v>
      </c>
      <c r="H1099" s="83">
        <v>0.41666666666666669</v>
      </c>
      <c r="I1099" s="83">
        <v>0.66666666666666663</v>
      </c>
      <c r="J1099" s="63">
        <f t="shared" si="273"/>
        <v>0.24999999999999994</v>
      </c>
      <c r="K1099" s="88" t="s">
        <v>110</v>
      </c>
      <c r="L1099" s="135">
        <f t="shared" si="274"/>
        <v>5.9999999999999982</v>
      </c>
      <c r="O1099" s="91" t="s">
        <v>576</v>
      </c>
      <c r="P1099" s="88">
        <v>5</v>
      </c>
      <c r="Z1099" s="100"/>
    </row>
    <row r="1100" spans="1:26" x14ac:dyDescent="0.25">
      <c r="A1100" s="99">
        <v>45566</v>
      </c>
      <c r="B1100" s="74">
        <v>45586</v>
      </c>
      <c r="C1100" s="60" t="s">
        <v>45</v>
      </c>
      <c r="D1100" s="60" t="s">
        <v>406</v>
      </c>
      <c r="E1100" s="115" t="s">
        <v>1096</v>
      </c>
      <c r="F1100" s="60" t="s">
        <v>616</v>
      </c>
      <c r="G1100" s="72" t="s">
        <v>142</v>
      </c>
      <c r="H1100" s="83">
        <v>0.5</v>
      </c>
      <c r="I1100" s="83">
        <v>0.72916666666666663</v>
      </c>
      <c r="J1100" s="63">
        <f t="shared" si="273"/>
        <v>0.22916666666666663</v>
      </c>
      <c r="K1100" s="88" t="s">
        <v>365</v>
      </c>
      <c r="L1100" s="135">
        <f t="shared" si="274"/>
        <v>5.4999999999999991</v>
      </c>
      <c r="O1100" s="91" t="s">
        <v>576</v>
      </c>
      <c r="P1100" s="88">
        <v>5</v>
      </c>
      <c r="Q1100" s="60"/>
      <c r="Z1100" s="100"/>
    </row>
    <row r="1101" spans="1:26" x14ac:dyDescent="0.25">
      <c r="A1101" s="99">
        <v>45566</v>
      </c>
      <c r="B1101" s="74">
        <v>45586</v>
      </c>
      <c r="C1101" s="60" t="s">
        <v>45</v>
      </c>
      <c r="D1101" s="60" t="s">
        <v>481</v>
      </c>
      <c r="E1101" s="62" t="s">
        <v>1071</v>
      </c>
      <c r="F1101" s="73" t="s">
        <v>1206</v>
      </c>
      <c r="G1101" s="72" t="s">
        <v>142</v>
      </c>
      <c r="H1101" s="83">
        <v>0.41666666666666669</v>
      </c>
      <c r="I1101" s="83">
        <v>0.72916666666666663</v>
      </c>
      <c r="J1101" s="63">
        <f t="shared" si="273"/>
        <v>0.31249999999999994</v>
      </c>
      <c r="K1101" s="88" t="s">
        <v>300</v>
      </c>
      <c r="L1101" s="135">
        <f t="shared" si="274"/>
        <v>7.4999999999999982</v>
      </c>
      <c r="O1101" s="91" t="s">
        <v>362</v>
      </c>
      <c r="P1101" s="88">
        <v>5</v>
      </c>
      <c r="Q1101" s="60"/>
      <c r="Z1101" s="100"/>
    </row>
    <row r="1102" spans="1:26" x14ac:dyDescent="0.25">
      <c r="A1102" s="99">
        <v>45566</v>
      </c>
      <c r="B1102" s="74">
        <v>45586</v>
      </c>
      <c r="C1102" s="60" t="s">
        <v>45</v>
      </c>
      <c r="D1102" s="60" t="s">
        <v>1220</v>
      </c>
      <c r="E1102" s="62" t="s">
        <v>1314</v>
      </c>
      <c r="F1102" s="60" t="s">
        <v>1302</v>
      </c>
      <c r="G1102" s="72" t="s">
        <v>142</v>
      </c>
      <c r="H1102" s="83">
        <v>0.41666666666666669</v>
      </c>
      <c r="I1102" s="83">
        <v>0.66666666666666663</v>
      </c>
      <c r="J1102" s="63">
        <f t="shared" ref="J1102:J1103" si="275">I1102-H1102</f>
        <v>0.24999999999999994</v>
      </c>
      <c r="K1102" s="88" t="s">
        <v>110</v>
      </c>
      <c r="L1102" s="135">
        <f t="shared" ref="L1102:L1103" si="276">24*J1102</f>
        <v>5.9999999999999982</v>
      </c>
      <c r="O1102" s="91" t="s">
        <v>539</v>
      </c>
      <c r="P1102" s="88">
        <v>5</v>
      </c>
      <c r="Q1102" s="60"/>
      <c r="Z1102" s="100"/>
    </row>
    <row r="1103" spans="1:26" x14ac:dyDescent="0.25">
      <c r="A1103" s="99">
        <v>45566</v>
      </c>
      <c r="B1103" s="74">
        <v>45586</v>
      </c>
      <c r="C1103" s="60" t="s">
        <v>45</v>
      </c>
      <c r="D1103" s="60" t="s">
        <v>481</v>
      </c>
      <c r="E1103" s="62" t="s">
        <v>1304</v>
      </c>
      <c r="F1103" s="73" t="s">
        <v>1315</v>
      </c>
      <c r="G1103" s="72" t="s">
        <v>142</v>
      </c>
      <c r="H1103" s="83">
        <v>0.375</v>
      </c>
      <c r="I1103" s="83">
        <v>0.66666666666666663</v>
      </c>
      <c r="J1103" s="63">
        <f t="shared" si="275"/>
        <v>0.29166666666666663</v>
      </c>
      <c r="K1103" s="88" t="s">
        <v>113</v>
      </c>
      <c r="L1103" s="135">
        <f t="shared" si="276"/>
        <v>6.9999999999999991</v>
      </c>
      <c r="O1103" s="91" t="s">
        <v>357</v>
      </c>
      <c r="P1103" s="88">
        <v>5</v>
      </c>
      <c r="Z1103" s="100"/>
    </row>
    <row r="1104" spans="1:26" x14ac:dyDescent="0.25">
      <c r="A1104" s="99">
        <v>45566</v>
      </c>
      <c r="B1104" s="74">
        <v>45586</v>
      </c>
      <c r="C1104" s="60" t="s">
        <v>45</v>
      </c>
      <c r="D1104" s="60" t="s">
        <v>499</v>
      </c>
      <c r="E1104" s="62" t="s">
        <v>505</v>
      </c>
      <c r="F1104" s="73" t="s">
        <v>1309</v>
      </c>
      <c r="G1104" s="72" t="s">
        <v>142</v>
      </c>
      <c r="H1104" s="83">
        <v>0.39583333333333331</v>
      </c>
      <c r="I1104" s="83">
        <v>0.47916666666666669</v>
      </c>
      <c r="J1104" s="63">
        <f t="shared" ref="J1104:J1111" si="277">I1104-H1104</f>
        <v>8.333333333333337E-2</v>
      </c>
      <c r="K1104" s="88" t="s">
        <v>300</v>
      </c>
      <c r="L1104" s="135">
        <f t="shared" ref="L1104:L1111" si="278">24*J1104</f>
        <v>2.0000000000000009</v>
      </c>
      <c r="O1104" s="91" t="s">
        <v>362</v>
      </c>
      <c r="P1104" s="88">
        <v>5</v>
      </c>
      <c r="Q1104" s="60"/>
      <c r="Z1104" s="100"/>
    </row>
    <row r="1105" spans="1:26" x14ac:dyDescent="0.25">
      <c r="A1105" s="99">
        <v>45566</v>
      </c>
      <c r="B1105" s="74">
        <v>45587</v>
      </c>
      <c r="C1105" s="60" t="s">
        <v>106</v>
      </c>
      <c r="D1105" s="60" t="s">
        <v>481</v>
      </c>
      <c r="E1105" s="62" t="s">
        <v>1071</v>
      </c>
      <c r="F1105" s="73" t="s">
        <v>1206</v>
      </c>
      <c r="G1105" s="72" t="s">
        <v>142</v>
      </c>
      <c r="H1105" s="83">
        <v>0.41666666666666669</v>
      </c>
      <c r="I1105" s="83">
        <v>0.77083333333333337</v>
      </c>
      <c r="J1105" s="63">
        <f t="shared" si="277"/>
        <v>0.35416666666666669</v>
      </c>
      <c r="K1105" s="88" t="s">
        <v>300</v>
      </c>
      <c r="L1105" s="135">
        <f t="shared" si="278"/>
        <v>8.5</v>
      </c>
      <c r="O1105" s="91" t="s">
        <v>362</v>
      </c>
      <c r="P1105" s="88">
        <v>5</v>
      </c>
      <c r="Q1105" s="60"/>
      <c r="Z1105" s="100"/>
    </row>
    <row r="1106" spans="1:26" x14ac:dyDescent="0.25">
      <c r="A1106" s="99">
        <v>45566</v>
      </c>
      <c r="B1106" s="74">
        <v>45587</v>
      </c>
      <c r="C1106" s="60" t="s">
        <v>106</v>
      </c>
      <c r="D1106" s="60" t="s">
        <v>481</v>
      </c>
      <c r="E1106" s="62" t="s">
        <v>368</v>
      </c>
      <c r="F1106" s="73" t="s">
        <v>1315</v>
      </c>
      <c r="G1106" s="72" t="s">
        <v>142</v>
      </c>
      <c r="H1106" s="83">
        <v>0.375</v>
      </c>
      <c r="I1106" s="83">
        <v>0.66666666666666663</v>
      </c>
      <c r="J1106" s="63">
        <f t="shared" si="277"/>
        <v>0.29166666666666663</v>
      </c>
      <c r="K1106" s="88" t="s">
        <v>113</v>
      </c>
      <c r="L1106" s="135">
        <f t="shared" si="278"/>
        <v>6.9999999999999991</v>
      </c>
      <c r="O1106" s="91" t="s">
        <v>357</v>
      </c>
      <c r="P1106" s="88">
        <v>5</v>
      </c>
      <c r="Z1106" s="100"/>
    </row>
    <row r="1107" spans="1:26" x14ac:dyDescent="0.25">
      <c r="A1107" s="99">
        <v>45566</v>
      </c>
      <c r="B1107" s="74">
        <v>45587</v>
      </c>
      <c r="C1107" s="60" t="s">
        <v>106</v>
      </c>
      <c r="D1107" s="60" t="s">
        <v>32</v>
      </c>
      <c r="E1107" s="115" t="s">
        <v>1310</v>
      </c>
      <c r="F1107" s="60" t="s">
        <v>1311</v>
      </c>
      <c r="G1107" s="72" t="s">
        <v>142</v>
      </c>
      <c r="H1107" s="83">
        <v>0.60416666666666663</v>
      </c>
      <c r="I1107" s="83">
        <v>0.64583333333333337</v>
      </c>
      <c r="J1107" s="63">
        <f t="shared" si="277"/>
        <v>4.1666666666666741E-2</v>
      </c>
      <c r="K1107" s="88" t="s">
        <v>365</v>
      </c>
      <c r="L1107" s="135">
        <f t="shared" si="278"/>
        <v>1.0000000000000018</v>
      </c>
      <c r="O1107" s="91" t="s">
        <v>1214</v>
      </c>
      <c r="P1107" s="88">
        <v>5</v>
      </c>
      <c r="Q1107" s="60"/>
      <c r="Z1107" s="100"/>
    </row>
    <row r="1108" spans="1:26" x14ac:dyDescent="0.25">
      <c r="A1108" s="99">
        <v>45566</v>
      </c>
      <c r="B1108" s="74">
        <v>45587</v>
      </c>
      <c r="C1108" s="60" t="s">
        <v>106</v>
      </c>
      <c r="D1108" s="60" t="s">
        <v>1220</v>
      </c>
      <c r="E1108" s="88" t="s">
        <v>1308</v>
      </c>
      <c r="F1108" s="60" t="s">
        <v>1302</v>
      </c>
      <c r="G1108" s="72" t="s">
        <v>142</v>
      </c>
      <c r="H1108" s="83">
        <v>0.41666666666666669</v>
      </c>
      <c r="I1108" s="83">
        <v>0.625</v>
      </c>
      <c r="J1108" s="63">
        <f t="shared" si="277"/>
        <v>0.20833333333333331</v>
      </c>
      <c r="K1108" s="88" t="s">
        <v>110</v>
      </c>
      <c r="L1108" s="135">
        <f t="shared" si="278"/>
        <v>5</v>
      </c>
      <c r="O1108" s="91" t="s">
        <v>363</v>
      </c>
      <c r="P1108" s="88">
        <v>5</v>
      </c>
      <c r="Q1108" s="60"/>
      <c r="Z1108" s="100"/>
    </row>
    <row r="1109" spans="1:26" x14ac:dyDescent="0.25">
      <c r="A1109" s="99">
        <v>45566</v>
      </c>
      <c r="B1109" s="74">
        <v>45587</v>
      </c>
      <c r="C1109" s="60" t="s">
        <v>106</v>
      </c>
      <c r="D1109" s="60" t="s">
        <v>98</v>
      </c>
      <c r="E1109" s="62" t="s">
        <v>1215</v>
      </c>
      <c r="F1109" s="73" t="s">
        <v>1312</v>
      </c>
      <c r="G1109" s="72" t="s">
        <v>142</v>
      </c>
      <c r="H1109" s="83">
        <v>0.52083333333333337</v>
      </c>
      <c r="I1109" s="83">
        <v>0.70833333333333337</v>
      </c>
      <c r="J1109" s="63">
        <f t="shared" si="277"/>
        <v>0.1875</v>
      </c>
      <c r="K1109" s="88" t="s">
        <v>296</v>
      </c>
      <c r="L1109" s="135">
        <f t="shared" si="278"/>
        <v>4.5</v>
      </c>
      <c r="O1109" s="91" t="s">
        <v>304</v>
      </c>
      <c r="P1109" s="88">
        <v>5</v>
      </c>
      <c r="Z1109" s="100"/>
    </row>
    <row r="1110" spans="1:26" x14ac:dyDescent="0.25">
      <c r="A1110" s="99">
        <v>45566</v>
      </c>
      <c r="B1110" s="74">
        <v>45588</v>
      </c>
      <c r="C1110" s="60" t="s">
        <v>398</v>
      </c>
      <c r="D1110" s="60" t="s">
        <v>481</v>
      </c>
      <c r="E1110" s="62" t="s">
        <v>1071</v>
      </c>
      <c r="F1110" s="73" t="s">
        <v>1206</v>
      </c>
      <c r="G1110" s="72" t="s">
        <v>142</v>
      </c>
      <c r="H1110" s="83">
        <v>0.39583333333333331</v>
      </c>
      <c r="I1110" s="83">
        <v>0.72916666666666663</v>
      </c>
      <c r="J1110" s="63">
        <f t="shared" ref="J1110" si="279">I1110-H1110</f>
        <v>0.33333333333333331</v>
      </c>
      <c r="K1110" s="88" t="s">
        <v>300</v>
      </c>
      <c r="L1110" s="135">
        <f t="shared" ref="L1110" si="280">24*J1110</f>
        <v>8</v>
      </c>
      <c r="O1110" s="91" t="s">
        <v>362</v>
      </c>
      <c r="P1110" s="88">
        <v>5</v>
      </c>
      <c r="Q1110" s="60"/>
      <c r="Z1110" s="100"/>
    </row>
    <row r="1111" spans="1:26" x14ac:dyDescent="0.25">
      <c r="A1111" s="99">
        <v>45566</v>
      </c>
      <c r="B1111" s="74">
        <v>45588</v>
      </c>
      <c r="C1111" s="60" t="s">
        <v>398</v>
      </c>
      <c r="D1111" s="60" t="s">
        <v>122</v>
      </c>
      <c r="E1111" s="62" t="s">
        <v>1313</v>
      </c>
      <c r="F1111" s="73" t="s">
        <v>1296</v>
      </c>
      <c r="G1111" s="72" t="s">
        <v>142</v>
      </c>
      <c r="H1111" s="83">
        <v>0.41666666666666669</v>
      </c>
      <c r="I1111" s="83">
        <v>0.70833333333333337</v>
      </c>
      <c r="J1111" s="63">
        <f t="shared" si="277"/>
        <v>0.29166666666666669</v>
      </c>
      <c r="K1111" s="88" t="s">
        <v>295</v>
      </c>
      <c r="L1111" s="135">
        <f t="shared" si="278"/>
        <v>7</v>
      </c>
      <c r="O1111" s="91" t="s">
        <v>576</v>
      </c>
      <c r="P1111" s="88">
        <v>5</v>
      </c>
      <c r="Z1111" s="100"/>
    </row>
    <row r="1112" spans="1:26" x14ac:dyDescent="0.25">
      <c r="A1112" s="99">
        <v>45566</v>
      </c>
      <c r="B1112" s="74">
        <v>45588</v>
      </c>
      <c r="C1112" s="60" t="s">
        <v>398</v>
      </c>
      <c r="D1112" s="60" t="s">
        <v>1220</v>
      </c>
      <c r="E1112" s="88" t="s">
        <v>1308</v>
      </c>
      <c r="F1112" s="60" t="s">
        <v>1302</v>
      </c>
      <c r="G1112" s="72" t="s">
        <v>142</v>
      </c>
      <c r="H1112" s="83">
        <v>0.41666666666666669</v>
      </c>
      <c r="I1112" s="83">
        <v>0.625</v>
      </c>
      <c r="J1112" s="63">
        <f t="shared" ref="J1112:J1115" si="281">I1112-H1112</f>
        <v>0.20833333333333331</v>
      </c>
      <c r="K1112" s="88" t="s">
        <v>110</v>
      </c>
      <c r="L1112" s="135">
        <f t="shared" ref="L1112:L1115" si="282">24*J1112</f>
        <v>5</v>
      </c>
      <c r="O1112" s="91" t="s">
        <v>363</v>
      </c>
      <c r="P1112" s="88">
        <v>5</v>
      </c>
      <c r="Z1112" s="100"/>
    </row>
    <row r="1113" spans="1:26" x14ac:dyDescent="0.25">
      <c r="A1113" s="99">
        <v>45566</v>
      </c>
      <c r="B1113" s="74">
        <v>45588</v>
      </c>
      <c r="C1113" s="60" t="s">
        <v>398</v>
      </c>
      <c r="D1113" s="60" t="s">
        <v>406</v>
      </c>
      <c r="E1113" s="115" t="s">
        <v>1096</v>
      </c>
      <c r="F1113" s="60" t="s">
        <v>616</v>
      </c>
      <c r="G1113" s="72" t="s">
        <v>142</v>
      </c>
      <c r="H1113" s="83">
        <v>0.54166666666666663</v>
      </c>
      <c r="I1113" s="83">
        <v>0.625</v>
      </c>
      <c r="J1113" s="63">
        <f t="shared" si="281"/>
        <v>8.333333333333337E-2</v>
      </c>
      <c r="K1113" s="88" t="s">
        <v>365</v>
      </c>
      <c r="L1113" s="135">
        <f t="shared" si="282"/>
        <v>2.0000000000000009</v>
      </c>
      <c r="O1113" s="91" t="s">
        <v>1214</v>
      </c>
      <c r="P1113" s="88">
        <v>5</v>
      </c>
      <c r="Z1113" s="100"/>
    </row>
    <row r="1114" spans="1:26" x14ac:dyDescent="0.25">
      <c r="A1114" s="99">
        <v>45566</v>
      </c>
      <c r="B1114" s="74">
        <v>45589</v>
      </c>
      <c r="C1114" s="60" t="s">
        <v>124</v>
      </c>
      <c r="D1114" s="60" t="s">
        <v>481</v>
      </c>
      <c r="E1114" s="62" t="s">
        <v>1071</v>
      </c>
      <c r="F1114" s="73" t="s">
        <v>1206</v>
      </c>
      <c r="G1114" s="72" t="s">
        <v>142</v>
      </c>
      <c r="H1114" s="83">
        <v>0.41666666666666669</v>
      </c>
      <c r="I1114" s="83">
        <v>0.75</v>
      </c>
      <c r="J1114" s="63">
        <f t="shared" si="281"/>
        <v>0.33333333333333331</v>
      </c>
      <c r="K1114" s="88" t="s">
        <v>300</v>
      </c>
      <c r="L1114" s="135">
        <f t="shared" si="282"/>
        <v>8</v>
      </c>
      <c r="O1114" s="91" t="s">
        <v>362</v>
      </c>
      <c r="P1114" s="88">
        <v>5</v>
      </c>
      <c r="Q1114" s="60"/>
      <c r="Z1114" s="100"/>
    </row>
    <row r="1115" spans="1:26" x14ac:dyDescent="0.25">
      <c r="A1115" s="99">
        <v>45566</v>
      </c>
      <c r="B1115" s="74">
        <v>45589</v>
      </c>
      <c r="C1115" s="60" t="s">
        <v>124</v>
      </c>
      <c r="D1115" s="60" t="s">
        <v>122</v>
      </c>
      <c r="E1115" s="62" t="s">
        <v>1313</v>
      </c>
      <c r="F1115" s="73" t="s">
        <v>1296</v>
      </c>
      <c r="G1115" s="72" t="s">
        <v>142</v>
      </c>
      <c r="H1115" s="83">
        <v>0.39583333333333331</v>
      </c>
      <c r="I1115" s="83">
        <v>0.58333333333333337</v>
      </c>
      <c r="J1115" s="63">
        <f t="shared" si="281"/>
        <v>0.18750000000000006</v>
      </c>
      <c r="K1115" s="88" t="s">
        <v>295</v>
      </c>
      <c r="L1115" s="135">
        <f t="shared" si="282"/>
        <v>4.5000000000000018</v>
      </c>
      <c r="O1115" s="91" t="s">
        <v>576</v>
      </c>
      <c r="P1115" s="88">
        <v>5</v>
      </c>
      <c r="Z1115" s="100"/>
    </row>
    <row r="1116" spans="1:26" x14ac:dyDescent="0.25">
      <c r="A1116" s="99">
        <v>45566</v>
      </c>
      <c r="B1116" s="74">
        <v>45591</v>
      </c>
      <c r="C1116" s="60" t="s">
        <v>34</v>
      </c>
      <c r="D1116" s="60" t="s">
        <v>481</v>
      </c>
      <c r="E1116" s="62" t="s">
        <v>1071</v>
      </c>
      <c r="F1116" s="73" t="s">
        <v>1323</v>
      </c>
      <c r="G1116" s="72" t="s">
        <v>142</v>
      </c>
      <c r="H1116" s="83">
        <v>0.41666666666666669</v>
      </c>
      <c r="I1116" s="83">
        <v>0.75</v>
      </c>
      <c r="J1116" s="63">
        <f t="shared" ref="J1116" si="283">I1116-H1116</f>
        <v>0.33333333333333331</v>
      </c>
      <c r="K1116" s="88" t="s">
        <v>300</v>
      </c>
      <c r="L1116" s="135">
        <f t="shared" ref="L1116" si="284">24*J1116</f>
        <v>8</v>
      </c>
      <c r="O1116" s="91" t="s">
        <v>576</v>
      </c>
      <c r="P1116" s="88">
        <v>5</v>
      </c>
      <c r="Q1116" s="60"/>
      <c r="Z1116" s="100"/>
    </row>
    <row r="1117" spans="1:26" x14ac:dyDescent="0.25">
      <c r="A1117" s="99">
        <v>45566</v>
      </c>
      <c r="B1117" s="74">
        <v>45591</v>
      </c>
      <c r="C1117" s="60" t="s">
        <v>34</v>
      </c>
      <c r="D1117" s="60" t="s">
        <v>1220</v>
      </c>
      <c r="E1117" s="88" t="s">
        <v>1308</v>
      </c>
      <c r="F1117" s="60" t="s">
        <v>1302</v>
      </c>
      <c r="G1117" s="72" t="s">
        <v>142</v>
      </c>
      <c r="H1117" s="83">
        <v>0.41666666666666669</v>
      </c>
      <c r="I1117" s="83">
        <v>0.625</v>
      </c>
      <c r="J1117" s="63">
        <f t="shared" ref="J1117:J1126" si="285">I1117-H1117</f>
        <v>0.20833333333333331</v>
      </c>
      <c r="K1117" s="88" t="s">
        <v>110</v>
      </c>
      <c r="L1117" s="135">
        <f t="shared" ref="L1117:L1126" si="286">24*J1117</f>
        <v>5</v>
      </c>
      <c r="O1117" s="91" t="s">
        <v>1214</v>
      </c>
      <c r="P1117" s="88">
        <v>5</v>
      </c>
      <c r="Z1117" s="100"/>
    </row>
    <row r="1118" spans="1:26" x14ac:dyDescent="0.25">
      <c r="A1118" s="99">
        <v>45566</v>
      </c>
      <c r="B1118" s="74">
        <v>45592</v>
      </c>
      <c r="C1118" s="60" t="s">
        <v>31</v>
      </c>
      <c r="D1118" s="60" t="s">
        <v>481</v>
      </c>
      <c r="E1118" s="62" t="s">
        <v>1071</v>
      </c>
      <c r="F1118" s="73" t="s">
        <v>1324</v>
      </c>
      <c r="G1118" s="72" t="s">
        <v>142</v>
      </c>
      <c r="H1118" s="83">
        <v>0.41666666666666669</v>
      </c>
      <c r="I1118" s="83">
        <v>0.75</v>
      </c>
      <c r="J1118" s="63">
        <f t="shared" si="285"/>
        <v>0.33333333333333331</v>
      </c>
      <c r="K1118" s="88" t="s">
        <v>300</v>
      </c>
      <c r="L1118" s="135">
        <f t="shared" si="286"/>
        <v>8</v>
      </c>
      <c r="O1118" s="91" t="s">
        <v>576</v>
      </c>
      <c r="P1118" s="88">
        <v>5</v>
      </c>
      <c r="Q1118" s="60"/>
      <c r="Z1118" s="100"/>
    </row>
    <row r="1119" spans="1:26" x14ac:dyDescent="0.25">
      <c r="A1119" s="99">
        <v>45566</v>
      </c>
      <c r="B1119" s="74">
        <v>45592</v>
      </c>
      <c r="C1119" s="60" t="s">
        <v>31</v>
      </c>
      <c r="D1119" s="60" t="s">
        <v>481</v>
      </c>
      <c r="E1119" s="62" t="s">
        <v>1304</v>
      </c>
      <c r="F1119" s="73" t="s">
        <v>1315</v>
      </c>
      <c r="G1119" s="72" t="s">
        <v>142</v>
      </c>
      <c r="H1119" s="83">
        <v>0.375</v>
      </c>
      <c r="I1119" s="83">
        <v>0.66666666666666663</v>
      </c>
      <c r="J1119" s="63">
        <f t="shared" si="285"/>
        <v>0.29166666666666663</v>
      </c>
      <c r="K1119" s="88" t="s">
        <v>113</v>
      </c>
      <c r="L1119" s="135">
        <f t="shared" si="286"/>
        <v>6.9999999999999991</v>
      </c>
      <c r="O1119" s="91" t="s">
        <v>539</v>
      </c>
      <c r="P1119" s="88">
        <v>5</v>
      </c>
      <c r="Z1119" s="100"/>
    </row>
    <row r="1120" spans="1:26" x14ac:dyDescent="0.25">
      <c r="A1120" s="99">
        <v>45566</v>
      </c>
      <c r="B1120" s="74">
        <v>45592</v>
      </c>
      <c r="C1120" s="60" t="s">
        <v>31</v>
      </c>
      <c r="D1120" s="60" t="s">
        <v>1220</v>
      </c>
      <c r="E1120" s="88" t="s">
        <v>1308</v>
      </c>
      <c r="F1120" s="60" t="s">
        <v>1302</v>
      </c>
      <c r="G1120" s="72" t="s">
        <v>142</v>
      </c>
      <c r="H1120" s="83">
        <v>0.41666666666666669</v>
      </c>
      <c r="I1120" s="83">
        <v>0.54166666666666663</v>
      </c>
      <c r="J1120" s="63">
        <f t="shared" si="285"/>
        <v>0.12499999999999994</v>
      </c>
      <c r="K1120" s="88" t="s">
        <v>110</v>
      </c>
      <c r="L1120" s="135">
        <f t="shared" si="286"/>
        <v>2.9999999999999987</v>
      </c>
      <c r="O1120" s="91" t="s">
        <v>363</v>
      </c>
      <c r="P1120" s="88">
        <v>5</v>
      </c>
      <c r="Z1120" s="100"/>
    </row>
    <row r="1121" spans="1:26" x14ac:dyDescent="0.25">
      <c r="A1121" s="99">
        <v>45566</v>
      </c>
      <c r="B1121" s="74">
        <v>45593</v>
      </c>
      <c r="C1121" s="60" t="s">
        <v>45</v>
      </c>
      <c r="D1121" s="60" t="s">
        <v>481</v>
      </c>
      <c r="E1121" s="62" t="s">
        <v>1071</v>
      </c>
      <c r="F1121" s="73" t="s">
        <v>1324</v>
      </c>
      <c r="G1121" s="72" t="s">
        <v>142</v>
      </c>
      <c r="H1121" s="83">
        <v>0.41666666666666669</v>
      </c>
      <c r="I1121" s="83">
        <v>0.75</v>
      </c>
      <c r="J1121" s="63">
        <f t="shared" ref="J1121" si="287">I1121-H1121</f>
        <v>0.33333333333333331</v>
      </c>
      <c r="K1121" s="88" t="s">
        <v>300</v>
      </c>
      <c r="L1121" s="135">
        <f t="shared" ref="L1121" si="288">24*J1121</f>
        <v>8</v>
      </c>
      <c r="O1121" s="91" t="s">
        <v>576</v>
      </c>
      <c r="P1121" s="88">
        <v>3</v>
      </c>
      <c r="Q1121" s="60" t="s">
        <v>1272</v>
      </c>
      <c r="Z1121" s="100"/>
    </row>
    <row r="1122" spans="1:26" x14ac:dyDescent="0.25">
      <c r="A1122" s="99">
        <v>45566</v>
      </c>
      <c r="B1122" s="74">
        <v>45593</v>
      </c>
      <c r="C1122" s="60" t="s">
        <v>45</v>
      </c>
      <c r="D1122" s="60" t="s">
        <v>126</v>
      </c>
      <c r="E1122" s="115" t="s">
        <v>1285</v>
      </c>
      <c r="F1122" s="60" t="s">
        <v>1316</v>
      </c>
      <c r="G1122" s="72" t="s">
        <v>142</v>
      </c>
      <c r="H1122" s="83">
        <v>0.41666666666666669</v>
      </c>
      <c r="I1122" s="83">
        <v>0.5</v>
      </c>
      <c r="J1122" s="63">
        <f t="shared" si="285"/>
        <v>8.3333333333333315E-2</v>
      </c>
      <c r="K1122" s="88" t="s">
        <v>365</v>
      </c>
      <c r="L1122" s="135">
        <f t="shared" si="286"/>
        <v>1.9999999999999996</v>
      </c>
      <c r="O1122" s="91" t="s">
        <v>358</v>
      </c>
      <c r="P1122" s="88">
        <v>5</v>
      </c>
      <c r="Q1122" s="60"/>
      <c r="Z1122" s="100"/>
    </row>
    <row r="1123" spans="1:26" x14ac:dyDescent="0.25">
      <c r="A1123" s="99">
        <v>45566</v>
      </c>
      <c r="B1123" s="74">
        <v>45593</v>
      </c>
      <c r="C1123" s="60" t="s">
        <v>45</v>
      </c>
      <c r="D1123" s="60" t="s">
        <v>122</v>
      </c>
      <c r="E1123" s="62" t="s">
        <v>1313</v>
      </c>
      <c r="F1123" s="73" t="s">
        <v>1296</v>
      </c>
      <c r="G1123" s="72" t="s">
        <v>142</v>
      </c>
      <c r="H1123" s="83">
        <v>0.41666666666666669</v>
      </c>
      <c r="I1123" s="83">
        <v>0.66666666666666663</v>
      </c>
      <c r="J1123" s="63">
        <f t="shared" si="285"/>
        <v>0.24999999999999994</v>
      </c>
      <c r="K1123" s="88" t="s">
        <v>295</v>
      </c>
      <c r="L1123" s="135">
        <f t="shared" si="286"/>
        <v>5.9999999999999982</v>
      </c>
      <c r="O1123" s="91" t="s">
        <v>314</v>
      </c>
      <c r="P1123" s="88">
        <v>5</v>
      </c>
      <c r="Z1123" s="100"/>
    </row>
    <row r="1124" spans="1:26" x14ac:dyDescent="0.25">
      <c r="A1124" s="99">
        <v>45566</v>
      </c>
      <c r="B1124" s="74">
        <v>45594</v>
      </c>
      <c r="C1124" s="60" t="s">
        <v>106</v>
      </c>
      <c r="D1124" s="60" t="s">
        <v>481</v>
      </c>
      <c r="E1124" s="62" t="s">
        <v>1071</v>
      </c>
      <c r="F1124" s="73" t="s">
        <v>1324</v>
      </c>
      <c r="G1124" s="72" t="s">
        <v>142</v>
      </c>
      <c r="H1124" s="83">
        <v>0.41666666666666669</v>
      </c>
      <c r="I1124" s="83">
        <v>0.75</v>
      </c>
      <c r="J1124" s="63">
        <f t="shared" si="285"/>
        <v>0.33333333333333331</v>
      </c>
      <c r="K1124" s="88" t="s">
        <v>300</v>
      </c>
      <c r="L1124" s="135">
        <f t="shared" si="286"/>
        <v>8</v>
      </c>
      <c r="O1124" s="91" t="s">
        <v>576</v>
      </c>
      <c r="P1124" s="88">
        <v>5</v>
      </c>
      <c r="Q1124" s="60"/>
      <c r="Z1124" s="100"/>
    </row>
    <row r="1125" spans="1:26" x14ac:dyDescent="0.25">
      <c r="A1125" s="99">
        <v>45566</v>
      </c>
      <c r="B1125" s="74">
        <v>45594</v>
      </c>
      <c r="C1125" s="61" t="s">
        <v>106</v>
      </c>
      <c r="D1125" s="60" t="s">
        <v>126</v>
      </c>
      <c r="E1125" s="115" t="s">
        <v>1317</v>
      </c>
      <c r="F1125" s="60" t="s">
        <v>926</v>
      </c>
      <c r="G1125" s="72" t="s">
        <v>142</v>
      </c>
      <c r="H1125" s="83">
        <v>0.54166666666666663</v>
      </c>
      <c r="I1125" s="83">
        <v>0.70833333333333337</v>
      </c>
      <c r="J1125" s="63">
        <f t="shared" si="285"/>
        <v>0.16666666666666674</v>
      </c>
      <c r="K1125" s="88" t="s">
        <v>365</v>
      </c>
      <c r="L1125" s="135">
        <f t="shared" si="286"/>
        <v>4.0000000000000018</v>
      </c>
      <c r="O1125" s="81" t="s">
        <v>314</v>
      </c>
      <c r="P1125" s="88">
        <v>5</v>
      </c>
      <c r="Z1125" s="100"/>
    </row>
    <row r="1126" spans="1:26" x14ac:dyDescent="0.25">
      <c r="A1126" s="99">
        <v>45566</v>
      </c>
      <c r="B1126" s="74">
        <v>45594</v>
      </c>
      <c r="C1126" s="60" t="s">
        <v>106</v>
      </c>
      <c r="D1126" s="60" t="s">
        <v>1326</v>
      </c>
      <c r="E1126" s="62" t="s">
        <v>1325</v>
      </c>
      <c r="F1126" s="73" t="s">
        <v>536</v>
      </c>
      <c r="G1126" s="72" t="s">
        <v>142</v>
      </c>
      <c r="H1126" s="83">
        <v>0.54166666666666663</v>
      </c>
      <c r="I1126" s="83">
        <v>0.75</v>
      </c>
      <c r="J1126" s="63">
        <f t="shared" si="285"/>
        <v>0.20833333333333337</v>
      </c>
      <c r="K1126" s="88" t="s">
        <v>300</v>
      </c>
      <c r="L1126" s="135">
        <f t="shared" si="286"/>
        <v>5.0000000000000009</v>
      </c>
      <c r="O1126" s="91" t="s">
        <v>576</v>
      </c>
      <c r="P1126" s="88">
        <v>5</v>
      </c>
      <c r="Q1126" s="60"/>
      <c r="Z1126" s="100"/>
    </row>
    <row r="1127" spans="1:26" x14ac:dyDescent="0.25">
      <c r="A1127" s="99">
        <v>45566</v>
      </c>
      <c r="B1127" s="74">
        <v>45594</v>
      </c>
      <c r="C1127" s="61" t="s">
        <v>106</v>
      </c>
      <c r="D1127" s="60" t="s">
        <v>481</v>
      </c>
      <c r="E1127" s="62" t="s">
        <v>1304</v>
      </c>
      <c r="F1127" s="73" t="s">
        <v>1315</v>
      </c>
      <c r="G1127" s="72" t="s">
        <v>142</v>
      </c>
      <c r="H1127" s="83">
        <v>0.375</v>
      </c>
      <c r="I1127" s="83">
        <v>0.66666666666666663</v>
      </c>
      <c r="J1127" s="63">
        <f t="shared" ref="J1127:J1128" si="289">I1127-H1127</f>
        <v>0.29166666666666663</v>
      </c>
      <c r="K1127" s="88" t="s">
        <v>113</v>
      </c>
      <c r="L1127" s="135">
        <f t="shared" ref="L1127:L1128" si="290">24*J1127</f>
        <v>6.9999999999999991</v>
      </c>
      <c r="O1127" s="91" t="s">
        <v>539</v>
      </c>
      <c r="P1127" s="88">
        <v>3</v>
      </c>
      <c r="Q1127" s="60" t="s">
        <v>1272</v>
      </c>
      <c r="Z1127" s="100"/>
    </row>
    <row r="1128" spans="1:26" x14ac:dyDescent="0.25">
      <c r="A1128" s="99">
        <v>45566</v>
      </c>
      <c r="B1128" s="74">
        <v>45594</v>
      </c>
      <c r="C1128" s="61" t="s">
        <v>106</v>
      </c>
      <c r="D1128" s="60" t="s">
        <v>32</v>
      </c>
      <c r="E1128" s="115" t="s">
        <v>388</v>
      </c>
      <c r="F1128" s="60" t="s">
        <v>1318</v>
      </c>
      <c r="G1128" s="72" t="s">
        <v>142</v>
      </c>
      <c r="H1128" s="83">
        <v>0.5</v>
      </c>
      <c r="I1128" s="83">
        <v>0.70833333333333337</v>
      </c>
      <c r="J1128" s="63">
        <f t="shared" si="289"/>
        <v>0.20833333333333337</v>
      </c>
      <c r="K1128" s="88" t="s">
        <v>113</v>
      </c>
      <c r="L1128" s="135">
        <f t="shared" si="290"/>
        <v>5.0000000000000009</v>
      </c>
      <c r="O1128" s="91" t="s">
        <v>539</v>
      </c>
      <c r="P1128" s="88">
        <v>2</v>
      </c>
      <c r="Q1128" s="60" t="s">
        <v>1272</v>
      </c>
      <c r="Z1128" s="100"/>
    </row>
    <row r="1129" spans="1:26" x14ac:dyDescent="0.25">
      <c r="A1129" s="99">
        <v>45566</v>
      </c>
      <c r="B1129" s="74">
        <v>45594</v>
      </c>
      <c r="C1129" s="61" t="s">
        <v>106</v>
      </c>
      <c r="D1129" s="60" t="s">
        <v>86</v>
      </c>
      <c r="E1129" s="115" t="s">
        <v>1319</v>
      </c>
      <c r="F1129" s="60" t="s">
        <v>1229</v>
      </c>
      <c r="G1129" s="72" t="s">
        <v>142</v>
      </c>
      <c r="H1129" s="83">
        <v>0.45833333333333331</v>
      </c>
      <c r="I1129" s="83">
        <v>0.625</v>
      </c>
      <c r="J1129" s="63">
        <f>I1129-H1129</f>
        <v>0.16666666666666669</v>
      </c>
      <c r="K1129" s="88" t="s">
        <v>110</v>
      </c>
      <c r="L1129" s="135">
        <f>24*J1129</f>
        <v>4</v>
      </c>
      <c r="O1129" s="91" t="s">
        <v>1214</v>
      </c>
      <c r="P1129" s="88">
        <v>5</v>
      </c>
      <c r="Q1129" s="60" t="s">
        <v>279</v>
      </c>
      <c r="Z1129" s="100"/>
    </row>
    <row r="1130" spans="1:26" x14ac:dyDescent="0.25">
      <c r="A1130" s="99">
        <v>45566</v>
      </c>
      <c r="B1130" s="74">
        <v>45595</v>
      </c>
      <c r="C1130" s="61" t="s">
        <v>398</v>
      </c>
      <c r="D1130" s="60" t="s">
        <v>1322</v>
      </c>
      <c r="E1130" s="62" t="s">
        <v>1320</v>
      </c>
      <c r="F1130" s="73" t="s">
        <v>1321</v>
      </c>
      <c r="G1130" s="59" t="s">
        <v>142</v>
      </c>
      <c r="H1130" s="83">
        <v>0.45833333333333331</v>
      </c>
      <c r="I1130" s="83">
        <v>0.58333333333333337</v>
      </c>
      <c r="J1130" s="63">
        <f>I1130-H1130</f>
        <v>0.12500000000000006</v>
      </c>
      <c r="K1130" s="61" t="s">
        <v>365</v>
      </c>
      <c r="L1130" s="135">
        <f>24*J1130</f>
        <v>3.0000000000000013</v>
      </c>
      <c r="O1130" s="81" t="s">
        <v>314</v>
      </c>
      <c r="P1130" s="88">
        <v>5</v>
      </c>
      <c r="Z1130" s="100"/>
    </row>
    <row r="1131" spans="1:26" x14ac:dyDescent="0.25">
      <c r="A1131" s="99">
        <v>45597</v>
      </c>
      <c r="B1131" s="74">
        <v>45597</v>
      </c>
      <c r="C1131" s="118" t="s">
        <v>33</v>
      </c>
      <c r="D1131" s="60" t="s">
        <v>98</v>
      </c>
      <c r="E1131" s="62" t="s">
        <v>1327</v>
      </c>
      <c r="F1131" s="73" t="s">
        <v>979</v>
      </c>
      <c r="G1131" s="59" t="s">
        <v>142</v>
      </c>
      <c r="H1131" s="83">
        <v>0.41666666666666669</v>
      </c>
      <c r="I1131" s="83">
        <v>0.70833333333333304</v>
      </c>
      <c r="J1131" s="63">
        <f t="shared" ref="J1131:J1141" si="291">I1131-H1131</f>
        <v>0.29166666666666635</v>
      </c>
      <c r="K1131" s="88" t="s">
        <v>113</v>
      </c>
      <c r="L1131" s="135">
        <f t="shared" ref="L1131:L1141" si="292">24*J1131</f>
        <v>6.9999999999999929</v>
      </c>
      <c r="O1131" s="91" t="s">
        <v>363</v>
      </c>
      <c r="P1131" s="88">
        <v>5</v>
      </c>
      <c r="Z1131" s="100"/>
    </row>
    <row r="1132" spans="1:26" x14ac:dyDescent="0.25">
      <c r="A1132" s="99">
        <v>45597</v>
      </c>
      <c r="B1132" s="74">
        <v>45598</v>
      </c>
      <c r="C1132" s="118" t="s">
        <v>34</v>
      </c>
      <c r="D1132" s="60" t="s">
        <v>481</v>
      </c>
      <c r="E1132" s="62" t="s">
        <v>1304</v>
      </c>
      <c r="F1132" s="73" t="s">
        <v>1315</v>
      </c>
      <c r="G1132" s="72" t="s">
        <v>142</v>
      </c>
      <c r="H1132" s="83">
        <v>0.33333333333333331</v>
      </c>
      <c r="I1132" s="83">
        <v>0.70833333333333304</v>
      </c>
      <c r="J1132" s="63">
        <f t="shared" si="291"/>
        <v>0.37499999999999972</v>
      </c>
      <c r="K1132" s="88" t="s">
        <v>113</v>
      </c>
      <c r="L1132" s="135">
        <f t="shared" si="292"/>
        <v>8.9999999999999929</v>
      </c>
      <c r="O1132" s="91" t="s">
        <v>539</v>
      </c>
      <c r="P1132" s="88">
        <v>5</v>
      </c>
      <c r="Q1132" s="60"/>
      <c r="Z1132" s="100"/>
    </row>
    <row r="1133" spans="1:26" x14ac:dyDescent="0.25">
      <c r="A1133" s="99">
        <v>45597</v>
      </c>
      <c r="B1133" s="74">
        <v>45598</v>
      </c>
      <c r="C1133" s="61" t="s">
        <v>34</v>
      </c>
      <c r="D1133" s="60" t="s">
        <v>317</v>
      </c>
      <c r="E1133" s="62" t="s">
        <v>1303</v>
      </c>
      <c r="F1133" s="73" t="s">
        <v>566</v>
      </c>
      <c r="G1133" s="72" t="s">
        <v>142</v>
      </c>
      <c r="H1133" s="83">
        <v>0.39583333333333331</v>
      </c>
      <c r="I1133" s="83">
        <v>0.75</v>
      </c>
      <c r="J1133" s="63">
        <f t="shared" si="291"/>
        <v>0.35416666666666669</v>
      </c>
      <c r="K1133" s="88" t="s">
        <v>300</v>
      </c>
      <c r="L1133" s="135">
        <f t="shared" si="292"/>
        <v>8.5</v>
      </c>
      <c r="O1133" s="91" t="s">
        <v>362</v>
      </c>
      <c r="P1133" s="88">
        <v>5</v>
      </c>
      <c r="Q1133" s="60"/>
      <c r="Z1133" s="100"/>
    </row>
    <row r="1134" spans="1:26" x14ac:dyDescent="0.25">
      <c r="A1134" s="99">
        <v>45597</v>
      </c>
      <c r="B1134" s="74">
        <v>45598</v>
      </c>
      <c r="C1134" s="118" t="s">
        <v>34</v>
      </c>
      <c r="D1134" s="60" t="s">
        <v>481</v>
      </c>
      <c r="E1134" s="62" t="s">
        <v>1071</v>
      </c>
      <c r="F1134" s="73" t="s">
        <v>1328</v>
      </c>
      <c r="G1134" s="72" t="s">
        <v>142</v>
      </c>
      <c r="H1134" s="83">
        <v>0.41666666666666669</v>
      </c>
      <c r="I1134" s="83">
        <v>0.75</v>
      </c>
      <c r="J1134" s="63">
        <f>I1134-H1134</f>
        <v>0.33333333333333331</v>
      </c>
      <c r="K1134" s="88" t="s">
        <v>300</v>
      </c>
      <c r="L1134" s="135">
        <f>24*J1134</f>
        <v>8</v>
      </c>
      <c r="O1134" s="91" t="s">
        <v>576</v>
      </c>
      <c r="P1134" s="88">
        <v>5</v>
      </c>
      <c r="Q1134" s="60"/>
      <c r="Z1134" s="100"/>
    </row>
    <row r="1135" spans="1:26" x14ac:dyDescent="0.25">
      <c r="A1135" s="99">
        <v>45597</v>
      </c>
      <c r="B1135" s="74">
        <v>45598</v>
      </c>
      <c r="C1135" s="118" t="s">
        <v>34</v>
      </c>
      <c r="D1135" s="60" t="s">
        <v>1329</v>
      </c>
      <c r="E1135" s="60" t="s">
        <v>1330</v>
      </c>
      <c r="F1135" s="73" t="s">
        <v>582</v>
      </c>
      <c r="G1135" s="72" t="s">
        <v>142</v>
      </c>
      <c r="H1135" s="83">
        <v>0.41666666666666669</v>
      </c>
      <c r="I1135" s="83">
        <v>0.75</v>
      </c>
      <c r="J1135" s="63">
        <f>I1135-H1135</f>
        <v>0.33333333333333331</v>
      </c>
      <c r="K1135" s="88" t="s">
        <v>300</v>
      </c>
      <c r="L1135" s="135">
        <f>24*J1135</f>
        <v>8</v>
      </c>
      <c r="O1135" s="91" t="s">
        <v>576</v>
      </c>
      <c r="P1135" s="88">
        <v>5</v>
      </c>
      <c r="Q1135" s="60"/>
      <c r="Z1135" s="100"/>
    </row>
    <row r="1136" spans="1:26" x14ac:dyDescent="0.25">
      <c r="A1136" s="99">
        <v>45597</v>
      </c>
      <c r="B1136" s="74">
        <v>45598</v>
      </c>
      <c r="C1136" s="118" t="s">
        <v>34</v>
      </c>
      <c r="D1136" s="60" t="s">
        <v>481</v>
      </c>
      <c r="E1136" s="60" t="s">
        <v>1071</v>
      </c>
      <c r="F1136" s="73" t="s">
        <v>1324</v>
      </c>
      <c r="G1136" s="72" t="s">
        <v>142</v>
      </c>
      <c r="H1136" s="83">
        <v>0.41666666666666669</v>
      </c>
      <c r="I1136" s="83">
        <v>0.75</v>
      </c>
      <c r="J1136" s="63">
        <f>I1136-H1136</f>
        <v>0.33333333333333331</v>
      </c>
      <c r="K1136" s="88" t="s">
        <v>300</v>
      </c>
      <c r="L1136" s="135">
        <f>24*J1136</f>
        <v>8</v>
      </c>
      <c r="O1136" s="91" t="s">
        <v>576</v>
      </c>
      <c r="P1136" s="88">
        <v>5</v>
      </c>
      <c r="Q1136" s="60"/>
      <c r="Z1136" s="100"/>
    </row>
    <row r="1137" spans="1:26" x14ac:dyDescent="0.25">
      <c r="A1137" s="99">
        <v>45597</v>
      </c>
      <c r="B1137" s="74">
        <v>45598</v>
      </c>
      <c r="C1137" s="118" t="s">
        <v>34</v>
      </c>
      <c r="D1137" s="60" t="s">
        <v>1331</v>
      </c>
      <c r="E1137" s="60" t="s">
        <v>1332</v>
      </c>
      <c r="F1137" s="60" t="s">
        <v>1333</v>
      </c>
      <c r="G1137" s="72" t="s">
        <v>142</v>
      </c>
      <c r="H1137" s="83">
        <v>0.45833333333333331</v>
      </c>
      <c r="I1137" s="83">
        <v>0.625</v>
      </c>
      <c r="J1137" s="63">
        <f t="shared" ref="J1137" si="293">I1137-H1137</f>
        <v>0.16666666666666669</v>
      </c>
      <c r="K1137" s="88" t="s">
        <v>365</v>
      </c>
      <c r="L1137" s="135">
        <f t="shared" ref="L1137" si="294">24*J1137</f>
        <v>4</v>
      </c>
      <c r="O1137" s="91" t="s">
        <v>821</v>
      </c>
      <c r="P1137" s="88">
        <v>5</v>
      </c>
      <c r="Z1137" s="100"/>
    </row>
    <row r="1138" spans="1:26" x14ac:dyDescent="0.25">
      <c r="A1138" s="99">
        <v>45597</v>
      </c>
      <c r="B1138" s="74">
        <v>45598</v>
      </c>
      <c r="C1138" s="118" t="s">
        <v>34</v>
      </c>
      <c r="D1138" s="60" t="s">
        <v>720</v>
      </c>
      <c r="E1138" s="60" t="s">
        <v>969</v>
      </c>
      <c r="F1138" s="60" t="s">
        <v>837</v>
      </c>
      <c r="G1138" s="72" t="s">
        <v>142</v>
      </c>
      <c r="H1138" s="83">
        <v>0.45833333333333331</v>
      </c>
      <c r="I1138" s="83">
        <v>0.83333333333333337</v>
      </c>
      <c r="J1138" s="63">
        <f t="shared" si="291"/>
        <v>0.37500000000000006</v>
      </c>
      <c r="K1138" s="88" t="s">
        <v>365</v>
      </c>
      <c r="L1138" s="135">
        <f t="shared" si="292"/>
        <v>9.0000000000000018</v>
      </c>
      <c r="O1138" s="91" t="s">
        <v>821</v>
      </c>
      <c r="P1138" s="88">
        <v>5</v>
      </c>
      <c r="Z1138" s="100"/>
    </row>
    <row r="1139" spans="1:26" x14ac:dyDescent="0.25">
      <c r="A1139" s="99">
        <v>45597</v>
      </c>
      <c r="B1139" s="74">
        <v>45599</v>
      </c>
      <c r="C1139" s="118" t="s">
        <v>31</v>
      </c>
      <c r="D1139" s="60" t="s">
        <v>720</v>
      </c>
      <c r="E1139" s="60" t="s">
        <v>969</v>
      </c>
      <c r="F1139" s="60" t="s">
        <v>837</v>
      </c>
      <c r="G1139" s="72" t="s">
        <v>142</v>
      </c>
      <c r="H1139" s="83">
        <v>0.52083333333333337</v>
      </c>
      <c r="I1139" s="83">
        <v>0.77083333333333337</v>
      </c>
      <c r="J1139" s="63">
        <f t="shared" si="291"/>
        <v>0.25</v>
      </c>
      <c r="K1139" s="88" t="s">
        <v>296</v>
      </c>
      <c r="L1139" s="135">
        <f t="shared" si="292"/>
        <v>6</v>
      </c>
      <c r="O1139" s="91" t="s">
        <v>304</v>
      </c>
      <c r="P1139" s="88">
        <v>5</v>
      </c>
      <c r="Z1139" s="100"/>
    </row>
    <row r="1140" spans="1:26" x14ac:dyDescent="0.25">
      <c r="A1140" s="99">
        <v>45597</v>
      </c>
      <c r="B1140" s="74">
        <v>45599</v>
      </c>
      <c r="C1140" s="118" t="s">
        <v>31</v>
      </c>
      <c r="D1140" s="60" t="s">
        <v>406</v>
      </c>
      <c r="E1140" s="60" t="s">
        <v>1096</v>
      </c>
      <c r="F1140" s="60" t="s">
        <v>616</v>
      </c>
      <c r="G1140" s="72" t="s">
        <v>142</v>
      </c>
      <c r="H1140" s="83">
        <v>0.52083333333333337</v>
      </c>
      <c r="I1140" s="83">
        <v>0.66666666666666663</v>
      </c>
      <c r="J1140" s="63">
        <f t="shared" si="291"/>
        <v>0.14583333333333326</v>
      </c>
      <c r="K1140" s="88" t="s">
        <v>365</v>
      </c>
      <c r="L1140" s="135">
        <f t="shared" si="292"/>
        <v>3.4999999999999982</v>
      </c>
      <c r="O1140" s="91" t="s">
        <v>1214</v>
      </c>
      <c r="P1140" s="88">
        <v>5</v>
      </c>
      <c r="Z1140" s="100"/>
    </row>
    <row r="1141" spans="1:26" x14ac:dyDescent="0.25">
      <c r="A1141" s="99">
        <v>45597</v>
      </c>
      <c r="B1141" s="74">
        <v>45599</v>
      </c>
      <c r="C1141" s="118" t="s">
        <v>31</v>
      </c>
      <c r="D1141" s="60" t="s">
        <v>481</v>
      </c>
      <c r="E1141" s="60" t="s">
        <v>1304</v>
      </c>
      <c r="F1141" s="73" t="s">
        <v>1315</v>
      </c>
      <c r="G1141" s="72" t="s">
        <v>142</v>
      </c>
      <c r="H1141" s="83">
        <v>0.33333333333333331</v>
      </c>
      <c r="I1141" s="83">
        <v>0.66666666666666663</v>
      </c>
      <c r="J1141" s="63">
        <f t="shared" si="291"/>
        <v>0.33333333333333331</v>
      </c>
      <c r="K1141" s="88" t="s">
        <v>113</v>
      </c>
      <c r="L1141" s="135">
        <f t="shared" si="292"/>
        <v>8</v>
      </c>
      <c r="O1141" s="91" t="s">
        <v>539</v>
      </c>
      <c r="P1141" s="88">
        <v>5</v>
      </c>
      <c r="Q1141" s="60"/>
      <c r="Z1141" s="100"/>
    </row>
    <row r="1142" spans="1:26" x14ac:dyDescent="0.25">
      <c r="A1142" s="99">
        <v>45597</v>
      </c>
      <c r="B1142" s="74">
        <v>45600</v>
      </c>
      <c r="C1142" s="118" t="s">
        <v>45</v>
      </c>
      <c r="D1142" s="60" t="s">
        <v>481</v>
      </c>
      <c r="E1142" s="60" t="s">
        <v>1071</v>
      </c>
      <c r="F1142" s="73" t="s">
        <v>1324</v>
      </c>
      <c r="G1142" s="72" t="s">
        <v>142</v>
      </c>
      <c r="H1142" s="83">
        <v>0.41666666666666669</v>
      </c>
      <c r="I1142" s="83">
        <v>0.75</v>
      </c>
      <c r="J1142" s="63">
        <f>I1142-H1142</f>
        <v>0.33333333333333331</v>
      </c>
      <c r="K1142" s="88" t="s">
        <v>300</v>
      </c>
      <c r="L1142" s="135">
        <f>24*J1142</f>
        <v>8</v>
      </c>
      <c r="O1142" s="91" t="s">
        <v>576</v>
      </c>
      <c r="P1142" s="88">
        <v>5</v>
      </c>
      <c r="Q1142" s="60"/>
      <c r="Z1142" s="100"/>
    </row>
    <row r="1143" spans="1:26" x14ac:dyDescent="0.25">
      <c r="A1143" s="99">
        <v>45597</v>
      </c>
      <c r="B1143" s="74">
        <v>45600</v>
      </c>
      <c r="C1143" s="118" t="s">
        <v>45</v>
      </c>
      <c r="D1143" s="60" t="s">
        <v>481</v>
      </c>
      <c r="E1143" s="60" t="s">
        <v>1304</v>
      </c>
      <c r="F1143" s="73" t="s">
        <v>1315</v>
      </c>
      <c r="G1143" s="72" t="s">
        <v>142</v>
      </c>
      <c r="H1143" s="83">
        <v>0.33333333333333331</v>
      </c>
      <c r="I1143" s="83">
        <v>0.66666666666666663</v>
      </c>
      <c r="J1143" s="63">
        <f t="shared" ref="J1143:J1206" si="295">I1143-H1143</f>
        <v>0.33333333333333331</v>
      </c>
      <c r="K1143" s="88" t="s">
        <v>113</v>
      </c>
      <c r="L1143" s="135">
        <f t="shared" ref="L1143:L1206" si="296">24*J1143</f>
        <v>8</v>
      </c>
      <c r="O1143" s="91" t="s">
        <v>539</v>
      </c>
      <c r="P1143" s="88">
        <v>5</v>
      </c>
      <c r="Q1143" s="60"/>
      <c r="Z1143" s="100"/>
    </row>
    <row r="1144" spans="1:26" x14ac:dyDescent="0.25">
      <c r="A1144" s="99">
        <v>45597</v>
      </c>
      <c r="B1144" s="74">
        <v>45600</v>
      </c>
      <c r="C1144" s="118" t="s">
        <v>45</v>
      </c>
      <c r="D1144" s="60" t="s">
        <v>98</v>
      </c>
      <c r="E1144" s="60" t="s">
        <v>1334</v>
      </c>
      <c r="F1144" s="60" t="s">
        <v>1335</v>
      </c>
      <c r="G1144" s="72" t="s">
        <v>142</v>
      </c>
      <c r="H1144" s="83">
        <v>4.1666666666666664E-2</v>
      </c>
      <c r="I1144" s="83">
        <v>0.70833333333333337</v>
      </c>
      <c r="J1144" s="63">
        <f t="shared" si="295"/>
        <v>0.66666666666666674</v>
      </c>
      <c r="K1144" s="88" t="s">
        <v>110</v>
      </c>
      <c r="L1144" s="135">
        <f t="shared" si="296"/>
        <v>16</v>
      </c>
      <c r="O1144" s="91" t="s">
        <v>363</v>
      </c>
      <c r="P1144" s="88">
        <v>5</v>
      </c>
      <c r="Z1144" s="100"/>
    </row>
    <row r="1145" spans="1:26" x14ac:dyDescent="0.25">
      <c r="A1145" s="99">
        <v>45597</v>
      </c>
      <c r="B1145" s="74">
        <v>45600</v>
      </c>
      <c r="C1145" s="118" t="s">
        <v>45</v>
      </c>
      <c r="D1145" s="60" t="s">
        <v>126</v>
      </c>
      <c r="E1145" s="60" t="s">
        <v>352</v>
      </c>
      <c r="F1145" s="60" t="s">
        <v>176</v>
      </c>
      <c r="G1145" s="72" t="s">
        <v>142</v>
      </c>
      <c r="H1145" s="83">
        <v>4.1666666666666664E-2</v>
      </c>
      <c r="I1145" s="83">
        <v>0.625</v>
      </c>
      <c r="J1145" s="63">
        <f t="shared" si="295"/>
        <v>0.58333333333333337</v>
      </c>
      <c r="K1145" s="88" t="s">
        <v>110</v>
      </c>
      <c r="L1145" s="135">
        <f t="shared" si="296"/>
        <v>14</v>
      </c>
      <c r="O1145" s="91" t="s">
        <v>363</v>
      </c>
      <c r="P1145" s="88">
        <v>5</v>
      </c>
      <c r="Z1145" s="100"/>
    </row>
    <row r="1146" spans="1:26" x14ac:dyDescent="0.25">
      <c r="A1146" s="99">
        <v>45597</v>
      </c>
      <c r="B1146" s="74">
        <v>45600</v>
      </c>
      <c r="C1146" s="118" t="s">
        <v>45</v>
      </c>
      <c r="D1146" s="60" t="s">
        <v>481</v>
      </c>
      <c r="E1146" s="60" t="s">
        <v>865</v>
      </c>
      <c r="F1146" s="60" t="s">
        <v>1336</v>
      </c>
      <c r="G1146" s="72" t="s">
        <v>142</v>
      </c>
      <c r="H1146" s="83">
        <v>0.41666666666666669</v>
      </c>
      <c r="I1146" s="83">
        <v>0.66666666666666663</v>
      </c>
      <c r="J1146" s="63">
        <f t="shared" si="295"/>
        <v>0.24999999999999994</v>
      </c>
      <c r="K1146" s="88" t="s">
        <v>110</v>
      </c>
      <c r="L1146" s="135">
        <f t="shared" si="296"/>
        <v>5.9999999999999982</v>
      </c>
      <c r="O1146" s="91" t="s">
        <v>363</v>
      </c>
      <c r="P1146" s="88">
        <v>5</v>
      </c>
      <c r="Z1146" s="100"/>
    </row>
    <row r="1147" spans="1:26" x14ac:dyDescent="0.25">
      <c r="A1147" s="99">
        <v>45597</v>
      </c>
      <c r="B1147" s="74">
        <v>45601</v>
      </c>
      <c r="C1147" s="119" t="s">
        <v>106</v>
      </c>
      <c r="D1147" s="60" t="s">
        <v>481</v>
      </c>
      <c r="E1147" s="60" t="s">
        <v>1304</v>
      </c>
      <c r="F1147" s="73" t="s">
        <v>1337</v>
      </c>
      <c r="G1147" s="72" t="s">
        <v>142</v>
      </c>
      <c r="H1147" s="83">
        <v>0.33333333333333331</v>
      </c>
      <c r="I1147" s="83">
        <v>0.66666666666666663</v>
      </c>
      <c r="J1147" s="63">
        <f t="shared" si="295"/>
        <v>0.33333333333333331</v>
      </c>
      <c r="K1147" s="88" t="s">
        <v>113</v>
      </c>
      <c r="L1147" s="135">
        <f t="shared" si="296"/>
        <v>8</v>
      </c>
      <c r="O1147" s="91" t="s">
        <v>539</v>
      </c>
      <c r="P1147" s="88">
        <v>5</v>
      </c>
      <c r="Q1147" s="60"/>
      <c r="Z1147" s="100"/>
    </row>
    <row r="1148" spans="1:26" x14ac:dyDescent="0.25">
      <c r="A1148" s="99">
        <v>45597</v>
      </c>
      <c r="B1148" s="74">
        <v>45601</v>
      </c>
      <c r="C1148" s="119" t="s">
        <v>106</v>
      </c>
      <c r="D1148" s="60" t="s">
        <v>740</v>
      </c>
      <c r="E1148" s="60" t="s">
        <v>961</v>
      </c>
      <c r="F1148" s="60" t="s">
        <v>1338</v>
      </c>
      <c r="G1148" s="72" t="s">
        <v>142</v>
      </c>
      <c r="H1148" s="83">
        <v>0.41666666666666669</v>
      </c>
      <c r="I1148" s="83">
        <v>0.66666666666666663</v>
      </c>
      <c r="J1148" s="63">
        <f t="shared" si="295"/>
        <v>0.24999999999999994</v>
      </c>
      <c r="K1148" s="88" t="s">
        <v>110</v>
      </c>
      <c r="L1148" s="135">
        <f t="shared" si="296"/>
        <v>5.9999999999999982</v>
      </c>
      <c r="O1148" s="91" t="s">
        <v>363</v>
      </c>
      <c r="P1148" s="88">
        <v>5</v>
      </c>
      <c r="Z1148" s="100"/>
    </row>
    <row r="1149" spans="1:26" x14ac:dyDescent="0.25">
      <c r="A1149" s="99">
        <v>45597</v>
      </c>
      <c r="B1149" s="74">
        <v>45601</v>
      </c>
      <c r="C1149" s="119" t="s">
        <v>106</v>
      </c>
      <c r="D1149" s="60" t="s">
        <v>481</v>
      </c>
      <c r="E1149" s="60" t="s">
        <v>1071</v>
      </c>
      <c r="F1149" s="73" t="s">
        <v>1324</v>
      </c>
      <c r="G1149" s="72" t="s">
        <v>142</v>
      </c>
      <c r="H1149" s="83">
        <v>0.41666666666666669</v>
      </c>
      <c r="I1149" s="83">
        <v>0.75</v>
      </c>
      <c r="J1149" s="63">
        <f>I1149-H1149</f>
        <v>0.33333333333333331</v>
      </c>
      <c r="K1149" s="88" t="s">
        <v>300</v>
      </c>
      <c r="L1149" s="135">
        <f>24*J1149</f>
        <v>8</v>
      </c>
      <c r="O1149" s="91" t="s">
        <v>576</v>
      </c>
      <c r="P1149" s="88">
        <v>5</v>
      </c>
      <c r="Z1149" s="100"/>
    </row>
    <row r="1150" spans="1:26" x14ac:dyDescent="0.25">
      <c r="A1150" s="99">
        <v>45597</v>
      </c>
      <c r="B1150" s="74">
        <v>45601</v>
      </c>
      <c r="C1150" s="119" t="s">
        <v>106</v>
      </c>
      <c r="D1150" s="60" t="s">
        <v>599</v>
      </c>
      <c r="E1150" s="62" t="s">
        <v>1339</v>
      </c>
      <c r="F1150" s="73" t="s">
        <v>1340</v>
      </c>
      <c r="G1150" s="59" t="s">
        <v>142</v>
      </c>
      <c r="H1150" s="83">
        <v>0.41666666666666669</v>
      </c>
      <c r="I1150" s="83">
        <v>0.75</v>
      </c>
      <c r="J1150" s="63">
        <f>I1150-H1150</f>
        <v>0.33333333333333331</v>
      </c>
      <c r="K1150" s="88" t="s">
        <v>300</v>
      </c>
      <c r="L1150" s="135">
        <f>24*J1150</f>
        <v>8</v>
      </c>
      <c r="O1150" s="91" t="s">
        <v>576</v>
      </c>
      <c r="P1150" s="88">
        <v>5</v>
      </c>
      <c r="Z1150" s="100"/>
    </row>
    <row r="1151" spans="1:26" x14ac:dyDescent="0.25">
      <c r="A1151" s="99">
        <v>45597</v>
      </c>
      <c r="B1151" s="74">
        <v>45601</v>
      </c>
      <c r="C1151" s="119" t="s">
        <v>106</v>
      </c>
      <c r="D1151" s="60" t="s">
        <v>481</v>
      </c>
      <c r="E1151" s="60" t="s">
        <v>1304</v>
      </c>
      <c r="F1151" s="73" t="s">
        <v>1341</v>
      </c>
      <c r="G1151" s="72" t="s">
        <v>142</v>
      </c>
      <c r="H1151" s="83">
        <v>0.33333333333333331</v>
      </c>
      <c r="I1151" s="83">
        <v>0.66666666666666663</v>
      </c>
      <c r="J1151" s="63">
        <f t="shared" si="295"/>
        <v>0.33333333333333331</v>
      </c>
      <c r="K1151" s="88" t="s">
        <v>113</v>
      </c>
      <c r="L1151" s="135">
        <f t="shared" si="296"/>
        <v>8</v>
      </c>
      <c r="O1151" s="91" t="s">
        <v>539</v>
      </c>
      <c r="P1151" s="88">
        <v>5</v>
      </c>
      <c r="Q1151" s="60"/>
      <c r="Z1151" s="100"/>
    </row>
    <row r="1152" spans="1:26" x14ac:dyDescent="0.25">
      <c r="A1152" s="99">
        <v>45597</v>
      </c>
      <c r="B1152" s="74">
        <v>45602</v>
      </c>
      <c r="C1152" s="119" t="s">
        <v>398</v>
      </c>
      <c r="D1152" s="60" t="s">
        <v>311</v>
      </c>
      <c r="E1152" s="60" t="s">
        <v>1342</v>
      </c>
      <c r="F1152" s="73" t="s">
        <v>1343</v>
      </c>
      <c r="G1152" s="72" t="s">
        <v>142</v>
      </c>
      <c r="H1152" s="83">
        <v>0.60416666666666663</v>
      </c>
      <c r="I1152" s="83">
        <v>0.83333333333333337</v>
      </c>
      <c r="J1152" s="63">
        <f t="shared" si="295"/>
        <v>0.22916666666666674</v>
      </c>
      <c r="K1152" s="88" t="s">
        <v>365</v>
      </c>
      <c r="L1152" s="135">
        <f t="shared" si="296"/>
        <v>5.5000000000000018</v>
      </c>
      <c r="O1152" s="91" t="s">
        <v>1214</v>
      </c>
      <c r="P1152" s="88">
        <v>5</v>
      </c>
      <c r="Q1152" s="60"/>
      <c r="Z1152" s="100"/>
    </row>
    <row r="1153" spans="1:26" x14ac:dyDescent="0.25">
      <c r="A1153" s="99">
        <v>45597</v>
      </c>
      <c r="B1153" s="74">
        <v>45602</v>
      </c>
      <c r="C1153" s="119" t="s">
        <v>398</v>
      </c>
      <c r="D1153" s="60" t="s">
        <v>32</v>
      </c>
      <c r="E1153" s="60" t="s">
        <v>1344</v>
      </c>
      <c r="F1153" s="73" t="s">
        <v>1345</v>
      </c>
      <c r="G1153" s="72" t="s">
        <v>142</v>
      </c>
      <c r="H1153" s="83">
        <v>0.41666666666666669</v>
      </c>
      <c r="I1153" s="83">
        <v>0.70833333333333337</v>
      </c>
      <c r="J1153" s="63">
        <f t="shared" si="295"/>
        <v>0.29166666666666669</v>
      </c>
      <c r="K1153" s="88" t="s">
        <v>365</v>
      </c>
      <c r="L1153" s="135">
        <f t="shared" si="296"/>
        <v>7</v>
      </c>
      <c r="O1153" s="91" t="s">
        <v>820</v>
      </c>
      <c r="P1153" s="88">
        <v>5</v>
      </c>
      <c r="Q1153" s="60"/>
      <c r="Z1153" s="100"/>
    </row>
    <row r="1154" spans="1:26" x14ac:dyDescent="0.25">
      <c r="A1154" s="99">
        <v>45597</v>
      </c>
      <c r="B1154" s="74">
        <v>45602</v>
      </c>
      <c r="C1154" s="119" t="s">
        <v>398</v>
      </c>
      <c r="D1154" s="60" t="s">
        <v>740</v>
      </c>
      <c r="E1154" s="60" t="s">
        <v>961</v>
      </c>
      <c r="F1154" s="60" t="s">
        <v>1338</v>
      </c>
      <c r="G1154" s="72" t="s">
        <v>142</v>
      </c>
      <c r="H1154" s="83">
        <v>0.41666666666666669</v>
      </c>
      <c r="I1154" s="83">
        <v>0.70833333333333337</v>
      </c>
      <c r="J1154" s="63">
        <f t="shared" si="295"/>
        <v>0.29166666666666669</v>
      </c>
      <c r="K1154" s="88" t="s">
        <v>110</v>
      </c>
      <c r="L1154" s="135">
        <f t="shared" si="296"/>
        <v>7</v>
      </c>
      <c r="O1154" s="91" t="s">
        <v>363</v>
      </c>
      <c r="P1154" s="88">
        <v>5</v>
      </c>
      <c r="Q1154" s="60"/>
      <c r="Z1154" s="100"/>
    </row>
    <row r="1155" spans="1:26" x14ac:dyDescent="0.25">
      <c r="A1155" s="99">
        <v>45597</v>
      </c>
      <c r="B1155" s="74">
        <v>45602</v>
      </c>
      <c r="C1155" s="119" t="s">
        <v>398</v>
      </c>
      <c r="D1155" s="60" t="s">
        <v>32</v>
      </c>
      <c r="E1155" s="62" t="s">
        <v>1172</v>
      </c>
      <c r="F1155" s="73" t="s">
        <v>1346</v>
      </c>
      <c r="G1155" s="72" t="s">
        <v>142</v>
      </c>
      <c r="H1155" s="83">
        <v>0.5</v>
      </c>
      <c r="I1155" s="83">
        <v>0.66666666666666663</v>
      </c>
      <c r="J1155" s="63">
        <f t="shared" si="295"/>
        <v>0.16666666666666663</v>
      </c>
      <c r="K1155" s="88" t="s">
        <v>110</v>
      </c>
      <c r="L1155" s="135">
        <f t="shared" si="296"/>
        <v>3.9999999999999991</v>
      </c>
      <c r="O1155" s="91" t="s">
        <v>363</v>
      </c>
      <c r="P1155" s="88">
        <v>4</v>
      </c>
      <c r="Q1155" s="60" t="s">
        <v>777</v>
      </c>
      <c r="Z1155" s="100"/>
    </row>
    <row r="1156" spans="1:26" x14ac:dyDescent="0.25">
      <c r="A1156" s="99">
        <v>45597</v>
      </c>
      <c r="B1156" s="74">
        <v>45602</v>
      </c>
      <c r="C1156" s="119" t="s">
        <v>398</v>
      </c>
      <c r="D1156" s="60" t="s">
        <v>481</v>
      </c>
      <c r="E1156" s="60" t="s">
        <v>1071</v>
      </c>
      <c r="F1156" s="73" t="s">
        <v>1324</v>
      </c>
      <c r="G1156" s="72" t="s">
        <v>142</v>
      </c>
      <c r="H1156" s="83">
        <v>0.41666666666666669</v>
      </c>
      <c r="I1156" s="83">
        <v>0.75</v>
      </c>
      <c r="J1156" s="63">
        <f>I1156-H1156</f>
        <v>0.33333333333333331</v>
      </c>
      <c r="K1156" s="88" t="s">
        <v>300</v>
      </c>
      <c r="L1156" s="135">
        <f>24*J1156</f>
        <v>8</v>
      </c>
      <c r="O1156" s="91" t="s">
        <v>576</v>
      </c>
      <c r="P1156" s="88">
        <v>5</v>
      </c>
      <c r="Q1156" s="60"/>
      <c r="Z1156" s="100"/>
    </row>
    <row r="1157" spans="1:26" x14ac:dyDescent="0.25">
      <c r="A1157" s="99">
        <v>45597</v>
      </c>
      <c r="B1157" s="74">
        <v>45602</v>
      </c>
      <c r="C1157" s="119" t="s">
        <v>398</v>
      </c>
      <c r="D1157" s="60" t="s">
        <v>122</v>
      </c>
      <c r="E1157" s="60" t="s">
        <v>1313</v>
      </c>
      <c r="F1157" s="73" t="s">
        <v>1347</v>
      </c>
      <c r="G1157" s="72" t="s">
        <v>142</v>
      </c>
      <c r="H1157" s="83">
        <v>0.47916666666666669</v>
      </c>
      <c r="I1157" s="83">
        <v>0.72916666666666663</v>
      </c>
      <c r="J1157" s="63">
        <f t="shared" si="295"/>
        <v>0.24999999999999994</v>
      </c>
      <c r="K1157" s="88" t="s">
        <v>295</v>
      </c>
      <c r="L1157" s="135">
        <f t="shared" si="296"/>
        <v>5.9999999999999982</v>
      </c>
      <c r="O1157" s="91" t="s">
        <v>360</v>
      </c>
      <c r="P1157" s="88">
        <v>5</v>
      </c>
      <c r="Z1157" s="100"/>
    </row>
    <row r="1158" spans="1:26" x14ac:dyDescent="0.25">
      <c r="A1158" s="99">
        <v>45597</v>
      </c>
      <c r="B1158" s="74">
        <v>45603</v>
      </c>
      <c r="C1158" s="119" t="s">
        <v>124</v>
      </c>
      <c r="D1158" s="60" t="s">
        <v>313</v>
      </c>
      <c r="E1158" s="60" t="s">
        <v>350</v>
      </c>
      <c r="F1158" s="73" t="s">
        <v>1290</v>
      </c>
      <c r="G1158" s="72" t="s">
        <v>142</v>
      </c>
      <c r="H1158" s="83">
        <v>0.60416666666666663</v>
      </c>
      <c r="I1158" s="83">
        <v>0.625</v>
      </c>
      <c r="J1158" s="63">
        <f t="shared" si="295"/>
        <v>2.083333333333337E-2</v>
      </c>
      <c r="K1158" s="88" t="s">
        <v>295</v>
      </c>
      <c r="L1158" s="135">
        <f t="shared" si="296"/>
        <v>0.50000000000000089</v>
      </c>
      <c r="O1158" s="91" t="s">
        <v>1214</v>
      </c>
      <c r="P1158" s="88">
        <v>5</v>
      </c>
      <c r="Z1158" s="100"/>
    </row>
    <row r="1159" spans="1:26" x14ac:dyDescent="0.25">
      <c r="A1159" s="99">
        <v>45597</v>
      </c>
      <c r="B1159" s="74">
        <v>45603</v>
      </c>
      <c r="C1159" s="119" t="s">
        <v>124</v>
      </c>
      <c r="D1159" s="60" t="s">
        <v>740</v>
      </c>
      <c r="E1159" s="60" t="s">
        <v>961</v>
      </c>
      <c r="F1159" s="60" t="s">
        <v>1338</v>
      </c>
      <c r="G1159" s="72" t="s">
        <v>142</v>
      </c>
      <c r="H1159" s="83">
        <v>0.41666666666666669</v>
      </c>
      <c r="I1159" s="83">
        <v>0.70833333333333337</v>
      </c>
      <c r="J1159" s="63">
        <f t="shared" si="295"/>
        <v>0.29166666666666669</v>
      </c>
      <c r="K1159" s="88" t="s">
        <v>110</v>
      </c>
      <c r="L1159" s="135">
        <f t="shared" si="296"/>
        <v>7</v>
      </c>
      <c r="O1159" s="91" t="s">
        <v>363</v>
      </c>
      <c r="P1159" s="88">
        <v>5</v>
      </c>
      <c r="Z1159" s="100"/>
    </row>
    <row r="1160" spans="1:26" x14ac:dyDescent="0.25">
      <c r="A1160" s="99">
        <v>45597</v>
      </c>
      <c r="B1160" s="74">
        <v>45603</v>
      </c>
      <c r="C1160" s="119" t="s">
        <v>124</v>
      </c>
      <c r="D1160" s="60" t="s">
        <v>481</v>
      </c>
      <c r="E1160" s="60" t="s">
        <v>1304</v>
      </c>
      <c r="F1160" s="73" t="s">
        <v>1337</v>
      </c>
      <c r="G1160" s="72" t="s">
        <v>142</v>
      </c>
      <c r="H1160" s="83">
        <v>0.33333333333333331</v>
      </c>
      <c r="I1160" s="83">
        <v>0.66666666666666663</v>
      </c>
      <c r="J1160" s="63">
        <f t="shared" si="295"/>
        <v>0.33333333333333331</v>
      </c>
      <c r="K1160" s="88" t="s">
        <v>113</v>
      </c>
      <c r="L1160" s="135">
        <f t="shared" si="296"/>
        <v>8</v>
      </c>
      <c r="O1160" s="91" t="s">
        <v>1214</v>
      </c>
      <c r="P1160" s="88">
        <v>5</v>
      </c>
      <c r="Z1160" s="100"/>
    </row>
    <row r="1161" spans="1:26" x14ac:dyDescent="0.25">
      <c r="A1161" s="99">
        <v>45597</v>
      </c>
      <c r="B1161" s="74">
        <v>45603</v>
      </c>
      <c r="C1161" s="119" t="s">
        <v>124</v>
      </c>
      <c r="D1161" s="60" t="s">
        <v>98</v>
      </c>
      <c r="E1161" s="62" t="s">
        <v>1334</v>
      </c>
      <c r="F1161" s="73" t="s">
        <v>1348</v>
      </c>
      <c r="G1161" s="59" t="s">
        <v>822</v>
      </c>
      <c r="H1161" s="83">
        <v>0.58333333333333337</v>
      </c>
      <c r="I1161" s="83">
        <v>0.66666666666666663</v>
      </c>
      <c r="J1161" s="63">
        <f t="shared" si="295"/>
        <v>8.3333333333333259E-2</v>
      </c>
      <c r="K1161" s="88" t="s">
        <v>110</v>
      </c>
      <c r="L1161" s="135">
        <f t="shared" si="296"/>
        <v>1.9999999999999982</v>
      </c>
      <c r="O1161" s="91" t="s">
        <v>363</v>
      </c>
      <c r="P1161" s="88">
        <v>5</v>
      </c>
      <c r="Z1161" s="100"/>
    </row>
    <row r="1162" spans="1:26" x14ac:dyDescent="0.25">
      <c r="A1162" s="99">
        <v>45597</v>
      </c>
      <c r="B1162" s="74">
        <v>45603</v>
      </c>
      <c r="C1162" s="119" t="s">
        <v>124</v>
      </c>
      <c r="D1162" s="60" t="s">
        <v>481</v>
      </c>
      <c r="E1162" s="60" t="s">
        <v>1071</v>
      </c>
      <c r="F1162" s="73" t="s">
        <v>1324</v>
      </c>
      <c r="G1162" s="72" t="s">
        <v>142</v>
      </c>
      <c r="H1162" s="83">
        <v>0.41666666666666669</v>
      </c>
      <c r="I1162" s="83">
        <v>0.75</v>
      </c>
      <c r="J1162" s="63">
        <f>I1162-H1162</f>
        <v>0.33333333333333331</v>
      </c>
      <c r="K1162" s="88" t="s">
        <v>300</v>
      </c>
      <c r="L1162" s="135">
        <f>24*J1162</f>
        <v>8</v>
      </c>
      <c r="O1162" s="91" t="s">
        <v>576</v>
      </c>
      <c r="P1162" s="88">
        <v>5</v>
      </c>
      <c r="Z1162" s="100"/>
    </row>
    <row r="1163" spans="1:26" x14ac:dyDescent="0.25">
      <c r="A1163" s="99">
        <v>45597</v>
      </c>
      <c r="B1163" s="74">
        <v>45603</v>
      </c>
      <c r="C1163" s="119" t="s">
        <v>124</v>
      </c>
      <c r="D1163" s="60" t="s">
        <v>406</v>
      </c>
      <c r="E1163" s="60" t="s">
        <v>1096</v>
      </c>
      <c r="F1163" s="60" t="s">
        <v>616</v>
      </c>
      <c r="G1163" s="72" t="s">
        <v>142</v>
      </c>
      <c r="H1163" s="83">
        <v>0.5</v>
      </c>
      <c r="I1163" s="83">
        <v>0.66666666666666663</v>
      </c>
      <c r="J1163" s="63">
        <f t="shared" si="295"/>
        <v>0.16666666666666663</v>
      </c>
      <c r="K1163" s="88" t="s">
        <v>365</v>
      </c>
      <c r="L1163" s="135">
        <f t="shared" si="296"/>
        <v>3.9999999999999991</v>
      </c>
      <c r="O1163" s="91" t="s">
        <v>1214</v>
      </c>
      <c r="P1163" s="88">
        <v>5</v>
      </c>
      <c r="Z1163" s="100"/>
    </row>
    <row r="1164" spans="1:26" x14ac:dyDescent="0.25">
      <c r="A1164" s="99">
        <v>45597</v>
      </c>
      <c r="B1164" s="74">
        <v>45604</v>
      </c>
      <c r="C1164" s="119" t="s">
        <v>33</v>
      </c>
      <c r="D1164" s="60" t="s">
        <v>1067</v>
      </c>
      <c r="E1164" s="62" t="s">
        <v>1349</v>
      </c>
      <c r="F1164" s="73" t="s">
        <v>1350</v>
      </c>
      <c r="G1164" s="72" t="s">
        <v>142</v>
      </c>
      <c r="H1164" s="83">
        <v>0.41666666666666669</v>
      </c>
      <c r="I1164" s="83">
        <v>0.8125</v>
      </c>
      <c r="J1164" s="63">
        <f t="shared" si="295"/>
        <v>0.39583333333333331</v>
      </c>
      <c r="K1164" s="88" t="s">
        <v>300</v>
      </c>
      <c r="L1164" s="135">
        <f t="shared" si="296"/>
        <v>9.5</v>
      </c>
      <c r="O1164" s="91" t="s">
        <v>362</v>
      </c>
      <c r="P1164" s="88">
        <v>5</v>
      </c>
      <c r="Z1164" s="100"/>
    </row>
    <row r="1165" spans="1:26" x14ac:dyDescent="0.25">
      <c r="A1165" s="99">
        <v>45597</v>
      </c>
      <c r="B1165" s="74">
        <v>45605</v>
      </c>
      <c r="C1165" s="60" t="s">
        <v>34</v>
      </c>
      <c r="D1165" s="60" t="s">
        <v>32</v>
      </c>
      <c r="E1165" s="60" t="s">
        <v>1351</v>
      </c>
      <c r="F1165" s="73" t="s">
        <v>1345</v>
      </c>
      <c r="G1165" s="72" t="s">
        <v>142</v>
      </c>
      <c r="H1165" s="83">
        <v>0.39583333333333331</v>
      </c>
      <c r="I1165" s="83">
        <v>0.70833333333333337</v>
      </c>
      <c r="J1165" s="63">
        <f t="shared" si="295"/>
        <v>0.31250000000000006</v>
      </c>
      <c r="K1165" s="88" t="s">
        <v>365</v>
      </c>
      <c r="L1165" s="135">
        <f t="shared" si="296"/>
        <v>7.5000000000000018</v>
      </c>
      <c r="O1165" s="91" t="s">
        <v>821</v>
      </c>
      <c r="P1165" s="88">
        <v>5</v>
      </c>
      <c r="Q1165" s="60"/>
      <c r="Z1165" s="100"/>
    </row>
    <row r="1166" spans="1:26" x14ac:dyDescent="0.25">
      <c r="A1166" s="99">
        <v>45597</v>
      </c>
      <c r="B1166" s="74">
        <v>45605</v>
      </c>
      <c r="C1166" s="60" t="s">
        <v>34</v>
      </c>
      <c r="D1166" s="60" t="s">
        <v>740</v>
      </c>
      <c r="E1166" s="60" t="s">
        <v>961</v>
      </c>
      <c r="F1166" s="60" t="s">
        <v>1338</v>
      </c>
      <c r="G1166" s="72" t="s">
        <v>142</v>
      </c>
      <c r="H1166" s="83">
        <v>0.41666666666666669</v>
      </c>
      <c r="I1166" s="83">
        <v>0.70833333333333337</v>
      </c>
      <c r="J1166" s="63">
        <f t="shared" si="295"/>
        <v>0.29166666666666669</v>
      </c>
      <c r="K1166" s="88" t="s">
        <v>110</v>
      </c>
      <c r="L1166" s="135">
        <f t="shared" si="296"/>
        <v>7</v>
      </c>
      <c r="O1166" s="91" t="s">
        <v>363</v>
      </c>
      <c r="P1166" s="88">
        <v>5</v>
      </c>
      <c r="Z1166" s="100"/>
    </row>
    <row r="1167" spans="1:26" x14ac:dyDescent="0.25">
      <c r="A1167" s="99">
        <v>45597</v>
      </c>
      <c r="B1167" s="74">
        <v>45605</v>
      </c>
      <c r="C1167" s="60" t="s">
        <v>34</v>
      </c>
      <c r="D1167" s="60" t="s">
        <v>1067</v>
      </c>
      <c r="E1167" s="62" t="s">
        <v>1349</v>
      </c>
      <c r="F1167" s="73" t="s">
        <v>1350</v>
      </c>
      <c r="G1167" s="72" t="s">
        <v>142</v>
      </c>
      <c r="H1167" s="83">
        <v>0.39583333333333331</v>
      </c>
      <c r="I1167" s="83">
        <v>0.9375</v>
      </c>
      <c r="J1167" s="63">
        <f t="shared" si="295"/>
        <v>0.54166666666666674</v>
      </c>
      <c r="K1167" s="88" t="s">
        <v>300</v>
      </c>
      <c r="L1167" s="135">
        <f t="shared" si="296"/>
        <v>13.000000000000002</v>
      </c>
      <c r="O1167" s="91" t="s">
        <v>362</v>
      </c>
      <c r="P1167" s="88">
        <v>5</v>
      </c>
      <c r="Z1167" s="100"/>
    </row>
    <row r="1168" spans="1:26" x14ac:dyDescent="0.25">
      <c r="A1168" s="99">
        <v>45597</v>
      </c>
      <c r="B1168" s="74">
        <v>45605</v>
      </c>
      <c r="C1168" s="60" t="s">
        <v>34</v>
      </c>
      <c r="D1168" s="60" t="s">
        <v>481</v>
      </c>
      <c r="E1168" s="62" t="s">
        <v>299</v>
      </c>
      <c r="F1168" s="73" t="s">
        <v>1337</v>
      </c>
      <c r="G1168" s="72" t="s">
        <v>142</v>
      </c>
      <c r="H1168" s="83">
        <v>0.45833333333333331</v>
      </c>
      <c r="I1168" s="83">
        <v>0.54166666666666663</v>
      </c>
      <c r="J1168" s="63">
        <f t="shared" si="295"/>
        <v>8.3333333333333315E-2</v>
      </c>
      <c r="K1168" s="88" t="s">
        <v>113</v>
      </c>
      <c r="L1168" s="135">
        <f t="shared" si="296"/>
        <v>1.9999999999999996</v>
      </c>
      <c r="O1168" s="81" t="s">
        <v>1214</v>
      </c>
      <c r="P1168" s="88">
        <v>5</v>
      </c>
      <c r="Z1168" s="100"/>
    </row>
    <row r="1169" spans="1:26" x14ac:dyDescent="0.25">
      <c r="A1169" s="99">
        <v>45597</v>
      </c>
      <c r="B1169" s="74">
        <v>45606</v>
      </c>
      <c r="C1169" s="88" t="s">
        <v>31</v>
      </c>
      <c r="D1169" s="60" t="s">
        <v>830</v>
      </c>
      <c r="E1169" s="60" t="s">
        <v>403</v>
      </c>
      <c r="F1169" s="60" t="s">
        <v>934</v>
      </c>
      <c r="G1169" s="72" t="s">
        <v>142</v>
      </c>
      <c r="H1169" s="83">
        <v>0.41666666666666669</v>
      </c>
      <c r="I1169" s="83">
        <v>0.45833333333333331</v>
      </c>
      <c r="J1169" s="63">
        <f t="shared" si="295"/>
        <v>4.166666666666663E-2</v>
      </c>
      <c r="K1169" s="88" t="s">
        <v>365</v>
      </c>
      <c r="L1169" s="135">
        <f t="shared" si="296"/>
        <v>0.99999999999999911</v>
      </c>
      <c r="O1169" s="81" t="s">
        <v>820</v>
      </c>
      <c r="P1169" s="88">
        <v>5</v>
      </c>
      <c r="Z1169" s="100"/>
    </row>
    <row r="1170" spans="1:26" x14ac:dyDescent="0.25">
      <c r="A1170" s="99">
        <v>45597</v>
      </c>
      <c r="B1170" s="74">
        <v>45606</v>
      </c>
      <c r="C1170" s="88" t="s">
        <v>31</v>
      </c>
      <c r="D1170" s="60" t="s">
        <v>740</v>
      </c>
      <c r="E1170" s="60" t="s">
        <v>961</v>
      </c>
      <c r="F1170" s="60" t="s">
        <v>1338</v>
      </c>
      <c r="G1170" s="72" t="s">
        <v>142</v>
      </c>
      <c r="H1170" s="83">
        <v>0.41666666666666669</v>
      </c>
      <c r="I1170" s="83">
        <v>0.70833333333333337</v>
      </c>
      <c r="J1170" s="63">
        <f t="shared" si="295"/>
        <v>0.29166666666666669</v>
      </c>
      <c r="K1170" s="88" t="s">
        <v>110</v>
      </c>
      <c r="L1170" s="135">
        <f t="shared" si="296"/>
        <v>7</v>
      </c>
      <c r="O1170" s="91" t="s">
        <v>363</v>
      </c>
      <c r="P1170" s="88">
        <v>5</v>
      </c>
      <c r="Z1170" s="100"/>
    </row>
    <row r="1171" spans="1:26" x14ac:dyDescent="0.25">
      <c r="A1171" s="99">
        <v>45597</v>
      </c>
      <c r="B1171" s="74">
        <v>45606</v>
      </c>
      <c r="C1171" s="88" t="s">
        <v>31</v>
      </c>
      <c r="D1171" s="60" t="s">
        <v>481</v>
      </c>
      <c r="E1171" s="62" t="s">
        <v>299</v>
      </c>
      <c r="F1171" s="73" t="s">
        <v>1337</v>
      </c>
      <c r="G1171" s="72" t="s">
        <v>142</v>
      </c>
      <c r="H1171" s="83">
        <v>0.39583333333333331</v>
      </c>
      <c r="I1171" s="83">
        <v>0.64583333333333337</v>
      </c>
      <c r="J1171" s="63">
        <f t="shared" si="295"/>
        <v>0.25000000000000006</v>
      </c>
      <c r="K1171" s="61" t="s">
        <v>1352</v>
      </c>
      <c r="L1171" s="135">
        <f t="shared" si="296"/>
        <v>6.0000000000000018</v>
      </c>
      <c r="O1171" s="81" t="s">
        <v>360</v>
      </c>
      <c r="P1171" s="88">
        <v>5</v>
      </c>
      <c r="Z1171" s="100"/>
    </row>
    <row r="1172" spans="1:26" x14ac:dyDescent="0.25">
      <c r="A1172" s="99">
        <v>45597</v>
      </c>
      <c r="B1172" s="74">
        <v>45606</v>
      </c>
      <c r="C1172" s="88" t="s">
        <v>31</v>
      </c>
      <c r="D1172" s="60" t="s">
        <v>1067</v>
      </c>
      <c r="E1172" s="62" t="s">
        <v>1349</v>
      </c>
      <c r="F1172" s="73" t="s">
        <v>1350</v>
      </c>
      <c r="G1172" s="72" t="s">
        <v>142</v>
      </c>
      <c r="H1172" s="83">
        <v>0.41666666666666669</v>
      </c>
      <c r="I1172" s="83">
        <v>0.75</v>
      </c>
      <c r="J1172" s="63">
        <f t="shared" si="295"/>
        <v>0.33333333333333331</v>
      </c>
      <c r="K1172" s="88" t="s">
        <v>300</v>
      </c>
      <c r="L1172" s="135">
        <f t="shared" si="296"/>
        <v>8</v>
      </c>
      <c r="O1172" s="91" t="s">
        <v>362</v>
      </c>
      <c r="P1172" s="88">
        <v>5</v>
      </c>
      <c r="Z1172" s="100"/>
    </row>
    <row r="1173" spans="1:26" x14ac:dyDescent="0.25">
      <c r="A1173" s="99">
        <v>45597</v>
      </c>
      <c r="B1173" s="74">
        <v>45606</v>
      </c>
      <c r="C1173" s="88" t="s">
        <v>31</v>
      </c>
      <c r="D1173" s="60" t="s">
        <v>720</v>
      </c>
      <c r="E1173" s="60" t="s">
        <v>969</v>
      </c>
      <c r="F1173" s="60" t="s">
        <v>837</v>
      </c>
      <c r="G1173" s="72" t="s">
        <v>142</v>
      </c>
      <c r="H1173" s="83">
        <v>0.16666666666666666</v>
      </c>
      <c r="I1173" s="83">
        <v>0.54166666666666663</v>
      </c>
      <c r="J1173" s="63">
        <f t="shared" si="295"/>
        <v>0.375</v>
      </c>
      <c r="K1173" s="88" t="s">
        <v>296</v>
      </c>
      <c r="L1173" s="135">
        <f t="shared" si="296"/>
        <v>9</v>
      </c>
      <c r="O1173" s="91" t="s">
        <v>304</v>
      </c>
      <c r="P1173" s="88">
        <v>5</v>
      </c>
      <c r="Z1173" s="100"/>
    </row>
    <row r="1174" spans="1:26" x14ac:dyDescent="0.25">
      <c r="A1174" s="99">
        <v>45597</v>
      </c>
      <c r="B1174" s="74">
        <v>45606</v>
      </c>
      <c r="C1174" s="88" t="s">
        <v>31</v>
      </c>
      <c r="D1174" s="60" t="s">
        <v>122</v>
      </c>
      <c r="E1174" s="60" t="s">
        <v>1313</v>
      </c>
      <c r="F1174" s="73" t="s">
        <v>1347</v>
      </c>
      <c r="G1174" s="72" t="s">
        <v>142</v>
      </c>
      <c r="H1174" s="83">
        <v>0.47916666666666669</v>
      </c>
      <c r="I1174" s="83">
        <v>0.72916666666666663</v>
      </c>
      <c r="J1174" s="63">
        <f t="shared" si="295"/>
        <v>0.24999999999999994</v>
      </c>
      <c r="K1174" s="88" t="s">
        <v>295</v>
      </c>
      <c r="L1174" s="135">
        <f t="shared" si="296"/>
        <v>5.9999999999999982</v>
      </c>
      <c r="O1174" s="91" t="s">
        <v>358</v>
      </c>
      <c r="P1174" s="88">
        <v>5</v>
      </c>
      <c r="Z1174" s="100"/>
    </row>
    <row r="1175" spans="1:26" x14ac:dyDescent="0.25">
      <c r="A1175" s="99">
        <v>45597</v>
      </c>
      <c r="B1175" s="74">
        <v>45606</v>
      </c>
      <c r="C1175" s="88" t="s">
        <v>31</v>
      </c>
      <c r="D1175" s="60" t="s">
        <v>126</v>
      </c>
      <c r="E1175" s="115" t="s">
        <v>1317</v>
      </c>
      <c r="F1175" s="60" t="s">
        <v>926</v>
      </c>
      <c r="G1175" s="72" t="s">
        <v>142</v>
      </c>
      <c r="H1175" s="83">
        <v>0.54166666666666663</v>
      </c>
      <c r="I1175" s="83">
        <v>0.70833333333333337</v>
      </c>
      <c r="J1175" s="63">
        <f t="shared" si="295"/>
        <v>0.16666666666666674</v>
      </c>
      <c r="K1175" s="88" t="s">
        <v>365</v>
      </c>
      <c r="L1175" s="135">
        <f t="shared" si="296"/>
        <v>4.0000000000000018</v>
      </c>
      <c r="O1175" s="91" t="s">
        <v>1214</v>
      </c>
      <c r="P1175" s="88">
        <v>5</v>
      </c>
      <c r="Q1175" s="109"/>
      <c r="R1175" s="109"/>
      <c r="S1175" s="109"/>
      <c r="T1175" s="109"/>
      <c r="U1175" s="109"/>
      <c r="V1175" s="110"/>
      <c r="W1175" s="109"/>
      <c r="X1175" s="111"/>
      <c r="Y1175" s="109"/>
      <c r="Z1175" s="112"/>
    </row>
    <row r="1176" spans="1:26" x14ac:dyDescent="0.25">
      <c r="A1176" s="99">
        <v>45597</v>
      </c>
      <c r="B1176" s="74">
        <v>45607</v>
      </c>
      <c r="C1176" s="88" t="s">
        <v>45</v>
      </c>
      <c r="D1176" s="60" t="s">
        <v>740</v>
      </c>
      <c r="E1176" s="62" t="s">
        <v>961</v>
      </c>
      <c r="F1176" s="73" t="s">
        <v>1009</v>
      </c>
      <c r="G1176" s="59" t="s">
        <v>142</v>
      </c>
      <c r="H1176" s="83">
        <v>0.41666666666666669</v>
      </c>
      <c r="I1176" s="83">
        <v>0.70833333333333337</v>
      </c>
      <c r="J1176" s="63">
        <f t="shared" si="295"/>
        <v>0.29166666666666669</v>
      </c>
      <c r="K1176" s="88" t="s">
        <v>110</v>
      </c>
      <c r="L1176" s="135">
        <f t="shared" si="296"/>
        <v>7</v>
      </c>
      <c r="O1176" s="91" t="s">
        <v>363</v>
      </c>
      <c r="P1176" s="88">
        <v>5</v>
      </c>
      <c r="Z1176" s="100"/>
    </row>
    <row r="1177" spans="1:26" x14ac:dyDescent="0.25">
      <c r="A1177" s="99">
        <v>45597</v>
      </c>
      <c r="B1177" s="74">
        <v>45607</v>
      </c>
      <c r="C1177" s="119" t="s">
        <v>45</v>
      </c>
      <c r="D1177" s="60" t="s">
        <v>406</v>
      </c>
      <c r="E1177" s="60" t="s">
        <v>1096</v>
      </c>
      <c r="F1177" s="60" t="s">
        <v>616</v>
      </c>
      <c r="G1177" s="72" t="s">
        <v>142</v>
      </c>
      <c r="H1177" s="83">
        <v>0.60416666666666663</v>
      </c>
      <c r="I1177" s="83">
        <v>0.72916666666666663</v>
      </c>
      <c r="J1177" s="63">
        <f t="shared" si="295"/>
        <v>0.125</v>
      </c>
      <c r="K1177" s="88" t="s">
        <v>365</v>
      </c>
      <c r="L1177" s="135">
        <f t="shared" si="296"/>
        <v>3</v>
      </c>
      <c r="O1177" s="91" t="s">
        <v>1214</v>
      </c>
      <c r="P1177" s="88">
        <v>5</v>
      </c>
      <c r="Z1177" s="100"/>
    </row>
    <row r="1178" spans="1:26" x14ac:dyDescent="0.25">
      <c r="A1178" s="99">
        <v>45597</v>
      </c>
      <c r="B1178" s="74">
        <v>45607</v>
      </c>
      <c r="C1178" s="88" t="s">
        <v>45</v>
      </c>
      <c r="D1178" s="60" t="s">
        <v>1067</v>
      </c>
      <c r="E1178" s="62" t="s">
        <v>880</v>
      </c>
      <c r="F1178" s="73" t="s">
        <v>1350</v>
      </c>
      <c r="G1178" s="72" t="s">
        <v>142</v>
      </c>
      <c r="H1178" s="83">
        <v>0.4375</v>
      </c>
      <c r="I1178" s="83">
        <v>0.97916666666666663</v>
      </c>
      <c r="J1178" s="63">
        <f t="shared" si="295"/>
        <v>0.54166666666666663</v>
      </c>
      <c r="K1178" s="88" t="s">
        <v>300</v>
      </c>
      <c r="L1178" s="135">
        <f t="shared" si="296"/>
        <v>13</v>
      </c>
      <c r="O1178" s="91" t="s">
        <v>362</v>
      </c>
      <c r="P1178" s="88">
        <v>5</v>
      </c>
      <c r="Z1178" s="100"/>
    </row>
    <row r="1179" spans="1:26" x14ac:dyDescent="0.25">
      <c r="A1179" s="99">
        <v>45597</v>
      </c>
      <c r="B1179" s="74">
        <v>45607</v>
      </c>
      <c r="C1179" s="88" t="s">
        <v>45</v>
      </c>
      <c r="D1179" s="60" t="s">
        <v>481</v>
      </c>
      <c r="E1179" s="88" t="s">
        <v>299</v>
      </c>
      <c r="F1179" s="73" t="s">
        <v>1353</v>
      </c>
      <c r="G1179" s="72" t="s">
        <v>142</v>
      </c>
      <c r="H1179" s="83">
        <v>0.29166666666666669</v>
      </c>
      <c r="I1179" s="83">
        <v>0.70833333333333337</v>
      </c>
      <c r="J1179" s="63">
        <f t="shared" si="295"/>
        <v>0.41666666666666669</v>
      </c>
      <c r="K1179" s="88" t="s">
        <v>113</v>
      </c>
      <c r="L1179" s="135">
        <f t="shared" si="296"/>
        <v>10</v>
      </c>
      <c r="O1179" s="91" t="s">
        <v>360</v>
      </c>
      <c r="P1179" s="88">
        <v>5</v>
      </c>
      <c r="Z1179" s="100"/>
    </row>
    <row r="1180" spans="1:26" x14ac:dyDescent="0.25">
      <c r="A1180" s="99">
        <v>45597</v>
      </c>
      <c r="B1180" s="74">
        <v>45608</v>
      </c>
      <c r="C1180" s="88" t="s">
        <v>106</v>
      </c>
      <c r="D1180" s="60" t="s">
        <v>32</v>
      </c>
      <c r="E1180" s="88" t="s">
        <v>388</v>
      </c>
      <c r="F1180" s="73" t="s">
        <v>1354</v>
      </c>
      <c r="G1180" s="72" t="s">
        <v>142</v>
      </c>
      <c r="H1180" s="83">
        <v>0.45833333333333331</v>
      </c>
      <c r="I1180" s="83">
        <v>0.72916666666666663</v>
      </c>
      <c r="J1180" s="63">
        <f t="shared" si="295"/>
        <v>0.27083333333333331</v>
      </c>
      <c r="K1180" s="88" t="s">
        <v>365</v>
      </c>
      <c r="L1180" s="135">
        <f t="shared" si="296"/>
        <v>6.5</v>
      </c>
      <c r="O1180" s="91" t="s">
        <v>820</v>
      </c>
      <c r="P1180" s="88">
        <v>5</v>
      </c>
      <c r="Z1180" s="100"/>
    </row>
    <row r="1181" spans="1:26" x14ac:dyDescent="0.25">
      <c r="A1181" s="99">
        <v>45597</v>
      </c>
      <c r="B1181" s="74">
        <v>45608</v>
      </c>
      <c r="C1181" s="88" t="s">
        <v>106</v>
      </c>
      <c r="D1181" s="60" t="s">
        <v>481</v>
      </c>
      <c r="E1181" s="60" t="s">
        <v>1071</v>
      </c>
      <c r="F1181" s="73" t="s">
        <v>1206</v>
      </c>
      <c r="G1181" s="72" t="s">
        <v>142</v>
      </c>
      <c r="H1181" s="83">
        <v>0.375</v>
      </c>
      <c r="I1181" s="83">
        <v>0.66666666666666663</v>
      </c>
      <c r="J1181" s="63">
        <f t="shared" si="295"/>
        <v>0.29166666666666663</v>
      </c>
      <c r="K1181" s="88" t="s">
        <v>300</v>
      </c>
      <c r="L1181" s="135">
        <f t="shared" si="296"/>
        <v>6.9999999999999991</v>
      </c>
      <c r="O1181" s="91" t="s">
        <v>362</v>
      </c>
      <c r="P1181" s="88">
        <v>5</v>
      </c>
      <c r="Z1181" s="100"/>
    </row>
    <row r="1182" spans="1:26" x14ac:dyDescent="0.25">
      <c r="A1182" s="99">
        <v>45597</v>
      </c>
      <c r="B1182" s="74">
        <v>45608</v>
      </c>
      <c r="C1182" s="88" t="s">
        <v>106</v>
      </c>
      <c r="D1182" s="60" t="s">
        <v>1067</v>
      </c>
      <c r="E1182" s="62" t="s">
        <v>1349</v>
      </c>
      <c r="F1182" s="73" t="s">
        <v>1350</v>
      </c>
      <c r="G1182" s="72" t="s">
        <v>142</v>
      </c>
      <c r="H1182" s="83">
        <v>0.6875</v>
      </c>
      <c r="I1182" s="83">
        <v>0.79166666666666663</v>
      </c>
      <c r="J1182" s="63">
        <f t="shared" si="295"/>
        <v>0.10416666666666663</v>
      </c>
      <c r="K1182" s="88" t="s">
        <v>300</v>
      </c>
      <c r="L1182" s="135">
        <f t="shared" si="296"/>
        <v>2.4999999999999991</v>
      </c>
      <c r="O1182" s="91" t="s">
        <v>362</v>
      </c>
      <c r="P1182" s="88">
        <v>5</v>
      </c>
      <c r="Z1182" s="100"/>
    </row>
    <row r="1183" spans="1:26" x14ac:dyDescent="0.25">
      <c r="A1183" s="99">
        <v>45597</v>
      </c>
      <c r="B1183" s="74">
        <v>45608</v>
      </c>
      <c r="C1183" s="88" t="s">
        <v>106</v>
      </c>
      <c r="D1183" s="60" t="s">
        <v>672</v>
      </c>
      <c r="E1183" s="88" t="s">
        <v>733</v>
      </c>
      <c r="F1183" s="73" t="s">
        <v>1355</v>
      </c>
      <c r="G1183" s="72" t="s">
        <v>142</v>
      </c>
      <c r="H1183" s="83">
        <v>0.58333333333333337</v>
      </c>
      <c r="I1183" s="83">
        <v>0.66666666666666663</v>
      </c>
      <c r="J1183" s="63">
        <f t="shared" si="295"/>
        <v>8.3333333333333259E-2</v>
      </c>
      <c r="K1183" s="88" t="s">
        <v>365</v>
      </c>
      <c r="L1183" s="135">
        <f t="shared" si="296"/>
        <v>1.9999999999999982</v>
      </c>
      <c r="O1183" s="91" t="s">
        <v>314</v>
      </c>
      <c r="P1183" s="88">
        <v>5</v>
      </c>
      <c r="Z1183" s="100"/>
    </row>
    <row r="1184" spans="1:26" x14ac:dyDescent="0.25">
      <c r="A1184" s="99">
        <v>45597</v>
      </c>
      <c r="B1184" s="74">
        <v>45608</v>
      </c>
      <c r="C1184" s="88" t="s">
        <v>106</v>
      </c>
      <c r="D1184" s="60" t="s">
        <v>740</v>
      </c>
      <c r="E1184" s="60" t="s">
        <v>961</v>
      </c>
      <c r="F1184" s="60" t="s">
        <v>1338</v>
      </c>
      <c r="G1184" s="72" t="s">
        <v>142</v>
      </c>
      <c r="H1184" s="83">
        <v>0.41666666666666669</v>
      </c>
      <c r="I1184" s="83">
        <v>0.70833333333333337</v>
      </c>
      <c r="J1184" s="63">
        <f t="shared" si="295"/>
        <v>0.29166666666666669</v>
      </c>
      <c r="K1184" s="88" t="s">
        <v>110</v>
      </c>
      <c r="L1184" s="135">
        <f t="shared" si="296"/>
        <v>7</v>
      </c>
      <c r="O1184" s="91" t="s">
        <v>358</v>
      </c>
      <c r="P1184" s="88">
        <v>5</v>
      </c>
      <c r="Z1184" s="100"/>
    </row>
    <row r="1185" spans="1:26" x14ac:dyDescent="0.25">
      <c r="A1185" s="99">
        <v>45597</v>
      </c>
      <c r="B1185" s="74">
        <v>45609</v>
      </c>
      <c r="C1185" s="88" t="s">
        <v>398</v>
      </c>
      <c r="D1185" s="60" t="s">
        <v>481</v>
      </c>
      <c r="E1185" s="62" t="s">
        <v>1304</v>
      </c>
      <c r="F1185" s="73" t="s">
        <v>1356</v>
      </c>
      <c r="G1185" s="59" t="s">
        <v>142</v>
      </c>
      <c r="H1185" s="83">
        <v>0.33333333333333331</v>
      </c>
      <c r="I1185" s="83">
        <v>0.66666666666666663</v>
      </c>
      <c r="J1185" s="63">
        <f t="shared" si="295"/>
        <v>0.33333333333333331</v>
      </c>
      <c r="K1185" s="88" t="s">
        <v>113</v>
      </c>
      <c r="L1185" s="135">
        <f t="shared" si="296"/>
        <v>8</v>
      </c>
      <c r="O1185" s="91" t="s">
        <v>539</v>
      </c>
      <c r="P1185" s="88">
        <v>5</v>
      </c>
      <c r="Z1185" s="100"/>
    </row>
    <row r="1186" spans="1:26" x14ac:dyDescent="0.25">
      <c r="A1186" s="99">
        <v>45597</v>
      </c>
      <c r="B1186" s="74">
        <v>45609</v>
      </c>
      <c r="C1186" s="88" t="s">
        <v>398</v>
      </c>
      <c r="D1186" s="60" t="s">
        <v>32</v>
      </c>
      <c r="E1186" s="62" t="s">
        <v>1357</v>
      </c>
      <c r="F1186" s="73" t="s">
        <v>1358</v>
      </c>
      <c r="G1186" s="59" t="s">
        <v>142</v>
      </c>
      <c r="H1186" s="83">
        <v>0.41666666666666669</v>
      </c>
      <c r="I1186" s="83">
        <v>0.72916666666666663</v>
      </c>
      <c r="J1186" s="63">
        <f t="shared" si="295"/>
        <v>0.31249999999999994</v>
      </c>
      <c r="K1186" s="88" t="s">
        <v>365</v>
      </c>
      <c r="L1186" s="135">
        <f>24*J1186</f>
        <v>7.4999999999999982</v>
      </c>
      <c r="O1186" s="91" t="s">
        <v>820</v>
      </c>
      <c r="P1186" s="88">
        <v>5</v>
      </c>
      <c r="Z1186" s="100"/>
    </row>
    <row r="1187" spans="1:26" x14ac:dyDescent="0.25">
      <c r="A1187" s="99">
        <v>45597</v>
      </c>
      <c r="B1187" s="74">
        <v>45609</v>
      </c>
      <c r="C1187" s="88" t="s">
        <v>398</v>
      </c>
      <c r="D1187" s="60" t="s">
        <v>481</v>
      </c>
      <c r="E1187" s="60" t="s">
        <v>1071</v>
      </c>
      <c r="F1187" s="73" t="s">
        <v>1206</v>
      </c>
      <c r="G1187" s="72" t="s">
        <v>142</v>
      </c>
      <c r="H1187" s="83">
        <v>0.5</v>
      </c>
      <c r="I1187" s="83">
        <v>0.89583333333333337</v>
      </c>
      <c r="J1187" s="63">
        <f t="shared" si="295"/>
        <v>0.39583333333333337</v>
      </c>
      <c r="K1187" s="88" t="s">
        <v>300</v>
      </c>
      <c r="L1187" s="135">
        <f>24*J1187</f>
        <v>9.5</v>
      </c>
      <c r="O1187" s="91" t="s">
        <v>362</v>
      </c>
      <c r="P1187" s="88">
        <v>5</v>
      </c>
      <c r="Z1187" s="100"/>
    </row>
    <row r="1188" spans="1:26" x14ac:dyDescent="0.25">
      <c r="A1188" s="99">
        <v>45597</v>
      </c>
      <c r="B1188" s="74">
        <v>45609</v>
      </c>
      <c r="C1188" s="88" t="s">
        <v>398</v>
      </c>
      <c r="D1188" s="60" t="s">
        <v>740</v>
      </c>
      <c r="E1188" s="62" t="s">
        <v>961</v>
      </c>
      <c r="F1188" s="73" t="s">
        <v>1009</v>
      </c>
      <c r="G1188" s="59" t="s">
        <v>142</v>
      </c>
      <c r="H1188" s="83">
        <v>0.41666666666666669</v>
      </c>
      <c r="I1188" s="83">
        <v>0.70833333333333337</v>
      </c>
      <c r="J1188" s="63">
        <f t="shared" si="295"/>
        <v>0.29166666666666669</v>
      </c>
      <c r="K1188" s="88" t="s">
        <v>110</v>
      </c>
      <c r="L1188" s="135">
        <f t="shared" si="296"/>
        <v>7</v>
      </c>
      <c r="O1188" s="91" t="s">
        <v>363</v>
      </c>
      <c r="P1188" s="88">
        <v>5</v>
      </c>
      <c r="Z1188" s="100"/>
    </row>
    <row r="1189" spans="1:26" x14ac:dyDescent="0.25">
      <c r="A1189" s="99">
        <v>45597</v>
      </c>
      <c r="B1189" s="74">
        <v>45609</v>
      </c>
      <c r="C1189" s="88" t="s">
        <v>398</v>
      </c>
      <c r="D1189" s="60" t="s">
        <v>98</v>
      </c>
      <c r="E1189" s="62" t="s">
        <v>1334</v>
      </c>
      <c r="F1189" s="73" t="s">
        <v>1323</v>
      </c>
      <c r="G1189" s="59" t="s">
        <v>142</v>
      </c>
      <c r="H1189" s="83">
        <v>0.5</v>
      </c>
      <c r="I1189" s="83">
        <v>0.66666666666666663</v>
      </c>
      <c r="J1189" s="63">
        <f t="shared" si="295"/>
        <v>0.16666666666666663</v>
      </c>
      <c r="K1189" s="88" t="s">
        <v>110</v>
      </c>
      <c r="L1189" s="135">
        <f t="shared" si="296"/>
        <v>3.9999999999999991</v>
      </c>
      <c r="O1189" s="91" t="s">
        <v>363</v>
      </c>
      <c r="P1189" s="88">
        <v>5</v>
      </c>
      <c r="Z1189" s="100"/>
    </row>
    <row r="1190" spans="1:26" x14ac:dyDescent="0.25">
      <c r="A1190" s="99">
        <v>45597</v>
      </c>
      <c r="B1190" s="74">
        <v>45610</v>
      </c>
      <c r="C1190" s="88" t="s">
        <v>124</v>
      </c>
      <c r="D1190" s="60" t="s">
        <v>32</v>
      </c>
      <c r="E1190" s="62" t="s">
        <v>1359</v>
      </c>
      <c r="F1190" s="73" t="s">
        <v>1360</v>
      </c>
      <c r="G1190" s="59" t="s">
        <v>142</v>
      </c>
      <c r="H1190" s="83">
        <v>0.45833333333333331</v>
      </c>
      <c r="I1190" s="83">
        <v>0.625</v>
      </c>
      <c r="J1190" s="63">
        <f t="shared" si="295"/>
        <v>0.16666666666666669</v>
      </c>
      <c r="K1190" s="88" t="s">
        <v>365</v>
      </c>
      <c r="L1190" s="135">
        <f t="shared" si="296"/>
        <v>4</v>
      </c>
      <c r="O1190" s="91" t="s">
        <v>1214</v>
      </c>
      <c r="P1190" s="88">
        <v>5</v>
      </c>
      <c r="Z1190" s="100"/>
    </row>
    <row r="1191" spans="1:26" x14ac:dyDescent="0.25">
      <c r="A1191" s="99">
        <v>45597</v>
      </c>
      <c r="B1191" s="74">
        <v>45610</v>
      </c>
      <c r="C1191" s="88" t="s">
        <v>124</v>
      </c>
      <c r="D1191" s="60" t="s">
        <v>481</v>
      </c>
      <c r="E1191" s="60" t="s">
        <v>1071</v>
      </c>
      <c r="F1191" s="73" t="s">
        <v>1206</v>
      </c>
      <c r="G1191" s="72" t="s">
        <v>142</v>
      </c>
      <c r="H1191" s="83">
        <v>0.39583333333333331</v>
      </c>
      <c r="I1191" s="83">
        <v>0.64583333333333337</v>
      </c>
      <c r="J1191" s="63">
        <f t="shared" si="295"/>
        <v>0.25000000000000006</v>
      </c>
      <c r="K1191" s="88" t="s">
        <v>300</v>
      </c>
      <c r="L1191" s="135">
        <f t="shared" si="296"/>
        <v>6.0000000000000018</v>
      </c>
      <c r="O1191" s="91" t="s">
        <v>362</v>
      </c>
      <c r="P1191" s="88">
        <v>5</v>
      </c>
      <c r="Z1191" s="100"/>
    </row>
    <row r="1192" spans="1:26" x14ac:dyDescent="0.25">
      <c r="A1192" s="99">
        <v>45597</v>
      </c>
      <c r="B1192" s="74">
        <v>45610</v>
      </c>
      <c r="C1192" s="88" t="s">
        <v>124</v>
      </c>
      <c r="D1192" s="60" t="s">
        <v>481</v>
      </c>
      <c r="E1192" s="60" t="s">
        <v>1304</v>
      </c>
      <c r="F1192" s="73" t="s">
        <v>1361</v>
      </c>
      <c r="G1192" s="59" t="s">
        <v>142</v>
      </c>
      <c r="H1192" s="83">
        <v>0.33333333333333331</v>
      </c>
      <c r="I1192" s="83">
        <v>0.66666666666666663</v>
      </c>
      <c r="J1192" s="63">
        <f t="shared" si="295"/>
        <v>0.33333333333333331</v>
      </c>
      <c r="K1192" s="88" t="s">
        <v>113</v>
      </c>
      <c r="L1192" s="135">
        <f t="shared" si="296"/>
        <v>8</v>
      </c>
      <c r="O1192" s="91" t="s">
        <v>539</v>
      </c>
      <c r="P1192" s="88">
        <v>5</v>
      </c>
      <c r="Z1192" s="100"/>
    </row>
    <row r="1193" spans="1:26" x14ac:dyDescent="0.25">
      <c r="A1193" s="99">
        <v>45597</v>
      </c>
      <c r="B1193" s="74">
        <v>45610</v>
      </c>
      <c r="C1193" s="88" t="s">
        <v>124</v>
      </c>
      <c r="D1193" s="60" t="s">
        <v>98</v>
      </c>
      <c r="E1193" s="60" t="s">
        <v>1334</v>
      </c>
      <c r="F1193" s="73" t="s">
        <v>1362</v>
      </c>
      <c r="G1193" s="59" t="s">
        <v>142</v>
      </c>
      <c r="H1193" s="83">
        <v>0.41666666666666669</v>
      </c>
      <c r="I1193" s="83">
        <v>0.70833333333333304</v>
      </c>
      <c r="J1193" s="63">
        <f t="shared" si="295"/>
        <v>0.29166666666666635</v>
      </c>
      <c r="K1193" s="88" t="s">
        <v>113</v>
      </c>
      <c r="L1193" s="135">
        <f t="shared" si="296"/>
        <v>6.9999999999999929</v>
      </c>
      <c r="O1193" s="81" t="s">
        <v>539</v>
      </c>
      <c r="P1193" s="88">
        <v>5</v>
      </c>
      <c r="Z1193" s="100"/>
    </row>
    <row r="1194" spans="1:26" x14ac:dyDescent="0.25">
      <c r="A1194" s="99">
        <v>45597</v>
      </c>
      <c r="B1194" s="74">
        <v>45610</v>
      </c>
      <c r="C1194" s="88" t="s">
        <v>124</v>
      </c>
      <c r="D1194" s="60" t="s">
        <v>98</v>
      </c>
      <c r="E1194" s="60" t="s">
        <v>1327</v>
      </c>
      <c r="F1194" s="73" t="s">
        <v>979</v>
      </c>
      <c r="G1194" s="59" t="s">
        <v>142</v>
      </c>
      <c r="H1194" s="83">
        <v>0.41666666666666702</v>
      </c>
      <c r="I1194" s="83">
        <v>0.70833333333333337</v>
      </c>
      <c r="J1194" s="63">
        <f t="shared" si="295"/>
        <v>0.29166666666666635</v>
      </c>
      <c r="K1194" s="88" t="s">
        <v>113</v>
      </c>
      <c r="L1194" s="135">
        <f t="shared" si="296"/>
        <v>6.9999999999999929</v>
      </c>
      <c r="O1194" s="91" t="s">
        <v>539</v>
      </c>
      <c r="P1194" s="88">
        <v>5</v>
      </c>
      <c r="Z1194" s="100"/>
    </row>
    <row r="1195" spans="1:26" x14ac:dyDescent="0.25">
      <c r="A1195" s="99">
        <v>45597</v>
      </c>
      <c r="B1195" s="74">
        <v>45610</v>
      </c>
      <c r="C1195" s="88" t="s">
        <v>124</v>
      </c>
      <c r="D1195" s="60" t="s">
        <v>740</v>
      </c>
      <c r="E1195" s="60" t="s">
        <v>961</v>
      </c>
      <c r="F1195" s="73" t="s">
        <v>1009</v>
      </c>
      <c r="G1195" s="59" t="s">
        <v>142</v>
      </c>
      <c r="H1195" s="83">
        <v>0.41666666666666669</v>
      </c>
      <c r="I1195" s="83">
        <v>0.70833333333333337</v>
      </c>
      <c r="J1195" s="63">
        <f t="shared" si="295"/>
        <v>0.29166666666666669</v>
      </c>
      <c r="K1195" s="88" t="s">
        <v>110</v>
      </c>
      <c r="L1195" s="135">
        <f t="shared" si="296"/>
        <v>7</v>
      </c>
      <c r="O1195" s="91" t="s">
        <v>363</v>
      </c>
      <c r="P1195" s="88">
        <v>5</v>
      </c>
      <c r="Z1195" s="100"/>
    </row>
    <row r="1196" spans="1:26" x14ac:dyDescent="0.25">
      <c r="A1196" s="99">
        <v>45597</v>
      </c>
      <c r="B1196" s="74">
        <v>45612</v>
      </c>
      <c r="C1196" s="88" t="s">
        <v>34</v>
      </c>
      <c r="D1196" s="60" t="s">
        <v>1067</v>
      </c>
      <c r="E1196" s="60" t="s">
        <v>880</v>
      </c>
      <c r="F1196" s="73" t="s">
        <v>1363</v>
      </c>
      <c r="G1196" s="59" t="s">
        <v>142</v>
      </c>
      <c r="H1196" s="83">
        <v>0.39583333333333331</v>
      </c>
      <c r="I1196" s="83">
        <v>0.9375</v>
      </c>
      <c r="J1196" s="63">
        <f t="shared" si="295"/>
        <v>0.54166666666666674</v>
      </c>
      <c r="K1196" s="88" t="s">
        <v>300</v>
      </c>
      <c r="L1196" s="135">
        <f t="shared" si="296"/>
        <v>13.000000000000002</v>
      </c>
      <c r="O1196" s="91" t="s">
        <v>362</v>
      </c>
      <c r="P1196" s="88">
        <v>5</v>
      </c>
      <c r="Z1196" s="100"/>
    </row>
    <row r="1197" spans="1:26" x14ac:dyDescent="0.25">
      <c r="A1197" s="99">
        <v>45597</v>
      </c>
      <c r="B1197" s="74">
        <v>45612</v>
      </c>
      <c r="C1197" s="88" t="s">
        <v>34</v>
      </c>
      <c r="D1197" s="60" t="s">
        <v>325</v>
      </c>
      <c r="E1197" s="60" t="s">
        <v>703</v>
      </c>
      <c r="F1197" s="60" t="s">
        <v>704</v>
      </c>
      <c r="G1197" s="72" t="s">
        <v>142</v>
      </c>
      <c r="H1197" s="83">
        <v>0.45833333333333331</v>
      </c>
      <c r="I1197" s="83">
        <v>0.70833333333333337</v>
      </c>
      <c r="J1197" s="63">
        <f t="shared" si="295"/>
        <v>0.25000000000000006</v>
      </c>
      <c r="K1197" s="88" t="s">
        <v>113</v>
      </c>
      <c r="L1197" s="135">
        <f t="shared" si="296"/>
        <v>6.0000000000000018</v>
      </c>
      <c r="M1197" s="60"/>
      <c r="N1197" s="60"/>
      <c r="O1197" s="91" t="s">
        <v>357</v>
      </c>
      <c r="P1197" s="88">
        <v>5</v>
      </c>
      <c r="Z1197" s="100"/>
    </row>
    <row r="1198" spans="1:26" x14ac:dyDescent="0.25">
      <c r="A1198" s="99">
        <v>45597</v>
      </c>
      <c r="B1198" s="74">
        <v>45612</v>
      </c>
      <c r="C1198" s="88" t="s">
        <v>34</v>
      </c>
      <c r="D1198" s="60" t="s">
        <v>481</v>
      </c>
      <c r="E1198" s="60" t="s">
        <v>1304</v>
      </c>
      <c r="F1198" s="73" t="s">
        <v>1361</v>
      </c>
      <c r="G1198" s="59" t="s">
        <v>142</v>
      </c>
      <c r="H1198" s="83">
        <v>0.33333333333333331</v>
      </c>
      <c r="I1198" s="83">
        <v>0.66666666666666663</v>
      </c>
      <c r="J1198" s="63">
        <f t="shared" si="295"/>
        <v>0.33333333333333331</v>
      </c>
      <c r="K1198" s="88" t="s">
        <v>113</v>
      </c>
      <c r="L1198" s="135">
        <f t="shared" si="296"/>
        <v>8</v>
      </c>
      <c r="O1198" s="91" t="s">
        <v>539</v>
      </c>
      <c r="P1198" s="88">
        <v>5</v>
      </c>
      <c r="Z1198" s="100"/>
    </row>
    <row r="1199" spans="1:26" x14ac:dyDescent="0.25">
      <c r="A1199" s="99">
        <v>45597</v>
      </c>
      <c r="B1199" s="74">
        <v>45613</v>
      </c>
      <c r="C1199" s="88" t="s">
        <v>31</v>
      </c>
      <c r="D1199" s="60" t="s">
        <v>481</v>
      </c>
      <c r="E1199" s="60" t="s">
        <v>299</v>
      </c>
      <c r="F1199" s="73" t="s">
        <v>1361</v>
      </c>
      <c r="G1199" s="59" t="s">
        <v>142</v>
      </c>
      <c r="H1199" s="83">
        <v>0.33333333333333331</v>
      </c>
      <c r="I1199" s="83">
        <v>0.66666666666666663</v>
      </c>
      <c r="J1199" s="63">
        <f t="shared" si="295"/>
        <v>0.33333333333333331</v>
      </c>
      <c r="K1199" s="88" t="s">
        <v>113</v>
      </c>
      <c r="L1199" s="135">
        <f t="shared" si="296"/>
        <v>8</v>
      </c>
      <c r="O1199" s="91" t="s">
        <v>539</v>
      </c>
      <c r="P1199" s="88">
        <v>5</v>
      </c>
      <c r="Z1199" s="100"/>
    </row>
    <row r="1200" spans="1:26" x14ac:dyDescent="0.25">
      <c r="A1200" s="99">
        <v>45597</v>
      </c>
      <c r="B1200" s="74">
        <v>45613</v>
      </c>
      <c r="C1200" s="88" t="s">
        <v>31</v>
      </c>
      <c r="D1200" s="60" t="s">
        <v>325</v>
      </c>
      <c r="E1200" s="60" t="s">
        <v>703</v>
      </c>
      <c r="F1200" s="60" t="s">
        <v>704</v>
      </c>
      <c r="G1200" s="72" t="s">
        <v>142</v>
      </c>
      <c r="H1200" s="83">
        <v>0.45833333333333331</v>
      </c>
      <c r="I1200" s="83">
        <v>0.70833333333333337</v>
      </c>
      <c r="J1200" s="63">
        <f t="shared" si="295"/>
        <v>0.25000000000000006</v>
      </c>
      <c r="K1200" s="88" t="s">
        <v>113</v>
      </c>
      <c r="L1200" s="135">
        <f t="shared" si="296"/>
        <v>6.0000000000000018</v>
      </c>
      <c r="M1200" s="60"/>
      <c r="N1200" s="60"/>
      <c r="O1200" s="91" t="s">
        <v>539</v>
      </c>
      <c r="P1200" s="88">
        <v>5</v>
      </c>
      <c r="Z1200" s="100"/>
    </row>
    <row r="1201" spans="1:26" x14ac:dyDescent="0.25">
      <c r="A1201" s="99">
        <v>45597</v>
      </c>
      <c r="B1201" s="74">
        <v>45613</v>
      </c>
      <c r="C1201" s="88" t="s">
        <v>31</v>
      </c>
      <c r="D1201" s="60" t="s">
        <v>481</v>
      </c>
      <c r="E1201" s="60" t="s">
        <v>1071</v>
      </c>
      <c r="F1201" s="73" t="s">
        <v>1206</v>
      </c>
      <c r="G1201" s="72" t="s">
        <v>142</v>
      </c>
      <c r="H1201" s="83">
        <v>0.41666666666666669</v>
      </c>
      <c r="I1201" s="83">
        <v>0.75</v>
      </c>
      <c r="J1201" s="63">
        <f t="shared" si="295"/>
        <v>0.33333333333333331</v>
      </c>
      <c r="K1201" s="88" t="s">
        <v>300</v>
      </c>
      <c r="L1201" s="135">
        <f t="shared" si="296"/>
        <v>8</v>
      </c>
      <c r="O1201" s="91" t="s">
        <v>362</v>
      </c>
      <c r="P1201" s="88">
        <v>5</v>
      </c>
      <c r="Z1201" s="100"/>
    </row>
    <row r="1202" spans="1:26" x14ac:dyDescent="0.25">
      <c r="A1202" s="99">
        <v>45597</v>
      </c>
      <c r="B1202" s="74">
        <v>45613</v>
      </c>
      <c r="C1202" s="88" t="s">
        <v>31</v>
      </c>
      <c r="D1202" s="60" t="s">
        <v>740</v>
      </c>
      <c r="E1202" s="60" t="s">
        <v>961</v>
      </c>
      <c r="F1202" s="60" t="s">
        <v>1338</v>
      </c>
      <c r="G1202" s="72" t="s">
        <v>142</v>
      </c>
      <c r="H1202" s="83">
        <v>0.39583333333333331</v>
      </c>
      <c r="I1202" s="83">
        <v>0.72916666666666663</v>
      </c>
      <c r="J1202" s="63">
        <f t="shared" si="295"/>
        <v>0.33333333333333331</v>
      </c>
      <c r="K1202" s="88" t="s">
        <v>110</v>
      </c>
      <c r="L1202" s="135">
        <f t="shared" si="296"/>
        <v>8</v>
      </c>
      <c r="O1202" s="91" t="s">
        <v>358</v>
      </c>
      <c r="P1202" s="88">
        <v>5</v>
      </c>
      <c r="Z1202" s="100"/>
    </row>
    <row r="1203" spans="1:26" x14ac:dyDescent="0.25">
      <c r="A1203" s="99">
        <v>45597</v>
      </c>
      <c r="B1203" s="74">
        <v>45614</v>
      </c>
      <c r="C1203" s="88" t="s">
        <v>45</v>
      </c>
      <c r="D1203" s="60" t="s">
        <v>481</v>
      </c>
      <c r="E1203" s="60" t="s">
        <v>1304</v>
      </c>
      <c r="F1203" s="73" t="s">
        <v>1364</v>
      </c>
      <c r="G1203" s="72" t="s">
        <v>142</v>
      </c>
      <c r="H1203" s="83">
        <v>0.33333333333333331</v>
      </c>
      <c r="I1203" s="83">
        <v>0.70833333333333337</v>
      </c>
      <c r="J1203" s="63">
        <f t="shared" si="295"/>
        <v>0.37500000000000006</v>
      </c>
      <c r="K1203" s="88" t="s">
        <v>113</v>
      </c>
      <c r="L1203" s="135">
        <f t="shared" si="296"/>
        <v>9.0000000000000018</v>
      </c>
      <c r="O1203" s="91" t="s">
        <v>539</v>
      </c>
      <c r="P1203" s="88">
        <v>5</v>
      </c>
      <c r="Z1203" s="100"/>
    </row>
    <row r="1204" spans="1:26" x14ac:dyDescent="0.25">
      <c r="A1204" s="99">
        <v>45597</v>
      </c>
      <c r="B1204" s="74">
        <v>45614</v>
      </c>
      <c r="C1204" s="88" t="s">
        <v>45</v>
      </c>
      <c r="D1204" s="60" t="s">
        <v>325</v>
      </c>
      <c r="E1204" s="60" t="s">
        <v>1365</v>
      </c>
      <c r="F1204" s="73" t="s">
        <v>1366</v>
      </c>
      <c r="G1204" s="72" t="s">
        <v>142</v>
      </c>
      <c r="H1204" s="83">
        <v>0.41666666666666669</v>
      </c>
      <c r="I1204" s="83">
        <v>0.70833333333333337</v>
      </c>
      <c r="J1204" s="63">
        <f t="shared" si="295"/>
        <v>0.29166666666666669</v>
      </c>
      <c r="K1204" s="88" t="s">
        <v>113</v>
      </c>
      <c r="L1204" s="135">
        <f t="shared" si="296"/>
        <v>7</v>
      </c>
      <c r="O1204" s="91" t="s">
        <v>539</v>
      </c>
      <c r="P1204" s="88">
        <v>5</v>
      </c>
      <c r="Z1204" s="100"/>
    </row>
    <row r="1205" spans="1:26" x14ac:dyDescent="0.25">
      <c r="A1205" s="99">
        <v>45597</v>
      </c>
      <c r="B1205" s="74">
        <v>45614</v>
      </c>
      <c r="C1205" s="88" t="s">
        <v>45</v>
      </c>
      <c r="D1205" s="60" t="s">
        <v>481</v>
      </c>
      <c r="E1205" s="60" t="s">
        <v>1071</v>
      </c>
      <c r="F1205" s="73" t="s">
        <v>1206</v>
      </c>
      <c r="G1205" s="72" t="s">
        <v>142</v>
      </c>
      <c r="H1205" s="83">
        <v>0.375</v>
      </c>
      <c r="I1205" s="83">
        <v>0.8125</v>
      </c>
      <c r="J1205" s="63">
        <f t="shared" si="295"/>
        <v>0.4375</v>
      </c>
      <c r="K1205" s="88" t="s">
        <v>300</v>
      </c>
      <c r="L1205" s="135">
        <f t="shared" si="296"/>
        <v>10.5</v>
      </c>
      <c r="O1205" s="91" t="s">
        <v>362</v>
      </c>
      <c r="P1205" s="88">
        <v>5</v>
      </c>
      <c r="Z1205" s="100"/>
    </row>
    <row r="1206" spans="1:26" x14ac:dyDescent="0.25">
      <c r="A1206" s="99">
        <v>45597</v>
      </c>
      <c r="B1206" s="74">
        <v>45614</v>
      </c>
      <c r="C1206" s="88" t="s">
        <v>45</v>
      </c>
      <c r="D1206" s="60" t="s">
        <v>1067</v>
      </c>
      <c r="E1206" s="60" t="s">
        <v>880</v>
      </c>
      <c r="F1206" s="73" t="s">
        <v>1363</v>
      </c>
      <c r="G1206" s="59" t="s">
        <v>142</v>
      </c>
      <c r="H1206" s="83">
        <v>0.4375</v>
      </c>
      <c r="I1206" s="83">
        <v>0.97916666666666663</v>
      </c>
      <c r="J1206" s="63">
        <f t="shared" si="295"/>
        <v>0.54166666666666663</v>
      </c>
      <c r="K1206" s="88" t="s">
        <v>300</v>
      </c>
      <c r="L1206" s="135">
        <f t="shared" si="296"/>
        <v>13</v>
      </c>
      <c r="O1206" s="91" t="s">
        <v>362</v>
      </c>
      <c r="P1206" s="88">
        <v>5</v>
      </c>
      <c r="Z1206" s="100"/>
    </row>
    <row r="1207" spans="1:26" x14ac:dyDescent="0.25">
      <c r="A1207" s="99">
        <v>45597</v>
      </c>
      <c r="B1207" s="74">
        <v>45614</v>
      </c>
      <c r="C1207" s="88" t="s">
        <v>45</v>
      </c>
      <c r="D1207" s="60" t="s">
        <v>740</v>
      </c>
      <c r="E1207" s="60" t="s">
        <v>1367</v>
      </c>
      <c r="F1207" s="73" t="s">
        <v>1009</v>
      </c>
      <c r="G1207" s="72" t="s">
        <v>142</v>
      </c>
      <c r="H1207" s="83">
        <v>0.52083333333333337</v>
      </c>
      <c r="I1207" s="83">
        <v>0.75</v>
      </c>
      <c r="J1207" s="63">
        <f t="shared" ref="J1207:J1270" si="297">I1207-H1207</f>
        <v>0.22916666666666663</v>
      </c>
      <c r="K1207" s="88" t="s">
        <v>110</v>
      </c>
      <c r="L1207" s="135">
        <f t="shared" ref="L1207:L1270" si="298">24*J1207</f>
        <v>5.4999999999999991</v>
      </c>
      <c r="O1207" s="91" t="s">
        <v>576</v>
      </c>
      <c r="P1207" s="88">
        <v>5</v>
      </c>
      <c r="Z1207" s="100"/>
    </row>
    <row r="1208" spans="1:26" x14ac:dyDescent="0.25">
      <c r="A1208" s="99">
        <v>45597</v>
      </c>
      <c r="B1208" s="74">
        <v>45615</v>
      </c>
      <c r="C1208" s="88" t="s">
        <v>106</v>
      </c>
      <c r="D1208" s="60" t="s">
        <v>98</v>
      </c>
      <c r="E1208" s="60" t="s">
        <v>617</v>
      </c>
      <c r="F1208" s="73" t="s">
        <v>1059</v>
      </c>
      <c r="G1208" s="72" t="s">
        <v>142</v>
      </c>
      <c r="H1208" s="83">
        <v>0.41666666666666669</v>
      </c>
      <c r="I1208" s="83">
        <v>0.45833333333333331</v>
      </c>
      <c r="J1208" s="63">
        <f t="shared" si="297"/>
        <v>4.166666666666663E-2</v>
      </c>
      <c r="K1208" s="88" t="s">
        <v>110</v>
      </c>
      <c r="L1208" s="135">
        <f t="shared" si="298"/>
        <v>0.99999999999999911</v>
      </c>
      <c r="O1208" s="91" t="s">
        <v>539</v>
      </c>
      <c r="P1208" s="88">
        <v>5</v>
      </c>
      <c r="Z1208" s="100"/>
    </row>
    <row r="1209" spans="1:26" x14ac:dyDescent="0.25">
      <c r="A1209" s="99">
        <v>45597</v>
      </c>
      <c r="B1209" s="74">
        <v>45615</v>
      </c>
      <c r="C1209" s="88" t="s">
        <v>106</v>
      </c>
      <c r="D1209" s="60" t="s">
        <v>481</v>
      </c>
      <c r="E1209" s="60" t="s">
        <v>1071</v>
      </c>
      <c r="F1209" s="73" t="s">
        <v>1206</v>
      </c>
      <c r="G1209" s="72" t="s">
        <v>142</v>
      </c>
      <c r="H1209" s="83">
        <v>0.41666666666666669</v>
      </c>
      <c r="I1209" s="83">
        <v>0.875</v>
      </c>
      <c r="J1209" s="63">
        <f t="shared" si="297"/>
        <v>0.45833333333333331</v>
      </c>
      <c r="K1209" s="88" t="s">
        <v>300</v>
      </c>
      <c r="L1209" s="135">
        <f t="shared" si="298"/>
        <v>11</v>
      </c>
      <c r="O1209" s="91" t="s">
        <v>362</v>
      </c>
      <c r="P1209" s="88">
        <v>5</v>
      </c>
      <c r="Z1209" s="100"/>
    </row>
    <row r="1210" spans="1:26" x14ac:dyDescent="0.25">
      <c r="A1210" s="99">
        <v>45597</v>
      </c>
      <c r="B1210" s="74">
        <v>45615</v>
      </c>
      <c r="C1210" s="88" t="s">
        <v>106</v>
      </c>
      <c r="D1210" s="60" t="s">
        <v>1067</v>
      </c>
      <c r="E1210" s="60" t="s">
        <v>880</v>
      </c>
      <c r="F1210" s="73" t="s">
        <v>1363</v>
      </c>
      <c r="G1210" s="59" t="s">
        <v>142</v>
      </c>
      <c r="H1210" s="83">
        <v>0.625</v>
      </c>
      <c r="I1210" s="83">
        <v>0.875</v>
      </c>
      <c r="J1210" s="63">
        <f t="shared" si="297"/>
        <v>0.25</v>
      </c>
      <c r="K1210" s="88" t="s">
        <v>300</v>
      </c>
      <c r="L1210" s="135">
        <f t="shared" si="298"/>
        <v>6</v>
      </c>
      <c r="O1210" s="91" t="s">
        <v>362</v>
      </c>
      <c r="P1210" s="88">
        <v>5</v>
      </c>
      <c r="Z1210" s="100"/>
    </row>
    <row r="1211" spans="1:26" x14ac:dyDescent="0.25">
      <c r="A1211" s="99">
        <v>45597</v>
      </c>
      <c r="B1211" s="74">
        <v>45615</v>
      </c>
      <c r="C1211" s="88" t="s">
        <v>106</v>
      </c>
      <c r="D1211" s="60" t="s">
        <v>325</v>
      </c>
      <c r="E1211" s="60" t="s">
        <v>703</v>
      </c>
      <c r="F1211" s="60" t="s">
        <v>704</v>
      </c>
      <c r="G1211" s="72" t="s">
        <v>142</v>
      </c>
      <c r="H1211" s="83">
        <v>0.33333333333333331</v>
      </c>
      <c r="I1211" s="83">
        <v>0.70833333333333337</v>
      </c>
      <c r="J1211" s="63">
        <f t="shared" si="297"/>
        <v>0.37500000000000006</v>
      </c>
      <c r="K1211" s="88" t="s">
        <v>113</v>
      </c>
      <c r="L1211" s="135">
        <f t="shared" si="298"/>
        <v>9.0000000000000018</v>
      </c>
      <c r="M1211" s="60"/>
      <c r="N1211" s="60"/>
      <c r="O1211" s="91" t="s">
        <v>539</v>
      </c>
      <c r="P1211" s="88">
        <v>5</v>
      </c>
      <c r="Z1211" s="100"/>
    </row>
    <row r="1212" spans="1:26" x14ac:dyDescent="0.25">
      <c r="A1212" s="99">
        <v>45597</v>
      </c>
      <c r="B1212" s="74">
        <v>45615</v>
      </c>
      <c r="C1212" s="88" t="s">
        <v>106</v>
      </c>
      <c r="D1212" s="60" t="s">
        <v>32</v>
      </c>
      <c r="E1212" s="60" t="s">
        <v>1141</v>
      </c>
      <c r="F1212" s="73" t="s">
        <v>1368</v>
      </c>
      <c r="G1212" s="59" t="s">
        <v>142</v>
      </c>
      <c r="H1212" s="83">
        <v>0.41666666666666669</v>
      </c>
      <c r="I1212" s="83">
        <v>0.70833333333333337</v>
      </c>
      <c r="J1212" s="63">
        <f t="shared" si="297"/>
        <v>0.29166666666666669</v>
      </c>
      <c r="K1212" s="61" t="s">
        <v>113</v>
      </c>
      <c r="L1212" s="135">
        <f t="shared" si="298"/>
        <v>7</v>
      </c>
      <c r="O1212" s="91" t="s">
        <v>539</v>
      </c>
      <c r="P1212" s="88">
        <v>5</v>
      </c>
      <c r="Z1212" s="100"/>
    </row>
    <row r="1213" spans="1:26" x14ac:dyDescent="0.25">
      <c r="A1213" s="99">
        <v>45597</v>
      </c>
      <c r="B1213" s="74">
        <v>45615</v>
      </c>
      <c r="C1213" s="88" t="s">
        <v>106</v>
      </c>
      <c r="D1213" s="60" t="s">
        <v>481</v>
      </c>
      <c r="E1213" s="60" t="s">
        <v>299</v>
      </c>
      <c r="F1213" s="73" t="s">
        <v>1361</v>
      </c>
      <c r="G1213" s="59" t="s">
        <v>142</v>
      </c>
      <c r="H1213" s="83">
        <v>0.33333333333333331</v>
      </c>
      <c r="I1213" s="83">
        <v>0.70833333333333337</v>
      </c>
      <c r="J1213" s="63">
        <f t="shared" si="297"/>
        <v>0.37500000000000006</v>
      </c>
      <c r="K1213" s="88" t="s">
        <v>113</v>
      </c>
      <c r="L1213" s="135">
        <f t="shared" si="298"/>
        <v>9.0000000000000018</v>
      </c>
      <c r="O1213" s="91" t="s">
        <v>539</v>
      </c>
      <c r="P1213" s="88">
        <v>5</v>
      </c>
      <c r="Z1213" s="100"/>
    </row>
    <row r="1214" spans="1:26" x14ac:dyDescent="0.25">
      <c r="A1214" s="99">
        <v>45597</v>
      </c>
      <c r="B1214" s="74">
        <v>45616</v>
      </c>
      <c r="C1214" s="88" t="s">
        <v>398</v>
      </c>
      <c r="D1214" s="60" t="s">
        <v>32</v>
      </c>
      <c r="E1214" s="62" t="s">
        <v>1369</v>
      </c>
      <c r="F1214" s="73" t="s">
        <v>1370</v>
      </c>
      <c r="G1214" s="59" t="s">
        <v>142</v>
      </c>
      <c r="H1214" s="83">
        <v>0.45833333333333331</v>
      </c>
      <c r="I1214" s="83">
        <v>0.54166666666666663</v>
      </c>
      <c r="J1214" s="63">
        <f t="shared" si="297"/>
        <v>8.3333333333333315E-2</v>
      </c>
      <c r="K1214" s="61" t="s">
        <v>365</v>
      </c>
      <c r="L1214" s="135">
        <f t="shared" si="298"/>
        <v>1.9999999999999996</v>
      </c>
      <c r="O1214" s="91" t="s">
        <v>358</v>
      </c>
      <c r="P1214" s="88">
        <v>5</v>
      </c>
      <c r="Z1214" s="100"/>
    </row>
    <row r="1215" spans="1:26" x14ac:dyDescent="0.25">
      <c r="A1215" s="99">
        <v>45597</v>
      </c>
      <c r="B1215" s="74">
        <v>45616</v>
      </c>
      <c r="C1215" s="88" t="s">
        <v>398</v>
      </c>
      <c r="D1215" s="60" t="s">
        <v>98</v>
      </c>
      <c r="E1215" s="62" t="s">
        <v>1369</v>
      </c>
      <c r="F1215" s="73" t="s">
        <v>1371</v>
      </c>
      <c r="G1215" s="59" t="s">
        <v>142</v>
      </c>
      <c r="H1215" s="83">
        <v>0.60416666666666663</v>
      </c>
      <c r="I1215" s="83">
        <v>0.64583333333333337</v>
      </c>
      <c r="J1215" s="63">
        <f t="shared" si="297"/>
        <v>4.1666666666666741E-2</v>
      </c>
      <c r="K1215" s="61" t="s">
        <v>113</v>
      </c>
      <c r="L1215" s="135">
        <f t="shared" si="298"/>
        <v>1.0000000000000018</v>
      </c>
      <c r="O1215" s="91" t="s">
        <v>576</v>
      </c>
      <c r="P1215" s="88">
        <v>5</v>
      </c>
      <c r="Z1215" s="100"/>
    </row>
    <row r="1216" spans="1:26" x14ac:dyDescent="0.25">
      <c r="A1216" s="99">
        <v>45597</v>
      </c>
      <c r="B1216" s="74">
        <v>45617</v>
      </c>
      <c r="C1216" s="88" t="s">
        <v>124</v>
      </c>
      <c r="D1216" s="60" t="s">
        <v>308</v>
      </c>
      <c r="E1216" s="60" t="s">
        <v>1372</v>
      </c>
      <c r="F1216" s="73" t="s">
        <v>1373</v>
      </c>
      <c r="G1216" s="59" t="s">
        <v>142</v>
      </c>
      <c r="H1216" s="83">
        <v>0.41666666666666669</v>
      </c>
      <c r="I1216" s="83">
        <v>0.58333333333333337</v>
      </c>
      <c r="J1216" s="63">
        <f t="shared" si="297"/>
        <v>0.16666666666666669</v>
      </c>
      <c r="K1216" s="61" t="s">
        <v>295</v>
      </c>
      <c r="L1216" s="135">
        <f t="shared" si="298"/>
        <v>4</v>
      </c>
      <c r="O1216" s="91" t="s">
        <v>1214</v>
      </c>
      <c r="P1216" s="88">
        <v>5</v>
      </c>
      <c r="Z1216" s="100"/>
    </row>
    <row r="1217" spans="1:26" x14ac:dyDescent="0.25">
      <c r="A1217" s="99">
        <v>45597</v>
      </c>
      <c r="B1217" s="74">
        <v>45617</v>
      </c>
      <c r="C1217" s="88" t="s">
        <v>124</v>
      </c>
      <c r="D1217" s="60" t="s">
        <v>481</v>
      </c>
      <c r="E1217" s="60" t="s">
        <v>1071</v>
      </c>
      <c r="F1217" s="73" t="s">
        <v>1206</v>
      </c>
      <c r="G1217" s="72" t="s">
        <v>142</v>
      </c>
      <c r="H1217" s="83">
        <v>0.47916666666666669</v>
      </c>
      <c r="I1217" s="83">
        <v>0.875</v>
      </c>
      <c r="J1217" s="63">
        <f t="shared" si="297"/>
        <v>0.39583333333333331</v>
      </c>
      <c r="K1217" s="88" t="s">
        <v>300</v>
      </c>
      <c r="L1217" s="135">
        <f t="shared" si="298"/>
        <v>9.5</v>
      </c>
      <c r="O1217" s="91" t="s">
        <v>362</v>
      </c>
      <c r="P1217" s="88">
        <v>5</v>
      </c>
      <c r="Z1217" s="100"/>
    </row>
    <row r="1218" spans="1:26" x14ac:dyDescent="0.25">
      <c r="A1218" s="99">
        <v>45597</v>
      </c>
      <c r="B1218" s="74">
        <v>45617</v>
      </c>
      <c r="C1218" s="88" t="s">
        <v>124</v>
      </c>
      <c r="D1218" s="60" t="s">
        <v>1067</v>
      </c>
      <c r="E1218" s="60" t="s">
        <v>880</v>
      </c>
      <c r="F1218" s="73" t="s">
        <v>1363</v>
      </c>
      <c r="G1218" s="59" t="s">
        <v>142</v>
      </c>
      <c r="H1218" s="83">
        <v>0.41666666666666669</v>
      </c>
      <c r="I1218" s="83">
        <v>0.97916666666666663</v>
      </c>
      <c r="J1218" s="63">
        <f t="shared" si="297"/>
        <v>0.5625</v>
      </c>
      <c r="K1218" s="88" t="s">
        <v>300</v>
      </c>
      <c r="L1218" s="135">
        <f t="shared" si="298"/>
        <v>13.5</v>
      </c>
      <c r="O1218" s="91" t="s">
        <v>362</v>
      </c>
      <c r="P1218" s="88">
        <v>5</v>
      </c>
      <c r="Z1218" s="100"/>
    </row>
    <row r="1219" spans="1:26" x14ac:dyDescent="0.25">
      <c r="A1219" s="99">
        <v>45597</v>
      </c>
      <c r="B1219" s="74">
        <v>45617</v>
      </c>
      <c r="C1219" s="88" t="s">
        <v>124</v>
      </c>
      <c r="D1219" s="60" t="s">
        <v>740</v>
      </c>
      <c r="E1219" s="60" t="s">
        <v>961</v>
      </c>
      <c r="F1219" s="60" t="s">
        <v>1338</v>
      </c>
      <c r="G1219" s="72" t="s">
        <v>142</v>
      </c>
      <c r="H1219" s="83">
        <v>0.375</v>
      </c>
      <c r="I1219" s="83">
        <v>0.66666666666666663</v>
      </c>
      <c r="J1219" s="63">
        <f t="shared" si="297"/>
        <v>0.29166666666666663</v>
      </c>
      <c r="K1219" s="88" t="s">
        <v>110</v>
      </c>
      <c r="L1219" s="135">
        <f t="shared" si="298"/>
        <v>6.9999999999999991</v>
      </c>
      <c r="O1219" s="91" t="s">
        <v>358</v>
      </c>
      <c r="P1219" s="88">
        <v>5</v>
      </c>
      <c r="Z1219" s="100"/>
    </row>
    <row r="1220" spans="1:26" x14ac:dyDescent="0.25">
      <c r="A1220" s="99">
        <v>45597</v>
      </c>
      <c r="B1220" s="74">
        <v>45617</v>
      </c>
      <c r="C1220" s="88" t="s">
        <v>124</v>
      </c>
      <c r="D1220" s="60" t="s">
        <v>325</v>
      </c>
      <c r="E1220" s="60" t="s">
        <v>703</v>
      </c>
      <c r="F1220" s="60" t="s">
        <v>704</v>
      </c>
      <c r="G1220" s="72" t="s">
        <v>142</v>
      </c>
      <c r="H1220" s="83">
        <v>0.52083333333333337</v>
      </c>
      <c r="I1220" s="83">
        <v>0.5625</v>
      </c>
      <c r="J1220" s="63">
        <f t="shared" si="297"/>
        <v>4.166666666666663E-2</v>
      </c>
      <c r="K1220" s="88" t="s">
        <v>113</v>
      </c>
      <c r="L1220" s="135">
        <f t="shared" si="298"/>
        <v>0.99999999999999911</v>
      </c>
      <c r="O1220" s="91" t="s">
        <v>576</v>
      </c>
      <c r="P1220" s="88">
        <v>5</v>
      </c>
      <c r="Z1220" s="100"/>
    </row>
    <row r="1221" spans="1:26" x14ac:dyDescent="0.25">
      <c r="A1221" s="99">
        <v>45597</v>
      </c>
      <c r="B1221" s="74">
        <v>45617</v>
      </c>
      <c r="C1221" s="88" t="s">
        <v>124</v>
      </c>
      <c r="D1221" s="60" t="s">
        <v>481</v>
      </c>
      <c r="E1221" s="60" t="s">
        <v>299</v>
      </c>
      <c r="F1221" s="73" t="s">
        <v>1361</v>
      </c>
      <c r="G1221" s="59" t="s">
        <v>142</v>
      </c>
      <c r="H1221" s="83">
        <v>0.33333333333333331</v>
      </c>
      <c r="I1221" s="83">
        <v>0.66666666666666663</v>
      </c>
      <c r="J1221" s="63">
        <f t="shared" si="297"/>
        <v>0.33333333333333331</v>
      </c>
      <c r="K1221" s="88" t="s">
        <v>113</v>
      </c>
      <c r="L1221" s="135">
        <f t="shared" si="298"/>
        <v>8</v>
      </c>
      <c r="O1221" s="91" t="s">
        <v>576</v>
      </c>
      <c r="P1221" s="88">
        <v>5</v>
      </c>
      <c r="Z1221" s="100"/>
    </row>
    <row r="1222" spans="1:26" x14ac:dyDescent="0.25">
      <c r="A1222" s="99">
        <v>45597</v>
      </c>
      <c r="B1222" s="74">
        <v>45617</v>
      </c>
      <c r="C1222" s="88" t="s">
        <v>124</v>
      </c>
      <c r="D1222" s="60" t="s">
        <v>308</v>
      </c>
      <c r="E1222" s="60" t="s">
        <v>1372</v>
      </c>
      <c r="F1222" s="73" t="s">
        <v>400</v>
      </c>
      <c r="G1222" s="72" t="s">
        <v>142</v>
      </c>
      <c r="H1222" s="83">
        <v>0.41666666666666669</v>
      </c>
      <c r="I1222" s="83">
        <v>0.58333333333333337</v>
      </c>
      <c r="J1222" s="63">
        <f t="shared" si="297"/>
        <v>0.16666666666666669</v>
      </c>
      <c r="K1222" s="88" t="s">
        <v>295</v>
      </c>
      <c r="L1222" s="135">
        <f t="shared" si="298"/>
        <v>4</v>
      </c>
      <c r="O1222" s="91" t="s">
        <v>1214</v>
      </c>
      <c r="P1222" s="88">
        <v>5</v>
      </c>
      <c r="Z1222" s="100"/>
    </row>
    <row r="1223" spans="1:26" x14ac:dyDescent="0.25">
      <c r="A1223" s="99">
        <v>45597</v>
      </c>
      <c r="B1223" s="74">
        <v>45619</v>
      </c>
      <c r="C1223" s="61" t="s">
        <v>34</v>
      </c>
      <c r="D1223" s="60" t="s">
        <v>122</v>
      </c>
      <c r="E1223" s="62" t="s">
        <v>1374</v>
      </c>
      <c r="F1223" s="73" t="s">
        <v>1375</v>
      </c>
      <c r="G1223" s="59" t="s">
        <v>142</v>
      </c>
      <c r="H1223" s="83">
        <v>0.54166666666666663</v>
      </c>
      <c r="I1223" s="83">
        <v>0.70833333333333337</v>
      </c>
      <c r="J1223" s="63">
        <f t="shared" si="297"/>
        <v>0.16666666666666674</v>
      </c>
      <c r="K1223" s="61" t="s">
        <v>295</v>
      </c>
      <c r="L1223" s="135">
        <f t="shared" si="298"/>
        <v>4.0000000000000018</v>
      </c>
      <c r="O1223" s="81" t="s">
        <v>1214</v>
      </c>
      <c r="P1223" s="88">
        <v>5</v>
      </c>
      <c r="Z1223" s="100"/>
    </row>
    <row r="1224" spans="1:26" x14ac:dyDescent="0.25">
      <c r="A1224" s="99">
        <v>45597</v>
      </c>
      <c r="B1224" s="74">
        <v>45619</v>
      </c>
      <c r="C1224" s="61" t="s">
        <v>34</v>
      </c>
      <c r="D1224" s="60" t="s">
        <v>481</v>
      </c>
      <c r="E1224" s="60" t="s">
        <v>1071</v>
      </c>
      <c r="F1224" s="73" t="s">
        <v>1206</v>
      </c>
      <c r="G1224" s="72" t="s">
        <v>142</v>
      </c>
      <c r="H1224" s="83">
        <v>0.39583333333333331</v>
      </c>
      <c r="I1224" s="83">
        <v>0.75</v>
      </c>
      <c r="J1224" s="63">
        <f t="shared" si="297"/>
        <v>0.35416666666666669</v>
      </c>
      <c r="K1224" s="88" t="s">
        <v>300</v>
      </c>
      <c r="L1224" s="135">
        <f t="shared" si="298"/>
        <v>8.5</v>
      </c>
      <c r="O1224" s="91" t="s">
        <v>362</v>
      </c>
      <c r="P1224" s="88">
        <v>5</v>
      </c>
      <c r="Z1224" s="100"/>
    </row>
    <row r="1225" spans="1:26" x14ac:dyDescent="0.25">
      <c r="A1225" s="99">
        <v>45597</v>
      </c>
      <c r="B1225" s="74">
        <v>45619</v>
      </c>
      <c r="C1225" s="61" t="s">
        <v>34</v>
      </c>
      <c r="D1225" s="60" t="s">
        <v>481</v>
      </c>
      <c r="E1225" s="60" t="s">
        <v>299</v>
      </c>
      <c r="F1225" s="73" t="s">
        <v>1364</v>
      </c>
      <c r="G1225" s="59" t="s">
        <v>142</v>
      </c>
      <c r="H1225" s="83">
        <v>0.33333333333333331</v>
      </c>
      <c r="I1225" s="83">
        <v>0.70833333333333337</v>
      </c>
      <c r="J1225" s="63">
        <f t="shared" si="297"/>
        <v>0.37500000000000006</v>
      </c>
      <c r="K1225" s="61" t="s">
        <v>113</v>
      </c>
      <c r="L1225" s="135">
        <f t="shared" si="298"/>
        <v>9.0000000000000018</v>
      </c>
      <c r="O1225" s="81" t="s">
        <v>357</v>
      </c>
      <c r="P1225" s="88">
        <v>5</v>
      </c>
      <c r="Z1225" s="100"/>
    </row>
    <row r="1226" spans="1:26" x14ac:dyDescent="0.25">
      <c r="A1226" s="99">
        <v>45597</v>
      </c>
      <c r="B1226" s="74">
        <v>45619</v>
      </c>
      <c r="C1226" s="61" t="s">
        <v>34</v>
      </c>
      <c r="D1226" s="60" t="s">
        <v>481</v>
      </c>
      <c r="E1226" s="62" t="s">
        <v>1304</v>
      </c>
      <c r="F1226" s="73" t="s">
        <v>1376</v>
      </c>
      <c r="G1226" s="59" t="s">
        <v>142</v>
      </c>
      <c r="H1226" s="83">
        <v>0.41666666666666669</v>
      </c>
      <c r="I1226" s="83">
        <v>0.70833333333333337</v>
      </c>
      <c r="J1226" s="63">
        <f t="shared" si="297"/>
        <v>0.29166666666666669</v>
      </c>
      <c r="K1226" s="61" t="s">
        <v>110</v>
      </c>
      <c r="L1226" s="135">
        <f t="shared" si="298"/>
        <v>7</v>
      </c>
      <c r="O1226" s="81" t="s">
        <v>363</v>
      </c>
      <c r="P1226" s="88">
        <v>5</v>
      </c>
      <c r="Z1226" s="100"/>
    </row>
    <row r="1227" spans="1:26" x14ac:dyDescent="0.25">
      <c r="A1227" s="99">
        <v>45597</v>
      </c>
      <c r="B1227" s="74">
        <v>45619</v>
      </c>
      <c r="C1227" s="61" t="s">
        <v>34</v>
      </c>
      <c r="D1227" s="60" t="s">
        <v>740</v>
      </c>
      <c r="E1227" s="60" t="s">
        <v>961</v>
      </c>
      <c r="F1227" s="60" t="s">
        <v>1338</v>
      </c>
      <c r="G1227" s="72" t="s">
        <v>142</v>
      </c>
      <c r="H1227" s="83">
        <v>0.41666666666666669</v>
      </c>
      <c r="I1227" s="83">
        <v>0.70833333333333337</v>
      </c>
      <c r="J1227" s="63">
        <f t="shared" si="297"/>
        <v>0.29166666666666669</v>
      </c>
      <c r="K1227" s="61" t="s">
        <v>110</v>
      </c>
      <c r="L1227" s="135">
        <f t="shared" si="298"/>
        <v>7</v>
      </c>
      <c r="O1227" s="81" t="s">
        <v>363</v>
      </c>
      <c r="P1227" s="88">
        <v>5</v>
      </c>
      <c r="Z1227" s="100"/>
    </row>
    <row r="1228" spans="1:26" x14ac:dyDescent="0.25">
      <c r="A1228" s="99">
        <v>45597</v>
      </c>
      <c r="B1228" s="74">
        <v>45620</v>
      </c>
      <c r="C1228" s="61" t="s">
        <v>31</v>
      </c>
      <c r="D1228" s="60" t="s">
        <v>481</v>
      </c>
      <c r="E1228" s="60" t="s">
        <v>299</v>
      </c>
      <c r="F1228" s="73" t="s">
        <v>1364</v>
      </c>
      <c r="G1228" s="59" t="s">
        <v>142</v>
      </c>
      <c r="H1228" s="83">
        <v>0.33333333333333331</v>
      </c>
      <c r="I1228" s="83">
        <v>0.70833333333333337</v>
      </c>
      <c r="J1228" s="63">
        <f t="shared" si="297"/>
        <v>0.37500000000000006</v>
      </c>
      <c r="K1228" s="61" t="s">
        <v>113</v>
      </c>
      <c r="L1228" s="135">
        <f t="shared" si="298"/>
        <v>9.0000000000000018</v>
      </c>
      <c r="O1228" s="81" t="s">
        <v>539</v>
      </c>
      <c r="P1228" s="88">
        <v>5</v>
      </c>
      <c r="Z1228" s="100"/>
    </row>
    <row r="1229" spans="1:26" x14ac:dyDescent="0.25">
      <c r="A1229" s="99">
        <v>45597</v>
      </c>
      <c r="B1229" s="74">
        <v>45620</v>
      </c>
      <c r="C1229" s="61" t="s">
        <v>31</v>
      </c>
      <c r="D1229" s="60" t="s">
        <v>122</v>
      </c>
      <c r="E1229" s="62" t="s">
        <v>1313</v>
      </c>
      <c r="F1229" s="73" t="s">
        <v>1296</v>
      </c>
      <c r="G1229" s="72" t="s">
        <v>142</v>
      </c>
      <c r="H1229" s="83">
        <v>0.4375</v>
      </c>
      <c r="I1229" s="83">
        <v>0.72916666666666663</v>
      </c>
      <c r="J1229" s="63">
        <f t="shared" si="297"/>
        <v>0.29166666666666663</v>
      </c>
      <c r="K1229" s="88" t="s">
        <v>295</v>
      </c>
      <c r="L1229" s="135">
        <f t="shared" si="298"/>
        <v>6.9999999999999991</v>
      </c>
      <c r="O1229" s="81" t="s">
        <v>360</v>
      </c>
      <c r="P1229" s="88">
        <v>5</v>
      </c>
      <c r="Z1229" s="100"/>
    </row>
    <row r="1230" spans="1:26" x14ac:dyDescent="0.25">
      <c r="A1230" s="99">
        <v>45597</v>
      </c>
      <c r="B1230" s="74">
        <v>45620</v>
      </c>
      <c r="C1230" s="61" t="s">
        <v>31</v>
      </c>
      <c r="D1230" s="60" t="s">
        <v>98</v>
      </c>
      <c r="E1230" s="62" t="s">
        <v>1334</v>
      </c>
      <c r="F1230" s="73" t="s">
        <v>1377</v>
      </c>
      <c r="G1230" s="59" t="s">
        <v>142</v>
      </c>
      <c r="H1230" s="83">
        <v>0.66666666666666663</v>
      </c>
      <c r="I1230" s="83">
        <v>0.70833333333333337</v>
      </c>
      <c r="J1230" s="63">
        <f t="shared" si="297"/>
        <v>4.1666666666666741E-2</v>
      </c>
      <c r="K1230" s="61" t="s">
        <v>113</v>
      </c>
      <c r="L1230" s="135">
        <f t="shared" si="298"/>
        <v>1.0000000000000018</v>
      </c>
      <c r="O1230" s="81" t="s">
        <v>539</v>
      </c>
      <c r="P1230" s="88">
        <v>5</v>
      </c>
      <c r="Z1230" s="100"/>
    </row>
    <row r="1231" spans="1:26" x14ac:dyDescent="0.25">
      <c r="A1231" s="99">
        <v>45597</v>
      </c>
      <c r="B1231" s="74">
        <v>45621</v>
      </c>
      <c r="C1231" s="61" t="s">
        <v>45</v>
      </c>
      <c r="D1231" s="60" t="s">
        <v>740</v>
      </c>
      <c r="E1231" s="62" t="s">
        <v>961</v>
      </c>
      <c r="F1231" s="73" t="s">
        <v>1009</v>
      </c>
      <c r="G1231" s="59" t="s">
        <v>142</v>
      </c>
      <c r="H1231" s="83">
        <v>0.41666666666666669</v>
      </c>
      <c r="I1231" s="83">
        <v>0.70833333333333337</v>
      </c>
      <c r="J1231" s="63">
        <f t="shared" si="297"/>
        <v>0.29166666666666669</v>
      </c>
      <c r="K1231" s="61" t="s">
        <v>110</v>
      </c>
      <c r="L1231" s="135">
        <f t="shared" si="298"/>
        <v>7</v>
      </c>
      <c r="O1231" s="81" t="s">
        <v>363</v>
      </c>
      <c r="P1231" s="88">
        <v>5</v>
      </c>
      <c r="Z1231" s="100"/>
    </row>
    <row r="1232" spans="1:26" x14ac:dyDescent="0.25">
      <c r="A1232" s="99">
        <v>45597</v>
      </c>
      <c r="B1232" s="74">
        <v>45621</v>
      </c>
      <c r="C1232" s="61" t="s">
        <v>45</v>
      </c>
      <c r="D1232" s="60" t="s">
        <v>481</v>
      </c>
      <c r="E1232" s="62" t="s">
        <v>1304</v>
      </c>
      <c r="F1232" s="73" t="s">
        <v>1364</v>
      </c>
      <c r="G1232" s="59" t="s">
        <v>142</v>
      </c>
      <c r="H1232" s="83">
        <v>0.33333333333333331</v>
      </c>
      <c r="I1232" s="83">
        <v>0.70833333333333337</v>
      </c>
      <c r="J1232" s="63">
        <f t="shared" si="297"/>
        <v>0.37500000000000006</v>
      </c>
      <c r="K1232" s="61" t="s">
        <v>113</v>
      </c>
      <c r="L1232" s="135">
        <f t="shared" si="298"/>
        <v>9.0000000000000018</v>
      </c>
      <c r="O1232" s="81" t="s">
        <v>539</v>
      </c>
      <c r="P1232" s="88">
        <v>5</v>
      </c>
      <c r="Z1232" s="100"/>
    </row>
    <row r="1233" spans="1:26" x14ac:dyDescent="0.25">
      <c r="A1233" s="99">
        <v>45597</v>
      </c>
      <c r="B1233" s="74">
        <v>45621</v>
      </c>
      <c r="C1233" s="61" t="s">
        <v>45</v>
      </c>
      <c r="D1233" s="60" t="s">
        <v>481</v>
      </c>
      <c r="E1233" s="62" t="s">
        <v>1304</v>
      </c>
      <c r="F1233" s="73" t="s">
        <v>1378</v>
      </c>
      <c r="G1233" s="59" t="s">
        <v>142</v>
      </c>
      <c r="H1233" s="83">
        <v>0.41666666666666669</v>
      </c>
      <c r="I1233" s="83">
        <v>0.70833333333333337</v>
      </c>
      <c r="J1233" s="63">
        <f t="shared" si="297"/>
        <v>0.29166666666666669</v>
      </c>
      <c r="K1233" s="61" t="s">
        <v>110</v>
      </c>
      <c r="L1233" s="135">
        <f t="shared" si="298"/>
        <v>7</v>
      </c>
      <c r="O1233" s="81" t="s">
        <v>363</v>
      </c>
      <c r="P1233" s="88">
        <v>5</v>
      </c>
      <c r="Z1233" s="100"/>
    </row>
    <row r="1234" spans="1:26" x14ac:dyDescent="0.25">
      <c r="A1234" s="99">
        <v>45597</v>
      </c>
      <c r="B1234" s="74">
        <v>45622</v>
      </c>
      <c r="C1234" s="61" t="s">
        <v>106</v>
      </c>
      <c r="D1234" s="60" t="s">
        <v>1250</v>
      </c>
      <c r="E1234" s="62" t="s">
        <v>1379</v>
      </c>
      <c r="F1234" s="73" t="s">
        <v>1380</v>
      </c>
      <c r="G1234" s="59" t="s">
        <v>142</v>
      </c>
      <c r="H1234" s="83">
        <v>0.54166666666666663</v>
      </c>
      <c r="I1234" s="83">
        <v>0.66666666666666663</v>
      </c>
      <c r="J1234" s="63">
        <f t="shared" si="297"/>
        <v>0.125</v>
      </c>
      <c r="K1234" s="61" t="s">
        <v>365</v>
      </c>
      <c r="L1234" s="135">
        <f t="shared" si="298"/>
        <v>3</v>
      </c>
      <c r="O1234" s="81" t="s">
        <v>360</v>
      </c>
      <c r="P1234" s="88">
        <v>5</v>
      </c>
      <c r="Z1234" s="100"/>
    </row>
    <row r="1235" spans="1:26" x14ac:dyDescent="0.25">
      <c r="A1235" s="99">
        <v>45597</v>
      </c>
      <c r="B1235" s="74">
        <v>45622</v>
      </c>
      <c r="C1235" s="61" t="s">
        <v>106</v>
      </c>
      <c r="D1235" s="60" t="s">
        <v>126</v>
      </c>
      <c r="E1235" s="62" t="s">
        <v>1285</v>
      </c>
      <c r="F1235" s="73" t="s">
        <v>176</v>
      </c>
      <c r="G1235" s="59" t="s">
        <v>142</v>
      </c>
      <c r="H1235" s="83">
        <v>0.5</v>
      </c>
      <c r="I1235" s="83">
        <v>0.70833333333333337</v>
      </c>
      <c r="J1235" s="63">
        <f t="shared" si="297"/>
        <v>0.20833333333333337</v>
      </c>
      <c r="K1235" s="61" t="s">
        <v>365</v>
      </c>
      <c r="L1235" s="135">
        <f t="shared" si="298"/>
        <v>5.0000000000000009</v>
      </c>
      <c r="O1235" s="81" t="s">
        <v>359</v>
      </c>
      <c r="P1235" s="88">
        <v>5</v>
      </c>
      <c r="Z1235" s="100"/>
    </row>
    <row r="1236" spans="1:26" x14ac:dyDescent="0.25">
      <c r="A1236" s="99">
        <v>45597</v>
      </c>
      <c r="B1236" s="74">
        <v>45622</v>
      </c>
      <c r="C1236" s="61" t="s">
        <v>106</v>
      </c>
      <c r="D1236" s="60" t="s">
        <v>126</v>
      </c>
      <c r="E1236" s="62" t="s">
        <v>1285</v>
      </c>
      <c r="F1236" s="73" t="s">
        <v>176</v>
      </c>
      <c r="G1236" s="59" t="s">
        <v>142</v>
      </c>
      <c r="H1236" s="83">
        <v>0.66666666666666663</v>
      </c>
      <c r="I1236" s="83">
        <v>0.70833333333333337</v>
      </c>
      <c r="J1236" s="63">
        <f t="shared" si="297"/>
        <v>4.1666666666666741E-2</v>
      </c>
      <c r="K1236" s="61" t="s">
        <v>113</v>
      </c>
      <c r="L1236" s="135">
        <f t="shared" si="298"/>
        <v>1.0000000000000018</v>
      </c>
      <c r="O1236" s="81" t="s">
        <v>363</v>
      </c>
      <c r="P1236" s="88">
        <v>5</v>
      </c>
      <c r="Z1236" s="100"/>
    </row>
    <row r="1237" spans="1:26" x14ac:dyDescent="0.25">
      <c r="A1237" s="99">
        <v>45597</v>
      </c>
      <c r="B1237" s="74">
        <v>45622</v>
      </c>
      <c r="C1237" s="61" t="s">
        <v>106</v>
      </c>
      <c r="D1237" s="60" t="s">
        <v>740</v>
      </c>
      <c r="E1237" s="62" t="s">
        <v>961</v>
      </c>
      <c r="F1237" s="73" t="s">
        <v>1381</v>
      </c>
      <c r="G1237" s="59" t="s">
        <v>142</v>
      </c>
      <c r="H1237" s="83">
        <v>0.41666666666666669</v>
      </c>
      <c r="I1237" s="83">
        <v>0.70833333333333337</v>
      </c>
      <c r="J1237" s="63">
        <f t="shared" si="297"/>
        <v>0.29166666666666669</v>
      </c>
      <c r="K1237" s="61" t="s">
        <v>110</v>
      </c>
      <c r="L1237" s="135">
        <f t="shared" si="298"/>
        <v>7</v>
      </c>
      <c r="O1237" s="81" t="s">
        <v>363</v>
      </c>
      <c r="P1237" s="88">
        <v>5</v>
      </c>
      <c r="Z1237" s="100"/>
    </row>
    <row r="1238" spans="1:26" x14ac:dyDescent="0.25">
      <c r="A1238" s="99">
        <v>45597</v>
      </c>
      <c r="B1238" s="74">
        <v>45622</v>
      </c>
      <c r="C1238" s="61" t="s">
        <v>106</v>
      </c>
      <c r="D1238" s="60" t="s">
        <v>126</v>
      </c>
      <c r="E1238" s="62" t="s">
        <v>1285</v>
      </c>
      <c r="F1238" s="73" t="s">
        <v>176</v>
      </c>
      <c r="G1238" s="59" t="s">
        <v>142</v>
      </c>
      <c r="H1238" s="83">
        <v>0.625</v>
      </c>
      <c r="I1238" s="83">
        <v>0.66666666666666663</v>
      </c>
      <c r="J1238" s="63">
        <f t="shared" si="297"/>
        <v>4.166666666666663E-2</v>
      </c>
      <c r="K1238" s="61" t="s">
        <v>295</v>
      </c>
      <c r="L1238" s="135">
        <f t="shared" si="298"/>
        <v>0.99999999999999911</v>
      </c>
      <c r="O1238" s="81" t="s">
        <v>363</v>
      </c>
      <c r="P1238" s="88">
        <v>5</v>
      </c>
      <c r="Z1238" s="100"/>
    </row>
    <row r="1239" spans="1:26" x14ac:dyDescent="0.25">
      <c r="A1239" s="99">
        <v>45597</v>
      </c>
      <c r="B1239" s="74">
        <v>45622</v>
      </c>
      <c r="C1239" s="61" t="s">
        <v>106</v>
      </c>
      <c r="D1239" s="60" t="s">
        <v>481</v>
      </c>
      <c r="E1239" s="62" t="s">
        <v>1382</v>
      </c>
      <c r="F1239" s="73" t="s">
        <v>1206</v>
      </c>
      <c r="G1239" s="59" t="s">
        <v>142</v>
      </c>
      <c r="H1239" s="83">
        <v>0.41666666666666669</v>
      </c>
      <c r="I1239" s="83">
        <v>0.91666666666666663</v>
      </c>
      <c r="J1239" s="63">
        <f t="shared" si="297"/>
        <v>0.49999999999999994</v>
      </c>
      <c r="K1239" s="61" t="s">
        <v>300</v>
      </c>
      <c r="L1239" s="135">
        <f t="shared" si="298"/>
        <v>11.999999999999998</v>
      </c>
      <c r="O1239" s="81" t="s">
        <v>362</v>
      </c>
      <c r="P1239" s="88">
        <v>5</v>
      </c>
      <c r="Z1239" s="100"/>
    </row>
    <row r="1240" spans="1:26" x14ac:dyDescent="0.25">
      <c r="A1240" s="99">
        <v>45597</v>
      </c>
      <c r="B1240" s="74">
        <v>45622</v>
      </c>
      <c r="C1240" s="61" t="s">
        <v>106</v>
      </c>
      <c r="D1240" s="60" t="s">
        <v>702</v>
      </c>
      <c r="E1240" s="62" t="s">
        <v>880</v>
      </c>
      <c r="F1240" s="73" t="s">
        <v>1350</v>
      </c>
      <c r="G1240" s="59" t="s">
        <v>142</v>
      </c>
      <c r="H1240" s="83">
        <v>0.58333333333333337</v>
      </c>
      <c r="I1240" s="83">
        <v>0.83333333333333337</v>
      </c>
      <c r="J1240" s="63">
        <f t="shared" si="297"/>
        <v>0.25</v>
      </c>
      <c r="K1240" s="61" t="s">
        <v>300</v>
      </c>
      <c r="L1240" s="135">
        <f t="shared" si="298"/>
        <v>6</v>
      </c>
      <c r="O1240" s="81" t="s">
        <v>362</v>
      </c>
      <c r="P1240" s="88">
        <v>5</v>
      </c>
      <c r="Z1240" s="100"/>
    </row>
    <row r="1241" spans="1:26" x14ac:dyDescent="0.25">
      <c r="A1241" s="99">
        <v>45597</v>
      </c>
      <c r="B1241" s="74">
        <v>45623</v>
      </c>
      <c r="C1241" s="61" t="s">
        <v>398</v>
      </c>
      <c r="D1241" s="60" t="s">
        <v>740</v>
      </c>
      <c r="E1241" s="62" t="s">
        <v>1162</v>
      </c>
      <c r="F1241" s="73" t="s">
        <v>1381</v>
      </c>
      <c r="G1241" s="59" t="s">
        <v>142</v>
      </c>
      <c r="H1241" s="83">
        <v>0.41666666666666669</v>
      </c>
      <c r="I1241" s="83">
        <v>0.70833333333333337</v>
      </c>
      <c r="J1241" s="63">
        <f t="shared" si="297"/>
        <v>0.29166666666666669</v>
      </c>
      <c r="K1241" s="61" t="s">
        <v>110</v>
      </c>
      <c r="L1241" s="135">
        <f t="shared" si="298"/>
        <v>7</v>
      </c>
      <c r="O1241" s="81" t="s">
        <v>363</v>
      </c>
      <c r="P1241" s="88">
        <v>5</v>
      </c>
      <c r="Z1241" s="100"/>
    </row>
    <row r="1242" spans="1:26" x14ac:dyDescent="0.25">
      <c r="A1242" s="99">
        <v>45597</v>
      </c>
      <c r="B1242" s="74">
        <v>45623</v>
      </c>
      <c r="C1242" s="61" t="s">
        <v>398</v>
      </c>
      <c r="D1242" s="60" t="s">
        <v>481</v>
      </c>
      <c r="E1242" s="62" t="s">
        <v>1304</v>
      </c>
      <c r="F1242" s="73" t="s">
        <v>1364</v>
      </c>
      <c r="G1242" s="59" t="s">
        <v>142</v>
      </c>
      <c r="H1242" s="83">
        <v>0.33333333333333331</v>
      </c>
      <c r="I1242" s="83">
        <v>0.70833333333333337</v>
      </c>
      <c r="J1242" s="63">
        <f t="shared" si="297"/>
        <v>0.37500000000000006</v>
      </c>
      <c r="K1242" s="61" t="s">
        <v>113</v>
      </c>
      <c r="L1242" s="135">
        <f t="shared" si="298"/>
        <v>9.0000000000000018</v>
      </c>
      <c r="O1242" s="81" t="s">
        <v>539</v>
      </c>
      <c r="P1242" s="88">
        <v>5</v>
      </c>
      <c r="Z1242" s="100"/>
    </row>
    <row r="1243" spans="1:26" x14ac:dyDescent="0.25">
      <c r="A1243" s="99">
        <v>45597</v>
      </c>
      <c r="B1243" s="74">
        <v>45623</v>
      </c>
      <c r="C1243" s="61" t="s">
        <v>398</v>
      </c>
      <c r="D1243" s="60" t="s">
        <v>481</v>
      </c>
      <c r="E1243" s="62" t="s">
        <v>1382</v>
      </c>
      <c r="F1243" s="73" t="s">
        <v>1350</v>
      </c>
      <c r="G1243" s="59" t="s">
        <v>142</v>
      </c>
      <c r="H1243" s="83">
        <v>0.41666666666666669</v>
      </c>
      <c r="I1243" s="83">
        <v>0.75</v>
      </c>
      <c r="J1243" s="63">
        <f t="shared" si="297"/>
        <v>0.33333333333333331</v>
      </c>
      <c r="K1243" s="61" t="s">
        <v>300</v>
      </c>
      <c r="L1243" s="135">
        <f t="shared" si="298"/>
        <v>8</v>
      </c>
      <c r="O1243" s="81" t="s">
        <v>362</v>
      </c>
      <c r="P1243" s="88">
        <v>5</v>
      </c>
      <c r="Z1243" s="100"/>
    </row>
    <row r="1244" spans="1:26" x14ac:dyDescent="0.25">
      <c r="A1244" s="99">
        <v>45597</v>
      </c>
      <c r="B1244" s="74">
        <v>45624</v>
      </c>
      <c r="C1244" s="61" t="s">
        <v>124</v>
      </c>
      <c r="D1244" s="60" t="s">
        <v>481</v>
      </c>
      <c r="E1244" s="62" t="s">
        <v>1071</v>
      </c>
      <c r="F1244" s="73" t="s">
        <v>1350</v>
      </c>
      <c r="G1244" s="59" t="s">
        <v>142</v>
      </c>
      <c r="H1244" s="83">
        <v>0.39583333333333331</v>
      </c>
      <c r="I1244" s="83">
        <v>0.75</v>
      </c>
      <c r="J1244" s="63">
        <f t="shared" si="297"/>
        <v>0.35416666666666669</v>
      </c>
      <c r="K1244" s="61" t="s">
        <v>300</v>
      </c>
      <c r="L1244" s="135">
        <f t="shared" si="298"/>
        <v>8.5</v>
      </c>
      <c r="O1244" s="81" t="s">
        <v>362</v>
      </c>
      <c r="P1244" s="88">
        <v>5</v>
      </c>
      <c r="Z1244" s="100"/>
    </row>
    <row r="1245" spans="1:26" x14ac:dyDescent="0.25">
      <c r="A1245" s="99">
        <v>45597</v>
      </c>
      <c r="B1245" s="74">
        <v>45626</v>
      </c>
      <c r="C1245" s="61" t="s">
        <v>34</v>
      </c>
      <c r="D1245" s="60" t="s">
        <v>740</v>
      </c>
      <c r="E1245" s="62" t="s">
        <v>1383</v>
      </c>
      <c r="F1245" s="73" t="s">
        <v>1381</v>
      </c>
      <c r="G1245" s="59" t="s">
        <v>142</v>
      </c>
      <c r="H1245" s="83">
        <v>0.41666666666666669</v>
      </c>
      <c r="I1245" s="83">
        <v>0.70833333333333337</v>
      </c>
      <c r="J1245" s="63">
        <f t="shared" si="297"/>
        <v>0.29166666666666669</v>
      </c>
      <c r="K1245" s="61" t="s">
        <v>110</v>
      </c>
      <c r="L1245" s="135">
        <f t="shared" si="298"/>
        <v>7</v>
      </c>
      <c r="O1245" s="81" t="s">
        <v>363</v>
      </c>
      <c r="P1245" s="88">
        <v>5</v>
      </c>
      <c r="Z1245" s="100"/>
    </row>
    <row r="1246" spans="1:26" x14ac:dyDescent="0.25">
      <c r="A1246" s="99">
        <v>45597</v>
      </c>
      <c r="B1246" s="74">
        <v>45626</v>
      </c>
      <c r="C1246" s="61" t="s">
        <v>34</v>
      </c>
      <c r="D1246" s="60" t="s">
        <v>481</v>
      </c>
      <c r="E1246" s="62" t="s">
        <v>299</v>
      </c>
      <c r="F1246" s="73" t="s">
        <v>1364</v>
      </c>
      <c r="G1246" s="59" t="s">
        <v>142</v>
      </c>
      <c r="H1246" s="83">
        <v>0.33333333333333331</v>
      </c>
      <c r="I1246" s="83">
        <v>0.70833333333333337</v>
      </c>
      <c r="J1246" s="63">
        <f t="shared" si="297"/>
        <v>0.37500000000000006</v>
      </c>
      <c r="K1246" s="61" t="s">
        <v>113</v>
      </c>
      <c r="L1246" s="135">
        <f t="shared" si="298"/>
        <v>9.0000000000000018</v>
      </c>
      <c r="O1246" s="81" t="s">
        <v>357</v>
      </c>
      <c r="P1246" s="88">
        <v>5</v>
      </c>
      <c r="Z1246" s="100"/>
    </row>
    <row r="1247" spans="1:26" x14ac:dyDescent="0.25">
      <c r="A1247" s="99">
        <v>45597</v>
      </c>
      <c r="B1247" s="74">
        <v>45626</v>
      </c>
      <c r="C1247" s="61" t="s">
        <v>34</v>
      </c>
      <c r="D1247" s="60" t="s">
        <v>481</v>
      </c>
      <c r="E1247" s="62" t="s">
        <v>1071</v>
      </c>
      <c r="F1247" s="73" t="s">
        <v>1206</v>
      </c>
      <c r="G1247" s="59" t="s">
        <v>142</v>
      </c>
      <c r="H1247" s="83">
        <v>0.39583333333333331</v>
      </c>
      <c r="I1247" s="83">
        <v>0.875</v>
      </c>
      <c r="J1247" s="63">
        <f t="shared" si="297"/>
        <v>0.47916666666666669</v>
      </c>
      <c r="K1247" s="61" t="s">
        <v>300</v>
      </c>
      <c r="L1247" s="135">
        <f t="shared" si="298"/>
        <v>11.5</v>
      </c>
      <c r="O1247" s="81" t="s">
        <v>362</v>
      </c>
      <c r="P1247" s="88">
        <v>5</v>
      </c>
      <c r="Z1247" s="100"/>
    </row>
    <row r="1248" spans="1:26" x14ac:dyDescent="0.25">
      <c r="A1248" s="99">
        <v>45597</v>
      </c>
      <c r="B1248" s="74">
        <v>45626</v>
      </c>
      <c r="C1248" s="61" t="s">
        <v>34</v>
      </c>
      <c r="D1248" s="60" t="s">
        <v>1322</v>
      </c>
      <c r="E1248" s="62" t="s">
        <v>1384</v>
      </c>
      <c r="F1248" s="73" t="s">
        <v>1350</v>
      </c>
      <c r="G1248" s="59" t="s">
        <v>142</v>
      </c>
      <c r="H1248" s="83">
        <v>0.42708333333333331</v>
      </c>
      <c r="I1248" s="83">
        <v>0.58333333333333337</v>
      </c>
      <c r="J1248" s="63">
        <f t="shared" si="297"/>
        <v>0.15625000000000006</v>
      </c>
      <c r="K1248" s="61" t="s">
        <v>300</v>
      </c>
      <c r="L1248" s="135">
        <f t="shared" si="298"/>
        <v>3.7500000000000013</v>
      </c>
      <c r="O1248" s="81" t="s">
        <v>362</v>
      </c>
      <c r="P1248" s="88">
        <v>5</v>
      </c>
      <c r="Z1248" s="100"/>
    </row>
    <row r="1249" spans="1:26" x14ac:dyDescent="0.25">
      <c r="A1249" s="99">
        <v>45627</v>
      </c>
      <c r="B1249" s="74">
        <v>45627</v>
      </c>
      <c r="C1249" s="61" t="s">
        <v>31</v>
      </c>
      <c r="D1249" s="60" t="s">
        <v>126</v>
      </c>
      <c r="E1249" s="62" t="s">
        <v>1285</v>
      </c>
      <c r="F1249" s="73" t="s">
        <v>176</v>
      </c>
      <c r="G1249" s="59" t="s">
        <v>142</v>
      </c>
      <c r="H1249" s="83">
        <v>0.4375</v>
      </c>
      <c r="I1249" s="83">
        <v>0.66666666666666663</v>
      </c>
      <c r="J1249" s="63">
        <f t="shared" si="297"/>
        <v>0.22916666666666663</v>
      </c>
      <c r="K1249" s="61" t="s">
        <v>365</v>
      </c>
      <c r="L1249" s="135">
        <f t="shared" si="298"/>
        <v>5.4999999999999991</v>
      </c>
      <c r="O1249" s="81" t="s">
        <v>360</v>
      </c>
      <c r="P1249" s="88">
        <v>5</v>
      </c>
      <c r="Z1249" s="100"/>
    </row>
    <row r="1250" spans="1:26" x14ac:dyDescent="0.25">
      <c r="A1250" s="99">
        <v>45627</v>
      </c>
      <c r="B1250" s="74">
        <v>45627</v>
      </c>
      <c r="C1250" s="61" t="s">
        <v>31</v>
      </c>
      <c r="D1250" s="60" t="s">
        <v>740</v>
      </c>
      <c r="E1250" s="62" t="s">
        <v>1383</v>
      </c>
      <c r="F1250" s="73" t="s">
        <v>1381</v>
      </c>
      <c r="G1250" s="59" t="s">
        <v>142</v>
      </c>
      <c r="H1250" s="83">
        <v>0.41666666666666669</v>
      </c>
      <c r="I1250" s="83">
        <v>0.70833333333333304</v>
      </c>
      <c r="J1250" s="63">
        <f t="shared" si="297"/>
        <v>0.29166666666666635</v>
      </c>
      <c r="K1250" s="61" t="s">
        <v>110</v>
      </c>
      <c r="L1250" s="135">
        <f t="shared" si="298"/>
        <v>6.9999999999999929</v>
      </c>
      <c r="O1250" s="81" t="s">
        <v>363</v>
      </c>
      <c r="P1250" s="88">
        <v>5</v>
      </c>
      <c r="Z1250" s="100"/>
    </row>
    <row r="1251" spans="1:26" x14ac:dyDescent="0.25">
      <c r="A1251" s="99">
        <v>45627</v>
      </c>
      <c r="B1251" s="74">
        <v>45627</v>
      </c>
      <c r="C1251" s="61" t="s">
        <v>31</v>
      </c>
      <c r="D1251" s="60" t="s">
        <v>830</v>
      </c>
      <c r="E1251" s="62" t="s">
        <v>1282</v>
      </c>
      <c r="F1251" s="73" t="s">
        <v>1296</v>
      </c>
      <c r="G1251" s="59" t="s">
        <v>142</v>
      </c>
      <c r="H1251" s="83">
        <v>0.41666666666666669</v>
      </c>
      <c r="I1251" s="83">
        <v>0.66666666666666663</v>
      </c>
      <c r="J1251" s="63">
        <f t="shared" si="297"/>
        <v>0.24999999999999994</v>
      </c>
      <c r="K1251" s="61" t="s">
        <v>365</v>
      </c>
      <c r="L1251" s="135">
        <f t="shared" si="298"/>
        <v>5.9999999999999982</v>
      </c>
      <c r="O1251" s="81" t="s">
        <v>361</v>
      </c>
      <c r="P1251" s="88">
        <v>5</v>
      </c>
      <c r="Z1251" s="100"/>
    </row>
    <row r="1252" spans="1:26" x14ac:dyDescent="0.25">
      <c r="A1252" s="99">
        <v>45627</v>
      </c>
      <c r="B1252" s="74">
        <v>45627</v>
      </c>
      <c r="C1252" s="61" t="s">
        <v>31</v>
      </c>
      <c r="D1252" s="60" t="s">
        <v>481</v>
      </c>
      <c r="E1252" s="62" t="s">
        <v>1304</v>
      </c>
      <c r="F1252" s="73" t="s">
        <v>1364</v>
      </c>
      <c r="G1252" s="59" t="s">
        <v>142</v>
      </c>
      <c r="H1252" s="83">
        <v>0.33333333333333331</v>
      </c>
      <c r="I1252" s="83">
        <v>0.70833333333333337</v>
      </c>
      <c r="J1252" s="63">
        <f t="shared" si="297"/>
        <v>0.37500000000000006</v>
      </c>
      <c r="K1252" s="61" t="s">
        <v>113</v>
      </c>
      <c r="L1252" s="135">
        <f t="shared" si="298"/>
        <v>9.0000000000000018</v>
      </c>
      <c r="O1252" s="81" t="s">
        <v>539</v>
      </c>
      <c r="P1252" s="88">
        <v>5</v>
      </c>
      <c r="Z1252" s="100"/>
    </row>
    <row r="1253" spans="1:26" x14ac:dyDescent="0.25">
      <c r="A1253" s="99">
        <v>45627</v>
      </c>
      <c r="B1253" s="74">
        <v>45627</v>
      </c>
      <c r="C1253" s="61" t="s">
        <v>31</v>
      </c>
      <c r="D1253" s="60" t="s">
        <v>98</v>
      </c>
      <c r="E1253" s="62" t="s">
        <v>1334</v>
      </c>
      <c r="F1253" s="73" t="s">
        <v>1362</v>
      </c>
      <c r="G1253" s="59" t="s">
        <v>142</v>
      </c>
      <c r="H1253" s="83">
        <v>0.45833333333333331</v>
      </c>
      <c r="I1253" s="83">
        <v>0.70833333333333337</v>
      </c>
      <c r="J1253" s="63">
        <f t="shared" si="297"/>
        <v>0.25000000000000006</v>
      </c>
      <c r="K1253" s="61" t="s">
        <v>113</v>
      </c>
      <c r="L1253" s="135">
        <f t="shared" si="298"/>
        <v>6.0000000000000018</v>
      </c>
      <c r="O1253" s="81" t="s">
        <v>539</v>
      </c>
      <c r="P1253" s="88">
        <v>5</v>
      </c>
      <c r="Z1253" s="100"/>
    </row>
    <row r="1254" spans="1:26" x14ac:dyDescent="0.25">
      <c r="A1254" s="99">
        <v>45627</v>
      </c>
      <c r="B1254" s="74">
        <v>45627</v>
      </c>
      <c r="C1254" s="61" t="s">
        <v>31</v>
      </c>
      <c r="D1254" s="60" t="s">
        <v>481</v>
      </c>
      <c r="E1254" s="62" t="s">
        <v>1382</v>
      </c>
      <c r="F1254" s="73" t="s">
        <v>1385</v>
      </c>
      <c r="G1254" s="59" t="s">
        <v>142</v>
      </c>
      <c r="H1254" s="83">
        <v>0.41666666666666669</v>
      </c>
      <c r="I1254" s="83">
        <v>0.75</v>
      </c>
      <c r="J1254" s="63">
        <f t="shared" si="297"/>
        <v>0.33333333333333331</v>
      </c>
      <c r="K1254" s="61" t="s">
        <v>300</v>
      </c>
      <c r="L1254" s="135">
        <f t="shared" si="298"/>
        <v>8</v>
      </c>
      <c r="O1254" s="81" t="s">
        <v>362</v>
      </c>
      <c r="P1254" s="88">
        <v>5</v>
      </c>
      <c r="Z1254" s="100"/>
    </row>
    <row r="1255" spans="1:26" x14ac:dyDescent="0.25">
      <c r="A1255" s="99">
        <v>45627</v>
      </c>
      <c r="B1255" s="74">
        <v>45628</v>
      </c>
      <c r="C1255" s="61" t="s">
        <v>45</v>
      </c>
      <c r="D1255" s="60" t="s">
        <v>740</v>
      </c>
      <c r="E1255" s="62" t="s">
        <v>961</v>
      </c>
      <c r="F1255" s="73" t="s">
        <v>1381</v>
      </c>
      <c r="G1255" s="59" t="s">
        <v>142</v>
      </c>
      <c r="H1255" s="83">
        <v>0.41666666666666669</v>
      </c>
      <c r="I1255" s="83">
        <v>0.70833333333333304</v>
      </c>
      <c r="J1255" s="63">
        <f t="shared" si="297"/>
        <v>0.29166666666666635</v>
      </c>
      <c r="K1255" s="61" t="s">
        <v>110</v>
      </c>
      <c r="L1255" s="135">
        <f t="shared" si="298"/>
        <v>6.9999999999999929</v>
      </c>
      <c r="O1255" s="81" t="s">
        <v>363</v>
      </c>
      <c r="P1255" s="88">
        <v>5</v>
      </c>
      <c r="Z1255" s="100"/>
    </row>
    <row r="1256" spans="1:26" x14ac:dyDescent="0.25">
      <c r="A1256" s="99">
        <v>45627</v>
      </c>
      <c r="B1256" s="74">
        <v>45628</v>
      </c>
      <c r="C1256" s="61" t="s">
        <v>45</v>
      </c>
      <c r="D1256" s="60" t="s">
        <v>32</v>
      </c>
      <c r="E1256" s="62" t="s">
        <v>1386</v>
      </c>
      <c r="F1256" s="73" t="s">
        <v>1387</v>
      </c>
      <c r="G1256" s="59" t="s">
        <v>142</v>
      </c>
      <c r="H1256" s="83">
        <v>0.5</v>
      </c>
      <c r="I1256" s="83">
        <v>0.70833333333333304</v>
      </c>
      <c r="J1256" s="63">
        <f t="shared" si="297"/>
        <v>0.20833333333333304</v>
      </c>
      <c r="K1256" s="61" t="s">
        <v>110</v>
      </c>
      <c r="L1256" s="135">
        <f t="shared" si="298"/>
        <v>4.9999999999999929</v>
      </c>
      <c r="O1256" s="81" t="s">
        <v>363</v>
      </c>
      <c r="P1256" s="88">
        <v>5</v>
      </c>
      <c r="Z1256" s="100"/>
    </row>
    <row r="1257" spans="1:26" x14ac:dyDescent="0.25">
      <c r="A1257" s="99">
        <v>45627</v>
      </c>
      <c r="B1257" s="74">
        <v>45628</v>
      </c>
      <c r="C1257" s="61" t="s">
        <v>45</v>
      </c>
      <c r="D1257" s="60" t="s">
        <v>406</v>
      </c>
      <c r="E1257" s="62" t="s">
        <v>1388</v>
      </c>
      <c r="F1257" s="73" t="s">
        <v>1389</v>
      </c>
      <c r="G1257" s="59" t="s">
        <v>142</v>
      </c>
      <c r="H1257" s="83">
        <v>0.58333333333333337</v>
      </c>
      <c r="I1257" s="83">
        <v>0.625</v>
      </c>
      <c r="J1257" s="63">
        <f t="shared" si="297"/>
        <v>4.166666666666663E-2</v>
      </c>
      <c r="K1257" s="61" t="s">
        <v>365</v>
      </c>
      <c r="L1257" s="135">
        <f t="shared" si="298"/>
        <v>0.99999999999999911</v>
      </c>
      <c r="O1257" s="81" t="s">
        <v>576</v>
      </c>
      <c r="P1257" s="88">
        <v>5</v>
      </c>
      <c r="Z1257" s="100"/>
    </row>
    <row r="1258" spans="1:26" x14ac:dyDescent="0.25">
      <c r="A1258" s="99">
        <v>45627</v>
      </c>
      <c r="B1258" s="74">
        <v>45628</v>
      </c>
      <c r="C1258" s="61" t="s">
        <v>45</v>
      </c>
      <c r="D1258" s="60" t="s">
        <v>830</v>
      </c>
      <c r="E1258" s="62" t="s">
        <v>1282</v>
      </c>
      <c r="F1258" s="73" t="s">
        <v>1296</v>
      </c>
      <c r="G1258" s="59" t="s">
        <v>142</v>
      </c>
      <c r="H1258" s="83">
        <v>0.41666666666666669</v>
      </c>
      <c r="I1258" s="83">
        <v>0.70833333333333337</v>
      </c>
      <c r="J1258" s="63">
        <f t="shared" si="297"/>
        <v>0.29166666666666669</v>
      </c>
      <c r="K1258" s="61" t="s">
        <v>365</v>
      </c>
      <c r="L1258" s="135">
        <f t="shared" si="298"/>
        <v>7</v>
      </c>
      <c r="O1258" s="81" t="s">
        <v>361</v>
      </c>
      <c r="P1258" s="88">
        <v>5</v>
      </c>
      <c r="Z1258" s="100"/>
    </row>
    <row r="1259" spans="1:26" x14ac:dyDescent="0.25">
      <c r="A1259" s="99">
        <v>45627</v>
      </c>
      <c r="B1259" s="74">
        <v>45628</v>
      </c>
      <c r="C1259" s="61" t="s">
        <v>45</v>
      </c>
      <c r="D1259" s="60" t="s">
        <v>481</v>
      </c>
      <c r="E1259" s="62" t="s">
        <v>299</v>
      </c>
      <c r="F1259" s="73" t="s">
        <v>1364</v>
      </c>
      <c r="G1259" s="59" t="s">
        <v>142</v>
      </c>
      <c r="H1259" s="83">
        <v>0.33333333333333331</v>
      </c>
      <c r="I1259" s="83">
        <v>0.70833333333333337</v>
      </c>
      <c r="J1259" s="63">
        <f t="shared" si="297"/>
        <v>0.37500000000000006</v>
      </c>
      <c r="K1259" s="61" t="s">
        <v>113</v>
      </c>
      <c r="L1259" s="135">
        <f t="shared" si="298"/>
        <v>9.0000000000000018</v>
      </c>
      <c r="O1259" s="81" t="s">
        <v>539</v>
      </c>
      <c r="P1259" s="88">
        <v>5</v>
      </c>
      <c r="Z1259" s="100"/>
    </row>
    <row r="1260" spans="1:26" x14ac:dyDescent="0.25">
      <c r="A1260" s="99">
        <v>45627</v>
      </c>
      <c r="B1260" s="74">
        <v>45628</v>
      </c>
      <c r="C1260" s="61" t="s">
        <v>45</v>
      </c>
      <c r="D1260" s="60" t="s">
        <v>481</v>
      </c>
      <c r="E1260" s="62" t="s">
        <v>1382</v>
      </c>
      <c r="F1260" s="73" t="s">
        <v>1385</v>
      </c>
      <c r="G1260" s="59" t="s">
        <v>142</v>
      </c>
      <c r="H1260" s="83">
        <v>0.39583333333333331</v>
      </c>
      <c r="I1260" s="83">
        <v>0.75</v>
      </c>
      <c r="J1260" s="63">
        <f t="shared" si="297"/>
        <v>0.35416666666666669</v>
      </c>
      <c r="K1260" s="61" t="s">
        <v>300</v>
      </c>
      <c r="L1260" s="135">
        <f t="shared" si="298"/>
        <v>8.5</v>
      </c>
      <c r="O1260" s="81" t="s">
        <v>362</v>
      </c>
      <c r="P1260" s="88">
        <v>5</v>
      </c>
      <c r="Z1260" s="100"/>
    </row>
    <row r="1261" spans="1:26" x14ac:dyDescent="0.25">
      <c r="A1261" s="99">
        <v>45627</v>
      </c>
      <c r="B1261" s="74">
        <v>45629</v>
      </c>
      <c r="C1261" s="61" t="s">
        <v>106</v>
      </c>
      <c r="D1261" s="60" t="s">
        <v>740</v>
      </c>
      <c r="E1261" s="62" t="s">
        <v>961</v>
      </c>
      <c r="F1261" s="73" t="s">
        <v>1381</v>
      </c>
      <c r="G1261" s="59" t="s">
        <v>142</v>
      </c>
      <c r="H1261" s="83">
        <v>0.41666666666666669</v>
      </c>
      <c r="I1261" s="83">
        <v>0.72916666666666663</v>
      </c>
      <c r="J1261" s="63">
        <f t="shared" si="297"/>
        <v>0.31249999999999994</v>
      </c>
      <c r="K1261" s="61" t="s">
        <v>110</v>
      </c>
      <c r="L1261" s="135">
        <f t="shared" si="298"/>
        <v>7.4999999999999982</v>
      </c>
      <c r="O1261" s="81" t="s">
        <v>360</v>
      </c>
      <c r="P1261" s="88">
        <v>5</v>
      </c>
      <c r="Z1261" s="100"/>
    </row>
    <row r="1262" spans="1:26" x14ac:dyDescent="0.25">
      <c r="A1262" s="99">
        <v>45627</v>
      </c>
      <c r="B1262" s="74">
        <v>45629</v>
      </c>
      <c r="C1262" s="61" t="s">
        <v>106</v>
      </c>
      <c r="D1262" s="60" t="s">
        <v>830</v>
      </c>
      <c r="E1262" s="62" t="s">
        <v>1390</v>
      </c>
      <c r="F1262" s="73" t="s">
        <v>1296</v>
      </c>
      <c r="G1262" s="59" t="s">
        <v>142</v>
      </c>
      <c r="H1262" s="83">
        <v>0.41666666666666669</v>
      </c>
      <c r="I1262" s="83">
        <v>0.45833333333333331</v>
      </c>
      <c r="J1262" s="63">
        <f t="shared" si="297"/>
        <v>4.166666666666663E-2</v>
      </c>
      <c r="K1262" s="61" t="s">
        <v>365</v>
      </c>
      <c r="L1262" s="135">
        <f t="shared" si="298"/>
        <v>0.99999999999999911</v>
      </c>
      <c r="O1262" s="81" t="s">
        <v>361</v>
      </c>
      <c r="P1262" s="88">
        <v>5</v>
      </c>
      <c r="Z1262" s="100"/>
    </row>
    <row r="1263" spans="1:26" x14ac:dyDescent="0.25">
      <c r="A1263" s="99">
        <v>45627</v>
      </c>
      <c r="B1263" s="74">
        <v>45629</v>
      </c>
      <c r="C1263" s="61" t="s">
        <v>106</v>
      </c>
      <c r="D1263" s="60" t="s">
        <v>481</v>
      </c>
      <c r="E1263" s="62" t="s">
        <v>1304</v>
      </c>
      <c r="F1263" s="73" t="s">
        <v>1364</v>
      </c>
      <c r="G1263" s="59" t="s">
        <v>142</v>
      </c>
      <c r="H1263" s="83">
        <v>0.33333333333333331</v>
      </c>
      <c r="I1263" s="83">
        <v>0.70833333333333337</v>
      </c>
      <c r="J1263" s="63">
        <f t="shared" si="297"/>
        <v>0.37500000000000006</v>
      </c>
      <c r="K1263" s="61" t="s">
        <v>113</v>
      </c>
      <c r="L1263" s="135">
        <f t="shared" si="298"/>
        <v>9.0000000000000018</v>
      </c>
      <c r="O1263" s="81" t="s">
        <v>539</v>
      </c>
      <c r="P1263" s="88">
        <v>5</v>
      </c>
      <c r="Z1263" s="100"/>
    </row>
    <row r="1264" spans="1:26" x14ac:dyDescent="0.25">
      <c r="A1264" s="99">
        <v>45627</v>
      </c>
      <c r="B1264" s="74">
        <v>45629</v>
      </c>
      <c r="C1264" s="61" t="s">
        <v>106</v>
      </c>
      <c r="D1264" s="60" t="s">
        <v>481</v>
      </c>
      <c r="E1264" s="62" t="s">
        <v>1382</v>
      </c>
      <c r="F1264" s="73" t="s">
        <v>1385</v>
      </c>
      <c r="G1264" s="59" t="s">
        <v>142</v>
      </c>
      <c r="H1264" s="83">
        <v>0.39583333333333331</v>
      </c>
      <c r="I1264" s="83">
        <v>0.75</v>
      </c>
      <c r="J1264" s="63">
        <f t="shared" si="297"/>
        <v>0.35416666666666669</v>
      </c>
      <c r="K1264" s="61" t="s">
        <v>300</v>
      </c>
      <c r="L1264" s="135">
        <f t="shared" si="298"/>
        <v>8.5</v>
      </c>
      <c r="O1264" s="81" t="s">
        <v>362</v>
      </c>
      <c r="P1264" s="88">
        <v>5</v>
      </c>
      <c r="Z1264" s="100"/>
    </row>
    <row r="1265" spans="1:26" x14ac:dyDescent="0.25">
      <c r="A1265" s="99">
        <v>45627</v>
      </c>
      <c r="B1265" s="74">
        <v>45630</v>
      </c>
      <c r="C1265" s="61" t="s">
        <v>398</v>
      </c>
      <c r="D1265" s="60" t="s">
        <v>740</v>
      </c>
      <c r="E1265" s="62" t="s">
        <v>961</v>
      </c>
      <c r="F1265" s="73" t="s">
        <v>1381</v>
      </c>
      <c r="G1265" s="59" t="s">
        <v>142</v>
      </c>
      <c r="H1265" s="83">
        <v>0.41666666666666669</v>
      </c>
      <c r="I1265" s="83">
        <v>0.70833333333333304</v>
      </c>
      <c r="J1265" s="63">
        <f t="shared" si="297"/>
        <v>0.29166666666666635</v>
      </c>
      <c r="K1265" s="61" t="s">
        <v>110</v>
      </c>
      <c r="L1265" s="135">
        <f t="shared" si="298"/>
        <v>6.9999999999999929</v>
      </c>
      <c r="O1265" s="81" t="s">
        <v>360</v>
      </c>
      <c r="P1265" s="88">
        <v>5</v>
      </c>
      <c r="Z1265" s="100"/>
    </row>
    <row r="1266" spans="1:26" x14ac:dyDescent="0.25">
      <c r="A1266" s="99">
        <v>45627</v>
      </c>
      <c r="B1266" s="74">
        <v>45630</v>
      </c>
      <c r="C1266" s="61" t="s">
        <v>398</v>
      </c>
      <c r="D1266" s="60" t="s">
        <v>481</v>
      </c>
      <c r="E1266" s="62" t="s">
        <v>1304</v>
      </c>
      <c r="F1266" s="73" t="s">
        <v>1364</v>
      </c>
      <c r="G1266" s="59" t="s">
        <v>142</v>
      </c>
      <c r="H1266" s="83">
        <v>0.33333333333333331</v>
      </c>
      <c r="I1266" s="83">
        <v>0.70833333333333337</v>
      </c>
      <c r="J1266" s="63">
        <f t="shared" si="297"/>
        <v>0.37500000000000006</v>
      </c>
      <c r="K1266" s="61" t="s">
        <v>113</v>
      </c>
      <c r="L1266" s="135">
        <f t="shared" si="298"/>
        <v>9.0000000000000018</v>
      </c>
      <c r="O1266" s="81" t="s">
        <v>539</v>
      </c>
      <c r="P1266" s="88">
        <v>5</v>
      </c>
      <c r="Z1266" s="100"/>
    </row>
    <row r="1267" spans="1:26" x14ac:dyDescent="0.25">
      <c r="A1267" s="99">
        <v>45627</v>
      </c>
      <c r="B1267" s="74">
        <v>45630</v>
      </c>
      <c r="C1267" s="61" t="s">
        <v>398</v>
      </c>
      <c r="D1267" s="60" t="s">
        <v>481</v>
      </c>
      <c r="E1267" s="62" t="s">
        <v>1382</v>
      </c>
      <c r="F1267" s="73" t="s">
        <v>1206</v>
      </c>
      <c r="G1267" s="59" t="s">
        <v>142</v>
      </c>
      <c r="H1267" s="83">
        <v>0.54166666666666663</v>
      </c>
      <c r="I1267" s="83">
        <v>0.75</v>
      </c>
      <c r="J1267" s="63">
        <f t="shared" si="297"/>
        <v>0.20833333333333337</v>
      </c>
      <c r="K1267" s="61" t="s">
        <v>300</v>
      </c>
      <c r="L1267" s="135">
        <f t="shared" si="298"/>
        <v>5.0000000000000009</v>
      </c>
      <c r="O1267" s="81" t="s">
        <v>362</v>
      </c>
      <c r="P1267" s="88">
        <v>5</v>
      </c>
      <c r="Z1267" s="100"/>
    </row>
    <row r="1268" spans="1:26" x14ac:dyDescent="0.25">
      <c r="A1268" s="99">
        <v>45627</v>
      </c>
      <c r="B1268" s="74">
        <v>45631</v>
      </c>
      <c r="C1268" s="61" t="s">
        <v>124</v>
      </c>
      <c r="D1268" s="60" t="s">
        <v>481</v>
      </c>
      <c r="E1268" s="62" t="s">
        <v>299</v>
      </c>
      <c r="F1268" s="73" t="s">
        <v>1364</v>
      </c>
      <c r="G1268" s="59" t="s">
        <v>142</v>
      </c>
      <c r="H1268" s="83">
        <v>0.33333333333333331</v>
      </c>
      <c r="I1268" s="83">
        <v>0.70833333333333337</v>
      </c>
      <c r="J1268" s="63">
        <f t="shared" si="297"/>
        <v>0.37500000000000006</v>
      </c>
      <c r="K1268" s="61" t="s">
        <v>113</v>
      </c>
      <c r="L1268" s="135">
        <f t="shared" si="298"/>
        <v>9.0000000000000018</v>
      </c>
      <c r="O1268" s="81" t="s">
        <v>539</v>
      </c>
      <c r="P1268" s="88">
        <v>5</v>
      </c>
      <c r="Z1268" s="100"/>
    </row>
    <row r="1269" spans="1:26" x14ac:dyDescent="0.25">
      <c r="A1269" s="99">
        <v>45627</v>
      </c>
      <c r="B1269" s="74">
        <v>45631</v>
      </c>
      <c r="C1269" s="61" t="s">
        <v>124</v>
      </c>
      <c r="D1269" s="60" t="s">
        <v>1391</v>
      </c>
      <c r="E1269" s="62" t="s">
        <v>1392</v>
      </c>
      <c r="F1269" s="73" t="s">
        <v>1393</v>
      </c>
      <c r="G1269" s="59" t="s">
        <v>142</v>
      </c>
      <c r="H1269" s="83">
        <v>0.41666666666666669</v>
      </c>
      <c r="I1269" s="83">
        <v>0.5625</v>
      </c>
      <c r="J1269" s="63">
        <f t="shared" si="297"/>
        <v>0.14583333333333331</v>
      </c>
      <c r="K1269" s="61" t="s">
        <v>365</v>
      </c>
      <c r="L1269" s="135">
        <f t="shared" si="298"/>
        <v>3.4999999999999996</v>
      </c>
      <c r="O1269" s="81" t="s">
        <v>576</v>
      </c>
      <c r="P1269" s="88">
        <v>5</v>
      </c>
      <c r="Z1269" s="100"/>
    </row>
    <row r="1270" spans="1:26" x14ac:dyDescent="0.25">
      <c r="A1270" s="99">
        <v>45627</v>
      </c>
      <c r="B1270" s="74">
        <v>45631</v>
      </c>
      <c r="C1270" s="119" t="s">
        <v>124</v>
      </c>
      <c r="D1270" s="60" t="s">
        <v>406</v>
      </c>
      <c r="E1270" s="60" t="s">
        <v>1096</v>
      </c>
      <c r="F1270" s="60" t="s">
        <v>616</v>
      </c>
      <c r="G1270" s="72" t="s">
        <v>142</v>
      </c>
      <c r="H1270" s="83">
        <v>0.52083333333333337</v>
      </c>
      <c r="I1270" s="83">
        <v>0.70833333333333337</v>
      </c>
      <c r="J1270" s="63">
        <f t="shared" si="297"/>
        <v>0.1875</v>
      </c>
      <c r="K1270" s="88" t="s">
        <v>365</v>
      </c>
      <c r="L1270" s="135">
        <f t="shared" si="298"/>
        <v>4.5</v>
      </c>
      <c r="O1270" s="91" t="s">
        <v>1214</v>
      </c>
      <c r="P1270" s="88">
        <v>5</v>
      </c>
      <c r="Z1270" s="100"/>
    </row>
    <row r="1271" spans="1:26" x14ac:dyDescent="0.25">
      <c r="A1271" s="99">
        <v>45627</v>
      </c>
      <c r="B1271" s="74">
        <v>45633</v>
      </c>
      <c r="C1271" s="61" t="s">
        <v>34</v>
      </c>
      <c r="D1271" s="60" t="s">
        <v>740</v>
      </c>
      <c r="E1271" s="62" t="s">
        <v>961</v>
      </c>
      <c r="F1271" s="73" t="s">
        <v>1381</v>
      </c>
      <c r="G1271" s="59" t="s">
        <v>142</v>
      </c>
      <c r="H1271" s="83">
        <v>0.41666666666666669</v>
      </c>
      <c r="I1271" s="83">
        <v>0.70833333333333304</v>
      </c>
      <c r="J1271" s="63">
        <f t="shared" ref="J1271:J1336" si="299">I1271-H1271</f>
        <v>0.29166666666666635</v>
      </c>
      <c r="K1271" s="61" t="s">
        <v>110</v>
      </c>
      <c r="L1271" s="135">
        <f t="shared" ref="L1271:L1334" si="300">24*J1271</f>
        <v>6.9999999999999929</v>
      </c>
      <c r="O1271" s="81" t="s">
        <v>576</v>
      </c>
      <c r="P1271" s="88">
        <v>5</v>
      </c>
      <c r="Z1271" s="100"/>
    </row>
    <row r="1272" spans="1:26" x14ac:dyDescent="0.25">
      <c r="A1272" s="99">
        <v>45627</v>
      </c>
      <c r="B1272" s="74">
        <v>45633</v>
      </c>
      <c r="C1272" s="61" t="s">
        <v>34</v>
      </c>
      <c r="D1272" s="60" t="s">
        <v>126</v>
      </c>
      <c r="E1272" s="62" t="s">
        <v>709</v>
      </c>
      <c r="F1272" s="73" t="s">
        <v>1394</v>
      </c>
      <c r="G1272" s="59" t="s">
        <v>142</v>
      </c>
      <c r="H1272" s="83">
        <v>0.45833333333333298</v>
      </c>
      <c r="I1272" s="83">
        <v>0.5625</v>
      </c>
      <c r="J1272" s="63">
        <f t="shared" si="299"/>
        <v>0.10416666666666702</v>
      </c>
      <c r="K1272" s="61" t="s">
        <v>365</v>
      </c>
      <c r="L1272" s="135">
        <f t="shared" si="300"/>
        <v>2.5000000000000084</v>
      </c>
      <c r="O1272" s="81" t="s">
        <v>1214</v>
      </c>
      <c r="P1272" s="88">
        <v>5</v>
      </c>
      <c r="Z1272" s="100"/>
    </row>
    <row r="1273" spans="1:26" x14ac:dyDescent="0.25">
      <c r="A1273" s="99">
        <v>45627</v>
      </c>
      <c r="B1273" s="74">
        <v>45633</v>
      </c>
      <c r="C1273" s="61" t="s">
        <v>34</v>
      </c>
      <c r="D1273" s="60" t="s">
        <v>308</v>
      </c>
      <c r="E1273" s="62" t="s">
        <v>1372</v>
      </c>
      <c r="F1273" s="73" t="s">
        <v>1395</v>
      </c>
      <c r="G1273" s="59" t="s">
        <v>142</v>
      </c>
      <c r="H1273" s="83">
        <v>0.6875</v>
      </c>
      <c r="I1273" s="83">
        <v>0.72916666666666663</v>
      </c>
      <c r="J1273" s="63">
        <f t="shared" si="299"/>
        <v>4.166666666666663E-2</v>
      </c>
      <c r="K1273" s="61" t="s">
        <v>365</v>
      </c>
      <c r="L1273" s="135">
        <f t="shared" si="300"/>
        <v>0.99999999999999911</v>
      </c>
      <c r="O1273" s="81" t="s">
        <v>1214</v>
      </c>
      <c r="P1273" s="88">
        <v>5</v>
      </c>
      <c r="Z1273" s="100"/>
    </row>
    <row r="1274" spans="1:26" x14ac:dyDescent="0.25">
      <c r="A1274" s="99">
        <v>45627</v>
      </c>
      <c r="B1274" s="74">
        <v>45633</v>
      </c>
      <c r="C1274" s="61" t="s">
        <v>34</v>
      </c>
      <c r="D1274" s="60" t="s">
        <v>481</v>
      </c>
      <c r="E1274" s="62" t="s">
        <v>299</v>
      </c>
      <c r="F1274" s="73" t="s">
        <v>1364</v>
      </c>
      <c r="G1274" s="59" t="s">
        <v>142</v>
      </c>
      <c r="H1274" s="83">
        <v>0.33333333333333331</v>
      </c>
      <c r="I1274" s="83">
        <v>0.70833333333333337</v>
      </c>
      <c r="J1274" s="63">
        <f t="shared" si="299"/>
        <v>0.37500000000000006</v>
      </c>
      <c r="K1274" s="61" t="s">
        <v>113</v>
      </c>
      <c r="L1274" s="135">
        <f t="shared" si="300"/>
        <v>9.0000000000000018</v>
      </c>
      <c r="O1274" s="81" t="s">
        <v>357</v>
      </c>
      <c r="P1274" s="88">
        <v>5</v>
      </c>
      <c r="Z1274" s="100"/>
    </row>
    <row r="1275" spans="1:26" x14ac:dyDescent="0.25">
      <c r="A1275" s="99">
        <v>45627</v>
      </c>
      <c r="B1275" s="74">
        <v>45633</v>
      </c>
      <c r="C1275" s="61" t="s">
        <v>34</v>
      </c>
      <c r="D1275" s="60" t="s">
        <v>1396</v>
      </c>
      <c r="E1275" s="62" t="s">
        <v>1397</v>
      </c>
      <c r="F1275" s="73" t="s">
        <v>1398</v>
      </c>
      <c r="G1275" s="59" t="s">
        <v>142</v>
      </c>
      <c r="H1275" s="83">
        <v>0.45833333333333331</v>
      </c>
      <c r="I1275" s="83">
        <v>0.75</v>
      </c>
      <c r="J1275" s="63">
        <f t="shared" si="299"/>
        <v>0.29166666666666669</v>
      </c>
      <c r="K1275" s="61" t="s">
        <v>300</v>
      </c>
      <c r="L1275" s="135">
        <f t="shared" si="300"/>
        <v>7</v>
      </c>
      <c r="O1275" s="81" t="s">
        <v>362</v>
      </c>
      <c r="P1275" s="88">
        <v>5</v>
      </c>
      <c r="Z1275" s="100"/>
    </row>
    <row r="1276" spans="1:26" x14ac:dyDescent="0.25">
      <c r="A1276" s="99">
        <v>45627</v>
      </c>
      <c r="B1276" s="74">
        <v>45633</v>
      </c>
      <c r="C1276" s="61" t="s">
        <v>34</v>
      </c>
      <c r="D1276" s="60" t="s">
        <v>481</v>
      </c>
      <c r="E1276" s="62" t="s">
        <v>1071</v>
      </c>
      <c r="F1276" s="73" t="s">
        <v>1385</v>
      </c>
      <c r="G1276" s="59" t="s">
        <v>142</v>
      </c>
      <c r="H1276" s="83">
        <v>0.41666666666666669</v>
      </c>
      <c r="I1276" s="83">
        <v>0.75</v>
      </c>
      <c r="J1276" s="63">
        <f t="shared" si="299"/>
        <v>0.33333333333333331</v>
      </c>
      <c r="K1276" s="61" t="s">
        <v>300</v>
      </c>
      <c r="L1276" s="135">
        <f t="shared" si="300"/>
        <v>8</v>
      </c>
      <c r="O1276" s="81" t="s">
        <v>362</v>
      </c>
      <c r="P1276" s="88">
        <v>5</v>
      </c>
      <c r="Z1276" s="100"/>
    </row>
    <row r="1277" spans="1:26" x14ac:dyDescent="0.25">
      <c r="A1277" s="99">
        <v>45627</v>
      </c>
      <c r="B1277" s="74">
        <v>45634</v>
      </c>
      <c r="C1277" s="61" t="s">
        <v>31</v>
      </c>
      <c r="D1277" s="60" t="s">
        <v>830</v>
      </c>
      <c r="E1277" s="62" t="s">
        <v>1399</v>
      </c>
      <c r="F1277" s="73" t="s">
        <v>1400</v>
      </c>
      <c r="G1277" s="59" t="s">
        <v>142</v>
      </c>
      <c r="H1277" s="83">
        <v>0.45833333333333298</v>
      </c>
      <c r="I1277" s="83">
        <v>0.5625</v>
      </c>
      <c r="J1277" s="63">
        <f t="shared" si="299"/>
        <v>0.10416666666666702</v>
      </c>
      <c r="K1277" s="61" t="s">
        <v>365</v>
      </c>
      <c r="L1277" s="135">
        <f t="shared" si="300"/>
        <v>2.5000000000000084</v>
      </c>
      <c r="O1277" s="81" t="s">
        <v>820</v>
      </c>
      <c r="P1277" s="88">
        <v>5</v>
      </c>
      <c r="Z1277" s="100"/>
    </row>
    <row r="1278" spans="1:26" x14ac:dyDescent="0.25">
      <c r="A1278" s="99">
        <v>45627</v>
      </c>
      <c r="B1278" s="74">
        <v>45634</v>
      </c>
      <c r="C1278" s="61" t="s">
        <v>31</v>
      </c>
      <c r="D1278" s="60" t="s">
        <v>740</v>
      </c>
      <c r="E1278" s="62" t="s">
        <v>961</v>
      </c>
      <c r="F1278" s="73" t="s">
        <v>1381</v>
      </c>
      <c r="G1278" s="59" t="s">
        <v>142</v>
      </c>
      <c r="H1278" s="83">
        <v>0.41666666666666669</v>
      </c>
      <c r="I1278" s="83">
        <v>0.70833333333333337</v>
      </c>
      <c r="J1278" s="63">
        <f t="shared" si="299"/>
        <v>0.29166666666666669</v>
      </c>
      <c r="K1278" s="61" t="s">
        <v>110</v>
      </c>
      <c r="L1278" s="135">
        <f t="shared" si="300"/>
        <v>7</v>
      </c>
      <c r="O1278" s="81" t="s">
        <v>363</v>
      </c>
      <c r="P1278" s="88">
        <v>3</v>
      </c>
      <c r="Z1278" s="100"/>
    </row>
    <row r="1279" spans="1:26" x14ac:dyDescent="0.25">
      <c r="A1279" s="99">
        <v>45627</v>
      </c>
      <c r="B1279" s="74">
        <v>45634</v>
      </c>
      <c r="C1279" s="61" t="s">
        <v>31</v>
      </c>
      <c r="D1279" s="60" t="s">
        <v>830</v>
      </c>
      <c r="E1279" s="62" t="s">
        <v>1399</v>
      </c>
      <c r="F1279" s="73" t="s">
        <v>1400</v>
      </c>
      <c r="G1279" s="59" t="s">
        <v>142</v>
      </c>
      <c r="H1279" s="83">
        <v>0.41666666666666669</v>
      </c>
      <c r="I1279" s="83">
        <v>0.45833333333333331</v>
      </c>
      <c r="J1279" s="63">
        <f t="shared" si="299"/>
        <v>4.166666666666663E-2</v>
      </c>
      <c r="K1279" s="61" t="s">
        <v>110</v>
      </c>
      <c r="L1279" s="135">
        <f t="shared" si="300"/>
        <v>0.99999999999999911</v>
      </c>
      <c r="O1279" s="81" t="s">
        <v>363</v>
      </c>
      <c r="P1279" s="88">
        <v>5</v>
      </c>
      <c r="Z1279" s="100"/>
    </row>
    <row r="1280" spans="1:26" x14ac:dyDescent="0.25">
      <c r="A1280" s="99">
        <v>45627</v>
      </c>
      <c r="B1280" s="74">
        <v>45634</v>
      </c>
      <c r="C1280" s="61" t="s">
        <v>31</v>
      </c>
      <c r="D1280" s="60" t="s">
        <v>126</v>
      </c>
      <c r="E1280" s="62" t="s">
        <v>1401</v>
      </c>
      <c r="F1280" s="73" t="s">
        <v>1394</v>
      </c>
      <c r="G1280" s="59" t="s">
        <v>142</v>
      </c>
      <c r="H1280" s="83">
        <v>0.58333333333333337</v>
      </c>
      <c r="I1280" s="83">
        <v>0.625</v>
      </c>
      <c r="J1280" s="63">
        <f t="shared" si="299"/>
        <v>4.166666666666663E-2</v>
      </c>
      <c r="K1280" s="61" t="s">
        <v>110</v>
      </c>
      <c r="L1280" s="135">
        <f t="shared" si="300"/>
        <v>0.99999999999999911</v>
      </c>
      <c r="O1280" s="81" t="s">
        <v>363</v>
      </c>
      <c r="P1280" s="88">
        <v>5</v>
      </c>
      <c r="Z1280" s="100"/>
    </row>
    <row r="1281" spans="1:26" x14ac:dyDescent="0.25">
      <c r="A1281" s="99">
        <v>45627</v>
      </c>
      <c r="B1281" s="74">
        <v>45634</v>
      </c>
      <c r="C1281" s="61" t="s">
        <v>31</v>
      </c>
      <c r="D1281" s="60" t="s">
        <v>481</v>
      </c>
      <c r="E1281" s="62" t="s">
        <v>299</v>
      </c>
      <c r="F1281" s="73" t="s">
        <v>1364</v>
      </c>
      <c r="G1281" s="59" t="s">
        <v>142</v>
      </c>
      <c r="H1281" s="83">
        <v>0.33333333333333331</v>
      </c>
      <c r="I1281" s="83">
        <v>0.70833333333333337</v>
      </c>
      <c r="J1281" s="63">
        <f t="shared" si="299"/>
        <v>0.37500000000000006</v>
      </c>
      <c r="K1281" s="61" t="s">
        <v>113</v>
      </c>
      <c r="L1281" s="135">
        <f t="shared" si="300"/>
        <v>9.0000000000000018</v>
      </c>
      <c r="O1281" s="81" t="s">
        <v>357</v>
      </c>
      <c r="P1281" s="88">
        <v>5</v>
      </c>
      <c r="Z1281" s="100"/>
    </row>
    <row r="1282" spans="1:26" x14ac:dyDescent="0.25">
      <c r="A1282" s="99">
        <v>45627</v>
      </c>
      <c r="B1282" s="74">
        <v>45634</v>
      </c>
      <c r="C1282" s="61" t="s">
        <v>31</v>
      </c>
      <c r="D1282" s="60" t="s">
        <v>830</v>
      </c>
      <c r="E1282" s="62" t="s">
        <v>1399</v>
      </c>
      <c r="F1282" s="73" t="s">
        <v>1400</v>
      </c>
      <c r="G1282" s="59" t="s">
        <v>142</v>
      </c>
      <c r="H1282" s="83">
        <v>0.54166666666666663</v>
      </c>
      <c r="I1282" s="83">
        <v>0.58333333333333337</v>
      </c>
      <c r="J1282" s="63">
        <f t="shared" si="299"/>
        <v>4.1666666666666741E-2</v>
      </c>
      <c r="K1282" s="61" t="s">
        <v>113</v>
      </c>
      <c r="L1282" s="135">
        <f t="shared" si="300"/>
        <v>1.0000000000000018</v>
      </c>
      <c r="O1282" s="81" t="s">
        <v>576</v>
      </c>
      <c r="P1282" s="88">
        <v>5</v>
      </c>
      <c r="Z1282" s="100"/>
    </row>
    <row r="1283" spans="1:26" x14ac:dyDescent="0.25">
      <c r="A1283" s="99">
        <v>45627</v>
      </c>
      <c r="B1283" s="74">
        <v>45634</v>
      </c>
      <c r="C1283" s="61" t="s">
        <v>31</v>
      </c>
      <c r="D1283" s="60" t="s">
        <v>1391</v>
      </c>
      <c r="E1283" s="62" t="s">
        <v>1402</v>
      </c>
      <c r="F1283" s="73" t="s">
        <v>1290</v>
      </c>
      <c r="G1283" s="59" t="s">
        <v>142</v>
      </c>
      <c r="H1283" s="83">
        <v>0.58333333333333304</v>
      </c>
      <c r="I1283" s="83">
        <v>0.625</v>
      </c>
      <c r="J1283" s="63">
        <f t="shared" si="299"/>
        <v>4.1666666666666963E-2</v>
      </c>
      <c r="K1283" s="61" t="s">
        <v>113</v>
      </c>
      <c r="L1283" s="135">
        <f t="shared" si="300"/>
        <v>1.0000000000000071</v>
      </c>
      <c r="O1283" s="81" t="s">
        <v>576</v>
      </c>
      <c r="P1283" s="88">
        <v>5</v>
      </c>
      <c r="Z1283" s="100"/>
    </row>
    <row r="1284" spans="1:26" x14ac:dyDescent="0.25">
      <c r="A1284" s="99">
        <v>45627</v>
      </c>
      <c r="B1284" s="74">
        <v>45634</v>
      </c>
      <c r="C1284" s="61" t="s">
        <v>31</v>
      </c>
      <c r="D1284" s="60" t="s">
        <v>830</v>
      </c>
      <c r="E1284" s="62" t="s">
        <v>1100</v>
      </c>
      <c r="F1284" s="73" t="s">
        <v>1400</v>
      </c>
      <c r="G1284" s="59" t="s">
        <v>142</v>
      </c>
      <c r="H1284" s="83">
        <v>0.60416666666666663</v>
      </c>
      <c r="I1284" s="83">
        <v>0.66666666666666663</v>
      </c>
      <c r="J1284" s="63">
        <f t="shared" si="299"/>
        <v>6.25E-2</v>
      </c>
      <c r="K1284" s="61" t="s">
        <v>113</v>
      </c>
      <c r="L1284" s="135">
        <f t="shared" si="300"/>
        <v>1.5</v>
      </c>
      <c r="O1284" s="81" t="s">
        <v>576</v>
      </c>
      <c r="P1284" s="88">
        <v>5</v>
      </c>
      <c r="Z1284" s="100"/>
    </row>
    <row r="1285" spans="1:26" x14ac:dyDescent="0.25">
      <c r="A1285" s="99">
        <v>45627</v>
      </c>
      <c r="B1285" s="74">
        <v>45634</v>
      </c>
      <c r="C1285" s="61" t="s">
        <v>31</v>
      </c>
      <c r="D1285" s="60" t="s">
        <v>126</v>
      </c>
      <c r="E1285" s="62" t="s">
        <v>880</v>
      </c>
      <c r="F1285" s="73" t="s">
        <v>1394</v>
      </c>
      <c r="G1285" s="59" t="s">
        <v>142</v>
      </c>
      <c r="H1285" s="83">
        <v>0.64583333333333304</v>
      </c>
      <c r="I1285" s="83">
        <v>0.6875</v>
      </c>
      <c r="J1285" s="63">
        <f t="shared" si="299"/>
        <v>4.1666666666666963E-2</v>
      </c>
      <c r="K1285" s="61" t="s">
        <v>113</v>
      </c>
      <c r="L1285" s="135">
        <f t="shared" si="300"/>
        <v>1.0000000000000071</v>
      </c>
      <c r="O1285" s="81" t="s">
        <v>576</v>
      </c>
      <c r="P1285" s="88">
        <v>5</v>
      </c>
      <c r="Z1285" s="100"/>
    </row>
    <row r="1286" spans="1:26" x14ac:dyDescent="0.25">
      <c r="A1286" s="99">
        <v>45627</v>
      </c>
      <c r="B1286" s="74">
        <v>45634</v>
      </c>
      <c r="C1286" s="61" t="s">
        <v>31</v>
      </c>
      <c r="D1286" s="60" t="s">
        <v>481</v>
      </c>
      <c r="E1286" s="62" t="s">
        <v>1382</v>
      </c>
      <c r="F1286" s="73" t="s">
        <v>1206</v>
      </c>
      <c r="G1286" s="59" t="s">
        <v>142</v>
      </c>
      <c r="H1286" s="83">
        <v>0.41666666666666669</v>
      </c>
      <c r="I1286" s="83">
        <v>0.83333333333333337</v>
      </c>
      <c r="J1286" s="63">
        <f t="shared" si="299"/>
        <v>0.41666666666666669</v>
      </c>
      <c r="K1286" s="61" t="s">
        <v>300</v>
      </c>
      <c r="L1286" s="135">
        <f t="shared" si="300"/>
        <v>10</v>
      </c>
      <c r="O1286" s="81" t="s">
        <v>362</v>
      </c>
      <c r="P1286" s="88">
        <v>5</v>
      </c>
      <c r="Z1286" s="100"/>
    </row>
    <row r="1287" spans="1:26" x14ac:dyDescent="0.25">
      <c r="A1287" s="99">
        <v>45627</v>
      </c>
      <c r="B1287" s="74">
        <v>45635</v>
      </c>
      <c r="C1287" s="61" t="s">
        <v>45</v>
      </c>
      <c r="D1287" s="60" t="s">
        <v>481</v>
      </c>
      <c r="E1287" s="62" t="s">
        <v>1382</v>
      </c>
      <c r="F1287" s="73" t="s">
        <v>1206</v>
      </c>
      <c r="G1287" s="59" t="s">
        <v>142</v>
      </c>
      <c r="H1287" s="83">
        <v>0.41666666666666669</v>
      </c>
      <c r="I1287" s="83">
        <v>0.75</v>
      </c>
      <c r="J1287" s="63">
        <f t="shared" si="299"/>
        <v>0.33333333333333331</v>
      </c>
      <c r="K1287" s="61" t="s">
        <v>300</v>
      </c>
      <c r="L1287" s="135">
        <f t="shared" si="300"/>
        <v>8</v>
      </c>
      <c r="O1287" s="81" t="s">
        <v>362</v>
      </c>
      <c r="P1287" s="88">
        <v>5</v>
      </c>
      <c r="Z1287" s="100"/>
    </row>
    <row r="1288" spans="1:26" x14ac:dyDescent="0.25">
      <c r="A1288" s="99">
        <v>45627</v>
      </c>
      <c r="B1288" s="74">
        <v>45635</v>
      </c>
      <c r="C1288" s="61" t="s">
        <v>45</v>
      </c>
      <c r="D1288" s="60" t="s">
        <v>481</v>
      </c>
      <c r="E1288" s="62" t="s">
        <v>299</v>
      </c>
      <c r="F1288" s="73" t="s">
        <v>1364</v>
      </c>
      <c r="G1288" s="59" t="s">
        <v>142</v>
      </c>
      <c r="H1288" s="83">
        <v>0.33333333333333331</v>
      </c>
      <c r="I1288" s="83">
        <v>0.70833333333333337</v>
      </c>
      <c r="J1288" s="63">
        <f t="shared" si="299"/>
        <v>0.37500000000000006</v>
      </c>
      <c r="K1288" s="61" t="s">
        <v>113</v>
      </c>
      <c r="L1288" s="135">
        <f t="shared" si="300"/>
        <v>9.0000000000000018</v>
      </c>
      <c r="O1288" s="81" t="s">
        <v>360</v>
      </c>
      <c r="P1288" s="88">
        <v>4</v>
      </c>
      <c r="Z1288" s="100"/>
    </row>
    <row r="1289" spans="1:26" x14ac:dyDescent="0.25">
      <c r="A1289" s="99">
        <v>45627</v>
      </c>
      <c r="B1289" s="74">
        <v>45635</v>
      </c>
      <c r="C1289" s="61" t="s">
        <v>45</v>
      </c>
      <c r="D1289" s="60" t="s">
        <v>740</v>
      </c>
      <c r="E1289" s="62" t="s">
        <v>961</v>
      </c>
      <c r="F1289" s="73" t="s">
        <v>1381</v>
      </c>
      <c r="G1289" s="59" t="s">
        <v>142</v>
      </c>
      <c r="H1289" s="83">
        <v>0.41666666666666669</v>
      </c>
      <c r="I1289" s="83">
        <v>0.83333333333333337</v>
      </c>
      <c r="J1289" s="63">
        <f t="shared" si="299"/>
        <v>0.41666666666666669</v>
      </c>
      <c r="K1289" s="61" t="s">
        <v>110</v>
      </c>
      <c r="L1289" s="135">
        <f t="shared" si="300"/>
        <v>10</v>
      </c>
      <c r="O1289" s="81" t="s">
        <v>363</v>
      </c>
      <c r="P1289" s="88">
        <v>5</v>
      </c>
      <c r="Z1289" s="100"/>
    </row>
    <row r="1290" spans="1:26" x14ac:dyDescent="0.25">
      <c r="A1290" s="99">
        <v>45627</v>
      </c>
      <c r="B1290" s="74">
        <v>45636</v>
      </c>
      <c r="C1290" s="61" t="s">
        <v>106</v>
      </c>
      <c r="D1290" s="60" t="s">
        <v>481</v>
      </c>
      <c r="E1290" s="62" t="s">
        <v>1382</v>
      </c>
      <c r="F1290" s="73" t="s">
        <v>1206</v>
      </c>
      <c r="G1290" s="59" t="s">
        <v>142</v>
      </c>
      <c r="H1290" s="83">
        <v>0.41666666666666669</v>
      </c>
      <c r="I1290" s="83">
        <v>0.75</v>
      </c>
      <c r="J1290" s="63">
        <f t="shared" si="299"/>
        <v>0.33333333333333331</v>
      </c>
      <c r="K1290" s="61" t="s">
        <v>300</v>
      </c>
      <c r="L1290" s="135">
        <f t="shared" si="300"/>
        <v>8</v>
      </c>
      <c r="O1290" s="91" t="s">
        <v>362</v>
      </c>
      <c r="P1290" s="88">
        <v>5</v>
      </c>
      <c r="Z1290" s="100"/>
    </row>
    <row r="1291" spans="1:26" x14ac:dyDescent="0.25">
      <c r="A1291" s="99">
        <v>45627</v>
      </c>
      <c r="B1291" s="74">
        <v>45636</v>
      </c>
      <c r="C1291" s="61" t="s">
        <v>106</v>
      </c>
      <c r="D1291" s="60" t="s">
        <v>126</v>
      </c>
      <c r="E1291" s="62" t="s">
        <v>1285</v>
      </c>
      <c r="F1291" s="73" t="s">
        <v>176</v>
      </c>
      <c r="G1291" s="59" t="s">
        <v>142</v>
      </c>
      <c r="H1291" s="83">
        <v>0.6875</v>
      </c>
      <c r="I1291" s="83">
        <v>0.72916666666666663</v>
      </c>
      <c r="J1291" s="63">
        <f t="shared" si="299"/>
        <v>4.166666666666663E-2</v>
      </c>
      <c r="K1291" s="61" t="s">
        <v>365</v>
      </c>
      <c r="L1291" s="135">
        <f t="shared" si="300"/>
        <v>0.99999999999999911</v>
      </c>
      <c r="O1291" s="91" t="s">
        <v>359</v>
      </c>
      <c r="P1291" s="88">
        <v>5</v>
      </c>
      <c r="Z1291" s="100"/>
    </row>
    <row r="1292" spans="1:26" x14ac:dyDescent="0.25">
      <c r="A1292" s="99">
        <v>45627</v>
      </c>
      <c r="B1292" s="74">
        <v>45637</v>
      </c>
      <c r="C1292" s="61" t="s">
        <v>398</v>
      </c>
      <c r="D1292" s="60" t="s">
        <v>672</v>
      </c>
      <c r="E1292" s="62" t="s">
        <v>1403</v>
      </c>
      <c r="F1292" s="73" t="s">
        <v>1036</v>
      </c>
      <c r="G1292" s="59" t="s">
        <v>142</v>
      </c>
      <c r="H1292" s="83">
        <v>0.60416666666666663</v>
      </c>
      <c r="I1292" s="83">
        <v>0.66666666666666663</v>
      </c>
      <c r="J1292" s="63">
        <f t="shared" si="299"/>
        <v>6.25E-2</v>
      </c>
      <c r="K1292" s="61" t="s">
        <v>365</v>
      </c>
      <c r="L1292" s="135">
        <f t="shared" si="300"/>
        <v>1.5</v>
      </c>
      <c r="O1292" s="91" t="s">
        <v>576</v>
      </c>
      <c r="P1292" s="88">
        <v>5</v>
      </c>
      <c r="Z1292" s="100"/>
    </row>
    <row r="1293" spans="1:26" x14ac:dyDescent="0.25">
      <c r="A1293" s="99">
        <v>45627</v>
      </c>
      <c r="B1293" s="74">
        <v>45637</v>
      </c>
      <c r="C1293" s="61" t="s">
        <v>398</v>
      </c>
      <c r="D1293" s="60" t="s">
        <v>98</v>
      </c>
      <c r="E1293" s="62" t="s">
        <v>1369</v>
      </c>
      <c r="F1293" s="73" t="s">
        <v>1404</v>
      </c>
      <c r="G1293" s="59" t="s">
        <v>142</v>
      </c>
      <c r="H1293" s="83">
        <v>0.4375</v>
      </c>
      <c r="I1293" s="83">
        <v>0.52083333333333337</v>
      </c>
      <c r="J1293" s="63">
        <f t="shared" si="299"/>
        <v>8.333333333333337E-2</v>
      </c>
      <c r="K1293" s="61" t="s">
        <v>365</v>
      </c>
      <c r="L1293" s="135">
        <f t="shared" si="300"/>
        <v>2.0000000000000009</v>
      </c>
      <c r="O1293" s="91" t="s">
        <v>576</v>
      </c>
      <c r="P1293" s="88">
        <v>5</v>
      </c>
      <c r="Z1293" s="100"/>
    </row>
    <row r="1294" spans="1:26" x14ac:dyDescent="0.25">
      <c r="A1294" s="99">
        <v>45627</v>
      </c>
      <c r="B1294" s="74">
        <v>45637</v>
      </c>
      <c r="C1294" s="61" t="s">
        <v>398</v>
      </c>
      <c r="D1294" s="60" t="s">
        <v>481</v>
      </c>
      <c r="E1294" s="62" t="s">
        <v>1304</v>
      </c>
      <c r="F1294" s="73" t="s">
        <v>1364</v>
      </c>
      <c r="G1294" s="59" t="s">
        <v>142</v>
      </c>
      <c r="H1294" s="83">
        <v>0.33333333333333331</v>
      </c>
      <c r="I1294" s="83">
        <v>0.70833333333333337</v>
      </c>
      <c r="J1294" s="63">
        <f t="shared" si="299"/>
        <v>0.37500000000000006</v>
      </c>
      <c r="K1294" s="88" t="s">
        <v>113</v>
      </c>
      <c r="L1294" s="135">
        <f t="shared" si="300"/>
        <v>9.0000000000000018</v>
      </c>
      <c r="O1294" s="91" t="s">
        <v>539</v>
      </c>
      <c r="P1294" s="88">
        <v>5</v>
      </c>
      <c r="Z1294" s="100"/>
    </row>
    <row r="1295" spans="1:26" x14ac:dyDescent="0.25">
      <c r="A1295" s="99">
        <v>45627</v>
      </c>
      <c r="B1295" s="74">
        <v>45638</v>
      </c>
      <c r="C1295" s="61" t="s">
        <v>124</v>
      </c>
      <c r="D1295" s="60" t="s">
        <v>481</v>
      </c>
      <c r="E1295" s="62" t="s">
        <v>1304</v>
      </c>
      <c r="F1295" s="73" t="s">
        <v>1364</v>
      </c>
      <c r="G1295" s="59" t="s">
        <v>142</v>
      </c>
      <c r="H1295" s="83">
        <v>0.33333333333333331</v>
      </c>
      <c r="I1295" s="83">
        <v>0.70833333333333337</v>
      </c>
      <c r="J1295" s="63">
        <f t="shared" si="299"/>
        <v>0.37500000000000006</v>
      </c>
      <c r="K1295" s="88" t="s">
        <v>113</v>
      </c>
      <c r="L1295" s="135">
        <f t="shared" si="300"/>
        <v>9.0000000000000018</v>
      </c>
      <c r="O1295" s="91" t="s">
        <v>539</v>
      </c>
      <c r="P1295" s="88">
        <v>5</v>
      </c>
      <c r="Z1295" s="100"/>
    </row>
    <row r="1296" spans="1:26" x14ac:dyDescent="0.25">
      <c r="A1296" s="99">
        <v>45627</v>
      </c>
      <c r="B1296" s="74">
        <v>45640</v>
      </c>
      <c r="C1296" s="61" t="s">
        <v>34</v>
      </c>
      <c r="D1296" s="60" t="s">
        <v>325</v>
      </c>
      <c r="E1296" s="62" t="s">
        <v>370</v>
      </c>
      <c r="F1296" s="60" t="s">
        <v>704</v>
      </c>
      <c r="G1296" s="59" t="s">
        <v>142</v>
      </c>
      <c r="H1296" s="83">
        <v>0.41666666666666669</v>
      </c>
      <c r="I1296" s="83">
        <v>0.75</v>
      </c>
      <c r="J1296" s="63">
        <f t="shared" si="299"/>
        <v>0.33333333333333331</v>
      </c>
      <c r="K1296" s="88" t="s">
        <v>113</v>
      </c>
      <c r="L1296" s="135">
        <f t="shared" si="300"/>
        <v>8</v>
      </c>
      <c r="O1296" s="91" t="s">
        <v>357</v>
      </c>
      <c r="P1296" s="88">
        <v>5</v>
      </c>
      <c r="Z1296" s="100"/>
    </row>
    <row r="1297" spans="1:26" x14ac:dyDescent="0.25">
      <c r="A1297" s="99">
        <v>45627</v>
      </c>
      <c r="B1297" s="74">
        <v>45640</v>
      </c>
      <c r="C1297" s="61" t="s">
        <v>34</v>
      </c>
      <c r="D1297" s="60" t="s">
        <v>740</v>
      </c>
      <c r="E1297" s="62" t="s">
        <v>961</v>
      </c>
      <c r="F1297" s="73" t="s">
        <v>1381</v>
      </c>
      <c r="G1297" s="59" t="s">
        <v>142</v>
      </c>
      <c r="H1297" s="83">
        <v>0.41666666666666669</v>
      </c>
      <c r="I1297" s="83">
        <v>0.70833333333333337</v>
      </c>
      <c r="J1297" s="63">
        <f t="shared" si="299"/>
        <v>0.29166666666666669</v>
      </c>
      <c r="K1297" s="88" t="s">
        <v>110</v>
      </c>
      <c r="L1297" s="135">
        <f t="shared" si="300"/>
        <v>7</v>
      </c>
      <c r="O1297" s="91" t="s">
        <v>359</v>
      </c>
      <c r="P1297" s="88">
        <v>5</v>
      </c>
      <c r="Z1297" s="100"/>
    </row>
    <row r="1298" spans="1:26" x14ac:dyDescent="0.25">
      <c r="A1298" s="99">
        <v>45627</v>
      </c>
      <c r="B1298" s="74">
        <v>45640</v>
      </c>
      <c r="C1298" s="61" t="s">
        <v>34</v>
      </c>
      <c r="D1298" s="60" t="s">
        <v>308</v>
      </c>
      <c r="E1298" s="62" t="s">
        <v>1372</v>
      </c>
      <c r="F1298" s="73" t="s">
        <v>1395</v>
      </c>
      <c r="G1298" s="59" t="s">
        <v>142</v>
      </c>
      <c r="H1298" s="83">
        <v>0.54166666666666663</v>
      </c>
      <c r="I1298" s="83">
        <v>0.72916666666666663</v>
      </c>
      <c r="J1298" s="63">
        <f t="shared" si="299"/>
        <v>0.1875</v>
      </c>
      <c r="K1298" s="88" t="s">
        <v>295</v>
      </c>
      <c r="L1298" s="135">
        <f t="shared" si="300"/>
        <v>4.5</v>
      </c>
      <c r="O1298" s="91" t="s">
        <v>314</v>
      </c>
      <c r="P1298" s="88">
        <v>5</v>
      </c>
      <c r="Z1298" s="100"/>
    </row>
    <row r="1299" spans="1:26" x14ac:dyDescent="0.25">
      <c r="A1299" s="99">
        <v>45627</v>
      </c>
      <c r="B1299" s="74">
        <v>45640</v>
      </c>
      <c r="C1299" s="61" t="s">
        <v>34</v>
      </c>
      <c r="D1299" s="60" t="s">
        <v>481</v>
      </c>
      <c r="E1299" s="62" t="s">
        <v>1405</v>
      </c>
      <c r="F1299" s="73" t="s">
        <v>1406</v>
      </c>
      <c r="G1299" s="59" t="s">
        <v>142</v>
      </c>
      <c r="H1299" s="83">
        <v>0.375</v>
      </c>
      <c r="I1299" s="83">
        <v>0.79166666666666663</v>
      </c>
      <c r="J1299" s="63">
        <f t="shared" si="299"/>
        <v>0.41666666666666663</v>
      </c>
      <c r="K1299" s="88" t="s">
        <v>300</v>
      </c>
      <c r="L1299" s="135">
        <f t="shared" si="300"/>
        <v>10</v>
      </c>
      <c r="O1299" s="91" t="s">
        <v>1214</v>
      </c>
      <c r="P1299" s="88">
        <v>5</v>
      </c>
      <c r="Z1299" s="100"/>
    </row>
    <row r="1300" spans="1:26" x14ac:dyDescent="0.25">
      <c r="A1300" s="99">
        <v>45627</v>
      </c>
      <c r="B1300" s="74">
        <v>45640</v>
      </c>
      <c r="C1300" s="61" t="s">
        <v>34</v>
      </c>
      <c r="D1300" s="60" t="s">
        <v>481</v>
      </c>
      <c r="E1300" s="62" t="s">
        <v>1405</v>
      </c>
      <c r="F1300" s="73" t="s">
        <v>1407</v>
      </c>
      <c r="G1300" s="59" t="s">
        <v>142</v>
      </c>
      <c r="H1300" s="83">
        <v>0.39583333333333331</v>
      </c>
      <c r="I1300" s="83">
        <v>0.91666666666666663</v>
      </c>
      <c r="J1300" s="63">
        <f t="shared" si="299"/>
        <v>0.52083333333333326</v>
      </c>
      <c r="K1300" s="88" t="s">
        <v>300</v>
      </c>
      <c r="L1300" s="135">
        <f t="shared" si="300"/>
        <v>12.499999999999998</v>
      </c>
      <c r="O1300" s="91" t="s">
        <v>1214</v>
      </c>
      <c r="P1300" s="88">
        <v>5</v>
      </c>
      <c r="Z1300" s="100"/>
    </row>
    <row r="1301" spans="1:26" x14ac:dyDescent="0.25">
      <c r="A1301" s="99">
        <v>45627</v>
      </c>
      <c r="B1301" s="74">
        <v>45640</v>
      </c>
      <c r="C1301" s="61" t="s">
        <v>34</v>
      </c>
      <c r="D1301" s="60" t="s">
        <v>1396</v>
      </c>
      <c r="E1301" s="62" t="s">
        <v>1408</v>
      </c>
      <c r="F1301" s="73" t="s">
        <v>1409</v>
      </c>
      <c r="G1301" s="59" t="s">
        <v>142</v>
      </c>
      <c r="H1301" s="83">
        <v>0.47916666666666669</v>
      </c>
      <c r="I1301" s="83">
        <v>0.5</v>
      </c>
      <c r="J1301" s="63">
        <f t="shared" si="299"/>
        <v>2.0833333333333315E-2</v>
      </c>
      <c r="K1301" s="88" t="s">
        <v>300</v>
      </c>
      <c r="L1301" s="135">
        <f t="shared" si="300"/>
        <v>0.49999999999999956</v>
      </c>
      <c r="O1301" s="91" t="s">
        <v>1214</v>
      </c>
      <c r="P1301" s="88">
        <v>5</v>
      </c>
      <c r="Z1301" s="100"/>
    </row>
    <row r="1302" spans="1:26" x14ac:dyDescent="0.25">
      <c r="A1302" s="99">
        <v>45627</v>
      </c>
      <c r="B1302" s="74">
        <v>45641</v>
      </c>
      <c r="C1302" s="61" t="s">
        <v>31</v>
      </c>
      <c r="D1302" s="60" t="s">
        <v>672</v>
      </c>
      <c r="E1302" s="62" t="s">
        <v>1403</v>
      </c>
      <c r="F1302" s="73" t="s">
        <v>1378</v>
      </c>
      <c r="G1302" s="59" t="s">
        <v>142</v>
      </c>
      <c r="H1302" s="83">
        <v>0.58333333333333337</v>
      </c>
      <c r="I1302" s="83">
        <v>0.70833333333333337</v>
      </c>
      <c r="J1302" s="63">
        <f t="shared" si="299"/>
        <v>0.125</v>
      </c>
      <c r="K1302" s="88" t="s">
        <v>365</v>
      </c>
      <c r="L1302" s="135">
        <f t="shared" si="300"/>
        <v>3</v>
      </c>
      <c r="O1302" s="91" t="s">
        <v>820</v>
      </c>
      <c r="P1302" s="88">
        <v>5</v>
      </c>
      <c r="Z1302" s="100"/>
    </row>
    <row r="1303" spans="1:26" x14ac:dyDescent="0.25">
      <c r="A1303" s="99">
        <v>45627</v>
      </c>
      <c r="B1303" s="74">
        <v>45641</v>
      </c>
      <c r="C1303" s="61" t="s">
        <v>31</v>
      </c>
      <c r="D1303" s="60" t="s">
        <v>126</v>
      </c>
      <c r="E1303" s="60" t="s">
        <v>709</v>
      </c>
      <c r="F1303" s="73" t="s">
        <v>1410</v>
      </c>
      <c r="G1303" s="59" t="s">
        <v>142</v>
      </c>
      <c r="H1303" s="83">
        <v>0.54166666666666663</v>
      </c>
      <c r="I1303" s="83">
        <v>0.66666666666666663</v>
      </c>
      <c r="J1303" s="63">
        <f t="shared" si="299"/>
        <v>0.125</v>
      </c>
      <c r="K1303" s="88" t="s">
        <v>365</v>
      </c>
      <c r="L1303" s="135">
        <f t="shared" si="300"/>
        <v>3</v>
      </c>
      <c r="O1303" s="91" t="s">
        <v>359</v>
      </c>
      <c r="P1303" s="88">
        <v>5</v>
      </c>
      <c r="Z1303" s="100"/>
    </row>
    <row r="1304" spans="1:26" x14ac:dyDescent="0.25">
      <c r="A1304" s="99">
        <v>45627</v>
      </c>
      <c r="B1304" s="74">
        <v>45641</v>
      </c>
      <c r="C1304" s="61" t="s">
        <v>31</v>
      </c>
      <c r="D1304" s="60" t="s">
        <v>740</v>
      </c>
      <c r="E1304" s="60" t="s">
        <v>961</v>
      </c>
      <c r="F1304" s="73" t="s">
        <v>1381</v>
      </c>
      <c r="G1304" s="59" t="s">
        <v>142</v>
      </c>
      <c r="H1304" s="83">
        <v>0.41666666666666669</v>
      </c>
      <c r="I1304" s="83">
        <v>0.66666666666666663</v>
      </c>
      <c r="J1304" s="63">
        <f t="shared" si="299"/>
        <v>0.24999999999999994</v>
      </c>
      <c r="K1304" s="88" t="s">
        <v>110</v>
      </c>
      <c r="L1304" s="135">
        <f t="shared" si="300"/>
        <v>5.9999999999999982</v>
      </c>
      <c r="O1304" s="91" t="s">
        <v>363</v>
      </c>
      <c r="P1304" s="88">
        <v>5</v>
      </c>
      <c r="Z1304" s="100"/>
    </row>
    <row r="1305" spans="1:26" x14ac:dyDescent="0.25">
      <c r="A1305" s="99">
        <v>45627</v>
      </c>
      <c r="B1305" s="74">
        <v>45641</v>
      </c>
      <c r="C1305" s="61" t="s">
        <v>31</v>
      </c>
      <c r="D1305" s="60" t="s">
        <v>98</v>
      </c>
      <c r="E1305" s="60" t="s">
        <v>1334</v>
      </c>
      <c r="F1305" s="73" t="s">
        <v>1323</v>
      </c>
      <c r="G1305" s="59" t="s">
        <v>142</v>
      </c>
      <c r="H1305" s="83">
        <v>0.54166666666666663</v>
      </c>
      <c r="I1305" s="83">
        <v>0.70833333333333304</v>
      </c>
      <c r="J1305" s="63">
        <f t="shared" si="299"/>
        <v>0.16666666666666641</v>
      </c>
      <c r="K1305" s="88" t="s">
        <v>113</v>
      </c>
      <c r="L1305" s="135">
        <f t="shared" si="300"/>
        <v>3.9999999999999938</v>
      </c>
      <c r="O1305" s="91" t="s">
        <v>539</v>
      </c>
      <c r="P1305" s="88">
        <v>5</v>
      </c>
      <c r="Z1305" s="100"/>
    </row>
    <row r="1306" spans="1:26" x14ac:dyDescent="0.25">
      <c r="A1306" s="99">
        <v>45627</v>
      </c>
      <c r="B1306" s="74">
        <v>45641</v>
      </c>
      <c r="C1306" s="61" t="s">
        <v>31</v>
      </c>
      <c r="D1306" s="60" t="s">
        <v>325</v>
      </c>
      <c r="E1306" s="60" t="s">
        <v>1411</v>
      </c>
      <c r="F1306" s="73" t="s">
        <v>1412</v>
      </c>
      <c r="G1306" s="59" t="s">
        <v>142</v>
      </c>
      <c r="H1306" s="83">
        <v>0.41666666666666669</v>
      </c>
      <c r="I1306" s="83">
        <v>0.70833333333333337</v>
      </c>
      <c r="J1306" s="63">
        <f t="shared" si="299"/>
        <v>0.29166666666666669</v>
      </c>
      <c r="K1306" s="88" t="s">
        <v>113</v>
      </c>
      <c r="L1306" s="135">
        <f t="shared" si="300"/>
        <v>7</v>
      </c>
      <c r="O1306" s="91" t="s">
        <v>539</v>
      </c>
      <c r="P1306" s="88">
        <v>5</v>
      </c>
      <c r="Z1306" s="100"/>
    </row>
    <row r="1307" spans="1:26" x14ac:dyDescent="0.25">
      <c r="A1307" s="99">
        <v>45627</v>
      </c>
      <c r="B1307" s="74">
        <v>45641</v>
      </c>
      <c r="C1307" s="61" t="s">
        <v>31</v>
      </c>
      <c r="D1307" s="60" t="s">
        <v>481</v>
      </c>
      <c r="E1307" s="60" t="s">
        <v>299</v>
      </c>
      <c r="F1307" s="73" t="s">
        <v>1364</v>
      </c>
      <c r="G1307" s="59" t="s">
        <v>142</v>
      </c>
      <c r="H1307" s="83">
        <v>0.33333333333333331</v>
      </c>
      <c r="I1307" s="83">
        <v>0.70833333333333337</v>
      </c>
      <c r="J1307" s="63">
        <f t="shared" si="299"/>
        <v>0.37500000000000006</v>
      </c>
      <c r="K1307" s="88" t="s">
        <v>113</v>
      </c>
      <c r="L1307" s="135">
        <f t="shared" si="300"/>
        <v>9.0000000000000018</v>
      </c>
      <c r="O1307" s="91" t="s">
        <v>539</v>
      </c>
      <c r="P1307" s="88">
        <v>5</v>
      </c>
      <c r="Z1307" s="100"/>
    </row>
    <row r="1308" spans="1:26" x14ac:dyDescent="0.25">
      <c r="A1308" s="99">
        <v>45627</v>
      </c>
      <c r="B1308" s="74">
        <v>45641</v>
      </c>
      <c r="C1308" s="61" t="s">
        <v>31</v>
      </c>
      <c r="D1308" s="60" t="s">
        <v>481</v>
      </c>
      <c r="E1308" s="60" t="s">
        <v>1035</v>
      </c>
      <c r="F1308" s="73" t="s">
        <v>1324</v>
      </c>
      <c r="G1308" s="59" t="s">
        <v>142</v>
      </c>
      <c r="H1308" s="83">
        <v>0.45833333333333331</v>
      </c>
      <c r="I1308" s="83">
        <v>0.72916666666666663</v>
      </c>
      <c r="J1308" s="63">
        <f t="shared" si="299"/>
        <v>0.27083333333333331</v>
      </c>
      <c r="K1308" s="88" t="s">
        <v>300</v>
      </c>
      <c r="L1308" s="135">
        <f t="shared" si="300"/>
        <v>6.5</v>
      </c>
      <c r="O1308" s="91" t="s">
        <v>1214</v>
      </c>
      <c r="P1308" s="88">
        <v>5</v>
      </c>
      <c r="Z1308" s="100"/>
    </row>
    <row r="1309" spans="1:26" x14ac:dyDescent="0.25">
      <c r="A1309" s="99">
        <v>45627</v>
      </c>
      <c r="B1309" s="74">
        <v>45641</v>
      </c>
      <c r="C1309" s="61" t="s">
        <v>31</v>
      </c>
      <c r="D1309" s="60" t="s">
        <v>481</v>
      </c>
      <c r="E1309" s="60" t="s">
        <v>1035</v>
      </c>
      <c r="F1309" s="73" t="s">
        <v>1323</v>
      </c>
      <c r="G1309" s="59" t="s">
        <v>142</v>
      </c>
      <c r="H1309" s="83">
        <v>0.45833333333333331</v>
      </c>
      <c r="I1309" s="83">
        <v>0.72916666666666663</v>
      </c>
      <c r="J1309" s="63">
        <f t="shared" si="299"/>
        <v>0.27083333333333331</v>
      </c>
      <c r="K1309" s="88" t="s">
        <v>300</v>
      </c>
      <c r="L1309" s="135">
        <f t="shared" si="300"/>
        <v>6.5</v>
      </c>
      <c r="O1309" s="91" t="s">
        <v>1214</v>
      </c>
      <c r="P1309" s="88">
        <v>5</v>
      </c>
      <c r="Z1309" s="100"/>
    </row>
    <row r="1310" spans="1:26" x14ac:dyDescent="0.25">
      <c r="A1310" s="99">
        <v>45627</v>
      </c>
      <c r="B1310" s="74">
        <v>45642</v>
      </c>
      <c r="C1310" s="61" t="s">
        <v>45</v>
      </c>
      <c r="D1310" s="60" t="s">
        <v>740</v>
      </c>
      <c r="E1310" s="60" t="s">
        <v>961</v>
      </c>
      <c r="F1310" s="73" t="s">
        <v>1381</v>
      </c>
      <c r="G1310" s="59" t="s">
        <v>142</v>
      </c>
      <c r="H1310" s="83">
        <v>0.41666666666666669</v>
      </c>
      <c r="I1310" s="83">
        <v>0.70833333333333337</v>
      </c>
      <c r="J1310" s="63">
        <f t="shared" si="299"/>
        <v>0.29166666666666669</v>
      </c>
      <c r="K1310" s="88" t="s">
        <v>110</v>
      </c>
      <c r="L1310" s="135">
        <f t="shared" si="300"/>
        <v>7</v>
      </c>
      <c r="O1310" s="91" t="s">
        <v>363</v>
      </c>
      <c r="P1310" s="88">
        <v>5</v>
      </c>
      <c r="Z1310" s="100"/>
    </row>
    <row r="1311" spans="1:26" x14ac:dyDescent="0.25">
      <c r="A1311" s="99">
        <v>45627</v>
      </c>
      <c r="B1311" s="74">
        <v>45642</v>
      </c>
      <c r="C1311" s="61" t="s">
        <v>45</v>
      </c>
      <c r="D1311" s="60" t="s">
        <v>481</v>
      </c>
      <c r="E1311" s="62" t="s">
        <v>1071</v>
      </c>
      <c r="F1311" s="73" t="s">
        <v>1385</v>
      </c>
      <c r="G1311" s="59" t="s">
        <v>142</v>
      </c>
      <c r="H1311" s="83">
        <v>0.41666666666666669</v>
      </c>
      <c r="I1311" s="83">
        <v>0.54166666666666663</v>
      </c>
      <c r="J1311" s="63">
        <f t="shared" si="299"/>
        <v>0.12499999999999994</v>
      </c>
      <c r="K1311" s="61" t="s">
        <v>300</v>
      </c>
      <c r="L1311" s="135">
        <f t="shared" si="300"/>
        <v>2.9999999999999987</v>
      </c>
      <c r="O1311" s="81" t="s">
        <v>362</v>
      </c>
      <c r="P1311" s="88">
        <v>5</v>
      </c>
      <c r="Z1311" s="100"/>
    </row>
    <row r="1312" spans="1:26" x14ac:dyDescent="0.25">
      <c r="A1312" s="99">
        <v>45627</v>
      </c>
      <c r="B1312" s="74">
        <v>45642</v>
      </c>
      <c r="C1312" s="61" t="s">
        <v>45</v>
      </c>
      <c r="D1312" s="60" t="s">
        <v>325</v>
      </c>
      <c r="E1312" s="60" t="s">
        <v>1411</v>
      </c>
      <c r="F1312" s="73" t="s">
        <v>1412</v>
      </c>
      <c r="G1312" s="59" t="s">
        <v>142</v>
      </c>
      <c r="H1312" s="83">
        <v>0.41666666666666669</v>
      </c>
      <c r="I1312" s="83">
        <v>0.70833333333333337</v>
      </c>
      <c r="J1312" s="63">
        <f t="shared" si="299"/>
        <v>0.29166666666666669</v>
      </c>
      <c r="K1312" s="88" t="s">
        <v>113</v>
      </c>
      <c r="L1312" s="135">
        <f t="shared" si="300"/>
        <v>7</v>
      </c>
      <c r="O1312" s="91" t="s">
        <v>539</v>
      </c>
      <c r="P1312" s="88">
        <v>5</v>
      </c>
      <c r="Z1312" s="100"/>
    </row>
    <row r="1313" spans="1:26" x14ac:dyDescent="0.25">
      <c r="A1313" s="99">
        <v>45627</v>
      </c>
      <c r="B1313" s="74">
        <v>45642</v>
      </c>
      <c r="C1313" s="61" t="s">
        <v>45</v>
      </c>
      <c r="D1313" s="60" t="s">
        <v>481</v>
      </c>
      <c r="E1313" s="62" t="s">
        <v>299</v>
      </c>
      <c r="F1313" s="73" t="s">
        <v>1364</v>
      </c>
      <c r="G1313" s="59" t="s">
        <v>142</v>
      </c>
      <c r="H1313" s="83">
        <v>0.33333333333333331</v>
      </c>
      <c r="I1313" s="83">
        <v>0.70833333333333337</v>
      </c>
      <c r="J1313" s="63">
        <f t="shared" si="299"/>
        <v>0.37500000000000006</v>
      </c>
      <c r="K1313" s="61" t="s">
        <v>113</v>
      </c>
      <c r="L1313" s="135">
        <f t="shared" si="300"/>
        <v>9.0000000000000018</v>
      </c>
      <c r="O1313" s="91" t="s">
        <v>539</v>
      </c>
      <c r="P1313" s="88">
        <v>5</v>
      </c>
      <c r="Z1313" s="100"/>
    </row>
    <row r="1314" spans="1:26" x14ac:dyDescent="0.25">
      <c r="A1314" s="99">
        <v>45627</v>
      </c>
      <c r="B1314" s="74">
        <v>45642</v>
      </c>
      <c r="C1314" s="61" t="s">
        <v>45</v>
      </c>
      <c r="D1314" s="60" t="s">
        <v>308</v>
      </c>
      <c r="E1314" s="60" t="s">
        <v>377</v>
      </c>
      <c r="F1314" s="73" t="s">
        <v>1413</v>
      </c>
      <c r="G1314" s="59" t="s">
        <v>142</v>
      </c>
      <c r="H1314" s="83">
        <v>0.66666666666666663</v>
      </c>
      <c r="I1314" s="83">
        <v>0.72916666666666663</v>
      </c>
      <c r="J1314" s="63">
        <f t="shared" si="299"/>
        <v>6.25E-2</v>
      </c>
      <c r="K1314" s="88" t="s">
        <v>295</v>
      </c>
      <c r="L1314" s="135">
        <f t="shared" si="300"/>
        <v>1.5</v>
      </c>
      <c r="O1314" s="91" t="s">
        <v>360</v>
      </c>
      <c r="P1314" s="88">
        <v>5</v>
      </c>
      <c r="Z1314" s="100"/>
    </row>
    <row r="1315" spans="1:26" x14ac:dyDescent="0.25">
      <c r="A1315" s="99">
        <v>45627</v>
      </c>
      <c r="B1315" s="74">
        <v>45642</v>
      </c>
      <c r="C1315" s="61" t="s">
        <v>45</v>
      </c>
      <c r="D1315" s="60" t="s">
        <v>98</v>
      </c>
      <c r="E1315" s="60" t="s">
        <v>1414</v>
      </c>
      <c r="F1315" s="73" t="s">
        <v>1415</v>
      </c>
      <c r="G1315" s="59" t="s">
        <v>142</v>
      </c>
      <c r="H1315" s="83">
        <v>0.47916666666666669</v>
      </c>
      <c r="I1315" s="83">
        <v>0.5</v>
      </c>
      <c r="J1315" s="63">
        <f t="shared" si="299"/>
        <v>2.0833333333333315E-2</v>
      </c>
      <c r="K1315" s="88" t="s">
        <v>365</v>
      </c>
      <c r="L1315" s="135">
        <f t="shared" si="300"/>
        <v>0.49999999999999956</v>
      </c>
      <c r="O1315" s="91" t="s">
        <v>359</v>
      </c>
      <c r="P1315" s="88">
        <v>5</v>
      </c>
      <c r="Z1315" s="100"/>
    </row>
    <row r="1316" spans="1:26" x14ac:dyDescent="0.25">
      <c r="A1316" s="99">
        <v>45627</v>
      </c>
      <c r="B1316" s="74">
        <v>45643</v>
      </c>
      <c r="C1316" s="61" t="s">
        <v>106</v>
      </c>
      <c r="D1316" s="60" t="s">
        <v>32</v>
      </c>
      <c r="E1316" s="62" t="s">
        <v>1416</v>
      </c>
      <c r="F1316" s="73" t="s">
        <v>1417</v>
      </c>
      <c r="G1316" s="59" t="s">
        <v>142</v>
      </c>
      <c r="H1316" s="83">
        <v>0.625</v>
      </c>
      <c r="I1316" s="83">
        <v>0.70833333333333337</v>
      </c>
      <c r="J1316" s="63">
        <f t="shared" si="299"/>
        <v>8.333333333333337E-2</v>
      </c>
      <c r="K1316" s="61" t="s">
        <v>365</v>
      </c>
      <c r="L1316" s="135">
        <f t="shared" si="300"/>
        <v>2.0000000000000009</v>
      </c>
      <c r="O1316" s="81" t="s">
        <v>359</v>
      </c>
      <c r="P1316" s="88">
        <v>5</v>
      </c>
      <c r="Z1316" s="100"/>
    </row>
    <row r="1317" spans="1:26" x14ac:dyDescent="0.25">
      <c r="A1317" s="99">
        <v>45627</v>
      </c>
      <c r="B1317" s="74">
        <v>45643</v>
      </c>
      <c r="C1317" s="61" t="s">
        <v>106</v>
      </c>
      <c r="D1317" s="60" t="s">
        <v>32</v>
      </c>
      <c r="E1317" s="62" t="s">
        <v>751</v>
      </c>
      <c r="F1317" s="73" t="s">
        <v>1373</v>
      </c>
      <c r="G1317" s="59" t="s">
        <v>142</v>
      </c>
      <c r="H1317" s="83">
        <v>0.625</v>
      </c>
      <c r="I1317" s="83">
        <v>0.70833333333333337</v>
      </c>
      <c r="J1317" s="63">
        <f t="shared" si="299"/>
        <v>8.333333333333337E-2</v>
      </c>
      <c r="K1317" s="61" t="s">
        <v>110</v>
      </c>
      <c r="L1317" s="135">
        <f t="shared" si="300"/>
        <v>2.0000000000000009</v>
      </c>
      <c r="O1317" s="81" t="s">
        <v>363</v>
      </c>
      <c r="P1317" s="88">
        <v>5</v>
      </c>
      <c r="Z1317" s="100"/>
    </row>
    <row r="1318" spans="1:26" x14ac:dyDescent="0.25">
      <c r="A1318" s="99">
        <v>45627</v>
      </c>
      <c r="B1318" s="74">
        <v>45643</v>
      </c>
      <c r="C1318" s="61" t="s">
        <v>106</v>
      </c>
      <c r="D1318" s="60" t="s">
        <v>98</v>
      </c>
      <c r="E1318" s="62" t="s">
        <v>1334</v>
      </c>
      <c r="F1318" s="73" t="s">
        <v>1418</v>
      </c>
      <c r="G1318" s="59" t="s">
        <v>142</v>
      </c>
      <c r="H1318" s="83">
        <v>0.45833333333333331</v>
      </c>
      <c r="I1318" s="83">
        <v>0.58333333333333337</v>
      </c>
      <c r="J1318" s="63">
        <f t="shared" si="299"/>
        <v>0.12500000000000006</v>
      </c>
      <c r="K1318" s="61" t="s">
        <v>113</v>
      </c>
      <c r="L1318" s="135">
        <f t="shared" si="300"/>
        <v>3.0000000000000013</v>
      </c>
      <c r="O1318" s="81" t="s">
        <v>539</v>
      </c>
      <c r="P1318" s="88">
        <v>5</v>
      </c>
      <c r="Z1318" s="100"/>
    </row>
    <row r="1319" spans="1:26" x14ac:dyDescent="0.25">
      <c r="A1319" s="99">
        <v>45627</v>
      </c>
      <c r="B1319" s="74">
        <v>45643</v>
      </c>
      <c r="C1319" s="61" t="s">
        <v>106</v>
      </c>
      <c r="D1319" s="60" t="s">
        <v>500</v>
      </c>
      <c r="E1319" s="62" t="s">
        <v>1419</v>
      </c>
      <c r="F1319" s="73" t="s">
        <v>1420</v>
      </c>
      <c r="G1319" s="59" t="s">
        <v>142</v>
      </c>
      <c r="H1319" s="83">
        <v>0.54166666666666663</v>
      </c>
      <c r="I1319" s="83">
        <v>0.58333333333333337</v>
      </c>
      <c r="J1319" s="63">
        <f t="shared" si="299"/>
        <v>4.1666666666666741E-2</v>
      </c>
      <c r="K1319" s="61" t="s">
        <v>300</v>
      </c>
      <c r="L1319" s="135">
        <f t="shared" si="300"/>
        <v>1.0000000000000018</v>
      </c>
      <c r="O1319" s="81" t="s">
        <v>1214</v>
      </c>
      <c r="P1319" s="88">
        <v>5</v>
      </c>
      <c r="Z1319" s="100"/>
    </row>
    <row r="1320" spans="1:26" x14ac:dyDescent="0.25">
      <c r="A1320" s="99">
        <v>45627</v>
      </c>
      <c r="B1320" s="74">
        <v>45643</v>
      </c>
      <c r="C1320" s="61" t="s">
        <v>106</v>
      </c>
      <c r="D1320" s="60" t="s">
        <v>325</v>
      </c>
      <c r="E1320" s="60" t="s">
        <v>1411</v>
      </c>
      <c r="F1320" s="73" t="s">
        <v>1412</v>
      </c>
      <c r="G1320" s="59" t="s">
        <v>142</v>
      </c>
      <c r="H1320" s="83">
        <v>0.375</v>
      </c>
      <c r="I1320" s="83">
        <v>0.70833333333333337</v>
      </c>
      <c r="J1320" s="63">
        <f t="shared" si="299"/>
        <v>0.33333333333333337</v>
      </c>
      <c r="K1320" s="88" t="s">
        <v>113</v>
      </c>
      <c r="L1320" s="135">
        <f t="shared" si="300"/>
        <v>8</v>
      </c>
      <c r="O1320" s="91" t="s">
        <v>539</v>
      </c>
      <c r="P1320" s="88">
        <v>5</v>
      </c>
      <c r="Z1320" s="100"/>
    </row>
    <row r="1321" spans="1:26" x14ac:dyDescent="0.25">
      <c r="A1321" s="99">
        <v>45627</v>
      </c>
      <c r="B1321" s="74">
        <v>45643</v>
      </c>
      <c r="C1321" s="61" t="s">
        <v>106</v>
      </c>
      <c r="D1321" s="60" t="s">
        <v>481</v>
      </c>
      <c r="E1321" s="62" t="s">
        <v>1405</v>
      </c>
      <c r="F1321" s="73" t="s">
        <v>1407</v>
      </c>
      <c r="G1321" s="59" t="s">
        <v>142</v>
      </c>
      <c r="H1321" s="83">
        <v>0.45833333333333331</v>
      </c>
      <c r="I1321" s="83">
        <v>0.72916666666666663</v>
      </c>
      <c r="J1321" s="63">
        <f t="shared" si="299"/>
        <v>0.27083333333333331</v>
      </c>
      <c r="K1321" s="88" t="s">
        <v>300</v>
      </c>
      <c r="L1321" s="135">
        <f t="shared" si="300"/>
        <v>6.5</v>
      </c>
      <c r="O1321" s="91" t="s">
        <v>1214</v>
      </c>
      <c r="P1321" s="88">
        <v>5</v>
      </c>
      <c r="Z1321" s="100"/>
    </row>
    <row r="1322" spans="1:26" x14ac:dyDescent="0.25">
      <c r="A1322" s="99">
        <v>45627</v>
      </c>
      <c r="B1322" s="74">
        <v>45644</v>
      </c>
      <c r="C1322" s="61" t="s">
        <v>398</v>
      </c>
      <c r="D1322" s="60" t="s">
        <v>1322</v>
      </c>
      <c r="E1322" s="62" t="s">
        <v>1384</v>
      </c>
      <c r="F1322" s="73" t="s">
        <v>1350</v>
      </c>
      <c r="G1322" s="59" t="s">
        <v>142</v>
      </c>
      <c r="H1322" s="83">
        <v>0.6875</v>
      </c>
      <c r="I1322" s="83">
        <v>0.91666666666666663</v>
      </c>
      <c r="J1322" s="63">
        <f t="shared" si="299"/>
        <v>0.22916666666666663</v>
      </c>
      <c r="K1322" s="61" t="s">
        <v>300</v>
      </c>
      <c r="L1322" s="135">
        <f t="shared" si="300"/>
        <v>5.4999999999999991</v>
      </c>
      <c r="O1322" s="81" t="s">
        <v>1214</v>
      </c>
      <c r="P1322" s="88">
        <v>5</v>
      </c>
      <c r="Z1322" s="100"/>
    </row>
    <row r="1323" spans="1:26" x14ac:dyDescent="0.25">
      <c r="A1323" s="99">
        <v>45627</v>
      </c>
      <c r="B1323" s="74">
        <v>45644</v>
      </c>
      <c r="C1323" s="61" t="s">
        <v>398</v>
      </c>
      <c r="D1323" s="60" t="s">
        <v>599</v>
      </c>
      <c r="E1323" s="62" t="s">
        <v>1421</v>
      </c>
      <c r="F1323" s="73" t="s">
        <v>1422</v>
      </c>
      <c r="G1323" s="59" t="s">
        <v>142</v>
      </c>
      <c r="H1323" s="83">
        <v>0.4375</v>
      </c>
      <c r="I1323" s="83">
        <v>0.64583333333333337</v>
      </c>
      <c r="J1323" s="63">
        <f t="shared" si="299"/>
        <v>0.20833333333333337</v>
      </c>
      <c r="K1323" s="61" t="s">
        <v>300</v>
      </c>
      <c r="L1323" s="135">
        <f t="shared" si="300"/>
        <v>5.0000000000000009</v>
      </c>
      <c r="O1323" s="81" t="s">
        <v>1214</v>
      </c>
      <c r="P1323" s="88">
        <v>5</v>
      </c>
      <c r="Z1323" s="100"/>
    </row>
    <row r="1324" spans="1:26" x14ac:dyDescent="0.25">
      <c r="A1324" s="99">
        <v>45627</v>
      </c>
      <c r="B1324" s="74">
        <v>45644</v>
      </c>
      <c r="C1324" s="61" t="s">
        <v>398</v>
      </c>
      <c r="D1324" s="60" t="s">
        <v>481</v>
      </c>
      <c r="E1324" s="62" t="s">
        <v>1405</v>
      </c>
      <c r="F1324" s="73" t="s">
        <v>1407</v>
      </c>
      <c r="G1324" s="59" t="s">
        <v>142</v>
      </c>
      <c r="H1324" s="83">
        <v>0.41666666666666669</v>
      </c>
      <c r="I1324" s="83">
        <v>0.75</v>
      </c>
      <c r="J1324" s="63">
        <f t="shared" si="299"/>
        <v>0.33333333333333331</v>
      </c>
      <c r="K1324" s="88" t="s">
        <v>300</v>
      </c>
      <c r="L1324" s="135">
        <f t="shared" si="300"/>
        <v>8</v>
      </c>
      <c r="O1324" s="91" t="s">
        <v>1214</v>
      </c>
      <c r="P1324" s="88">
        <v>5</v>
      </c>
      <c r="Z1324" s="100"/>
    </row>
    <row r="1325" spans="1:26" x14ac:dyDescent="0.25">
      <c r="A1325" s="99">
        <v>45627</v>
      </c>
      <c r="B1325" s="74">
        <v>45644</v>
      </c>
      <c r="C1325" s="61" t="s">
        <v>398</v>
      </c>
      <c r="D1325" s="60" t="s">
        <v>98</v>
      </c>
      <c r="E1325" s="62" t="s">
        <v>612</v>
      </c>
      <c r="F1325" s="73" t="s">
        <v>1423</v>
      </c>
      <c r="G1325" s="59" t="s">
        <v>142</v>
      </c>
      <c r="H1325" s="83">
        <v>0.54166666666666663</v>
      </c>
      <c r="I1325" s="83">
        <v>0.58333333333333337</v>
      </c>
      <c r="J1325" s="63">
        <f t="shared" si="299"/>
        <v>4.1666666666666741E-2</v>
      </c>
      <c r="K1325" s="61" t="s">
        <v>110</v>
      </c>
      <c r="L1325" s="135">
        <f t="shared" si="300"/>
        <v>1.0000000000000018</v>
      </c>
      <c r="O1325" s="81" t="s">
        <v>363</v>
      </c>
      <c r="P1325" s="88">
        <v>5</v>
      </c>
      <c r="Z1325" s="100"/>
    </row>
    <row r="1326" spans="1:26" x14ac:dyDescent="0.25">
      <c r="A1326" s="99">
        <v>45627</v>
      </c>
      <c r="B1326" s="74">
        <v>45644</v>
      </c>
      <c r="C1326" s="61" t="s">
        <v>398</v>
      </c>
      <c r="D1326" s="60" t="s">
        <v>325</v>
      </c>
      <c r="E1326" s="60" t="s">
        <v>1411</v>
      </c>
      <c r="F1326" s="73" t="s">
        <v>1412</v>
      </c>
      <c r="G1326" s="59" t="s">
        <v>142</v>
      </c>
      <c r="H1326" s="83">
        <v>0.41666666666666669</v>
      </c>
      <c r="I1326" s="83">
        <v>0.70833333333333337</v>
      </c>
      <c r="J1326" s="63">
        <f t="shared" si="299"/>
        <v>0.29166666666666669</v>
      </c>
      <c r="K1326" s="88" t="s">
        <v>113</v>
      </c>
      <c r="L1326" s="135">
        <f t="shared" si="300"/>
        <v>7</v>
      </c>
      <c r="O1326" s="91" t="s">
        <v>539</v>
      </c>
      <c r="P1326" s="88">
        <v>5</v>
      </c>
      <c r="Z1326" s="100"/>
    </row>
    <row r="1327" spans="1:26" x14ac:dyDescent="0.25">
      <c r="A1327" s="99">
        <v>45627</v>
      </c>
      <c r="B1327" s="74">
        <v>45645</v>
      </c>
      <c r="C1327" s="61" t="s">
        <v>124</v>
      </c>
      <c r="D1327" s="60" t="s">
        <v>481</v>
      </c>
      <c r="E1327" s="62" t="s">
        <v>1071</v>
      </c>
      <c r="F1327" s="73" t="s">
        <v>1424</v>
      </c>
      <c r="G1327" s="59" t="s">
        <v>142</v>
      </c>
      <c r="H1327" s="83">
        <v>0.41666666666666669</v>
      </c>
      <c r="I1327" s="83">
        <v>0.75</v>
      </c>
      <c r="J1327" s="63">
        <f t="shared" si="299"/>
        <v>0.33333333333333331</v>
      </c>
      <c r="K1327" s="88" t="s">
        <v>300</v>
      </c>
      <c r="L1327" s="135">
        <f t="shared" si="300"/>
        <v>8</v>
      </c>
      <c r="O1327" s="81" t="s">
        <v>362</v>
      </c>
      <c r="P1327" s="88">
        <v>5</v>
      </c>
      <c r="Z1327" s="100"/>
    </row>
    <row r="1328" spans="1:26" x14ac:dyDescent="0.25">
      <c r="A1328" s="99">
        <v>45627</v>
      </c>
      <c r="B1328" s="74">
        <v>45645</v>
      </c>
      <c r="C1328" s="61" t="s">
        <v>124</v>
      </c>
      <c r="D1328" s="60" t="s">
        <v>325</v>
      </c>
      <c r="E1328" s="60" t="s">
        <v>1411</v>
      </c>
      <c r="F1328" s="73" t="s">
        <v>1412</v>
      </c>
      <c r="G1328" s="59" t="s">
        <v>142</v>
      </c>
      <c r="H1328" s="83">
        <v>0.41666666666666669</v>
      </c>
      <c r="I1328" s="83">
        <v>0.72916666666666663</v>
      </c>
      <c r="J1328" s="63">
        <f t="shared" si="299"/>
        <v>0.31249999999999994</v>
      </c>
      <c r="K1328" s="88" t="s">
        <v>113</v>
      </c>
      <c r="L1328" s="135">
        <f t="shared" si="300"/>
        <v>7.4999999999999982</v>
      </c>
      <c r="O1328" s="91" t="s">
        <v>1214</v>
      </c>
      <c r="P1328" s="88">
        <v>5</v>
      </c>
      <c r="Z1328" s="100"/>
    </row>
    <row r="1329" spans="1:26" x14ac:dyDescent="0.25">
      <c r="A1329" s="99">
        <v>45627</v>
      </c>
      <c r="B1329" s="74">
        <v>45645</v>
      </c>
      <c r="C1329" s="61" t="s">
        <v>124</v>
      </c>
      <c r="D1329" s="60" t="s">
        <v>481</v>
      </c>
      <c r="E1329" s="62" t="s">
        <v>299</v>
      </c>
      <c r="F1329" s="73" t="s">
        <v>1364</v>
      </c>
      <c r="G1329" s="59" t="s">
        <v>142</v>
      </c>
      <c r="H1329" s="83">
        <v>0.41666666666666669</v>
      </c>
      <c r="I1329" s="83">
        <v>0.5</v>
      </c>
      <c r="J1329" s="63">
        <f t="shared" si="299"/>
        <v>8.3333333333333315E-2</v>
      </c>
      <c r="K1329" s="61" t="s">
        <v>113</v>
      </c>
      <c r="L1329" s="135">
        <f t="shared" si="300"/>
        <v>1.9999999999999996</v>
      </c>
      <c r="O1329" s="81" t="s">
        <v>1214</v>
      </c>
      <c r="P1329" s="88">
        <v>5</v>
      </c>
      <c r="Z1329" s="100"/>
    </row>
    <row r="1330" spans="1:26" x14ac:dyDescent="0.25">
      <c r="A1330" s="99">
        <v>45627</v>
      </c>
      <c r="B1330" s="74">
        <v>45646</v>
      </c>
      <c r="C1330" s="61" t="s">
        <v>33</v>
      </c>
      <c r="D1330" s="60" t="s">
        <v>325</v>
      </c>
      <c r="E1330" s="60" t="s">
        <v>1411</v>
      </c>
      <c r="F1330" s="73" t="s">
        <v>1412</v>
      </c>
      <c r="G1330" s="59" t="s">
        <v>142</v>
      </c>
      <c r="H1330" s="83">
        <v>0.45833333333333331</v>
      </c>
      <c r="I1330" s="83">
        <v>0.72916666666666663</v>
      </c>
      <c r="J1330" s="63">
        <f t="shared" si="299"/>
        <v>0.27083333333333331</v>
      </c>
      <c r="K1330" s="88" t="s">
        <v>113</v>
      </c>
      <c r="L1330" s="135">
        <f t="shared" si="300"/>
        <v>6.5</v>
      </c>
      <c r="O1330" s="91" t="s">
        <v>539</v>
      </c>
      <c r="P1330" s="88">
        <v>5</v>
      </c>
      <c r="Z1330" s="100"/>
    </row>
    <row r="1331" spans="1:26" x14ac:dyDescent="0.25">
      <c r="A1331" s="99">
        <v>45627</v>
      </c>
      <c r="B1331" s="74">
        <v>45647</v>
      </c>
      <c r="C1331" s="61" t="s">
        <v>34</v>
      </c>
      <c r="D1331" s="60" t="s">
        <v>481</v>
      </c>
      <c r="E1331" s="62" t="s">
        <v>751</v>
      </c>
      <c r="F1331" s="73" t="s">
        <v>1036</v>
      </c>
      <c r="G1331" s="59" t="s">
        <v>142</v>
      </c>
      <c r="H1331" s="83">
        <v>0.45833333333333331</v>
      </c>
      <c r="I1331" s="83">
        <v>0.70833333333333337</v>
      </c>
      <c r="J1331" s="63">
        <f t="shared" si="299"/>
        <v>0.25000000000000006</v>
      </c>
      <c r="K1331" s="88" t="s">
        <v>110</v>
      </c>
      <c r="L1331" s="135">
        <f t="shared" si="300"/>
        <v>6.0000000000000018</v>
      </c>
      <c r="O1331" s="91" t="s">
        <v>539</v>
      </c>
      <c r="P1331" s="88">
        <v>5</v>
      </c>
      <c r="Z1331" s="100"/>
    </row>
    <row r="1332" spans="1:26" x14ac:dyDescent="0.25">
      <c r="A1332" s="99">
        <v>45627</v>
      </c>
      <c r="B1332" s="74">
        <v>45647</v>
      </c>
      <c r="C1332" s="61" t="s">
        <v>34</v>
      </c>
      <c r="D1332" s="60" t="s">
        <v>481</v>
      </c>
      <c r="E1332" s="62" t="s">
        <v>1071</v>
      </c>
      <c r="F1332" s="73" t="s">
        <v>1424</v>
      </c>
      <c r="G1332" s="59" t="s">
        <v>142</v>
      </c>
      <c r="H1332" s="83">
        <v>0.39583333333333331</v>
      </c>
      <c r="I1332" s="83">
        <v>0.75</v>
      </c>
      <c r="J1332" s="63">
        <f t="shared" si="299"/>
        <v>0.35416666666666669</v>
      </c>
      <c r="K1332" s="88" t="s">
        <v>300</v>
      </c>
      <c r="L1332" s="135">
        <f t="shared" si="300"/>
        <v>8.5</v>
      </c>
      <c r="O1332" s="81" t="s">
        <v>362</v>
      </c>
      <c r="P1332" s="88">
        <v>5</v>
      </c>
      <c r="Z1332" s="100"/>
    </row>
    <row r="1333" spans="1:26" x14ac:dyDescent="0.25">
      <c r="A1333" s="99">
        <v>45627</v>
      </c>
      <c r="B1333" s="74">
        <v>45647</v>
      </c>
      <c r="C1333" s="61" t="s">
        <v>34</v>
      </c>
      <c r="D1333" s="60" t="s">
        <v>740</v>
      </c>
      <c r="E1333" s="60" t="s">
        <v>961</v>
      </c>
      <c r="F1333" s="73" t="s">
        <v>1381</v>
      </c>
      <c r="G1333" s="59" t="s">
        <v>142</v>
      </c>
      <c r="H1333" s="83">
        <v>0.375</v>
      </c>
      <c r="I1333" s="83">
        <v>0.70833333333333337</v>
      </c>
      <c r="J1333" s="63">
        <f t="shared" si="299"/>
        <v>0.33333333333333337</v>
      </c>
      <c r="K1333" s="88" t="s">
        <v>110</v>
      </c>
      <c r="L1333" s="135">
        <f t="shared" si="300"/>
        <v>8</v>
      </c>
      <c r="O1333" s="81" t="s">
        <v>539</v>
      </c>
      <c r="P1333" s="88">
        <v>5</v>
      </c>
      <c r="Z1333" s="100"/>
    </row>
    <row r="1334" spans="1:26" x14ac:dyDescent="0.25">
      <c r="A1334" s="99">
        <v>45627</v>
      </c>
      <c r="B1334" s="74">
        <v>45647</v>
      </c>
      <c r="C1334" s="61" t="s">
        <v>34</v>
      </c>
      <c r="D1334" s="60" t="s">
        <v>325</v>
      </c>
      <c r="E1334" s="60" t="s">
        <v>1411</v>
      </c>
      <c r="F1334" s="73" t="s">
        <v>1412</v>
      </c>
      <c r="G1334" s="59" t="s">
        <v>142</v>
      </c>
      <c r="H1334" s="83">
        <v>0.41666666666666669</v>
      </c>
      <c r="I1334" s="83">
        <v>0.70833333333333337</v>
      </c>
      <c r="J1334" s="63">
        <f t="shared" si="299"/>
        <v>0.29166666666666669</v>
      </c>
      <c r="K1334" s="88" t="s">
        <v>113</v>
      </c>
      <c r="L1334" s="135">
        <f t="shared" si="300"/>
        <v>7</v>
      </c>
      <c r="O1334" s="81" t="s">
        <v>357</v>
      </c>
      <c r="P1334" s="88">
        <v>5</v>
      </c>
      <c r="Z1334" s="100"/>
    </row>
    <row r="1335" spans="1:26" x14ac:dyDescent="0.25">
      <c r="A1335" s="99">
        <v>45627</v>
      </c>
      <c r="B1335" s="74">
        <v>45647</v>
      </c>
      <c r="C1335" s="61" t="s">
        <v>34</v>
      </c>
      <c r="D1335" s="60" t="s">
        <v>481</v>
      </c>
      <c r="E1335" s="62" t="s">
        <v>299</v>
      </c>
      <c r="F1335" s="73" t="s">
        <v>1364</v>
      </c>
      <c r="G1335" s="59" t="s">
        <v>142</v>
      </c>
      <c r="H1335" s="83">
        <v>0.33333333333333331</v>
      </c>
      <c r="I1335" s="83">
        <v>0.70833333333333337</v>
      </c>
      <c r="J1335" s="63">
        <f t="shared" ref="J1335" si="301">I1335-H1335</f>
        <v>0.37500000000000006</v>
      </c>
      <c r="K1335" s="61" t="s">
        <v>113</v>
      </c>
      <c r="L1335" s="135">
        <f t="shared" ref="L1335" si="302">24*J1335</f>
        <v>9.0000000000000018</v>
      </c>
      <c r="O1335" s="81" t="s">
        <v>357</v>
      </c>
      <c r="P1335" s="88">
        <v>5</v>
      </c>
      <c r="Z1335" s="100"/>
    </row>
    <row r="1336" spans="1:26" x14ac:dyDescent="0.25">
      <c r="A1336" s="99">
        <v>45627</v>
      </c>
      <c r="B1336" s="74">
        <v>45648</v>
      </c>
      <c r="C1336" s="61" t="s">
        <v>31</v>
      </c>
      <c r="D1336" s="60" t="s">
        <v>830</v>
      </c>
      <c r="E1336" s="115" t="s">
        <v>967</v>
      </c>
      <c r="F1336" s="60" t="s">
        <v>968</v>
      </c>
      <c r="G1336" s="72" t="s">
        <v>142</v>
      </c>
      <c r="H1336" s="83">
        <v>0.47916666666666669</v>
      </c>
      <c r="I1336" s="83">
        <v>0.54166666666666663</v>
      </c>
      <c r="J1336" s="63">
        <f t="shared" si="299"/>
        <v>6.2499999999999944E-2</v>
      </c>
      <c r="K1336" s="88" t="s">
        <v>365</v>
      </c>
      <c r="L1336" s="135">
        <f>24*J1336</f>
        <v>1.4999999999999987</v>
      </c>
      <c r="N1336" s="60"/>
      <c r="O1336" s="81" t="s">
        <v>820</v>
      </c>
      <c r="P1336" s="88">
        <v>5</v>
      </c>
      <c r="Z1336" s="100"/>
    </row>
    <row r="1337" spans="1:26" x14ac:dyDescent="0.25">
      <c r="A1337" s="99">
        <v>45627</v>
      </c>
      <c r="B1337" s="74">
        <v>45647</v>
      </c>
      <c r="C1337" s="61" t="s">
        <v>31</v>
      </c>
      <c r="D1337" s="60" t="s">
        <v>481</v>
      </c>
      <c r="E1337" s="62" t="s">
        <v>1071</v>
      </c>
      <c r="F1337" s="73" t="s">
        <v>1424</v>
      </c>
      <c r="G1337" s="59" t="s">
        <v>142</v>
      </c>
      <c r="H1337" s="83">
        <v>0.41666666666666669</v>
      </c>
      <c r="I1337" s="83">
        <v>0.75</v>
      </c>
      <c r="J1337" s="63">
        <f t="shared" ref="J1337:J1400" si="303">I1337-H1337</f>
        <v>0.33333333333333331</v>
      </c>
      <c r="K1337" s="88" t="s">
        <v>300</v>
      </c>
      <c r="L1337" s="135">
        <f t="shared" ref="L1337:L1400" si="304">24*J1337</f>
        <v>8</v>
      </c>
      <c r="O1337" s="81" t="s">
        <v>362</v>
      </c>
      <c r="P1337" s="88">
        <v>4</v>
      </c>
      <c r="Z1337" s="100"/>
    </row>
    <row r="1338" spans="1:26" x14ac:dyDescent="0.25">
      <c r="A1338" s="99">
        <v>45627</v>
      </c>
      <c r="B1338" s="74">
        <v>45648</v>
      </c>
      <c r="C1338" s="61" t="s">
        <v>31</v>
      </c>
      <c r="D1338" s="60" t="s">
        <v>325</v>
      </c>
      <c r="E1338" s="60" t="s">
        <v>1411</v>
      </c>
      <c r="F1338" s="73" t="s">
        <v>1412</v>
      </c>
      <c r="G1338" s="59" t="s">
        <v>142</v>
      </c>
      <c r="H1338" s="83">
        <v>0.375</v>
      </c>
      <c r="I1338" s="83">
        <v>0.70833333333333337</v>
      </c>
      <c r="J1338" s="63">
        <f t="shared" si="303"/>
        <v>0.33333333333333337</v>
      </c>
      <c r="K1338" s="88" t="s">
        <v>113</v>
      </c>
      <c r="L1338" s="135">
        <f t="shared" si="304"/>
        <v>8</v>
      </c>
      <c r="O1338" s="81" t="s">
        <v>539</v>
      </c>
      <c r="P1338" s="88">
        <v>5</v>
      </c>
      <c r="Z1338" s="100"/>
    </row>
    <row r="1339" spans="1:26" x14ac:dyDescent="0.25">
      <c r="A1339" s="99">
        <v>45627</v>
      </c>
      <c r="B1339" s="74">
        <v>45649</v>
      </c>
      <c r="C1339" s="61" t="s">
        <v>45</v>
      </c>
      <c r="D1339" s="60" t="s">
        <v>481</v>
      </c>
      <c r="E1339" s="62" t="s">
        <v>299</v>
      </c>
      <c r="F1339" s="73" t="s">
        <v>1364</v>
      </c>
      <c r="G1339" s="59" t="s">
        <v>142</v>
      </c>
      <c r="H1339" s="83">
        <v>0.33333333333333331</v>
      </c>
      <c r="I1339" s="83">
        <v>0.70833333333333337</v>
      </c>
      <c r="J1339" s="63">
        <f t="shared" si="303"/>
        <v>0.37500000000000006</v>
      </c>
      <c r="K1339" s="61" t="s">
        <v>113</v>
      </c>
      <c r="L1339" s="135">
        <f t="shared" si="304"/>
        <v>9.0000000000000018</v>
      </c>
      <c r="O1339" s="81" t="s">
        <v>539</v>
      </c>
      <c r="P1339" s="88">
        <v>5</v>
      </c>
      <c r="Z1339" s="100"/>
    </row>
    <row r="1340" spans="1:26" x14ac:dyDescent="0.25">
      <c r="A1340" s="99">
        <v>45627</v>
      </c>
      <c r="B1340" s="74">
        <v>45649</v>
      </c>
      <c r="C1340" s="61" t="s">
        <v>45</v>
      </c>
      <c r="D1340" s="60" t="s">
        <v>32</v>
      </c>
      <c r="E1340" s="62" t="s">
        <v>751</v>
      </c>
      <c r="F1340" s="73" t="s">
        <v>1373</v>
      </c>
      <c r="G1340" s="59" t="s">
        <v>142</v>
      </c>
      <c r="H1340" s="83">
        <v>0.54166666666666663</v>
      </c>
      <c r="I1340" s="83">
        <v>0.58333333333333337</v>
      </c>
      <c r="J1340" s="63">
        <f t="shared" si="303"/>
        <v>4.1666666666666741E-2</v>
      </c>
      <c r="K1340" s="61" t="s">
        <v>110</v>
      </c>
      <c r="L1340" s="135">
        <f t="shared" si="304"/>
        <v>1.0000000000000018</v>
      </c>
      <c r="O1340" s="81" t="s">
        <v>363</v>
      </c>
      <c r="P1340" s="88">
        <v>5</v>
      </c>
      <c r="Z1340" s="100"/>
    </row>
    <row r="1341" spans="1:26" x14ac:dyDescent="0.25">
      <c r="A1341" s="99">
        <v>45627</v>
      </c>
      <c r="B1341" s="74">
        <v>45649</v>
      </c>
      <c r="C1341" s="61" t="s">
        <v>45</v>
      </c>
      <c r="D1341" s="60" t="s">
        <v>481</v>
      </c>
      <c r="E1341" s="62" t="s">
        <v>1425</v>
      </c>
      <c r="F1341" s="73" t="s">
        <v>1426</v>
      </c>
      <c r="G1341" s="59" t="s">
        <v>142</v>
      </c>
      <c r="H1341" s="83">
        <v>0.41666666666666669</v>
      </c>
      <c r="I1341" s="83">
        <v>0.79166666666666663</v>
      </c>
      <c r="J1341" s="63">
        <f t="shared" si="303"/>
        <v>0.37499999999999994</v>
      </c>
      <c r="K1341" s="88" t="s">
        <v>300</v>
      </c>
      <c r="L1341" s="135">
        <f t="shared" si="304"/>
        <v>8.9999999999999982</v>
      </c>
      <c r="O1341" s="81" t="s">
        <v>362</v>
      </c>
      <c r="P1341" s="88">
        <v>5</v>
      </c>
      <c r="Z1341" s="100"/>
    </row>
    <row r="1342" spans="1:26" x14ac:dyDescent="0.25">
      <c r="A1342" s="99">
        <v>45627</v>
      </c>
      <c r="B1342" s="74">
        <v>45649</v>
      </c>
      <c r="C1342" s="61" t="s">
        <v>45</v>
      </c>
      <c r="D1342" s="60" t="s">
        <v>740</v>
      </c>
      <c r="E1342" s="60" t="s">
        <v>961</v>
      </c>
      <c r="F1342" s="73" t="s">
        <v>1381</v>
      </c>
      <c r="G1342" s="59" t="s">
        <v>142</v>
      </c>
      <c r="H1342" s="83">
        <v>0.41666666666666669</v>
      </c>
      <c r="I1342" s="83">
        <v>0.70833333333333337</v>
      </c>
      <c r="J1342" s="63">
        <f t="shared" si="303"/>
        <v>0.29166666666666669</v>
      </c>
      <c r="K1342" s="88" t="s">
        <v>110</v>
      </c>
      <c r="L1342" s="135">
        <f t="shared" si="304"/>
        <v>7</v>
      </c>
      <c r="O1342" s="81" t="s">
        <v>363</v>
      </c>
      <c r="P1342" s="88">
        <v>5</v>
      </c>
      <c r="Z1342" s="100"/>
    </row>
    <row r="1343" spans="1:26" x14ac:dyDescent="0.25">
      <c r="A1343" s="99">
        <v>45627</v>
      </c>
      <c r="B1343" s="74">
        <v>45649</v>
      </c>
      <c r="C1343" s="61" t="s">
        <v>45</v>
      </c>
      <c r="D1343" s="60" t="s">
        <v>1067</v>
      </c>
      <c r="E1343" s="62" t="s">
        <v>1427</v>
      </c>
      <c r="F1343" s="73" t="s">
        <v>837</v>
      </c>
      <c r="G1343" s="59" t="s">
        <v>142</v>
      </c>
      <c r="H1343" s="83">
        <v>0.41666666666666669</v>
      </c>
      <c r="I1343" s="83">
        <v>0.79166666666666663</v>
      </c>
      <c r="J1343" s="63">
        <f t="shared" si="303"/>
        <v>0.37499999999999994</v>
      </c>
      <c r="K1343" s="88" t="s">
        <v>300</v>
      </c>
      <c r="L1343" s="135">
        <f t="shared" si="304"/>
        <v>8.9999999999999982</v>
      </c>
      <c r="O1343" s="81" t="s">
        <v>362</v>
      </c>
      <c r="P1343" s="88">
        <v>5</v>
      </c>
      <c r="Z1343" s="100"/>
    </row>
    <row r="1344" spans="1:26" x14ac:dyDescent="0.25">
      <c r="A1344" s="99">
        <v>45627</v>
      </c>
      <c r="B1344" s="74">
        <v>45649</v>
      </c>
      <c r="C1344" s="61" t="s">
        <v>45</v>
      </c>
      <c r="D1344" s="60" t="s">
        <v>32</v>
      </c>
      <c r="E1344" s="62" t="s">
        <v>388</v>
      </c>
      <c r="F1344" s="73" t="s">
        <v>1428</v>
      </c>
      <c r="G1344" s="59" t="s">
        <v>142</v>
      </c>
      <c r="H1344" s="83">
        <v>0.54166666666666663</v>
      </c>
      <c r="I1344" s="83">
        <v>0.70833333333333337</v>
      </c>
      <c r="J1344" s="63">
        <f t="shared" si="303"/>
        <v>0.16666666666666674</v>
      </c>
      <c r="K1344" s="88" t="s">
        <v>110</v>
      </c>
      <c r="L1344" s="135">
        <f t="shared" si="304"/>
        <v>4.0000000000000018</v>
      </c>
      <c r="O1344" s="81" t="s">
        <v>363</v>
      </c>
      <c r="P1344" s="88">
        <v>5</v>
      </c>
      <c r="Z1344" s="100"/>
    </row>
    <row r="1345" spans="1:26" x14ac:dyDescent="0.25">
      <c r="A1345" s="99">
        <v>45627</v>
      </c>
      <c r="B1345" s="74">
        <v>45650</v>
      </c>
      <c r="C1345" s="61" t="s">
        <v>106</v>
      </c>
      <c r="D1345" s="60" t="s">
        <v>740</v>
      </c>
      <c r="E1345" s="60" t="s">
        <v>961</v>
      </c>
      <c r="F1345" s="73" t="s">
        <v>1381</v>
      </c>
      <c r="G1345" s="59" t="s">
        <v>142</v>
      </c>
      <c r="H1345" s="83">
        <v>0.41666666666666669</v>
      </c>
      <c r="I1345" s="83">
        <v>0.70833333333333337</v>
      </c>
      <c r="J1345" s="63">
        <f t="shared" si="303"/>
        <v>0.29166666666666669</v>
      </c>
      <c r="K1345" s="88" t="s">
        <v>110</v>
      </c>
      <c r="L1345" s="135">
        <f t="shared" si="304"/>
        <v>7</v>
      </c>
      <c r="O1345" s="81" t="s">
        <v>363</v>
      </c>
      <c r="P1345" s="88">
        <v>5</v>
      </c>
      <c r="Z1345" s="100"/>
    </row>
    <row r="1346" spans="1:26" x14ac:dyDescent="0.25">
      <c r="A1346" s="99">
        <v>45627</v>
      </c>
      <c r="B1346" s="74">
        <v>45650</v>
      </c>
      <c r="C1346" s="61" t="s">
        <v>106</v>
      </c>
      <c r="D1346" s="60" t="s">
        <v>481</v>
      </c>
      <c r="E1346" s="62" t="s">
        <v>1425</v>
      </c>
      <c r="F1346" s="73" t="s">
        <v>1426</v>
      </c>
      <c r="G1346" s="59" t="s">
        <v>142</v>
      </c>
      <c r="H1346" s="83">
        <v>0.41666666666666669</v>
      </c>
      <c r="I1346" s="83">
        <v>0.75</v>
      </c>
      <c r="J1346" s="63">
        <f t="shared" si="303"/>
        <v>0.33333333333333331</v>
      </c>
      <c r="K1346" s="88" t="s">
        <v>300</v>
      </c>
      <c r="L1346" s="135">
        <f t="shared" si="304"/>
        <v>8</v>
      </c>
      <c r="O1346" s="81" t="s">
        <v>362</v>
      </c>
      <c r="P1346" s="88">
        <v>5</v>
      </c>
      <c r="Z1346" s="100"/>
    </row>
    <row r="1347" spans="1:26" x14ac:dyDescent="0.25">
      <c r="A1347" s="99">
        <v>45627</v>
      </c>
      <c r="B1347" s="74">
        <v>45650</v>
      </c>
      <c r="C1347" s="61" t="s">
        <v>106</v>
      </c>
      <c r="D1347" s="60" t="s">
        <v>481</v>
      </c>
      <c r="E1347" s="62" t="s">
        <v>751</v>
      </c>
      <c r="F1347" s="73" t="s">
        <v>1036</v>
      </c>
      <c r="G1347" s="59" t="s">
        <v>142</v>
      </c>
      <c r="H1347" s="83">
        <v>0.41666666666666669</v>
      </c>
      <c r="I1347" s="83">
        <v>0.70833333333333337</v>
      </c>
      <c r="J1347" s="63">
        <f t="shared" si="303"/>
        <v>0.29166666666666669</v>
      </c>
      <c r="K1347" s="88" t="s">
        <v>110</v>
      </c>
      <c r="L1347" s="135">
        <f t="shared" si="304"/>
        <v>7</v>
      </c>
      <c r="O1347" s="81" t="s">
        <v>363</v>
      </c>
      <c r="P1347" s="88">
        <v>5</v>
      </c>
      <c r="Z1347" s="100"/>
    </row>
    <row r="1348" spans="1:26" x14ac:dyDescent="0.25">
      <c r="A1348" s="99">
        <v>45627</v>
      </c>
      <c r="B1348" s="74">
        <v>45650</v>
      </c>
      <c r="C1348" s="61" t="s">
        <v>106</v>
      </c>
      <c r="D1348" s="60" t="s">
        <v>32</v>
      </c>
      <c r="E1348" s="62" t="s">
        <v>388</v>
      </c>
      <c r="F1348" s="73" t="s">
        <v>1428</v>
      </c>
      <c r="G1348" s="59" t="s">
        <v>142</v>
      </c>
      <c r="H1348" s="83">
        <v>0.45833333333333331</v>
      </c>
      <c r="I1348" s="83">
        <v>0.58333333333333337</v>
      </c>
      <c r="J1348" s="63">
        <f t="shared" si="303"/>
        <v>0.12500000000000006</v>
      </c>
      <c r="K1348" s="88" t="s">
        <v>110</v>
      </c>
      <c r="L1348" s="135">
        <f t="shared" si="304"/>
        <v>3.0000000000000013</v>
      </c>
      <c r="O1348" s="81" t="s">
        <v>363</v>
      </c>
      <c r="P1348" s="88">
        <v>5</v>
      </c>
      <c r="Z1348" s="100"/>
    </row>
    <row r="1349" spans="1:26" x14ac:dyDescent="0.25">
      <c r="A1349" s="99">
        <v>45627</v>
      </c>
      <c r="B1349" s="74">
        <v>45650</v>
      </c>
      <c r="C1349" s="61" t="s">
        <v>106</v>
      </c>
      <c r="D1349" s="60" t="s">
        <v>32</v>
      </c>
      <c r="E1349" s="62" t="s">
        <v>751</v>
      </c>
      <c r="F1349" s="73" t="s">
        <v>1373</v>
      </c>
      <c r="G1349" s="59" t="s">
        <v>142</v>
      </c>
      <c r="H1349" s="83">
        <v>0.54166666666666663</v>
      </c>
      <c r="I1349" s="83">
        <v>0.58333333333333337</v>
      </c>
      <c r="J1349" s="63">
        <f t="shared" si="303"/>
        <v>4.1666666666666741E-2</v>
      </c>
      <c r="K1349" s="61" t="s">
        <v>110</v>
      </c>
      <c r="L1349" s="135">
        <f t="shared" si="304"/>
        <v>1.0000000000000018</v>
      </c>
      <c r="O1349" s="81" t="s">
        <v>363</v>
      </c>
      <c r="P1349" s="88">
        <v>5</v>
      </c>
      <c r="Z1349" s="100"/>
    </row>
    <row r="1350" spans="1:26" x14ac:dyDescent="0.25">
      <c r="A1350" s="99">
        <v>45627</v>
      </c>
      <c r="B1350" s="74">
        <v>45650</v>
      </c>
      <c r="C1350" s="61" t="s">
        <v>106</v>
      </c>
      <c r="D1350" s="60" t="s">
        <v>481</v>
      </c>
      <c r="E1350" s="62" t="s">
        <v>299</v>
      </c>
      <c r="F1350" s="73" t="s">
        <v>1364</v>
      </c>
      <c r="G1350" s="59" t="s">
        <v>142</v>
      </c>
      <c r="H1350" s="83">
        <v>0.33333333333333331</v>
      </c>
      <c r="I1350" s="83">
        <v>0.70833333333333337</v>
      </c>
      <c r="J1350" s="63">
        <f t="shared" si="303"/>
        <v>0.37500000000000006</v>
      </c>
      <c r="K1350" s="61" t="s">
        <v>113</v>
      </c>
      <c r="L1350" s="135">
        <f t="shared" si="304"/>
        <v>9.0000000000000018</v>
      </c>
      <c r="O1350" s="81" t="s">
        <v>539</v>
      </c>
      <c r="P1350" s="88">
        <v>5</v>
      </c>
      <c r="Z1350" s="100"/>
    </row>
    <row r="1351" spans="1:26" x14ac:dyDescent="0.25">
      <c r="A1351" s="99">
        <v>45627</v>
      </c>
      <c r="B1351" s="74">
        <v>45650</v>
      </c>
      <c r="C1351" s="61" t="s">
        <v>106</v>
      </c>
      <c r="D1351" s="60" t="s">
        <v>32</v>
      </c>
      <c r="E1351" s="62" t="s">
        <v>707</v>
      </c>
      <c r="F1351" s="73" t="s">
        <v>1429</v>
      </c>
      <c r="G1351" s="59" t="s">
        <v>142</v>
      </c>
      <c r="H1351" s="83">
        <v>0.41666666666666669</v>
      </c>
      <c r="I1351" s="83">
        <v>0.70833333333333337</v>
      </c>
      <c r="J1351" s="63">
        <f t="shared" si="303"/>
        <v>0.29166666666666669</v>
      </c>
      <c r="K1351" s="61" t="s">
        <v>113</v>
      </c>
      <c r="L1351" s="135">
        <f t="shared" si="304"/>
        <v>7</v>
      </c>
      <c r="O1351" s="81" t="s">
        <v>539</v>
      </c>
      <c r="P1351" s="88">
        <v>5</v>
      </c>
      <c r="Z1351" s="100"/>
    </row>
    <row r="1352" spans="1:26" x14ac:dyDescent="0.25">
      <c r="A1352" s="99">
        <v>45627</v>
      </c>
      <c r="B1352" s="74">
        <v>45651</v>
      </c>
      <c r="C1352" s="61" t="s">
        <v>398</v>
      </c>
      <c r="D1352" s="60" t="s">
        <v>481</v>
      </c>
      <c r="E1352" s="62" t="s">
        <v>1071</v>
      </c>
      <c r="F1352" s="73" t="s">
        <v>1424</v>
      </c>
      <c r="G1352" s="59" t="s">
        <v>142</v>
      </c>
      <c r="H1352" s="83">
        <v>0.41666666666666669</v>
      </c>
      <c r="I1352" s="83">
        <v>0.75</v>
      </c>
      <c r="J1352" s="63">
        <f t="shared" si="303"/>
        <v>0.33333333333333331</v>
      </c>
      <c r="K1352" s="88" t="s">
        <v>300</v>
      </c>
      <c r="L1352" s="135">
        <f t="shared" si="304"/>
        <v>8</v>
      </c>
      <c r="O1352" s="81" t="s">
        <v>362</v>
      </c>
      <c r="P1352" s="88">
        <v>5</v>
      </c>
      <c r="Z1352" s="100"/>
    </row>
    <row r="1353" spans="1:26" x14ac:dyDescent="0.25">
      <c r="A1353" s="99">
        <v>45627</v>
      </c>
      <c r="B1353" s="74">
        <v>45651</v>
      </c>
      <c r="C1353" s="61" t="s">
        <v>398</v>
      </c>
      <c r="D1353" s="60" t="s">
        <v>740</v>
      </c>
      <c r="E1353" s="62" t="s">
        <v>961</v>
      </c>
      <c r="F1353" s="73" t="s">
        <v>1381</v>
      </c>
      <c r="G1353" s="59" t="s">
        <v>142</v>
      </c>
      <c r="H1353" s="83">
        <v>0.41666666666666669</v>
      </c>
      <c r="I1353" s="83">
        <v>0.70833333333333337</v>
      </c>
      <c r="J1353" s="63">
        <f t="shared" si="303"/>
        <v>0.29166666666666669</v>
      </c>
      <c r="K1353" s="61" t="s">
        <v>110</v>
      </c>
      <c r="L1353" s="135">
        <f t="shared" si="304"/>
        <v>7</v>
      </c>
      <c r="O1353" s="81" t="s">
        <v>363</v>
      </c>
      <c r="P1353" s="88">
        <v>5</v>
      </c>
      <c r="Z1353" s="100"/>
    </row>
    <row r="1354" spans="1:26" x14ac:dyDescent="0.25">
      <c r="A1354" s="99">
        <v>45627</v>
      </c>
      <c r="B1354" s="74">
        <v>45651</v>
      </c>
      <c r="C1354" s="61" t="s">
        <v>398</v>
      </c>
      <c r="D1354" s="60" t="s">
        <v>481</v>
      </c>
      <c r="E1354" s="62" t="s">
        <v>299</v>
      </c>
      <c r="F1354" s="73" t="s">
        <v>1364</v>
      </c>
      <c r="G1354" s="59" t="s">
        <v>142</v>
      </c>
      <c r="H1354" s="83">
        <v>0.33333333333333331</v>
      </c>
      <c r="I1354" s="83">
        <v>0.70833333333333337</v>
      </c>
      <c r="J1354" s="63">
        <f t="shared" si="303"/>
        <v>0.37500000000000006</v>
      </c>
      <c r="K1354" s="61" t="s">
        <v>113</v>
      </c>
      <c r="L1354" s="135">
        <f t="shared" si="304"/>
        <v>9.0000000000000018</v>
      </c>
      <c r="O1354" s="81" t="s">
        <v>539</v>
      </c>
      <c r="P1354" s="88">
        <v>5</v>
      </c>
      <c r="Z1354" s="100"/>
    </row>
    <row r="1355" spans="1:26" x14ac:dyDescent="0.25">
      <c r="A1355" s="99">
        <v>45627</v>
      </c>
      <c r="B1355" s="74">
        <v>45652</v>
      </c>
      <c r="C1355" s="61" t="s">
        <v>124</v>
      </c>
      <c r="D1355" s="60" t="s">
        <v>481</v>
      </c>
      <c r="E1355" s="62" t="s">
        <v>299</v>
      </c>
      <c r="F1355" s="73" t="s">
        <v>1364</v>
      </c>
      <c r="G1355" s="59" t="s">
        <v>142</v>
      </c>
      <c r="H1355" s="83">
        <v>0.33333333333333331</v>
      </c>
      <c r="I1355" s="83">
        <v>0.70833333333333337</v>
      </c>
      <c r="J1355" s="63">
        <f t="shared" si="303"/>
        <v>0.37500000000000006</v>
      </c>
      <c r="K1355" s="61" t="s">
        <v>113</v>
      </c>
      <c r="L1355" s="135">
        <f t="shared" si="304"/>
        <v>9.0000000000000018</v>
      </c>
      <c r="O1355" s="81" t="s">
        <v>539</v>
      </c>
      <c r="P1355" s="88">
        <v>5</v>
      </c>
      <c r="Z1355" s="100"/>
    </row>
    <row r="1356" spans="1:26" x14ac:dyDescent="0.25">
      <c r="A1356" s="99">
        <v>45627</v>
      </c>
      <c r="B1356" s="74">
        <v>45652</v>
      </c>
      <c r="C1356" s="61" t="s">
        <v>124</v>
      </c>
      <c r="D1356" s="60" t="s">
        <v>740</v>
      </c>
      <c r="E1356" s="62" t="s">
        <v>961</v>
      </c>
      <c r="F1356" s="73" t="s">
        <v>1381</v>
      </c>
      <c r="G1356" s="59" t="s">
        <v>142</v>
      </c>
      <c r="H1356" s="83">
        <v>0.41666666666666669</v>
      </c>
      <c r="I1356" s="83">
        <v>0.70833333333333337</v>
      </c>
      <c r="J1356" s="63">
        <f t="shared" si="303"/>
        <v>0.29166666666666669</v>
      </c>
      <c r="K1356" s="61" t="s">
        <v>110</v>
      </c>
      <c r="L1356" s="135">
        <f t="shared" si="304"/>
        <v>7</v>
      </c>
      <c r="O1356" s="81" t="s">
        <v>363</v>
      </c>
      <c r="P1356" s="88">
        <v>5</v>
      </c>
      <c r="Z1356" s="100"/>
    </row>
    <row r="1357" spans="1:26" x14ac:dyDescent="0.25">
      <c r="A1357" s="99">
        <v>45627</v>
      </c>
      <c r="B1357" s="74">
        <v>45652</v>
      </c>
      <c r="C1357" s="61" t="s">
        <v>124</v>
      </c>
      <c r="D1357" s="60" t="s">
        <v>481</v>
      </c>
      <c r="E1357" s="62" t="s">
        <v>1071</v>
      </c>
      <c r="F1357" s="73" t="s">
        <v>1385</v>
      </c>
      <c r="G1357" s="59" t="s">
        <v>142</v>
      </c>
      <c r="H1357" s="83">
        <v>0.45833333333333331</v>
      </c>
      <c r="I1357" s="83">
        <v>0.75</v>
      </c>
      <c r="J1357" s="63">
        <f t="shared" si="303"/>
        <v>0.29166666666666669</v>
      </c>
      <c r="K1357" s="88" t="s">
        <v>300</v>
      </c>
      <c r="L1357" s="135">
        <f t="shared" si="304"/>
        <v>7</v>
      </c>
      <c r="O1357" s="81" t="s">
        <v>362</v>
      </c>
      <c r="P1357" s="88">
        <v>5</v>
      </c>
      <c r="Z1357" s="100"/>
    </row>
    <row r="1358" spans="1:26" x14ac:dyDescent="0.25">
      <c r="A1358" s="99">
        <v>45627</v>
      </c>
      <c r="B1358" s="74">
        <v>45652</v>
      </c>
      <c r="C1358" s="61" t="s">
        <v>124</v>
      </c>
      <c r="D1358" s="60" t="s">
        <v>325</v>
      </c>
      <c r="E1358" s="60" t="s">
        <v>1411</v>
      </c>
      <c r="F1358" s="73" t="s">
        <v>1412</v>
      </c>
      <c r="G1358" s="59" t="s">
        <v>142</v>
      </c>
      <c r="H1358" s="83">
        <v>0.5</v>
      </c>
      <c r="I1358" s="83">
        <v>0.70833333333333337</v>
      </c>
      <c r="J1358" s="63">
        <f t="shared" si="303"/>
        <v>0.20833333333333337</v>
      </c>
      <c r="K1358" s="88" t="s">
        <v>113</v>
      </c>
      <c r="L1358" s="135">
        <f t="shared" si="304"/>
        <v>5.0000000000000009</v>
      </c>
      <c r="O1358" s="81" t="s">
        <v>539</v>
      </c>
      <c r="P1358" s="88">
        <v>5</v>
      </c>
      <c r="Z1358" s="100"/>
    </row>
    <row r="1359" spans="1:26" x14ac:dyDescent="0.25">
      <c r="A1359" s="99">
        <v>45627</v>
      </c>
      <c r="B1359" s="74">
        <v>45654</v>
      </c>
      <c r="C1359" s="61" t="s">
        <v>34</v>
      </c>
      <c r="D1359" s="60" t="s">
        <v>1430</v>
      </c>
      <c r="E1359" s="62" t="s">
        <v>1431</v>
      </c>
      <c r="F1359" s="73" t="s">
        <v>837</v>
      </c>
      <c r="G1359" s="59" t="s">
        <v>142</v>
      </c>
      <c r="H1359" s="83">
        <v>0.45833333333333331</v>
      </c>
      <c r="I1359" s="83">
        <v>0.75</v>
      </c>
      <c r="J1359" s="63">
        <f t="shared" si="303"/>
        <v>0.29166666666666669</v>
      </c>
      <c r="K1359" s="88" t="s">
        <v>300</v>
      </c>
      <c r="L1359" s="135">
        <f t="shared" si="304"/>
        <v>7</v>
      </c>
      <c r="O1359" s="81" t="s">
        <v>362</v>
      </c>
      <c r="P1359" s="88">
        <v>5</v>
      </c>
      <c r="Z1359" s="100"/>
    </row>
    <row r="1360" spans="1:26" x14ac:dyDescent="0.25">
      <c r="A1360" s="99">
        <v>45627</v>
      </c>
      <c r="B1360" s="74">
        <v>45654</v>
      </c>
      <c r="C1360" s="61" t="s">
        <v>34</v>
      </c>
      <c r="D1360" s="60" t="s">
        <v>481</v>
      </c>
      <c r="E1360" s="62" t="s">
        <v>299</v>
      </c>
      <c r="F1360" s="73" t="s">
        <v>1364</v>
      </c>
      <c r="G1360" s="59" t="s">
        <v>142</v>
      </c>
      <c r="H1360" s="83">
        <v>0.33333333333333331</v>
      </c>
      <c r="I1360" s="83">
        <v>0.70833333333333337</v>
      </c>
      <c r="J1360" s="63">
        <f t="shared" si="303"/>
        <v>0.37500000000000006</v>
      </c>
      <c r="K1360" s="61" t="s">
        <v>113</v>
      </c>
      <c r="L1360" s="135">
        <f t="shared" si="304"/>
        <v>9.0000000000000018</v>
      </c>
      <c r="O1360" s="81" t="s">
        <v>357</v>
      </c>
      <c r="P1360" s="88">
        <v>5</v>
      </c>
      <c r="Z1360" s="100"/>
    </row>
    <row r="1361" spans="1:26" x14ac:dyDescent="0.25">
      <c r="A1361" s="99">
        <v>45627</v>
      </c>
      <c r="B1361" s="74">
        <v>45654</v>
      </c>
      <c r="C1361" s="61" t="s">
        <v>34</v>
      </c>
      <c r="D1361" s="60" t="s">
        <v>740</v>
      </c>
      <c r="E1361" s="62" t="s">
        <v>961</v>
      </c>
      <c r="F1361" s="73" t="s">
        <v>1381</v>
      </c>
      <c r="G1361" s="59" t="s">
        <v>142</v>
      </c>
      <c r="H1361" s="83">
        <v>0.41666666666666669</v>
      </c>
      <c r="I1361" s="83">
        <v>0.70833333333333337</v>
      </c>
      <c r="J1361" s="63">
        <f t="shared" si="303"/>
        <v>0.29166666666666669</v>
      </c>
      <c r="K1361" s="61" t="s">
        <v>110</v>
      </c>
      <c r="L1361" s="135">
        <f t="shared" si="304"/>
        <v>7</v>
      </c>
      <c r="O1361" s="81" t="s">
        <v>363</v>
      </c>
      <c r="P1361" s="88">
        <v>5</v>
      </c>
      <c r="Z1361" s="100"/>
    </row>
    <row r="1362" spans="1:26" x14ac:dyDescent="0.25">
      <c r="A1362" s="99">
        <v>45627</v>
      </c>
      <c r="B1362" s="74">
        <v>45654</v>
      </c>
      <c r="C1362" s="61" t="s">
        <v>34</v>
      </c>
      <c r="D1362" s="60" t="s">
        <v>481</v>
      </c>
      <c r="E1362" s="62" t="s">
        <v>1304</v>
      </c>
      <c r="F1362" s="73" t="s">
        <v>1378</v>
      </c>
      <c r="G1362" s="59" t="s">
        <v>142</v>
      </c>
      <c r="H1362" s="83">
        <v>0.58333333333333337</v>
      </c>
      <c r="I1362" s="83">
        <v>0.66666666666666663</v>
      </c>
      <c r="J1362" s="63">
        <f t="shared" si="303"/>
        <v>8.3333333333333259E-2</v>
      </c>
      <c r="K1362" s="61" t="s">
        <v>110</v>
      </c>
      <c r="L1362" s="135">
        <f t="shared" si="304"/>
        <v>1.9999999999999982</v>
      </c>
      <c r="O1362" s="81" t="s">
        <v>363</v>
      </c>
      <c r="P1362" s="88">
        <v>5</v>
      </c>
      <c r="Z1362" s="100"/>
    </row>
    <row r="1363" spans="1:26" x14ac:dyDescent="0.25">
      <c r="A1363" s="99">
        <v>45627</v>
      </c>
      <c r="B1363" s="74">
        <v>45655</v>
      </c>
      <c r="C1363" s="61" t="s">
        <v>31</v>
      </c>
      <c r="D1363" s="60" t="s">
        <v>481</v>
      </c>
      <c r="E1363" s="62" t="s">
        <v>299</v>
      </c>
      <c r="F1363" s="73" t="s">
        <v>1364</v>
      </c>
      <c r="G1363" s="59" t="s">
        <v>142</v>
      </c>
      <c r="H1363" s="83">
        <v>0.33333333333333331</v>
      </c>
      <c r="I1363" s="83">
        <v>0.70833333333333337</v>
      </c>
      <c r="J1363" s="63">
        <f t="shared" si="303"/>
        <v>0.37500000000000006</v>
      </c>
      <c r="K1363" s="61" t="s">
        <v>113</v>
      </c>
      <c r="L1363" s="135">
        <f t="shared" si="304"/>
        <v>9.0000000000000018</v>
      </c>
      <c r="O1363" s="81" t="s">
        <v>539</v>
      </c>
      <c r="P1363" s="88">
        <v>5</v>
      </c>
      <c r="Z1363" s="100"/>
    </row>
    <row r="1364" spans="1:26" x14ac:dyDescent="0.25">
      <c r="A1364" s="99">
        <v>45627</v>
      </c>
      <c r="B1364" s="74">
        <v>45655</v>
      </c>
      <c r="C1364" s="61" t="s">
        <v>31</v>
      </c>
      <c r="D1364" s="60" t="s">
        <v>1430</v>
      </c>
      <c r="E1364" s="62" t="s">
        <v>1431</v>
      </c>
      <c r="F1364" s="73" t="s">
        <v>837</v>
      </c>
      <c r="G1364" s="59" t="s">
        <v>142</v>
      </c>
      <c r="H1364" s="83">
        <v>0.4375</v>
      </c>
      <c r="I1364" s="83">
        <v>0.75</v>
      </c>
      <c r="J1364" s="63">
        <f t="shared" si="303"/>
        <v>0.3125</v>
      </c>
      <c r="K1364" s="88" t="s">
        <v>300</v>
      </c>
      <c r="L1364" s="135">
        <f t="shared" si="304"/>
        <v>7.5</v>
      </c>
      <c r="O1364" s="81" t="s">
        <v>362</v>
      </c>
      <c r="P1364" s="88">
        <v>5</v>
      </c>
      <c r="Z1364" s="100"/>
    </row>
    <row r="1365" spans="1:26" x14ac:dyDescent="0.25">
      <c r="A1365" s="99">
        <v>45627</v>
      </c>
      <c r="B1365" s="74">
        <v>45655</v>
      </c>
      <c r="C1365" s="61" t="s">
        <v>31</v>
      </c>
      <c r="D1365" s="60" t="s">
        <v>481</v>
      </c>
      <c r="E1365" s="62" t="s">
        <v>1425</v>
      </c>
      <c r="F1365" s="73" t="s">
        <v>1426</v>
      </c>
      <c r="G1365" s="59" t="s">
        <v>142</v>
      </c>
      <c r="H1365" s="83">
        <v>0.41666666666666669</v>
      </c>
      <c r="I1365" s="83">
        <v>0.75</v>
      </c>
      <c r="J1365" s="63">
        <f t="shared" si="303"/>
        <v>0.33333333333333331</v>
      </c>
      <c r="K1365" s="88" t="s">
        <v>300</v>
      </c>
      <c r="L1365" s="135">
        <f t="shared" si="304"/>
        <v>8</v>
      </c>
      <c r="O1365" s="81" t="s">
        <v>362</v>
      </c>
      <c r="P1365" s="88">
        <v>5</v>
      </c>
      <c r="Z1365" s="100"/>
    </row>
    <row r="1366" spans="1:26" x14ac:dyDescent="0.25">
      <c r="A1366" s="99">
        <v>45627</v>
      </c>
      <c r="B1366" s="74">
        <v>45655</v>
      </c>
      <c r="C1366" s="61" t="s">
        <v>31</v>
      </c>
      <c r="D1366" s="60" t="s">
        <v>740</v>
      </c>
      <c r="E1366" s="62" t="s">
        <v>961</v>
      </c>
      <c r="F1366" s="73" t="s">
        <v>1381</v>
      </c>
      <c r="G1366" s="59" t="s">
        <v>142</v>
      </c>
      <c r="H1366" s="83">
        <v>0.41666666666666669</v>
      </c>
      <c r="I1366" s="83">
        <v>0.70833333333333337</v>
      </c>
      <c r="J1366" s="63">
        <f t="shared" si="303"/>
        <v>0.29166666666666669</v>
      </c>
      <c r="K1366" s="61" t="s">
        <v>110</v>
      </c>
      <c r="L1366" s="135">
        <f t="shared" si="304"/>
        <v>7</v>
      </c>
      <c r="O1366" s="81" t="s">
        <v>363</v>
      </c>
      <c r="P1366" s="88">
        <v>5</v>
      </c>
      <c r="Z1366" s="100"/>
    </row>
    <row r="1367" spans="1:26" x14ac:dyDescent="0.25">
      <c r="A1367" s="99">
        <v>45627</v>
      </c>
      <c r="B1367" s="74">
        <v>45655</v>
      </c>
      <c r="C1367" s="61" t="s">
        <v>31</v>
      </c>
      <c r="D1367" s="60" t="s">
        <v>1067</v>
      </c>
      <c r="E1367" s="62" t="s">
        <v>1427</v>
      </c>
      <c r="F1367" s="73" t="s">
        <v>837</v>
      </c>
      <c r="G1367" s="59" t="s">
        <v>142</v>
      </c>
      <c r="H1367" s="83">
        <v>0.4375</v>
      </c>
      <c r="I1367" s="83">
        <v>0.58333333333333337</v>
      </c>
      <c r="J1367" s="63">
        <f t="shared" si="303"/>
        <v>0.14583333333333337</v>
      </c>
      <c r="K1367" s="88" t="s">
        <v>300</v>
      </c>
      <c r="L1367" s="135">
        <f t="shared" si="304"/>
        <v>3.5000000000000009</v>
      </c>
      <c r="O1367" s="81" t="s">
        <v>362</v>
      </c>
      <c r="P1367" s="88">
        <v>5</v>
      </c>
      <c r="Z1367" s="100"/>
    </row>
    <row r="1368" spans="1:26" x14ac:dyDescent="0.25">
      <c r="A1368" s="99">
        <v>45627</v>
      </c>
      <c r="B1368" s="74">
        <v>45656</v>
      </c>
      <c r="C1368" s="61" t="s">
        <v>45</v>
      </c>
      <c r="D1368" s="60" t="s">
        <v>481</v>
      </c>
      <c r="E1368" s="62" t="s">
        <v>299</v>
      </c>
      <c r="F1368" s="73" t="s">
        <v>1364</v>
      </c>
      <c r="G1368" s="59" t="s">
        <v>142</v>
      </c>
      <c r="H1368" s="83">
        <v>0.33333333333333331</v>
      </c>
      <c r="I1368" s="83">
        <v>0.70833333333333337</v>
      </c>
      <c r="J1368" s="63">
        <f t="shared" si="303"/>
        <v>0.37500000000000006</v>
      </c>
      <c r="K1368" s="61" t="s">
        <v>113</v>
      </c>
      <c r="L1368" s="135">
        <f t="shared" si="304"/>
        <v>9.0000000000000018</v>
      </c>
      <c r="O1368" s="81" t="s">
        <v>539</v>
      </c>
      <c r="P1368" s="88">
        <v>5</v>
      </c>
      <c r="Z1368" s="100"/>
    </row>
    <row r="1369" spans="1:26" x14ac:dyDescent="0.25">
      <c r="A1369" s="99">
        <v>45627</v>
      </c>
      <c r="B1369" s="74">
        <v>45656</v>
      </c>
      <c r="C1369" s="61" t="s">
        <v>45</v>
      </c>
      <c r="D1369" s="60" t="s">
        <v>308</v>
      </c>
      <c r="E1369" s="60" t="s">
        <v>1432</v>
      </c>
      <c r="F1369" s="73" t="s">
        <v>1413</v>
      </c>
      <c r="G1369" s="59" t="s">
        <v>142</v>
      </c>
      <c r="H1369" s="83">
        <v>0.5</v>
      </c>
      <c r="I1369" s="83">
        <v>0.52083333333333337</v>
      </c>
      <c r="J1369" s="63">
        <f t="shared" si="303"/>
        <v>2.083333333333337E-2</v>
      </c>
      <c r="K1369" s="88" t="s">
        <v>295</v>
      </c>
      <c r="L1369" s="135">
        <f t="shared" si="304"/>
        <v>0.50000000000000089</v>
      </c>
      <c r="O1369" s="91" t="s">
        <v>359</v>
      </c>
      <c r="P1369" s="88">
        <v>5</v>
      </c>
      <c r="Z1369" s="100"/>
    </row>
    <row r="1370" spans="1:26" x14ac:dyDescent="0.25">
      <c r="A1370" s="99">
        <v>45627</v>
      </c>
      <c r="B1370" s="74">
        <v>45656</v>
      </c>
      <c r="C1370" s="61" t="s">
        <v>45</v>
      </c>
      <c r="D1370" s="60" t="s">
        <v>126</v>
      </c>
      <c r="E1370" s="62" t="s">
        <v>1433</v>
      </c>
      <c r="F1370" s="73" t="s">
        <v>176</v>
      </c>
      <c r="G1370" s="59" t="s">
        <v>142</v>
      </c>
      <c r="H1370" s="83">
        <v>0.58333333333333337</v>
      </c>
      <c r="I1370" s="83">
        <v>0.625</v>
      </c>
      <c r="J1370" s="63">
        <f t="shared" si="303"/>
        <v>4.166666666666663E-2</v>
      </c>
      <c r="K1370" s="61" t="s">
        <v>295</v>
      </c>
      <c r="L1370" s="135">
        <f t="shared" si="304"/>
        <v>0.99999999999999911</v>
      </c>
      <c r="O1370" s="91" t="s">
        <v>359</v>
      </c>
      <c r="P1370" s="88">
        <v>5</v>
      </c>
      <c r="Z1370" s="100"/>
    </row>
    <row r="1371" spans="1:26" x14ac:dyDescent="0.25">
      <c r="A1371" s="99">
        <v>45627</v>
      </c>
      <c r="B1371" s="74">
        <v>45656</v>
      </c>
      <c r="C1371" s="61" t="s">
        <v>45</v>
      </c>
      <c r="D1371" s="60" t="s">
        <v>126</v>
      </c>
      <c r="E1371" s="62" t="s">
        <v>1433</v>
      </c>
      <c r="F1371" s="73" t="s">
        <v>176</v>
      </c>
      <c r="G1371" s="59" t="s">
        <v>142</v>
      </c>
      <c r="H1371" s="83">
        <v>0.54166666666666663</v>
      </c>
      <c r="I1371" s="83">
        <v>0.58333333333333337</v>
      </c>
      <c r="J1371" s="63">
        <f t="shared" si="303"/>
        <v>4.1666666666666741E-2</v>
      </c>
      <c r="K1371" s="61" t="s">
        <v>110</v>
      </c>
      <c r="L1371" s="135">
        <f t="shared" si="304"/>
        <v>1.0000000000000018</v>
      </c>
      <c r="O1371" s="91" t="s">
        <v>359</v>
      </c>
      <c r="P1371" s="88">
        <v>5</v>
      </c>
      <c r="Z1371" s="100"/>
    </row>
    <row r="1372" spans="1:26" x14ac:dyDescent="0.25">
      <c r="A1372" s="99">
        <v>45627</v>
      </c>
      <c r="B1372" s="74">
        <v>45656</v>
      </c>
      <c r="C1372" s="61" t="s">
        <v>45</v>
      </c>
      <c r="D1372" s="60" t="s">
        <v>308</v>
      </c>
      <c r="E1372" s="60" t="s">
        <v>1432</v>
      </c>
      <c r="F1372" s="73" t="s">
        <v>1413</v>
      </c>
      <c r="G1372" s="59" t="s">
        <v>142</v>
      </c>
      <c r="H1372" s="83">
        <v>0.5</v>
      </c>
      <c r="I1372" s="83">
        <v>0.52083333333333337</v>
      </c>
      <c r="J1372" s="63">
        <f t="shared" si="303"/>
        <v>2.083333333333337E-2</v>
      </c>
      <c r="K1372" s="88" t="s">
        <v>110</v>
      </c>
      <c r="L1372" s="135">
        <f t="shared" si="304"/>
        <v>0.50000000000000089</v>
      </c>
      <c r="O1372" s="91" t="s">
        <v>359</v>
      </c>
      <c r="P1372" s="88">
        <v>5</v>
      </c>
      <c r="Z1372" s="100"/>
    </row>
    <row r="1373" spans="1:26" x14ac:dyDescent="0.25">
      <c r="A1373" s="99">
        <v>45627</v>
      </c>
      <c r="B1373" s="74">
        <v>45657</v>
      </c>
      <c r="C1373" s="61" t="s">
        <v>106</v>
      </c>
      <c r="D1373" s="60" t="s">
        <v>740</v>
      </c>
      <c r="E1373" s="61" t="s">
        <v>1434</v>
      </c>
      <c r="F1373" s="73" t="s">
        <v>1381</v>
      </c>
      <c r="G1373" s="59" t="s">
        <v>142</v>
      </c>
      <c r="H1373" s="83">
        <v>0.41666666666666669</v>
      </c>
      <c r="I1373" s="83">
        <v>0.70833333333333337</v>
      </c>
      <c r="J1373" s="63">
        <f t="shared" si="303"/>
        <v>0.29166666666666669</v>
      </c>
      <c r="K1373" s="61" t="s">
        <v>110</v>
      </c>
      <c r="L1373" s="135">
        <f t="shared" si="304"/>
        <v>7</v>
      </c>
      <c r="O1373" s="81" t="s">
        <v>363</v>
      </c>
      <c r="P1373" s="88">
        <v>5</v>
      </c>
      <c r="Z1373" s="100"/>
    </row>
    <row r="1374" spans="1:26" x14ac:dyDescent="0.25">
      <c r="A1374" s="99">
        <v>45627</v>
      </c>
      <c r="B1374" s="74">
        <v>45657</v>
      </c>
      <c r="C1374" s="61" t="s">
        <v>106</v>
      </c>
      <c r="D1374" s="60" t="s">
        <v>98</v>
      </c>
      <c r="E1374" s="88" t="s">
        <v>591</v>
      </c>
      <c r="F1374" s="73" t="s">
        <v>1435</v>
      </c>
      <c r="G1374" s="59" t="s">
        <v>142</v>
      </c>
      <c r="H1374" s="83">
        <v>0.45833333333333331</v>
      </c>
      <c r="I1374" s="83">
        <v>0.5</v>
      </c>
      <c r="J1374" s="63">
        <f t="shared" si="303"/>
        <v>4.1666666666666685E-2</v>
      </c>
      <c r="K1374" s="61" t="s">
        <v>296</v>
      </c>
      <c r="L1374" s="135">
        <f t="shared" si="304"/>
        <v>1.0000000000000004</v>
      </c>
      <c r="O1374" s="81" t="s">
        <v>304</v>
      </c>
      <c r="P1374" s="88">
        <v>5</v>
      </c>
      <c r="Z1374" s="100"/>
    </row>
    <row r="1375" spans="1:26" x14ac:dyDescent="0.2">
      <c r="A1375" s="99">
        <v>45658</v>
      </c>
      <c r="B1375" s="82">
        <v>45658</v>
      </c>
      <c r="C1375" s="88" t="s">
        <v>398</v>
      </c>
      <c r="D1375" s="60" t="s">
        <v>481</v>
      </c>
      <c r="E1375" s="60" t="s">
        <v>299</v>
      </c>
      <c r="F1375" s="60" t="s">
        <v>1436</v>
      </c>
      <c r="G1375" s="72" t="s">
        <v>142</v>
      </c>
      <c r="H1375" s="83">
        <v>0.33333333333333331</v>
      </c>
      <c r="I1375" s="83">
        <v>0.70833333333333337</v>
      </c>
      <c r="J1375" s="63">
        <f t="shared" si="303"/>
        <v>0.37500000000000006</v>
      </c>
      <c r="K1375" s="60" t="s">
        <v>113</v>
      </c>
      <c r="L1375" s="134">
        <f t="shared" si="304"/>
        <v>9.0000000000000018</v>
      </c>
      <c r="O1375" s="91" t="s">
        <v>539</v>
      </c>
      <c r="P1375" s="88">
        <v>5</v>
      </c>
      <c r="Z1375" s="100"/>
    </row>
    <row r="1376" spans="1:26" x14ac:dyDescent="0.2">
      <c r="A1376" s="99">
        <v>45658</v>
      </c>
      <c r="B1376" s="82">
        <v>45658</v>
      </c>
      <c r="C1376" s="88" t="s">
        <v>398</v>
      </c>
      <c r="D1376" s="60" t="s">
        <v>740</v>
      </c>
      <c r="E1376" s="60" t="s">
        <v>1437</v>
      </c>
      <c r="F1376" s="60" t="s">
        <v>1381</v>
      </c>
      <c r="G1376" s="59" t="s">
        <v>142</v>
      </c>
      <c r="H1376" s="83">
        <v>0.41666666666666669</v>
      </c>
      <c r="I1376" s="95">
        <v>0.70833333333333337</v>
      </c>
      <c r="J1376" s="63">
        <f t="shared" si="303"/>
        <v>0.29166666666666669</v>
      </c>
      <c r="K1376" s="88" t="s">
        <v>110</v>
      </c>
      <c r="L1376" s="135">
        <f t="shared" si="304"/>
        <v>7</v>
      </c>
      <c r="O1376" s="91" t="s">
        <v>363</v>
      </c>
      <c r="P1376" s="88">
        <v>5</v>
      </c>
      <c r="Z1376" s="100"/>
    </row>
    <row r="1377" spans="1:26" x14ac:dyDescent="0.2">
      <c r="A1377" s="99">
        <v>45658</v>
      </c>
      <c r="B1377" s="82">
        <v>45658</v>
      </c>
      <c r="C1377" s="88" t="s">
        <v>398</v>
      </c>
      <c r="D1377" s="60" t="s">
        <v>481</v>
      </c>
      <c r="E1377" s="60" t="s">
        <v>1438</v>
      </c>
      <c r="F1377" s="60" t="s">
        <v>1378</v>
      </c>
      <c r="G1377" s="72" t="s">
        <v>142</v>
      </c>
      <c r="H1377" s="83">
        <v>0.45833333333333331</v>
      </c>
      <c r="I1377" s="83">
        <v>0.70833333333333337</v>
      </c>
      <c r="J1377" s="63">
        <f t="shared" si="303"/>
        <v>0.25000000000000006</v>
      </c>
      <c r="K1377" s="60" t="s">
        <v>110</v>
      </c>
      <c r="L1377" s="134">
        <f t="shared" si="304"/>
        <v>6.0000000000000018</v>
      </c>
      <c r="O1377" s="91" t="s">
        <v>363</v>
      </c>
      <c r="P1377" s="88">
        <v>5</v>
      </c>
      <c r="Z1377" s="100"/>
    </row>
    <row r="1378" spans="1:26" x14ac:dyDescent="0.2">
      <c r="A1378" s="99">
        <v>45658</v>
      </c>
      <c r="B1378" s="82">
        <v>45659</v>
      </c>
      <c r="C1378" s="88" t="s">
        <v>124</v>
      </c>
      <c r="D1378" s="60" t="s">
        <v>481</v>
      </c>
      <c r="E1378" s="60" t="s">
        <v>1438</v>
      </c>
      <c r="F1378" s="60" t="s">
        <v>1378</v>
      </c>
      <c r="G1378" s="72" t="s">
        <v>142</v>
      </c>
      <c r="H1378" s="83">
        <v>0.41666666666666669</v>
      </c>
      <c r="I1378" s="83">
        <v>0.70833333333333337</v>
      </c>
      <c r="J1378" s="63">
        <f t="shared" si="303"/>
        <v>0.29166666666666669</v>
      </c>
      <c r="K1378" s="60" t="s">
        <v>110</v>
      </c>
      <c r="L1378" s="134">
        <f t="shared" si="304"/>
        <v>7</v>
      </c>
      <c r="O1378" s="91" t="s">
        <v>363</v>
      </c>
      <c r="P1378" s="88">
        <v>5</v>
      </c>
      <c r="Z1378" s="100"/>
    </row>
    <row r="1379" spans="1:26" x14ac:dyDescent="0.2">
      <c r="A1379" s="99">
        <v>45658</v>
      </c>
      <c r="B1379" s="82">
        <v>45659</v>
      </c>
      <c r="C1379" s="88" t="s">
        <v>124</v>
      </c>
      <c r="D1379" s="60" t="s">
        <v>740</v>
      </c>
      <c r="E1379" s="60" t="s">
        <v>1439</v>
      </c>
      <c r="F1379" s="60" t="s">
        <v>1381</v>
      </c>
      <c r="G1379" s="72" t="s">
        <v>142</v>
      </c>
      <c r="H1379" s="83">
        <v>0.41666666666666669</v>
      </c>
      <c r="I1379" s="83">
        <v>0.70833333333333337</v>
      </c>
      <c r="J1379" s="63">
        <f t="shared" si="303"/>
        <v>0.29166666666666669</v>
      </c>
      <c r="K1379" s="60" t="s">
        <v>110</v>
      </c>
      <c r="L1379" s="134">
        <f t="shared" si="304"/>
        <v>7</v>
      </c>
      <c r="O1379" s="91" t="s">
        <v>363</v>
      </c>
      <c r="P1379" s="88">
        <v>5</v>
      </c>
      <c r="Z1379" s="100"/>
    </row>
    <row r="1380" spans="1:26" x14ac:dyDescent="0.2">
      <c r="A1380" s="99">
        <v>45658</v>
      </c>
      <c r="B1380" s="82">
        <v>45661</v>
      </c>
      <c r="C1380" s="88" t="s">
        <v>34</v>
      </c>
      <c r="D1380" s="60" t="s">
        <v>481</v>
      </c>
      <c r="E1380" s="60" t="s">
        <v>299</v>
      </c>
      <c r="F1380" s="60" t="s">
        <v>1436</v>
      </c>
      <c r="G1380" s="59" t="s">
        <v>142</v>
      </c>
      <c r="H1380" s="83">
        <v>0.33333333333333331</v>
      </c>
      <c r="I1380" s="83">
        <v>0.70833333333333337</v>
      </c>
      <c r="J1380" s="63">
        <f t="shared" si="303"/>
        <v>0.37500000000000006</v>
      </c>
      <c r="K1380" s="60" t="s">
        <v>113</v>
      </c>
      <c r="L1380" s="134">
        <f t="shared" si="304"/>
        <v>9.0000000000000018</v>
      </c>
      <c r="O1380" s="91" t="s">
        <v>357</v>
      </c>
      <c r="P1380" s="88">
        <v>5</v>
      </c>
      <c r="Z1380" s="100"/>
    </row>
    <row r="1381" spans="1:26" x14ac:dyDescent="0.2">
      <c r="A1381" s="99">
        <v>45658</v>
      </c>
      <c r="B1381" s="82">
        <v>45661</v>
      </c>
      <c r="C1381" s="88" t="s">
        <v>34</v>
      </c>
      <c r="D1381" s="60" t="s">
        <v>1391</v>
      </c>
      <c r="E1381" s="60" t="s">
        <v>299</v>
      </c>
      <c r="F1381" s="60" t="s">
        <v>1406</v>
      </c>
      <c r="G1381" s="59" t="s">
        <v>142</v>
      </c>
      <c r="H1381" s="83">
        <v>0.41666666666666669</v>
      </c>
      <c r="I1381" s="83">
        <v>0.70833333333333337</v>
      </c>
      <c r="J1381" s="63">
        <f t="shared" si="303"/>
        <v>0.29166666666666669</v>
      </c>
      <c r="K1381" s="60" t="s">
        <v>113</v>
      </c>
      <c r="L1381" s="134">
        <f t="shared" si="304"/>
        <v>7</v>
      </c>
      <c r="O1381" s="91" t="s">
        <v>357</v>
      </c>
      <c r="P1381" s="88">
        <v>5</v>
      </c>
      <c r="Z1381" s="100"/>
    </row>
    <row r="1382" spans="1:26" x14ac:dyDescent="0.2">
      <c r="A1382" s="99">
        <v>45658</v>
      </c>
      <c r="B1382" s="82">
        <v>45661</v>
      </c>
      <c r="C1382" s="88" t="s">
        <v>34</v>
      </c>
      <c r="D1382" s="60" t="s">
        <v>481</v>
      </c>
      <c r="E1382" s="60" t="s">
        <v>1438</v>
      </c>
      <c r="F1382" s="60" t="s">
        <v>1378</v>
      </c>
      <c r="G1382" s="72" t="s">
        <v>142</v>
      </c>
      <c r="H1382" s="83">
        <v>0.45833333333333331</v>
      </c>
      <c r="I1382" s="83">
        <v>0.70833333333333337</v>
      </c>
      <c r="J1382" s="63">
        <f t="shared" si="303"/>
        <v>0.25000000000000006</v>
      </c>
      <c r="K1382" s="60" t="s">
        <v>110</v>
      </c>
      <c r="L1382" s="134">
        <f t="shared" si="304"/>
        <v>6.0000000000000018</v>
      </c>
      <c r="O1382" s="91" t="s">
        <v>539</v>
      </c>
      <c r="P1382" s="88">
        <v>5</v>
      </c>
      <c r="Z1382" s="100"/>
    </row>
    <row r="1383" spans="1:26" x14ac:dyDescent="0.2">
      <c r="A1383" s="99">
        <v>45658</v>
      </c>
      <c r="B1383" s="82">
        <v>45661</v>
      </c>
      <c r="C1383" s="88" t="s">
        <v>34</v>
      </c>
      <c r="D1383" s="60" t="s">
        <v>740</v>
      </c>
      <c r="E1383" s="60" t="s">
        <v>1437</v>
      </c>
      <c r="F1383" s="60" t="s">
        <v>1381</v>
      </c>
      <c r="G1383" s="59" t="s">
        <v>142</v>
      </c>
      <c r="H1383" s="83">
        <v>0.375</v>
      </c>
      <c r="I1383" s="95">
        <v>0.70833333333333337</v>
      </c>
      <c r="J1383" s="63">
        <f t="shared" si="303"/>
        <v>0.33333333333333337</v>
      </c>
      <c r="K1383" s="88" t="s">
        <v>110</v>
      </c>
      <c r="L1383" s="135">
        <f t="shared" si="304"/>
        <v>8</v>
      </c>
      <c r="O1383" s="91" t="s">
        <v>539</v>
      </c>
      <c r="P1383" s="88">
        <v>5</v>
      </c>
      <c r="Z1383" s="100"/>
    </row>
    <row r="1384" spans="1:26" x14ac:dyDescent="0.2">
      <c r="A1384" s="99">
        <v>45658</v>
      </c>
      <c r="B1384" s="82">
        <v>45661</v>
      </c>
      <c r="C1384" s="88" t="s">
        <v>34</v>
      </c>
      <c r="D1384" s="60" t="s">
        <v>86</v>
      </c>
      <c r="E1384" s="60" t="s">
        <v>1440</v>
      </c>
      <c r="F1384" s="60" t="s">
        <v>1441</v>
      </c>
      <c r="G1384" s="72" t="s">
        <v>142</v>
      </c>
      <c r="H1384" s="83">
        <v>0.5</v>
      </c>
      <c r="I1384" s="83">
        <v>0.70833333333333337</v>
      </c>
      <c r="J1384" s="63">
        <f t="shared" si="303"/>
        <v>0.20833333333333337</v>
      </c>
      <c r="K1384" s="60" t="s">
        <v>110</v>
      </c>
      <c r="L1384" s="134">
        <f t="shared" si="304"/>
        <v>5.0000000000000009</v>
      </c>
      <c r="O1384" s="91" t="s">
        <v>539</v>
      </c>
      <c r="P1384" s="88">
        <v>4</v>
      </c>
      <c r="Z1384" s="100"/>
    </row>
    <row r="1385" spans="1:26" x14ac:dyDescent="0.2">
      <c r="A1385" s="99">
        <v>45658</v>
      </c>
      <c r="B1385" s="82">
        <v>45661</v>
      </c>
      <c r="C1385" s="88" t="s">
        <v>34</v>
      </c>
      <c r="D1385" s="60" t="s">
        <v>481</v>
      </c>
      <c r="E1385" s="60" t="s">
        <v>1442</v>
      </c>
      <c r="F1385" s="60" t="s">
        <v>580</v>
      </c>
      <c r="G1385" s="72" t="s">
        <v>142</v>
      </c>
      <c r="H1385" s="83">
        <v>0.47916666666666669</v>
      </c>
      <c r="I1385" s="83">
        <v>0.75</v>
      </c>
      <c r="J1385" s="63">
        <f t="shared" si="303"/>
        <v>0.27083333333333331</v>
      </c>
      <c r="K1385" s="60" t="s">
        <v>300</v>
      </c>
      <c r="L1385" s="134">
        <f t="shared" si="304"/>
        <v>6.5</v>
      </c>
      <c r="O1385" s="91" t="s">
        <v>1214</v>
      </c>
      <c r="P1385" s="88">
        <v>5</v>
      </c>
      <c r="Z1385" s="100"/>
    </row>
    <row r="1386" spans="1:26" x14ac:dyDescent="0.2">
      <c r="A1386" s="99">
        <v>45658</v>
      </c>
      <c r="B1386" s="82">
        <v>45661</v>
      </c>
      <c r="C1386" s="88" t="s">
        <v>34</v>
      </c>
      <c r="D1386" s="60" t="s">
        <v>1067</v>
      </c>
      <c r="E1386" s="60" t="s">
        <v>1349</v>
      </c>
      <c r="F1386" s="60" t="s">
        <v>1350</v>
      </c>
      <c r="G1386" s="72" t="s">
        <v>142</v>
      </c>
      <c r="H1386" s="83">
        <v>0.47916666666666669</v>
      </c>
      <c r="I1386" s="83">
        <v>0.77083333333333337</v>
      </c>
      <c r="J1386" s="63">
        <f t="shared" si="303"/>
        <v>0.29166666666666669</v>
      </c>
      <c r="K1386" s="60" t="s">
        <v>300</v>
      </c>
      <c r="L1386" s="134">
        <f t="shared" si="304"/>
        <v>7</v>
      </c>
      <c r="O1386" s="91" t="s">
        <v>1214</v>
      </c>
      <c r="P1386" s="88">
        <v>5</v>
      </c>
      <c r="Z1386" s="100"/>
    </row>
    <row r="1387" spans="1:26" x14ac:dyDescent="0.2">
      <c r="A1387" s="99">
        <v>45658</v>
      </c>
      <c r="B1387" s="82">
        <v>45662</v>
      </c>
      <c r="C1387" s="88" t="s">
        <v>31</v>
      </c>
      <c r="D1387" s="60" t="s">
        <v>1391</v>
      </c>
      <c r="E1387" s="60" t="s">
        <v>1443</v>
      </c>
      <c r="F1387" s="60" t="s">
        <v>1444</v>
      </c>
      <c r="G1387" s="72" t="s">
        <v>142</v>
      </c>
      <c r="H1387" s="83">
        <v>0.54166666666666663</v>
      </c>
      <c r="I1387" s="83">
        <v>0.70833333333333337</v>
      </c>
      <c r="J1387" s="63">
        <f t="shared" si="303"/>
        <v>0.16666666666666674</v>
      </c>
      <c r="K1387" s="60" t="s">
        <v>365</v>
      </c>
      <c r="L1387" s="134">
        <f t="shared" si="304"/>
        <v>4.0000000000000018</v>
      </c>
      <c r="O1387" s="91" t="s">
        <v>360</v>
      </c>
      <c r="P1387" s="88">
        <v>3</v>
      </c>
      <c r="Z1387" s="100"/>
    </row>
    <row r="1388" spans="1:26" x14ac:dyDescent="0.2">
      <c r="A1388" s="99">
        <v>45658</v>
      </c>
      <c r="B1388" s="82">
        <v>45662</v>
      </c>
      <c r="C1388" s="88" t="s">
        <v>31</v>
      </c>
      <c r="D1388" s="60" t="s">
        <v>1391</v>
      </c>
      <c r="E1388" s="60" t="s">
        <v>1445</v>
      </c>
      <c r="F1388" s="60" t="s">
        <v>1446</v>
      </c>
      <c r="G1388" s="72" t="s">
        <v>142</v>
      </c>
      <c r="H1388" s="83">
        <v>0.60416666666666663</v>
      </c>
      <c r="I1388" s="83">
        <v>0.70833333333333337</v>
      </c>
      <c r="J1388" s="63">
        <f t="shared" si="303"/>
        <v>0.10416666666666674</v>
      </c>
      <c r="K1388" s="60" t="s">
        <v>365</v>
      </c>
      <c r="L1388" s="134">
        <f t="shared" si="304"/>
        <v>2.5000000000000018</v>
      </c>
      <c r="O1388" s="91" t="s">
        <v>820</v>
      </c>
      <c r="P1388" s="88">
        <v>5</v>
      </c>
      <c r="Z1388" s="100"/>
    </row>
    <row r="1389" spans="1:26" x14ac:dyDescent="0.2">
      <c r="A1389" s="99">
        <v>45658</v>
      </c>
      <c r="B1389" s="82">
        <v>45663</v>
      </c>
      <c r="C1389" s="88" t="s">
        <v>45</v>
      </c>
      <c r="D1389" s="60" t="s">
        <v>86</v>
      </c>
      <c r="E1389" s="60" t="s">
        <v>1447</v>
      </c>
      <c r="F1389" s="60" t="s">
        <v>1448</v>
      </c>
      <c r="G1389" s="72" t="s">
        <v>142</v>
      </c>
      <c r="H1389" s="83">
        <v>0.41666666666666702</v>
      </c>
      <c r="I1389" s="83">
        <v>0.70833333333333337</v>
      </c>
      <c r="J1389" s="63">
        <f t="shared" si="303"/>
        <v>0.29166666666666635</v>
      </c>
      <c r="K1389" s="60" t="s">
        <v>110</v>
      </c>
      <c r="L1389" s="134">
        <f t="shared" si="304"/>
        <v>6.9999999999999929</v>
      </c>
      <c r="O1389" s="91" t="s">
        <v>363</v>
      </c>
      <c r="P1389" s="88">
        <v>5</v>
      </c>
      <c r="Z1389" s="100"/>
    </row>
    <row r="1390" spans="1:26" x14ac:dyDescent="0.2">
      <c r="A1390" s="99">
        <v>45658</v>
      </c>
      <c r="B1390" s="82">
        <v>45663</v>
      </c>
      <c r="C1390" s="88" t="s">
        <v>45</v>
      </c>
      <c r="D1390" s="60" t="s">
        <v>481</v>
      </c>
      <c r="E1390" s="60" t="s">
        <v>1438</v>
      </c>
      <c r="F1390" s="60" t="s">
        <v>1378</v>
      </c>
      <c r="G1390" s="72" t="s">
        <v>142</v>
      </c>
      <c r="H1390" s="83">
        <v>0.45833333333333331</v>
      </c>
      <c r="I1390" s="83">
        <v>0.70833333333333337</v>
      </c>
      <c r="J1390" s="63">
        <f t="shared" si="303"/>
        <v>0.25000000000000006</v>
      </c>
      <c r="K1390" s="60" t="s">
        <v>110</v>
      </c>
      <c r="L1390" s="134">
        <f t="shared" si="304"/>
        <v>6.0000000000000018</v>
      </c>
      <c r="O1390" s="91" t="s">
        <v>363</v>
      </c>
      <c r="P1390" s="88">
        <v>5</v>
      </c>
      <c r="Z1390" s="100"/>
    </row>
    <row r="1391" spans="1:26" x14ac:dyDescent="0.2">
      <c r="A1391" s="99">
        <v>45658</v>
      </c>
      <c r="B1391" s="82">
        <v>45663</v>
      </c>
      <c r="C1391" s="88" t="s">
        <v>45</v>
      </c>
      <c r="D1391" s="60" t="s">
        <v>1391</v>
      </c>
      <c r="E1391" s="60" t="s">
        <v>1449</v>
      </c>
      <c r="F1391" s="60" t="s">
        <v>1450</v>
      </c>
      <c r="G1391" s="72" t="s">
        <v>142</v>
      </c>
      <c r="H1391" s="83">
        <v>0.54166666666666663</v>
      </c>
      <c r="I1391" s="83">
        <v>0.75</v>
      </c>
      <c r="J1391" s="63">
        <f t="shared" si="303"/>
        <v>0.20833333333333337</v>
      </c>
      <c r="K1391" s="60" t="s">
        <v>295</v>
      </c>
      <c r="L1391" s="134">
        <f t="shared" si="304"/>
        <v>5.0000000000000009</v>
      </c>
      <c r="O1391" s="91" t="s">
        <v>360</v>
      </c>
      <c r="P1391" s="88">
        <v>5</v>
      </c>
      <c r="Z1391" s="100"/>
    </row>
    <row r="1392" spans="1:26" x14ac:dyDescent="0.2">
      <c r="A1392" s="99">
        <v>45658</v>
      </c>
      <c r="B1392" s="82">
        <v>45664</v>
      </c>
      <c r="C1392" s="88" t="s">
        <v>106</v>
      </c>
      <c r="D1392" s="60" t="s">
        <v>481</v>
      </c>
      <c r="E1392" s="60" t="s">
        <v>1438</v>
      </c>
      <c r="F1392" s="60" t="s">
        <v>1378</v>
      </c>
      <c r="G1392" s="72" t="s">
        <v>142</v>
      </c>
      <c r="H1392" s="83">
        <v>0.41666666666666669</v>
      </c>
      <c r="I1392" s="83">
        <v>0.70833333333333337</v>
      </c>
      <c r="J1392" s="63">
        <f t="shared" si="303"/>
        <v>0.29166666666666669</v>
      </c>
      <c r="K1392" s="60" t="s">
        <v>110</v>
      </c>
      <c r="L1392" s="134">
        <f t="shared" si="304"/>
        <v>7</v>
      </c>
      <c r="O1392" s="91" t="s">
        <v>363</v>
      </c>
      <c r="P1392" s="88">
        <v>5</v>
      </c>
      <c r="Z1392" s="100"/>
    </row>
    <row r="1393" spans="1:26" x14ac:dyDescent="0.2">
      <c r="A1393" s="99">
        <v>45658</v>
      </c>
      <c r="B1393" s="82">
        <v>45664</v>
      </c>
      <c r="C1393" s="88" t="s">
        <v>106</v>
      </c>
      <c r="D1393" s="60" t="s">
        <v>481</v>
      </c>
      <c r="E1393" s="60" t="s">
        <v>299</v>
      </c>
      <c r="F1393" s="60" t="s">
        <v>1436</v>
      </c>
      <c r="G1393" s="72" t="s">
        <v>142</v>
      </c>
      <c r="H1393" s="83">
        <v>0.39583333333333331</v>
      </c>
      <c r="I1393" s="83">
        <v>0.70833333333333337</v>
      </c>
      <c r="J1393" s="63">
        <f t="shared" si="303"/>
        <v>0.31250000000000006</v>
      </c>
      <c r="K1393" s="60" t="s">
        <v>113</v>
      </c>
      <c r="L1393" s="134">
        <f t="shared" si="304"/>
        <v>7.5000000000000018</v>
      </c>
      <c r="O1393" s="91" t="s">
        <v>357</v>
      </c>
      <c r="P1393" s="88">
        <v>5</v>
      </c>
      <c r="Z1393" s="100"/>
    </row>
    <row r="1394" spans="1:26" x14ac:dyDescent="0.2">
      <c r="A1394" s="99">
        <v>45658</v>
      </c>
      <c r="B1394" s="82">
        <v>45664</v>
      </c>
      <c r="C1394" s="88" t="s">
        <v>106</v>
      </c>
      <c r="D1394" s="60" t="s">
        <v>481</v>
      </c>
      <c r="E1394" s="60" t="s">
        <v>1071</v>
      </c>
      <c r="F1394" s="60" t="s">
        <v>1451</v>
      </c>
      <c r="G1394" s="72" t="s">
        <v>142</v>
      </c>
      <c r="H1394" s="83">
        <v>0.41666666666666669</v>
      </c>
      <c r="I1394" s="83">
        <v>0.75</v>
      </c>
      <c r="J1394" s="63">
        <f t="shared" si="303"/>
        <v>0.33333333333333331</v>
      </c>
      <c r="K1394" s="60" t="s">
        <v>300</v>
      </c>
      <c r="L1394" s="134">
        <f t="shared" si="304"/>
        <v>8</v>
      </c>
      <c r="O1394" s="91" t="s">
        <v>362</v>
      </c>
      <c r="P1394" s="88">
        <v>5</v>
      </c>
      <c r="Z1394" s="100"/>
    </row>
    <row r="1395" spans="1:26" x14ac:dyDescent="0.2">
      <c r="A1395" s="99">
        <v>45658</v>
      </c>
      <c r="B1395" s="82">
        <v>45664</v>
      </c>
      <c r="C1395" s="88" t="s">
        <v>106</v>
      </c>
      <c r="D1395" s="60" t="s">
        <v>481</v>
      </c>
      <c r="E1395" s="60" t="s">
        <v>299</v>
      </c>
      <c r="F1395" s="60" t="s">
        <v>1406</v>
      </c>
      <c r="G1395" s="72" t="s">
        <v>142</v>
      </c>
      <c r="H1395" s="83">
        <v>0.41666666666666669</v>
      </c>
      <c r="I1395" s="83">
        <v>0.70833333333333337</v>
      </c>
      <c r="J1395" s="63">
        <f t="shared" si="303"/>
        <v>0.29166666666666669</v>
      </c>
      <c r="K1395" s="60" t="s">
        <v>113</v>
      </c>
      <c r="L1395" s="134">
        <f t="shared" si="304"/>
        <v>7</v>
      </c>
      <c r="O1395" s="91" t="s">
        <v>357</v>
      </c>
      <c r="P1395" s="88">
        <v>5</v>
      </c>
      <c r="Z1395" s="100"/>
    </row>
    <row r="1396" spans="1:26" x14ac:dyDescent="0.2">
      <c r="A1396" s="99">
        <v>45658</v>
      </c>
      <c r="B1396" s="82">
        <v>45664</v>
      </c>
      <c r="C1396" s="88" t="s">
        <v>106</v>
      </c>
      <c r="D1396" s="60" t="s">
        <v>98</v>
      </c>
      <c r="E1396" s="60" t="s">
        <v>1452</v>
      </c>
      <c r="F1396" s="60" t="s">
        <v>1453</v>
      </c>
      <c r="G1396" s="72" t="s">
        <v>142</v>
      </c>
      <c r="H1396" s="83">
        <v>0.625</v>
      </c>
      <c r="I1396" s="83">
        <v>0.72916666666666663</v>
      </c>
      <c r="J1396" s="63">
        <f t="shared" si="303"/>
        <v>0.10416666666666663</v>
      </c>
      <c r="K1396" s="60" t="s">
        <v>113</v>
      </c>
      <c r="L1396" s="134">
        <f t="shared" si="304"/>
        <v>2.4999999999999991</v>
      </c>
      <c r="O1396" s="91" t="s">
        <v>357</v>
      </c>
      <c r="P1396" s="88">
        <v>5</v>
      </c>
      <c r="Z1396" s="100"/>
    </row>
    <row r="1397" spans="1:26" x14ac:dyDescent="0.2">
      <c r="A1397" s="99">
        <v>45658</v>
      </c>
      <c r="B1397" s="82">
        <v>45665</v>
      </c>
      <c r="C1397" s="88" t="s">
        <v>398</v>
      </c>
      <c r="D1397" s="60" t="s">
        <v>308</v>
      </c>
      <c r="E1397" s="60" t="s">
        <v>299</v>
      </c>
      <c r="F1397" s="73" t="s">
        <v>1406</v>
      </c>
      <c r="G1397" s="59" t="s">
        <v>142</v>
      </c>
      <c r="H1397" s="83">
        <v>0.5</v>
      </c>
      <c r="I1397" s="83">
        <v>0.70833333333333337</v>
      </c>
      <c r="J1397" s="63">
        <f t="shared" si="303"/>
        <v>0.20833333333333337</v>
      </c>
      <c r="K1397" s="61" t="s">
        <v>113</v>
      </c>
      <c r="L1397" s="134">
        <f t="shared" si="304"/>
        <v>5.0000000000000009</v>
      </c>
      <c r="O1397" s="81" t="s">
        <v>360</v>
      </c>
      <c r="P1397" s="88">
        <v>5</v>
      </c>
      <c r="Z1397" s="100"/>
    </row>
    <row r="1398" spans="1:26" x14ac:dyDescent="0.2">
      <c r="A1398" s="99">
        <v>45658</v>
      </c>
      <c r="B1398" s="82">
        <v>45665</v>
      </c>
      <c r="C1398" s="88" t="s">
        <v>398</v>
      </c>
      <c r="D1398" s="60" t="s">
        <v>481</v>
      </c>
      <c r="E1398" s="60" t="s">
        <v>1071</v>
      </c>
      <c r="F1398" s="60" t="s">
        <v>1451</v>
      </c>
      <c r="G1398" s="72" t="s">
        <v>142</v>
      </c>
      <c r="H1398" s="83">
        <v>0.41666666666666669</v>
      </c>
      <c r="I1398" s="83">
        <v>0.75</v>
      </c>
      <c r="J1398" s="63">
        <f t="shared" si="303"/>
        <v>0.33333333333333331</v>
      </c>
      <c r="K1398" s="60" t="s">
        <v>300</v>
      </c>
      <c r="L1398" s="134">
        <f t="shared" si="304"/>
        <v>8</v>
      </c>
      <c r="O1398" s="91" t="s">
        <v>362</v>
      </c>
      <c r="P1398" s="88">
        <v>5</v>
      </c>
      <c r="Z1398" s="100"/>
    </row>
    <row r="1399" spans="1:26" x14ac:dyDescent="0.2">
      <c r="A1399" s="99">
        <v>45658</v>
      </c>
      <c r="B1399" s="82">
        <v>45665</v>
      </c>
      <c r="C1399" s="88" t="s">
        <v>398</v>
      </c>
      <c r="D1399" s="60" t="s">
        <v>325</v>
      </c>
      <c r="E1399" s="60" t="s">
        <v>1454</v>
      </c>
      <c r="F1399" s="73" t="s">
        <v>1412</v>
      </c>
      <c r="G1399" s="59" t="s">
        <v>142</v>
      </c>
      <c r="H1399" s="83">
        <v>0.41666666666666669</v>
      </c>
      <c r="I1399" s="83">
        <v>0.70833333333333337</v>
      </c>
      <c r="J1399" s="63">
        <f t="shared" si="303"/>
        <v>0.29166666666666669</v>
      </c>
      <c r="K1399" s="61" t="s">
        <v>113</v>
      </c>
      <c r="L1399" s="134">
        <f t="shared" si="304"/>
        <v>7</v>
      </c>
      <c r="O1399" s="81" t="s">
        <v>360</v>
      </c>
      <c r="P1399" s="88">
        <v>5</v>
      </c>
      <c r="Z1399" s="100"/>
    </row>
    <row r="1400" spans="1:26" x14ac:dyDescent="0.2">
      <c r="A1400" s="99">
        <v>45658</v>
      </c>
      <c r="B1400" s="82">
        <v>45665</v>
      </c>
      <c r="C1400" s="61" t="s">
        <v>398</v>
      </c>
      <c r="D1400" s="60" t="s">
        <v>1391</v>
      </c>
      <c r="E1400" s="60" t="s">
        <v>1455</v>
      </c>
      <c r="F1400" s="73" t="s">
        <v>1413</v>
      </c>
      <c r="G1400" s="59" t="s">
        <v>142</v>
      </c>
      <c r="H1400" s="83">
        <v>0.5</v>
      </c>
      <c r="I1400" s="83">
        <v>0.70833333333333337</v>
      </c>
      <c r="J1400" s="63">
        <f t="shared" si="303"/>
        <v>0.20833333333333337</v>
      </c>
      <c r="K1400" s="88" t="s">
        <v>295</v>
      </c>
      <c r="L1400" s="135">
        <f t="shared" si="304"/>
        <v>5.0000000000000009</v>
      </c>
      <c r="O1400" s="91" t="s">
        <v>361</v>
      </c>
      <c r="P1400" s="88">
        <v>5</v>
      </c>
      <c r="Z1400" s="100"/>
    </row>
    <row r="1401" spans="1:26" x14ac:dyDescent="0.2">
      <c r="A1401" s="99">
        <v>45658</v>
      </c>
      <c r="B1401" s="82">
        <v>45666</v>
      </c>
      <c r="C1401" s="88" t="s">
        <v>124</v>
      </c>
      <c r="D1401" s="60" t="s">
        <v>481</v>
      </c>
      <c r="E1401" s="60" t="s">
        <v>299</v>
      </c>
      <c r="F1401" s="73" t="s">
        <v>1406</v>
      </c>
      <c r="G1401" s="59" t="s">
        <v>142</v>
      </c>
      <c r="H1401" s="83">
        <v>0.41666666666666669</v>
      </c>
      <c r="I1401" s="83">
        <v>0.70833333333333337</v>
      </c>
      <c r="J1401" s="63">
        <f t="shared" ref="J1401:J1464" si="305">I1401-H1401</f>
        <v>0.29166666666666669</v>
      </c>
      <c r="K1401" s="61" t="s">
        <v>113</v>
      </c>
      <c r="L1401" s="134">
        <f t="shared" ref="L1401:L1464" si="306">24*J1401</f>
        <v>7</v>
      </c>
      <c r="O1401" s="81" t="s">
        <v>360</v>
      </c>
      <c r="P1401" s="88">
        <v>5</v>
      </c>
      <c r="Z1401" s="100"/>
    </row>
    <row r="1402" spans="1:26" x14ac:dyDescent="0.2">
      <c r="A1402" s="99">
        <v>45658</v>
      </c>
      <c r="B1402" s="82">
        <v>45666</v>
      </c>
      <c r="C1402" s="88" t="s">
        <v>124</v>
      </c>
      <c r="D1402" s="60" t="s">
        <v>325</v>
      </c>
      <c r="E1402" s="60" t="s">
        <v>1454</v>
      </c>
      <c r="F1402" s="73" t="s">
        <v>1412</v>
      </c>
      <c r="G1402" s="59" t="s">
        <v>142</v>
      </c>
      <c r="H1402" s="83">
        <v>0.41666666666666669</v>
      </c>
      <c r="I1402" s="83">
        <v>0.70833333333333337</v>
      </c>
      <c r="J1402" s="63">
        <f t="shared" si="305"/>
        <v>0.29166666666666669</v>
      </c>
      <c r="K1402" s="61" t="s">
        <v>113</v>
      </c>
      <c r="L1402" s="134">
        <f t="shared" si="306"/>
        <v>7</v>
      </c>
      <c r="O1402" s="81" t="s">
        <v>360</v>
      </c>
      <c r="P1402" s="88">
        <v>5</v>
      </c>
      <c r="Z1402" s="100"/>
    </row>
    <row r="1403" spans="1:26" x14ac:dyDescent="0.2">
      <c r="A1403" s="99">
        <v>45658</v>
      </c>
      <c r="B1403" s="82">
        <v>45666</v>
      </c>
      <c r="C1403" s="88" t="s">
        <v>124</v>
      </c>
      <c r="D1403" s="60" t="s">
        <v>311</v>
      </c>
      <c r="E1403" s="60" t="s">
        <v>1456</v>
      </c>
      <c r="F1403" s="73" t="s">
        <v>1343</v>
      </c>
      <c r="G1403" s="59" t="s">
        <v>142</v>
      </c>
      <c r="H1403" s="83">
        <v>0.60416666666666663</v>
      </c>
      <c r="I1403" s="83">
        <v>0.70833333333333337</v>
      </c>
      <c r="J1403" s="63">
        <f t="shared" si="305"/>
        <v>0.10416666666666674</v>
      </c>
      <c r="K1403" s="61" t="s">
        <v>365</v>
      </c>
      <c r="L1403" s="134">
        <f t="shared" si="306"/>
        <v>2.5000000000000018</v>
      </c>
      <c r="O1403" s="81" t="s">
        <v>820</v>
      </c>
      <c r="P1403" s="88">
        <v>5</v>
      </c>
      <c r="Z1403" s="100"/>
    </row>
    <row r="1404" spans="1:26" x14ac:dyDescent="0.2">
      <c r="A1404" s="99">
        <v>45658</v>
      </c>
      <c r="B1404" s="82">
        <v>45666</v>
      </c>
      <c r="C1404" s="88" t="s">
        <v>124</v>
      </c>
      <c r="D1404" s="60" t="s">
        <v>46</v>
      </c>
      <c r="E1404" s="60" t="s">
        <v>1457</v>
      </c>
      <c r="F1404" s="73" t="s">
        <v>1458</v>
      </c>
      <c r="G1404" s="59" t="s">
        <v>142</v>
      </c>
      <c r="H1404" s="83">
        <v>0.41666666666666669</v>
      </c>
      <c r="I1404" s="83">
        <v>0.625</v>
      </c>
      <c r="J1404" s="63">
        <f t="shared" si="305"/>
        <v>0.20833333333333331</v>
      </c>
      <c r="K1404" s="61" t="s">
        <v>365</v>
      </c>
      <c r="L1404" s="134">
        <f t="shared" si="306"/>
        <v>5</v>
      </c>
      <c r="O1404" s="81" t="s">
        <v>820</v>
      </c>
      <c r="P1404" s="88">
        <v>5</v>
      </c>
      <c r="Z1404" s="100"/>
    </row>
    <row r="1405" spans="1:26" x14ac:dyDescent="0.2">
      <c r="A1405" s="99">
        <v>45658</v>
      </c>
      <c r="B1405" s="82">
        <v>45666</v>
      </c>
      <c r="C1405" s="88" t="s">
        <v>124</v>
      </c>
      <c r="D1405" s="60" t="s">
        <v>481</v>
      </c>
      <c r="E1405" s="60" t="s">
        <v>1071</v>
      </c>
      <c r="F1405" s="60" t="s">
        <v>1451</v>
      </c>
      <c r="G1405" s="72" t="s">
        <v>142</v>
      </c>
      <c r="H1405" s="83">
        <v>0.41666666666666669</v>
      </c>
      <c r="I1405" s="83">
        <v>0.75</v>
      </c>
      <c r="J1405" s="63">
        <f t="shared" si="305"/>
        <v>0.33333333333333331</v>
      </c>
      <c r="K1405" s="60" t="s">
        <v>300</v>
      </c>
      <c r="L1405" s="134">
        <f t="shared" si="306"/>
        <v>8</v>
      </c>
      <c r="O1405" s="91" t="s">
        <v>362</v>
      </c>
      <c r="P1405" s="88">
        <v>4</v>
      </c>
      <c r="Z1405" s="100"/>
    </row>
    <row r="1406" spans="1:26" x14ac:dyDescent="0.2">
      <c r="A1406" s="99">
        <v>45658</v>
      </c>
      <c r="B1406" s="82">
        <v>45668</v>
      </c>
      <c r="C1406" s="88" t="s">
        <v>34</v>
      </c>
      <c r="D1406" s="60" t="s">
        <v>325</v>
      </c>
      <c r="E1406" s="60" t="s">
        <v>1459</v>
      </c>
      <c r="F1406" s="60" t="s">
        <v>1460</v>
      </c>
      <c r="G1406" s="72" t="s">
        <v>142</v>
      </c>
      <c r="H1406" s="83">
        <v>0.39583333333333331</v>
      </c>
      <c r="I1406" s="83">
        <v>0.70833333333333337</v>
      </c>
      <c r="J1406" s="63">
        <f t="shared" si="305"/>
        <v>0.31250000000000006</v>
      </c>
      <c r="K1406" s="60" t="s">
        <v>113</v>
      </c>
      <c r="L1406" s="134">
        <f t="shared" si="306"/>
        <v>7.5000000000000018</v>
      </c>
      <c r="O1406" s="91" t="s">
        <v>357</v>
      </c>
      <c r="P1406" s="88">
        <v>5</v>
      </c>
      <c r="Z1406" s="100"/>
    </row>
    <row r="1407" spans="1:26" x14ac:dyDescent="0.2">
      <c r="A1407" s="99">
        <v>45658</v>
      </c>
      <c r="B1407" s="82">
        <v>45668</v>
      </c>
      <c r="C1407" s="88" t="s">
        <v>34</v>
      </c>
      <c r="D1407" s="60" t="s">
        <v>98</v>
      </c>
      <c r="E1407" s="60" t="s">
        <v>1461</v>
      </c>
      <c r="F1407" s="60" t="s">
        <v>1462</v>
      </c>
      <c r="G1407" s="72" t="s">
        <v>142</v>
      </c>
      <c r="H1407" s="83">
        <v>0.39583333333333331</v>
      </c>
      <c r="I1407" s="83">
        <v>0.70833333333333337</v>
      </c>
      <c r="J1407" s="63">
        <f t="shared" si="305"/>
        <v>0.31250000000000006</v>
      </c>
      <c r="K1407" s="60" t="s">
        <v>113</v>
      </c>
      <c r="L1407" s="134">
        <f t="shared" si="306"/>
        <v>7.5000000000000018</v>
      </c>
      <c r="O1407" s="91" t="s">
        <v>357</v>
      </c>
      <c r="P1407" s="88">
        <v>5</v>
      </c>
      <c r="Z1407" s="100"/>
    </row>
    <row r="1408" spans="1:26" x14ac:dyDescent="0.2">
      <c r="A1408" s="99">
        <v>45658</v>
      </c>
      <c r="B1408" s="82">
        <v>45668</v>
      </c>
      <c r="C1408" s="88" t="s">
        <v>34</v>
      </c>
      <c r="D1408" s="60" t="s">
        <v>32</v>
      </c>
      <c r="E1408" s="60" t="s">
        <v>836</v>
      </c>
      <c r="F1408" s="60" t="s">
        <v>1463</v>
      </c>
      <c r="G1408" s="72" t="s">
        <v>142</v>
      </c>
      <c r="H1408" s="83">
        <v>0.39583333333333331</v>
      </c>
      <c r="I1408" s="83">
        <v>0.5</v>
      </c>
      <c r="J1408" s="63">
        <f t="shared" si="305"/>
        <v>0.10416666666666669</v>
      </c>
      <c r="K1408" s="60" t="s">
        <v>113</v>
      </c>
      <c r="L1408" s="134">
        <f t="shared" si="306"/>
        <v>2.5000000000000004</v>
      </c>
      <c r="O1408" s="91" t="s">
        <v>357</v>
      </c>
      <c r="P1408" s="88">
        <v>5</v>
      </c>
      <c r="Z1408" s="100"/>
    </row>
    <row r="1409" spans="1:26" x14ac:dyDescent="0.2">
      <c r="A1409" s="99">
        <v>45658</v>
      </c>
      <c r="B1409" s="82">
        <v>45669</v>
      </c>
      <c r="C1409" s="61" t="s">
        <v>31</v>
      </c>
      <c r="D1409" s="60" t="s">
        <v>830</v>
      </c>
      <c r="E1409" s="62" t="s">
        <v>1464</v>
      </c>
      <c r="F1409" s="73" t="s">
        <v>1465</v>
      </c>
      <c r="G1409" s="59" t="s">
        <v>142</v>
      </c>
      <c r="H1409" s="83">
        <v>0.45833333333333331</v>
      </c>
      <c r="I1409" s="83">
        <v>0.5</v>
      </c>
      <c r="J1409" s="63">
        <f t="shared" si="305"/>
        <v>4.1666666666666685E-2</v>
      </c>
      <c r="K1409" s="61" t="s">
        <v>365</v>
      </c>
      <c r="L1409" s="134">
        <f t="shared" si="306"/>
        <v>1.0000000000000004</v>
      </c>
      <c r="O1409" s="81" t="s">
        <v>359</v>
      </c>
      <c r="P1409" s="88">
        <v>5</v>
      </c>
      <c r="Z1409" s="100"/>
    </row>
    <row r="1410" spans="1:26" x14ac:dyDescent="0.2">
      <c r="A1410" s="99">
        <v>45658</v>
      </c>
      <c r="B1410" s="82">
        <v>45669</v>
      </c>
      <c r="C1410" s="61" t="s">
        <v>31</v>
      </c>
      <c r="D1410" s="60" t="s">
        <v>126</v>
      </c>
      <c r="E1410" s="62" t="s">
        <v>1466</v>
      </c>
      <c r="F1410" s="73" t="s">
        <v>176</v>
      </c>
      <c r="G1410" s="59" t="s">
        <v>142</v>
      </c>
      <c r="H1410" s="83">
        <v>0.5</v>
      </c>
      <c r="I1410" s="83">
        <v>0.625</v>
      </c>
      <c r="J1410" s="63">
        <f t="shared" si="305"/>
        <v>0.125</v>
      </c>
      <c r="K1410" s="61" t="s">
        <v>365</v>
      </c>
      <c r="L1410" s="134">
        <f t="shared" si="306"/>
        <v>3</v>
      </c>
      <c r="O1410" s="81" t="s">
        <v>576</v>
      </c>
      <c r="P1410" s="88">
        <v>5</v>
      </c>
      <c r="Z1410" s="100"/>
    </row>
    <row r="1411" spans="1:26" x14ac:dyDescent="0.2">
      <c r="A1411" s="99">
        <v>45658</v>
      </c>
      <c r="B1411" s="82">
        <v>45669</v>
      </c>
      <c r="C1411" s="61" t="s">
        <v>31</v>
      </c>
      <c r="D1411" s="60" t="s">
        <v>481</v>
      </c>
      <c r="E1411" s="62" t="s">
        <v>299</v>
      </c>
      <c r="F1411" s="73" t="s">
        <v>1436</v>
      </c>
      <c r="G1411" s="59" t="s">
        <v>142</v>
      </c>
      <c r="H1411" s="83">
        <v>0.375</v>
      </c>
      <c r="I1411" s="83">
        <v>0.70833333333333337</v>
      </c>
      <c r="J1411" s="63">
        <f t="shared" si="305"/>
        <v>0.33333333333333337</v>
      </c>
      <c r="K1411" s="61" t="s">
        <v>113</v>
      </c>
      <c r="L1411" s="134">
        <f t="shared" si="306"/>
        <v>8</v>
      </c>
      <c r="O1411" s="81" t="s">
        <v>539</v>
      </c>
      <c r="P1411" s="88">
        <v>5</v>
      </c>
      <c r="Z1411" s="100"/>
    </row>
    <row r="1412" spans="1:26" x14ac:dyDescent="0.2">
      <c r="A1412" s="99">
        <v>45658</v>
      </c>
      <c r="B1412" s="82">
        <v>45670</v>
      </c>
      <c r="C1412" s="61" t="s">
        <v>45</v>
      </c>
      <c r="D1412" s="60" t="s">
        <v>740</v>
      </c>
      <c r="E1412" s="62" t="s">
        <v>1186</v>
      </c>
      <c r="F1412" s="73" t="s">
        <v>809</v>
      </c>
      <c r="G1412" s="59" t="s">
        <v>142</v>
      </c>
      <c r="H1412" s="83">
        <v>0.47916666666666669</v>
      </c>
      <c r="I1412" s="83">
        <v>0.52083333333333337</v>
      </c>
      <c r="J1412" s="63">
        <f t="shared" si="305"/>
        <v>4.1666666666666685E-2</v>
      </c>
      <c r="K1412" s="61" t="s">
        <v>365</v>
      </c>
      <c r="L1412" s="134">
        <f t="shared" si="306"/>
        <v>1.0000000000000004</v>
      </c>
      <c r="O1412" s="81" t="s">
        <v>576</v>
      </c>
      <c r="P1412" s="88">
        <v>5</v>
      </c>
      <c r="Z1412" s="100"/>
    </row>
    <row r="1413" spans="1:26" x14ac:dyDescent="0.2">
      <c r="A1413" s="99">
        <v>45658</v>
      </c>
      <c r="B1413" s="82">
        <v>45670</v>
      </c>
      <c r="C1413" s="61" t="s">
        <v>45</v>
      </c>
      <c r="D1413" s="60" t="s">
        <v>122</v>
      </c>
      <c r="E1413" s="62" t="s">
        <v>1313</v>
      </c>
      <c r="F1413" s="73" t="s">
        <v>1467</v>
      </c>
      <c r="G1413" s="59" t="s">
        <v>142</v>
      </c>
      <c r="H1413" s="83">
        <v>0.5</v>
      </c>
      <c r="I1413" s="83">
        <v>0.64583333333333337</v>
      </c>
      <c r="J1413" s="63">
        <f t="shared" si="305"/>
        <v>0.14583333333333337</v>
      </c>
      <c r="K1413" s="61" t="s">
        <v>295</v>
      </c>
      <c r="L1413" s="134">
        <f t="shared" si="306"/>
        <v>3.5000000000000009</v>
      </c>
      <c r="O1413" s="81" t="s">
        <v>358</v>
      </c>
      <c r="P1413" s="88">
        <v>5</v>
      </c>
      <c r="Z1413" s="100"/>
    </row>
    <row r="1414" spans="1:26" x14ac:dyDescent="0.2">
      <c r="A1414" s="99">
        <v>45658</v>
      </c>
      <c r="B1414" s="82">
        <v>45670</v>
      </c>
      <c r="C1414" s="61" t="s">
        <v>45</v>
      </c>
      <c r="D1414" s="60" t="s">
        <v>46</v>
      </c>
      <c r="E1414" s="62" t="s">
        <v>707</v>
      </c>
      <c r="F1414" s="73" t="s">
        <v>1347</v>
      </c>
      <c r="G1414" s="59" t="s">
        <v>142</v>
      </c>
      <c r="H1414" s="83">
        <v>0.41666666666666669</v>
      </c>
      <c r="I1414" s="83">
        <v>0.70833333333333337</v>
      </c>
      <c r="J1414" s="63">
        <f t="shared" si="305"/>
        <v>0.29166666666666669</v>
      </c>
      <c r="K1414" s="61" t="s">
        <v>110</v>
      </c>
      <c r="L1414" s="134">
        <f t="shared" si="306"/>
        <v>7</v>
      </c>
      <c r="O1414" s="81" t="s">
        <v>359</v>
      </c>
      <c r="P1414" s="88">
        <v>5</v>
      </c>
      <c r="Z1414" s="100"/>
    </row>
    <row r="1415" spans="1:26" x14ac:dyDescent="0.2">
      <c r="A1415" s="99">
        <v>45658</v>
      </c>
      <c r="B1415" s="82">
        <v>45670</v>
      </c>
      <c r="C1415" s="61" t="s">
        <v>45</v>
      </c>
      <c r="D1415" s="60" t="s">
        <v>740</v>
      </c>
      <c r="E1415" s="62" t="s">
        <v>1186</v>
      </c>
      <c r="F1415" s="73" t="s">
        <v>1381</v>
      </c>
      <c r="G1415" s="59" t="s">
        <v>142</v>
      </c>
      <c r="H1415" s="83">
        <v>0.41666666666666669</v>
      </c>
      <c r="I1415" s="83">
        <v>0.70833333333333337</v>
      </c>
      <c r="J1415" s="63">
        <f t="shared" si="305"/>
        <v>0.29166666666666669</v>
      </c>
      <c r="K1415" s="61" t="s">
        <v>110</v>
      </c>
      <c r="L1415" s="134">
        <f t="shared" si="306"/>
        <v>7</v>
      </c>
      <c r="O1415" s="81" t="s">
        <v>359</v>
      </c>
      <c r="P1415" s="88">
        <v>4</v>
      </c>
      <c r="Z1415" s="100"/>
    </row>
    <row r="1416" spans="1:26" x14ac:dyDescent="0.2">
      <c r="A1416" s="99">
        <v>45658</v>
      </c>
      <c r="B1416" s="82">
        <v>45670</v>
      </c>
      <c r="C1416" s="61" t="s">
        <v>45</v>
      </c>
      <c r="D1416" s="60" t="s">
        <v>481</v>
      </c>
      <c r="E1416" s="62" t="s">
        <v>1438</v>
      </c>
      <c r="F1416" s="73" t="s">
        <v>1378</v>
      </c>
      <c r="G1416" s="59" t="s">
        <v>142</v>
      </c>
      <c r="H1416" s="83">
        <v>0.47916666666666669</v>
      </c>
      <c r="I1416" s="83">
        <v>0.70833333333333337</v>
      </c>
      <c r="J1416" s="63">
        <f t="shared" si="305"/>
        <v>0.22916666666666669</v>
      </c>
      <c r="K1416" s="61" t="s">
        <v>110</v>
      </c>
      <c r="L1416" s="134">
        <f t="shared" si="306"/>
        <v>5.5</v>
      </c>
      <c r="O1416" s="81" t="s">
        <v>359</v>
      </c>
      <c r="P1416" s="88">
        <v>5</v>
      </c>
      <c r="Z1416" s="100"/>
    </row>
    <row r="1417" spans="1:26" x14ac:dyDescent="0.2">
      <c r="A1417" s="99">
        <v>45658</v>
      </c>
      <c r="B1417" s="82">
        <v>45670</v>
      </c>
      <c r="C1417" s="61" t="s">
        <v>45</v>
      </c>
      <c r="D1417" s="60" t="s">
        <v>481</v>
      </c>
      <c r="E1417" s="62" t="s">
        <v>299</v>
      </c>
      <c r="F1417" s="73" t="s">
        <v>1436</v>
      </c>
      <c r="G1417" s="59" t="s">
        <v>142</v>
      </c>
      <c r="H1417" s="83">
        <v>0.375</v>
      </c>
      <c r="I1417" s="83">
        <v>0.70833333333333337</v>
      </c>
      <c r="J1417" s="63">
        <f t="shared" si="305"/>
        <v>0.33333333333333337</v>
      </c>
      <c r="K1417" s="61" t="s">
        <v>113</v>
      </c>
      <c r="L1417" s="134">
        <f t="shared" si="306"/>
        <v>8</v>
      </c>
      <c r="O1417" s="81" t="s">
        <v>539</v>
      </c>
      <c r="P1417" s="88">
        <v>5</v>
      </c>
      <c r="Z1417" s="100"/>
    </row>
    <row r="1418" spans="1:26" x14ac:dyDescent="0.2">
      <c r="A1418" s="99">
        <v>45658</v>
      </c>
      <c r="B1418" s="82">
        <v>45670</v>
      </c>
      <c r="C1418" s="61" t="s">
        <v>45</v>
      </c>
      <c r="D1418" s="60" t="s">
        <v>324</v>
      </c>
      <c r="E1418" s="62" t="s">
        <v>857</v>
      </c>
      <c r="F1418" s="73" t="s">
        <v>1296</v>
      </c>
      <c r="G1418" s="59" t="s">
        <v>142</v>
      </c>
      <c r="H1418" s="83">
        <v>0.41666666666666702</v>
      </c>
      <c r="I1418" s="83">
        <v>0.45833333333333398</v>
      </c>
      <c r="J1418" s="63">
        <f t="shared" si="305"/>
        <v>4.1666666666666963E-2</v>
      </c>
      <c r="K1418" s="61" t="s">
        <v>113</v>
      </c>
      <c r="L1418" s="134">
        <f t="shared" si="306"/>
        <v>1.0000000000000071</v>
      </c>
      <c r="O1418" s="81" t="s">
        <v>539</v>
      </c>
      <c r="P1418" s="88">
        <v>5</v>
      </c>
      <c r="Z1418" s="100"/>
    </row>
    <row r="1419" spans="1:26" x14ac:dyDescent="0.2">
      <c r="A1419" s="99">
        <v>45658</v>
      </c>
      <c r="B1419" s="82">
        <v>45670</v>
      </c>
      <c r="C1419" s="61" t="s">
        <v>45</v>
      </c>
      <c r="D1419" s="60" t="s">
        <v>98</v>
      </c>
      <c r="E1419" s="62" t="s">
        <v>1468</v>
      </c>
      <c r="F1419" s="73" t="s">
        <v>1469</v>
      </c>
      <c r="G1419" s="59" t="s">
        <v>142</v>
      </c>
      <c r="H1419" s="83">
        <v>0.58333333333333337</v>
      </c>
      <c r="I1419" s="83">
        <v>0.70833333333333337</v>
      </c>
      <c r="J1419" s="63">
        <f t="shared" si="305"/>
        <v>0.125</v>
      </c>
      <c r="K1419" s="61" t="s">
        <v>113</v>
      </c>
      <c r="L1419" s="134">
        <f t="shared" si="306"/>
        <v>3</v>
      </c>
      <c r="O1419" s="81" t="s">
        <v>539</v>
      </c>
      <c r="P1419" s="88">
        <v>4</v>
      </c>
      <c r="Z1419" s="100"/>
    </row>
    <row r="1420" spans="1:26" x14ac:dyDescent="0.2">
      <c r="A1420" s="99">
        <v>45658</v>
      </c>
      <c r="B1420" s="82">
        <v>45670</v>
      </c>
      <c r="C1420" s="61" t="s">
        <v>45</v>
      </c>
      <c r="D1420" s="60" t="s">
        <v>98</v>
      </c>
      <c r="E1420" s="62" t="s">
        <v>1468</v>
      </c>
      <c r="F1420" s="73" t="s">
        <v>1470</v>
      </c>
      <c r="G1420" s="59" t="s">
        <v>142</v>
      </c>
      <c r="H1420" s="83">
        <v>0.77083333333333337</v>
      </c>
      <c r="I1420" s="83">
        <v>0.875</v>
      </c>
      <c r="J1420" s="63">
        <f t="shared" si="305"/>
        <v>0.10416666666666663</v>
      </c>
      <c r="K1420" s="61" t="s">
        <v>365</v>
      </c>
      <c r="L1420" s="134">
        <f t="shared" si="306"/>
        <v>2.4999999999999991</v>
      </c>
      <c r="O1420" s="81" t="s">
        <v>359</v>
      </c>
      <c r="P1420" s="88">
        <v>5</v>
      </c>
      <c r="Z1420" s="100"/>
    </row>
    <row r="1421" spans="1:26" x14ac:dyDescent="0.2">
      <c r="A1421" s="99">
        <v>45658</v>
      </c>
      <c r="B1421" s="82">
        <v>45671</v>
      </c>
      <c r="C1421" s="61" t="s">
        <v>106</v>
      </c>
      <c r="D1421" s="60" t="s">
        <v>122</v>
      </c>
      <c r="E1421" s="62" t="s">
        <v>1313</v>
      </c>
      <c r="F1421" s="73" t="s">
        <v>1467</v>
      </c>
      <c r="G1421" s="59" t="s">
        <v>142</v>
      </c>
      <c r="H1421" s="83">
        <v>0.47916666666666669</v>
      </c>
      <c r="I1421" s="83">
        <v>0.66666666666666663</v>
      </c>
      <c r="J1421" s="63">
        <f t="shared" si="305"/>
        <v>0.18749999999999994</v>
      </c>
      <c r="K1421" s="61" t="s">
        <v>295</v>
      </c>
      <c r="L1421" s="134">
        <f t="shared" si="306"/>
        <v>4.4999999999999982</v>
      </c>
      <c r="O1421" s="81" t="s">
        <v>359</v>
      </c>
      <c r="P1421" s="88">
        <v>5</v>
      </c>
      <c r="Z1421" s="100"/>
    </row>
    <row r="1422" spans="1:26" x14ac:dyDescent="0.25">
      <c r="A1422" s="99">
        <v>45658</v>
      </c>
      <c r="B1422" s="82">
        <v>45671</v>
      </c>
      <c r="C1422" s="61" t="s">
        <v>106</v>
      </c>
      <c r="D1422" s="60" t="s">
        <v>740</v>
      </c>
      <c r="E1422" s="62" t="s">
        <v>1471</v>
      </c>
      <c r="F1422" s="73" t="s">
        <v>1381</v>
      </c>
      <c r="G1422" s="59" t="s">
        <v>142</v>
      </c>
      <c r="H1422" s="83">
        <v>0.41666666666666669</v>
      </c>
      <c r="I1422" s="83">
        <v>0.70833333333333337</v>
      </c>
      <c r="J1422" s="63">
        <f t="shared" si="305"/>
        <v>0.29166666666666669</v>
      </c>
      <c r="K1422" s="61" t="s">
        <v>110</v>
      </c>
      <c r="L1422" s="136">
        <f t="shared" si="306"/>
        <v>7</v>
      </c>
      <c r="O1422" s="81" t="s">
        <v>363</v>
      </c>
      <c r="P1422" s="88">
        <v>5</v>
      </c>
      <c r="Z1422" s="100"/>
    </row>
    <row r="1423" spans="1:26" x14ac:dyDescent="0.25">
      <c r="A1423" s="99">
        <v>45658</v>
      </c>
      <c r="B1423" s="82">
        <v>45671</v>
      </c>
      <c r="C1423" s="61" t="s">
        <v>106</v>
      </c>
      <c r="D1423" s="60" t="s">
        <v>46</v>
      </c>
      <c r="E1423" s="62" t="s">
        <v>707</v>
      </c>
      <c r="F1423" s="73" t="s">
        <v>1347</v>
      </c>
      <c r="G1423" s="59" t="s">
        <v>142</v>
      </c>
      <c r="H1423" s="83">
        <v>0.41666666666666669</v>
      </c>
      <c r="I1423" s="83">
        <v>0.70833333333333337</v>
      </c>
      <c r="J1423" s="63">
        <f t="shared" si="305"/>
        <v>0.29166666666666669</v>
      </c>
      <c r="K1423" s="61" t="s">
        <v>110</v>
      </c>
      <c r="L1423" s="136">
        <f t="shared" si="306"/>
        <v>7</v>
      </c>
      <c r="O1423" s="81" t="s">
        <v>363</v>
      </c>
      <c r="P1423" s="88">
        <v>4</v>
      </c>
      <c r="Z1423" s="100"/>
    </row>
    <row r="1424" spans="1:26" x14ac:dyDescent="0.25">
      <c r="A1424" s="99">
        <v>45658</v>
      </c>
      <c r="B1424" s="82">
        <v>45671</v>
      </c>
      <c r="C1424" s="61" t="s">
        <v>106</v>
      </c>
      <c r="D1424" s="60" t="s">
        <v>98</v>
      </c>
      <c r="E1424" s="62" t="s">
        <v>1178</v>
      </c>
      <c r="F1424" s="73" t="s">
        <v>580</v>
      </c>
      <c r="G1424" s="59" t="s">
        <v>142</v>
      </c>
      <c r="H1424" s="83">
        <v>0.45833333333333298</v>
      </c>
      <c r="I1424" s="83">
        <v>0.70833333333333304</v>
      </c>
      <c r="J1424" s="63">
        <f t="shared" si="305"/>
        <v>0.25000000000000006</v>
      </c>
      <c r="K1424" s="61" t="s">
        <v>110</v>
      </c>
      <c r="L1424" s="136">
        <f t="shared" si="306"/>
        <v>6.0000000000000018</v>
      </c>
      <c r="O1424" s="81" t="s">
        <v>363</v>
      </c>
      <c r="P1424" s="88">
        <v>5</v>
      </c>
      <c r="Z1424" s="100"/>
    </row>
    <row r="1425" spans="1:26" x14ac:dyDescent="0.2">
      <c r="A1425" s="99">
        <v>45658</v>
      </c>
      <c r="B1425" s="82">
        <v>45671</v>
      </c>
      <c r="C1425" s="61" t="s">
        <v>106</v>
      </c>
      <c r="D1425" s="60" t="s">
        <v>481</v>
      </c>
      <c r="E1425" s="62" t="s">
        <v>1438</v>
      </c>
      <c r="F1425" s="73" t="s">
        <v>1378</v>
      </c>
      <c r="G1425" s="59" t="s">
        <v>142</v>
      </c>
      <c r="H1425" s="83">
        <v>0.45833333333333331</v>
      </c>
      <c r="I1425" s="83">
        <v>0.70833333333333337</v>
      </c>
      <c r="J1425" s="63">
        <f t="shared" si="305"/>
        <v>0.25000000000000006</v>
      </c>
      <c r="K1425" s="61" t="s">
        <v>110</v>
      </c>
      <c r="L1425" s="134">
        <f t="shared" si="306"/>
        <v>6.0000000000000018</v>
      </c>
      <c r="O1425" s="81" t="s">
        <v>363</v>
      </c>
      <c r="P1425" s="88">
        <v>5</v>
      </c>
      <c r="Z1425" s="100"/>
    </row>
    <row r="1426" spans="1:26" x14ac:dyDescent="0.25">
      <c r="A1426" s="99">
        <v>45658</v>
      </c>
      <c r="B1426" s="82">
        <v>45671</v>
      </c>
      <c r="C1426" s="61" t="s">
        <v>106</v>
      </c>
      <c r="D1426" s="60" t="s">
        <v>86</v>
      </c>
      <c r="E1426" s="62" t="s">
        <v>1447</v>
      </c>
      <c r="F1426" s="73" t="s">
        <v>1448</v>
      </c>
      <c r="G1426" s="59" t="s">
        <v>142</v>
      </c>
      <c r="H1426" s="83">
        <v>0.5</v>
      </c>
      <c r="I1426" s="83">
        <v>0.70833333333333337</v>
      </c>
      <c r="J1426" s="63">
        <f t="shared" si="305"/>
        <v>0.20833333333333337</v>
      </c>
      <c r="K1426" s="61" t="s">
        <v>110</v>
      </c>
      <c r="L1426" s="136">
        <f t="shared" si="306"/>
        <v>5.0000000000000009</v>
      </c>
      <c r="O1426" s="81" t="s">
        <v>363</v>
      </c>
      <c r="P1426" s="88">
        <v>4</v>
      </c>
      <c r="Z1426" s="100"/>
    </row>
    <row r="1427" spans="1:26" x14ac:dyDescent="0.25">
      <c r="A1427" s="99">
        <v>45658</v>
      </c>
      <c r="B1427" s="82">
        <v>45671</v>
      </c>
      <c r="C1427" s="61" t="s">
        <v>106</v>
      </c>
      <c r="D1427" s="60" t="s">
        <v>481</v>
      </c>
      <c r="E1427" s="62" t="s">
        <v>1071</v>
      </c>
      <c r="F1427" s="73" t="s">
        <v>1426</v>
      </c>
      <c r="G1427" s="59" t="s">
        <v>142</v>
      </c>
      <c r="H1427" s="83">
        <v>0.41666666666666669</v>
      </c>
      <c r="I1427" s="83">
        <v>0.75</v>
      </c>
      <c r="J1427" s="63">
        <f t="shared" si="305"/>
        <v>0.33333333333333331</v>
      </c>
      <c r="K1427" s="61" t="s">
        <v>300</v>
      </c>
      <c r="L1427" s="136">
        <f t="shared" si="306"/>
        <v>8</v>
      </c>
      <c r="O1427" s="81" t="s">
        <v>362</v>
      </c>
      <c r="P1427" s="88">
        <v>5</v>
      </c>
      <c r="Z1427" s="100"/>
    </row>
    <row r="1428" spans="1:26" x14ac:dyDescent="0.25">
      <c r="A1428" s="99">
        <v>45658</v>
      </c>
      <c r="B1428" s="82">
        <v>45672</v>
      </c>
      <c r="C1428" s="61" t="s">
        <v>398</v>
      </c>
      <c r="D1428" s="60" t="s">
        <v>122</v>
      </c>
      <c r="E1428" s="62" t="s">
        <v>1313</v>
      </c>
      <c r="F1428" s="73" t="s">
        <v>1467</v>
      </c>
      <c r="G1428" s="59" t="s">
        <v>142</v>
      </c>
      <c r="H1428" s="83">
        <v>0.45833333333333331</v>
      </c>
      <c r="I1428" s="83">
        <v>0.60416666666666663</v>
      </c>
      <c r="J1428" s="63">
        <f t="shared" si="305"/>
        <v>0.14583333333333331</v>
      </c>
      <c r="K1428" s="61" t="s">
        <v>295</v>
      </c>
      <c r="L1428" s="136">
        <f t="shared" si="306"/>
        <v>3.4999999999999996</v>
      </c>
      <c r="O1428" s="81" t="s">
        <v>358</v>
      </c>
      <c r="P1428" s="88">
        <v>5</v>
      </c>
      <c r="Z1428" s="100"/>
    </row>
    <row r="1429" spans="1:26" x14ac:dyDescent="0.25">
      <c r="A1429" s="99">
        <v>45658</v>
      </c>
      <c r="B1429" s="82">
        <v>45672</v>
      </c>
      <c r="C1429" s="61" t="s">
        <v>398</v>
      </c>
      <c r="D1429" s="60" t="s">
        <v>86</v>
      </c>
      <c r="E1429" s="62" t="s">
        <v>1447</v>
      </c>
      <c r="F1429" s="73" t="s">
        <v>1448</v>
      </c>
      <c r="G1429" s="59" t="s">
        <v>142</v>
      </c>
      <c r="H1429" s="83">
        <v>0.41666666666666669</v>
      </c>
      <c r="I1429" s="83">
        <v>0.70833333333333337</v>
      </c>
      <c r="J1429" s="63">
        <f t="shared" si="305"/>
        <v>0.29166666666666669</v>
      </c>
      <c r="K1429" s="61" t="s">
        <v>110</v>
      </c>
      <c r="L1429" s="136">
        <f t="shared" si="306"/>
        <v>7</v>
      </c>
      <c r="O1429" s="81" t="s">
        <v>363</v>
      </c>
      <c r="P1429" s="88">
        <v>5</v>
      </c>
      <c r="Z1429" s="100"/>
    </row>
    <row r="1430" spans="1:26" x14ac:dyDescent="0.25">
      <c r="A1430" s="99">
        <v>45658</v>
      </c>
      <c r="B1430" s="82">
        <v>45672</v>
      </c>
      <c r="C1430" s="61" t="s">
        <v>398</v>
      </c>
      <c r="D1430" s="60" t="s">
        <v>46</v>
      </c>
      <c r="E1430" s="62" t="s">
        <v>707</v>
      </c>
      <c r="F1430" s="73" t="s">
        <v>1347</v>
      </c>
      <c r="G1430" s="59" t="s">
        <v>142</v>
      </c>
      <c r="H1430" s="83">
        <v>0.41666666666666669</v>
      </c>
      <c r="I1430" s="83">
        <v>0.70833333333333337</v>
      </c>
      <c r="J1430" s="63">
        <f t="shared" si="305"/>
        <v>0.29166666666666669</v>
      </c>
      <c r="K1430" s="61" t="s">
        <v>110</v>
      </c>
      <c r="L1430" s="136">
        <f t="shared" si="306"/>
        <v>7</v>
      </c>
      <c r="O1430" s="81" t="s">
        <v>363</v>
      </c>
      <c r="P1430" s="88">
        <v>4</v>
      </c>
      <c r="Z1430" s="100"/>
    </row>
    <row r="1431" spans="1:26" x14ac:dyDescent="0.25">
      <c r="A1431" s="99">
        <v>45658</v>
      </c>
      <c r="B1431" s="82">
        <v>45672</v>
      </c>
      <c r="C1431" s="61" t="s">
        <v>398</v>
      </c>
      <c r="D1431" s="60" t="s">
        <v>126</v>
      </c>
      <c r="E1431" s="62" t="s">
        <v>1472</v>
      </c>
      <c r="F1431" s="73" t="s">
        <v>176</v>
      </c>
      <c r="G1431" s="59" t="s">
        <v>142</v>
      </c>
      <c r="H1431" s="83">
        <v>0.625</v>
      </c>
      <c r="I1431" s="83">
        <v>0.66666666666666663</v>
      </c>
      <c r="J1431" s="63">
        <f t="shared" si="305"/>
        <v>4.166666666666663E-2</v>
      </c>
      <c r="K1431" s="61" t="s">
        <v>110</v>
      </c>
      <c r="L1431" s="136">
        <f t="shared" si="306"/>
        <v>0.99999999999999911</v>
      </c>
      <c r="O1431" s="81" t="s">
        <v>363</v>
      </c>
      <c r="P1431" s="88">
        <v>5</v>
      </c>
      <c r="Z1431" s="100"/>
    </row>
    <row r="1432" spans="1:26" x14ac:dyDescent="0.25">
      <c r="A1432" s="99">
        <v>45658</v>
      </c>
      <c r="B1432" s="82">
        <v>45672</v>
      </c>
      <c r="C1432" s="61" t="s">
        <v>398</v>
      </c>
      <c r="D1432" s="60" t="s">
        <v>98</v>
      </c>
      <c r="E1432" s="62" t="s">
        <v>1178</v>
      </c>
      <c r="F1432" s="73" t="s">
        <v>580</v>
      </c>
      <c r="G1432" s="59" t="s">
        <v>142</v>
      </c>
      <c r="H1432" s="83">
        <v>0.66666666666666696</v>
      </c>
      <c r="I1432" s="83">
        <v>0.70833333333333304</v>
      </c>
      <c r="J1432" s="63">
        <f t="shared" si="305"/>
        <v>4.1666666666666075E-2</v>
      </c>
      <c r="K1432" s="61" t="s">
        <v>110</v>
      </c>
      <c r="L1432" s="136">
        <f t="shared" si="306"/>
        <v>0.99999999999998579</v>
      </c>
      <c r="O1432" s="81" t="s">
        <v>363</v>
      </c>
      <c r="P1432" s="88">
        <v>5</v>
      </c>
      <c r="Z1432" s="100"/>
    </row>
    <row r="1433" spans="1:26" x14ac:dyDescent="0.25">
      <c r="A1433" s="99">
        <v>45658</v>
      </c>
      <c r="B1433" s="82">
        <v>45672</v>
      </c>
      <c r="C1433" s="61" t="s">
        <v>398</v>
      </c>
      <c r="D1433" s="60" t="s">
        <v>481</v>
      </c>
      <c r="E1433" s="62" t="s">
        <v>1071</v>
      </c>
      <c r="F1433" s="73" t="s">
        <v>1426</v>
      </c>
      <c r="G1433" s="59" t="s">
        <v>142</v>
      </c>
      <c r="H1433" s="83">
        <v>0.41666666666666669</v>
      </c>
      <c r="I1433" s="83">
        <v>0.75</v>
      </c>
      <c r="J1433" s="63">
        <f t="shared" si="305"/>
        <v>0.33333333333333331</v>
      </c>
      <c r="K1433" s="61" t="s">
        <v>300</v>
      </c>
      <c r="L1433" s="136">
        <f t="shared" si="306"/>
        <v>8</v>
      </c>
      <c r="O1433" s="81" t="s">
        <v>362</v>
      </c>
      <c r="P1433" s="88">
        <v>5</v>
      </c>
      <c r="Z1433" s="100"/>
    </row>
    <row r="1434" spans="1:26" x14ac:dyDescent="0.25">
      <c r="A1434" s="99">
        <v>45658</v>
      </c>
      <c r="B1434" s="82">
        <v>45673</v>
      </c>
      <c r="C1434" s="61" t="s">
        <v>124</v>
      </c>
      <c r="D1434" s="60" t="s">
        <v>98</v>
      </c>
      <c r="E1434" s="62" t="s">
        <v>1150</v>
      </c>
      <c r="F1434" s="73" t="s">
        <v>1406</v>
      </c>
      <c r="G1434" s="59" t="s">
        <v>142</v>
      </c>
      <c r="H1434" s="83">
        <v>0.41666666666666669</v>
      </c>
      <c r="I1434" s="83">
        <v>0.70833333333333337</v>
      </c>
      <c r="J1434" s="63">
        <f t="shared" si="305"/>
        <v>0.29166666666666669</v>
      </c>
      <c r="K1434" s="61" t="s">
        <v>365</v>
      </c>
      <c r="L1434" s="136">
        <f t="shared" si="306"/>
        <v>7</v>
      </c>
      <c r="O1434" s="81" t="s">
        <v>314</v>
      </c>
      <c r="P1434" s="88">
        <v>3</v>
      </c>
      <c r="Z1434" s="100"/>
    </row>
    <row r="1435" spans="1:26" x14ac:dyDescent="0.25">
      <c r="A1435" s="99">
        <v>45658</v>
      </c>
      <c r="B1435" s="82">
        <v>45673</v>
      </c>
      <c r="C1435" s="61" t="s">
        <v>124</v>
      </c>
      <c r="D1435" s="60" t="s">
        <v>740</v>
      </c>
      <c r="E1435" s="62" t="s">
        <v>1439</v>
      </c>
      <c r="F1435" s="73" t="s">
        <v>1381</v>
      </c>
      <c r="G1435" s="59" t="s">
        <v>142</v>
      </c>
      <c r="H1435" s="83">
        <v>0.41666666666666669</v>
      </c>
      <c r="I1435" s="83">
        <v>0.70833333333333337</v>
      </c>
      <c r="J1435" s="63">
        <f t="shared" si="305"/>
        <v>0.29166666666666669</v>
      </c>
      <c r="K1435" s="61" t="s">
        <v>110</v>
      </c>
      <c r="L1435" s="136">
        <f t="shared" si="306"/>
        <v>7</v>
      </c>
      <c r="O1435" s="81" t="s">
        <v>358</v>
      </c>
      <c r="P1435" s="88">
        <v>5</v>
      </c>
      <c r="Z1435" s="100"/>
    </row>
    <row r="1436" spans="1:26" x14ac:dyDescent="0.25">
      <c r="A1436" s="99">
        <v>45658</v>
      </c>
      <c r="B1436" s="82">
        <v>45673</v>
      </c>
      <c r="C1436" s="61" t="s">
        <v>124</v>
      </c>
      <c r="D1436" s="60" t="s">
        <v>86</v>
      </c>
      <c r="E1436" s="62" t="s">
        <v>1447</v>
      </c>
      <c r="F1436" s="73" t="s">
        <v>1448</v>
      </c>
      <c r="G1436" s="59" t="s">
        <v>142</v>
      </c>
      <c r="H1436" s="83">
        <v>0.41666666666666669</v>
      </c>
      <c r="I1436" s="83">
        <v>0.70833333333333337</v>
      </c>
      <c r="J1436" s="63">
        <f t="shared" si="305"/>
        <v>0.29166666666666669</v>
      </c>
      <c r="K1436" s="61" t="s">
        <v>110</v>
      </c>
      <c r="L1436" s="136">
        <f t="shared" si="306"/>
        <v>7</v>
      </c>
      <c r="O1436" s="81" t="s">
        <v>358</v>
      </c>
      <c r="P1436" s="88">
        <v>5</v>
      </c>
      <c r="Z1436" s="100"/>
    </row>
    <row r="1437" spans="1:26" x14ac:dyDescent="0.2">
      <c r="A1437" s="99">
        <v>45658</v>
      </c>
      <c r="B1437" s="82">
        <v>45673</v>
      </c>
      <c r="C1437" s="61" t="s">
        <v>124</v>
      </c>
      <c r="D1437" s="60" t="s">
        <v>481</v>
      </c>
      <c r="E1437" s="62" t="s">
        <v>299</v>
      </c>
      <c r="F1437" s="73" t="s">
        <v>1436</v>
      </c>
      <c r="G1437" s="59" t="s">
        <v>142</v>
      </c>
      <c r="H1437" s="83">
        <v>0.375</v>
      </c>
      <c r="I1437" s="83">
        <v>0.70833333333333337</v>
      </c>
      <c r="J1437" s="63">
        <f t="shared" si="305"/>
        <v>0.33333333333333337</v>
      </c>
      <c r="K1437" s="61" t="s">
        <v>113</v>
      </c>
      <c r="L1437" s="134">
        <f t="shared" si="306"/>
        <v>8</v>
      </c>
      <c r="O1437" s="81" t="s">
        <v>539</v>
      </c>
      <c r="P1437" s="88">
        <v>5</v>
      </c>
      <c r="Z1437" s="100"/>
    </row>
    <row r="1438" spans="1:26" x14ac:dyDescent="0.25">
      <c r="A1438" s="99">
        <v>45658</v>
      </c>
      <c r="B1438" s="74">
        <v>45675</v>
      </c>
      <c r="C1438" s="61" t="s">
        <v>34</v>
      </c>
      <c r="D1438" s="60" t="s">
        <v>481</v>
      </c>
      <c r="E1438" s="62" t="s">
        <v>299</v>
      </c>
      <c r="F1438" s="73" t="s">
        <v>1436</v>
      </c>
      <c r="G1438" s="59" t="s">
        <v>142</v>
      </c>
      <c r="H1438" s="83">
        <v>0.375</v>
      </c>
      <c r="I1438" s="83">
        <v>0.70833333333333337</v>
      </c>
      <c r="J1438" s="63">
        <f t="shared" si="305"/>
        <v>0.33333333333333337</v>
      </c>
      <c r="K1438" s="61" t="s">
        <v>113</v>
      </c>
      <c r="L1438" s="134">
        <f t="shared" si="306"/>
        <v>8</v>
      </c>
      <c r="O1438" s="81" t="s">
        <v>360</v>
      </c>
      <c r="P1438" s="88">
        <v>5</v>
      </c>
      <c r="Z1438" s="100"/>
    </row>
    <row r="1439" spans="1:26" x14ac:dyDescent="0.25">
      <c r="A1439" s="99">
        <v>45658</v>
      </c>
      <c r="B1439" s="74">
        <v>45675</v>
      </c>
      <c r="C1439" s="61" t="s">
        <v>34</v>
      </c>
      <c r="D1439" s="60" t="s">
        <v>325</v>
      </c>
      <c r="E1439" s="62" t="s">
        <v>1473</v>
      </c>
      <c r="F1439" s="60" t="s">
        <v>1460</v>
      </c>
      <c r="G1439" s="59" t="s">
        <v>142</v>
      </c>
      <c r="H1439" s="83">
        <v>0.39583333333333331</v>
      </c>
      <c r="I1439" s="83">
        <v>0.70833333333333337</v>
      </c>
      <c r="J1439" s="63">
        <f t="shared" si="305"/>
        <v>0.31250000000000006</v>
      </c>
      <c r="K1439" s="61" t="s">
        <v>113</v>
      </c>
      <c r="L1439" s="134">
        <f t="shared" si="306"/>
        <v>7.5000000000000018</v>
      </c>
      <c r="O1439" s="81" t="s">
        <v>357</v>
      </c>
      <c r="P1439" s="88">
        <v>5</v>
      </c>
      <c r="Z1439" s="100"/>
    </row>
    <row r="1440" spans="1:26" x14ac:dyDescent="0.25">
      <c r="A1440" s="99">
        <v>45658</v>
      </c>
      <c r="B1440" s="74">
        <v>45675</v>
      </c>
      <c r="C1440" s="61" t="s">
        <v>34</v>
      </c>
      <c r="D1440" s="60" t="s">
        <v>86</v>
      </c>
      <c r="E1440" s="62" t="s">
        <v>1447</v>
      </c>
      <c r="F1440" s="60" t="s">
        <v>1474</v>
      </c>
      <c r="G1440" s="59" t="s">
        <v>142</v>
      </c>
      <c r="H1440" s="83">
        <v>0.41666666666666669</v>
      </c>
      <c r="I1440" s="83">
        <v>0.70833333333333337</v>
      </c>
      <c r="J1440" s="63">
        <f t="shared" si="305"/>
        <v>0.29166666666666669</v>
      </c>
      <c r="K1440" s="61" t="s">
        <v>110</v>
      </c>
      <c r="L1440" s="134">
        <f t="shared" si="306"/>
        <v>7</v>
      </c>
      <c r="O1440" s="81" t="s">
        <v>358</v>
      </c>
      <c r="P1440" s="88">
        <v>5</v>
      </c>
      <c r="Z1440" s="100"/>
    </row>
    <row r="1441" spans="1:26" x14ac:dyDescent="0.25">
      <c r="A1441" s="99">
        <v>45658</v>
      </c>
      <c r="B1441" s="82">
        <v>45675</v>
      </c>
      <c r="C1441" s="61" t="s">
        <v>34</v>
      </c>
      <c r="D1441" s="60" t="s">
        <v>740</v>
      </c>
      <c r="E1441" s="62" t="s">
        <v>1439</v>
      </c>
      <c r="F1441" s="73" t="s">
        <v>1381</v>
      </c>
      <c r="G1441" s="59" t="s">
        <v>142</v>
      </c>
      <c r="H1441" s="83">
        <v>0.41666666666666669</v>
      </c>
      <c r="I1441" s="83">
        <v>0.70833333333333337</v>
      </c>
      <c r="J1441" s="63">
        <f t="shared" si="305"/>
        <v>0.29166666666666669</v>
      </c>
      <c r="K1441" s="61" t="s">
        <v>110</v>
      </c>
      <c r="L1441" s="136">
        <f t="shared" si="306"/>
        <v>7</v>
      </c>
      <c r="O1441" s="81" t="s">
        <v>358</v>
      </c>
      <c r="P1441" s="88">
        <v>5</v>
      </c>
      <c r="Z1441" s="100"/>
    </row>
    <row r="1442" spans="1:26" x14ac:dyDescent="0.25">
      <c r="A1442" s="99">
        <v>45658</v>
      </c>
      <c r="B1442" s="74">
        <v>45676</v>
      </c>
      <c r="C1442" s="61" t="s">
        <v>31</v>
      </c>
      <c r="D1442" s="60" t="s">
        <v>46</v>
      </c>
      <c r="E1442" s="62" t="s">
        <v>707</v>
      </c>
      <c r="F1442" s="73" t="s">
        <v>1347</v>
      </c>
      <c r="G1442" s="59" t="s">
        <v>142</v>
      </c>
      <c r="H1442" s="83">
        <v>0.41666666666666669</v>
      </c>
      <c r="I1442" s="83">
        <v>0.66666666666666663</v>
      </c>
      <c r="J1442" s="63">
        <f t="shared" si="305"/>
        <v>0.24999999999999994</v>
      </c>
      <c r="K1442" s="61" t="s">
        <v>110</v>
      </c>
      <c r="L1442" s="134">
        <f t="shared" si="306"/>
        <v>5.9999999999999982</v>
      </c>
      <c r="O1442" s="81" t="s">
        <v>576</v>
      </c>
      <c r="P1442" s="88">
        <v>5</v>
      </c>
      <c r="Z1442" s="100"/>
    </row>
    <row r="1443" spans="1:26" x14ac:dyDescent="0.25">
      <c r="A1443" s="99">
        <v>45658</v>
      </c>
      <c r="B1443" s="74">
        <v>45676</v>
      </c>
      <c r="C1443" s="61" t="s">
        <v>31</v>
      </c>
      <c r="D1443" s="60" t="s">
        <v>740</v>
      </c>
      <c r="E1443" s="62" t="s">
        <v>1439</v>
      </c>
      <c r="F1443" s="73" t="s">
        <v>1381</v>
      </c>
      <c r="G1443" s="59" t="s">
        <v>142</v>
      </c>
      <c r="H1443" s="83">
        <v>0.41666666666666669</v>
      </c>
      <c r="I1443" s="83">
        <v>0.66666666666666663</v>
      </c>
      <c r="J1443" s="63">
        <f t="shared" si="305"/>
        <v>0.24999999999999994</v>
      </c>
      <c r="K1443" s="61" t="s">
        <v>110</v>
      </c>
      <c r="L1443" s="134">
        <f t="shared" si="306"/>
        <v>5.9999999999999982</v>
      </c>
      <c r="O1443" s="81" t="s">
        <v>576</v>
      </c>
      <c r="P1443" s="88">
        <v>5</v>
      </c>
      <c r="Z1443" s="100"/>
    </row>
    <row r="1444" spans="1:26" x14ac:dyDescent="0.25">
      <c r="A1444" s="99">
        <v>45658</v>
      </c>
      <c r="B1444" s="74">
        <v>45677</v>
      </c>
      <c r="C1444" s="61" t="s">
        <v>45</v>
      </c>
      <c r="D1444" s="60" t="s">
        <v>740</v>
      </c>
      <c r="E1444" s="62" t="s">
        <v>1439</v>
      </c>
      <c r="F1444" s="60" t="s">
        <v>1381</v>
      </c>
      <c r="G1444" s="59" t="s">
        <v>142</v>
      </c>
      <c r="H1444" s="83">
        <v>0.41666666666666669</v>
      </c>
      <c r="I1444" s="83">
        <v>0.70833333333333337</v>
      </c>
      <c r="J1444" s="63">
        <f t="shared" si="305"/>
        <v>0.29166666666666669</v>
      </c>
      <c r="K1444" s="61" t="s">
        <v>110</v>
      </c>
      <c r="L1444" s="134">
        <f t="shared" si="306"/>
        <v>7</v>
      </c>
      <c r="O1444" s="81" t="s">
        <v>363</v>
      </c>
      <c r="P1444" s="88">
        <v>5</v>
      </c>
      <c r="Z1444" s="100"/>
    </row>
    <row r="1445" spans="1:26" x14ac:dyDescent="0.25">
      <c r="A1445" s="99">
        <v>45658</v>
      </c>
      <c r="B1445" s="74">
        <v>45677</v>
      </c>
      <c r="C1445" s="61" t="s">
        <v>45</v>
      </c>
      <c r="D1445" s="60" t="s">
        <v>86</v>
      </c>
      <c r="E1445" s="62" t="s">
        <v>1447</v>
      </c>
      <c r="F1445" s="60" t="s">
        <v>339</v>
      </c>
      <c r="G1445" s="59" t="s">
        <v>142</v>
      </c>
      <c r="H1445" s="83">
        <v>0.41666666666666669</v>
      </c>
      <c r="I1445" s="83">
        <v>0.70833333333333337</v>
      </c>
      <c r="J1445" s="63">
        <f t="shared" si="305"/>
        <v>0.29166666666666669</v>
      </c>
      <c r="K1445" s="61" t="s">
        <v>110</v>
      </c>
      <c r="L1445" s="134">
        <f t="shared" si="306"/>
        <v>7</v>
      </c>
      <c r="O1445" s="81" t="s">
        <v>363</v>
      </c>
      <c r="P1445" s="88">
        <v>5</v>
      </c>
      <c r="Z1445" s="100"/>
    </row>
    <row r="1446" spans="1:26" x14ac:dyDescent="0.25">
      <c r="A1446" s="99">
        <v>45658</v>
      </c>
      <c r="B1446" s="74">
        <v>45678</v>
      </c>
      <c r="C1446" s="61" t="s">
        <v>106</v>
      </c>
      <c r="D1446" s="60" t="s">
        <v>322</v>
      </c>
      <c r="E1446" s="62" t="s">
        <v>1270</v>
      </c>
      <c r="F1446" s="60" t="s">
        <v>514</v>
      </c>
      <c r="G1446" s="59" t="s">
        <v>142</v>
      </c>
      <c r="H1446" s="83">
        <v>0.4375</v>
      </c>
      <c r="I1446" s="83">
        <v>0.47916666666666669</v>
      </c>
      <c r="J1446" s="63">
        <f t="shared" si="305"/>
        <v>4.1666666666666685E-2</v>
      </c>
      <c r="K1446" s="61" t="s">
        <v>365</v>
      </c>
      <c r="L1446" s="134">
        <f t="shared" si="306"/>
        <v>1.0000000000000004</v>
      </c>
      <c r="O1446" s="81" t="s">
        <v>360</v>
      </c>
      <c r="P1446" s="88">
        <v>5</v>
      </c>
      <c r="Z1446" s="100"/>
    </row>
    <row r="1447" spans="1:26" x14ac:dyDescent="0.25">
      <c r="A1447" s="99">
        <v>45658</v>
      </c>
      <c r="B1447" s="74">
        <v>45678</v>
      </c>
      <c r="C1447" s="61" t="s">
        <v>106</v>
      </c>
      <c r="D1447" s="60" t="s">
        <v>481</v>
      </c>
      <c r="E1447" s="62" t="s">
        <v>299</v>
      </c>
      <c r="F1447" s="60" t="s">
        <v>1436</v>
      </c>
      <c r="G1447" s="59" t="s">
        <v>142</v>
      </c>
      <c r="H1447" s="83">
        <v>0.33333333333333331</v>
      </c>
      <c r="I1447" s="83">
        <v>0.70833333333333337</v>
      </c>
      <c r="J1447" s="63">
        <f t="shared" si="305"/>
        <v>0.37500000000000006</v>
      </c>
      <c r="K1447" s="61" t="s">
        <v>113</v>
      </c>
      <c r="L1447" s="134">
        <f t="shared" si="306"/>
        <v>9.0000000000000018</v>
      </c>
      <c r="O1447" s="81" t="s">
        <v>539</v>
      </c>
      <c r="P1447" s="88">
        <v>4</v>
      </c>
      <c r="Z1447" s="100"/>
    </row>
    <row r="1448" spans="1:26" x14ac:dyDescent="0.25">
      <c r="A1448" s="99">
        <v>45658</v>
      </c>
      <c r="B1448" s="82">
        <v>45678</v>
      </c>
      <c r="C1448" s="61" t="s">
        <v>106</v>
      </c>
      <c r="D1448" s="60" t="s">
        <v>740</v>
      </c>
      <c r="E1448" s="62" t="s">
        <v>1439</v>
      </c>
      <c r="F1448" s="73" t="s">
        <v>1381</v>
      </c>
      <c r="G1448" s="59" t="s">
        <v>142</v>
      </c>
      <c r="H1448" s="83">
        <v>0.41666666666666669</v>
      </c>
      <c r="I1448" s="83">
        <v>0.70833333333333337</v>
      </c>
      <c r="J1448" s="63">
        <f t="shared" si="305"/>
        <v>0.29166666666666669</v>
      </c>
      <c r="K1448" s="61" t="s">
        <v>110</v>
      </c>
      <c r="L1448" s="136">
        <f t="shared" si="306"/>
        <v>7</v>
      </c>
      <c r="O1448" s="81" t="s">
        <v>363</v>
      </c>
      <c r="P1448" s="88">
        <v>5</v>
      </c>
      <c r="Z1448" s="100"/>
    </row>
    <row r="1449" spans="1:26" x14ac:dyDescent="0.25">
      <c r="A1449" s="99">
        <v>45658</v>
      </c>
      <c r="B1449" s="74">
        <v>45678</v>
      </c>
      <c r="C1449" s="61" t="s">
        <v>106</v>
      </c>
      <c r="D1449" s="60" t="s">
        <v>46</v>
      </c>
      <c r="E1449" s="62" t="s">
        <v>707</v>
      </c>
      <c r="F1449" s="73" t="s">
        <v>1347</v>
      </c>
      <c r="G1449" s="59" t="s">
        <v>142</v>
      </c>
      <c r="H1449" s="83">
        <v>0.41666666666666669</v>
      </c>
      <c r="I1449" s="83">
        <v>0.70833333333333404</v>
      </c>
      <c r="J1449" s="63">
        <f t="shared" si="305"/>
        <v>0.29166666666666735</v>
      </c>
      <c r="K1449" s="61" t="s">
        <v>110</v>
      </c>
      <c r="L1449" s="134">
        <f t="shared" si="306"/>
        <v>7.000000000000016</v>
      </c>
      <c r="O1449" s="81" t="s">
        <v>363</v>
      </c>
      <c r="P1449" s="88">
        <v>5</v>
      </c>
      <c r="Z1449" s="100"/>
    </row>
    <row r="1450" spans="1:26" x14ac:dyDescent="0.25">
      <c r="A1450" s="99">
        <v>45658</v>
      </c>
      <c r="B1450" s="74">
        <v>45679</v>
      </c>
      <c r="C1450" s="61" t="s">
        <v>398</v>
      </c>
      <c r="D1450" s="60" t="s">
        <v>86</v>
      </c>
      <c r="E1450" s="62" t="s">
        <v>1447</v>
      </c>
      <c r="F1450" s="60" t="s">
        <v>1475</v>
      </c>
      <c r="G1450" s="59" t="s">
        <v>142</v>
      </c>
      <c r="H1450" s="83">
        <v>0.45833333333333331</v>
      </c>
      <c r="I1450" s="83">
        <v>0.66666666666666663</v>
      </c>
      <c r="J1450" s="63">
        <f t="shared" si="305"/>
        <v>0.20833333333333331</v>
      </c>
      <c r="K1450" s="61" t="s">
        <v>110</v>
      </c>
      <c r="L1450" s="134">
        <f t="shared" si="306"/>
        <v>5</v>
      </c>
      <c r="O1450" s="81" t="s">
        <v>363</v>
      </c>
      <c r="P1450" s="88">
        <v>5</v>
      </c>
      <c r="Z1450" s="100"/>
    </row>
    <row r="1451" spans="1:26" x14ac:dyDescent="0.25">
      <c r="A1451" s="99">
        <v>45658</v>
      </c>
      <c r="B1451" s="74">
        <v>45679</v>
      </c>
      <c r="C1451" s="61" t="s">
        <v>398</v>
      </c>
      <c r="D1451" s="60" t="s">
        <v>98</v>
      </c>
      <c r="E1451" s="62" t="s">
        <v>1369</v>
      </c>
      <c r="F1451" s="73" t="s">
        <v>1476</v>
      </c>
      <c r="G1451" s="59" t="s">
        <v>142</v>
      </c>
      <c r="H1451" s="83">
        <v>0.5625</v>
      </c>
      <c r="I1451" s="83">
        <v>0.625</v>
      </c>
      <c r="J1451" s="63">
        <f t="shared" si="305"/>
        <v>6.25E-2</v>
      </c>
      <c r="K1451" s="61" t="s">
        <v>365</v>
      </c>
      <c r="L1451" s="134">
        <f t="shared" si="306"/>
        <v>1.5</v>
      </c>
      <c r="O1451" s="81" t="s">
        <v>820</v>
      </c>
      <c r="P1451" s="88">
        <v>5</v>
      </c>
      <c r="Z1451" s="100"/>
    </row>
    <row r="1452" spans="1:26" x14ac:dyDescent="0.25">
      <c r="A1452" s="99">
        <v>45658</v>
      </c>
      <c r="B1452" s="74">
        <v>45679</v>
      </c>
      <c r="C1452" s="61" t="s">
        <v>398</v>
      </c>
      <c r="D1452" s="60" t="s">
        <v>46</v>
      </c>
      <c r="E1452" s="62" t="s">
        <v>707</v>
      </c>
      <c r="F1452" s="73" t="s">
        <v>1347</v>
      </c>
      <c r="G1452" s="59" t="s">
        <v>142</v>
      </c>
      <c r="H1452" s="83">
        <v>0.41666666666666669</v>
      </c>
      <c r="I1452" s="83">
        <v>0.70833333333333404</v>
      </c>
      <c r="J1452" s="63">
        <f t="shared" si="305"/>
        <v>0.29166666666666735</v>
      </c>
      <c r="K1452" s="61" t="s">
        <v>110</v>
      </c>
      <c r="L1452" s="134">
        <f t="shared" si="306"/>
        <v>7.000000000000016</v>
      </c>
      <c r="O1452" s="81" t="s">
        <v>363</v>
      </c>
      <c r="P1452" s="88">
        <v>5</v>
      </c>
      <c r="Z1452" s="100"/>
    </row>
    <row r="1453" spans="1:26" x14ac:dyDescent="0.25">
      <c r="A1453" s="99">
        <v>45658</v>
      </c>
      <c r="B1453" s="74">
        <v>45679</v>
      </c>
      <c r="C1453" s="61" t="s">
        <v>398</v>
      </c>
      <c r="D1453" s="60" t="s">
        <v>740</v>
      </c>
      <c r="E1453" s="62" t="s">
        <v>1162</v>
      </c>
      <c r="F1453" s="73" t="s">
        <v>1381</v>
      </c>
      <c r="G1453" s="59" t="s">
        <v>142</v>
      </c>
      <c r="H1453" s="83">
        <v>0.41666666666666669</v>
      </c>
      <c r="I1453" s="83">
        <v>0.70833333333333404</v>
      </c>
      <c r="J1453" s="63">
        <f t="shared" si="305"/>
        <v>0.29166666666666735</v>
      </c>
      <c r="K1453" s="61" t="s">
        <v>110</v>
      </c>
      <c r="L1453" s="134">
        <f t="shared" si="306"/>
        <v>7.000000000000016</v>
      </c>
      <c r="O1453" s="81" t="s">
        <v>363</v>
      </c>
      <c r="P1453" s="88">
        <v>5</v>
      </c>
      <c r="Z1453" s="100"/>
    </row>
    <row r="1454" spans="1:26" x14ac:dyDescent="0.25">
      <c r="A1454" s="99">
        <v>45658</v>
      </c>
      <c r="B1454" s="74">
        <v>45680</v>
      </c>
      <c r="C1454" s="61" t="s">
        <v>124</v>
      </c>
      <c r="D1454" s="60" t="s">
        <v>86</v>
      </c>
      <c r="E1454" s="62" t="s">
        <v>1447</v>
      </c>
      <c r="F1454" s="73" t="s">
        <v>1475</v>
      </c>
      <c r="G1454" s="59" t="s">
        <v>142</v>
      </c>
      <c r="H1454" s="83">
        <v>0.45833333333333331</v>
      </c>
      <c r="I1454" s="83">
        <v>0.66666666666666696</v>
      </c>
      <c r="J1454" s="63">
        <f t="shared" si="305"/>
        <v>0.20833333333333365</v>
      </c>
      <c r="K1454" s="61" t="s">
        <v>110</v>
      </c>
      <c r="L1454" s="134">
        <f t="shared" si="306"/>
        <v>5.0000000000000071</v>
      </c>
      <c r="O1454" s="81" t="s">
        <v>363</v>
      </c>
      <c r="P1454" s="88">
        <v>5</v>
      </c>
      <c r="Z1454" s="100"/>
    </row>
    <row r="1455" spans="1:26" x14ac:dyDescent="0.25">
      <c r="A1455" s="99">
        <v>45658</v>
      </c>
      <c r="B1455" s="74">
        <v>45680</v>
      </c>
      <c r="C1455" s="61" t="s">
        <v>124</v>
      </c>
      <c r="D1455" s="60" t="s">
        <v>740</v>
      </c>
      <c r="E1455" s="62" t="s">
        <v>1162</v>
      </c>
      <c r="F1455" s="73" t="s">
        <v>1381</v>
      </c>
      <c r="G1455" s="59" t="s">
        <v>142</v>
      </c>
      <c r="H1455" s="83">
        <v>0.41666666666666669</v>
      </c>
      <c r="I1455" s="83">
        <v>0.70833333333333404</v>
      </c>
      <c r="J1455" s="63">
        <f t="shared" si="305"/>
        <v>0.29166666666666735</v>
      </c>
      <c r="K1455" s="61" t="s">
        <v>110</v>
      </c>
      <c r="L1455" s="134">
        <f t="shared" si="306"/>
        <v>7.000000000000016</v>
      </c>
      <c r="O1455" s="81" t="s">
        <v>363</v>
      </c>
      <c r="P1455" s="88">
        <v>5</v>
      </c>
      <c r="Z1455" s="100"/>
    </row>
    <row r="1456" spans="1:26" x14ac:dyDescent="0.25">
      <c r="A1456" s="99">
        <v>45658</v>
      </c>
      <c r="B1456" s="74">
        <v>45682</v>
      </c>
      <c r="C1456" s="61" t="s">
        <v>34</v>
      </c>
      <c r="D1456" s="60" t="s">
        <v>481</v>
      </c>
      <c r="E1456" s="62" t="s">
        <v>299</v>
      </c>
      <c r="F1456" s="73" t="s">
        <v>1477</v>
      </c>
      <c r="G1456" s="59" t="s">
        <v>142</v>
      </c>
      <c r="H1456" s="83">
        <v>0.375</v>
      </c>
      <c r="I1456" s="83">
        <v>0.70833333333333337</v>
      </c>
      <c r="J1456" s="63">
        <f t="shared" si="305"/>
        <v>0.33333333333333337</v>
      </c>
      <c r="K1456" s="61" t="s">
        <v>113</v>
      </c>
      <c r="L1456" s="134">
        <f t="shared" si="306"/>
        <v>8</v>
      </c>
      <c r="O1456" s="81" t="s">
        <v>357</v>
      </c>
      <c r="P1456" s="88">
        <v>5</v>
      </c>
      <c r="Z1456" s="100"/>
    </row>
    <row r="1457" spans="1:26" x14ac:dyDescent="0.25">
      <c r="A1457" s="99">
        <v>45658</v>
      </c>
      <c r="B1457" s="74">
        <v>45683</v>
      </c>
      <c r="C1457" s="61" t="s">
        <v>31</v>
      </c>
      <c r="D1457" s="60" t="s">
        <v>46</v>
      </c>
      <c r="E1457" s="62" t="s">
        <v>388</v>
      </c>
      <c r="F1457" s="73" t="s">
        <v>1478</v>
      </c>
      <c r="G1457" s="59" t="s">
        <v>142</v>
      </c>
      <c r="H1457" s="83">
        <v>0.54166666666666663</v>
      </c>
      <c r="I1457" s="83">
        <v>0.625</v>
      </c>
      <c r="J1457" s="63">
        <f t="shared" si="305"/>
        <v>8.333333333333337E-2</v>
      </c>
      <c r="K1457" s="61" t="s">
        <v>365</v>
      </c>
      <c r="L1457" s="134">
        <f t="shared" si="306"/>
        <v>2.0000000000000009</v>
      </c>
      <c r="O1457" s="81" t="s">
        <v>361</v>
      </c>
      <c r="P1457" s="88">
        <v>5</v>
      </c>
      <c r="Z1457" s="100"/>
    </row>
    <row r="1458" spans="1:26" x14ac:dyDescent="0.25">
      <c r="A1458" s="99">
        <v>45658</v>
      </c>
      <c r="B1458" s="74">
        <v>45683</v>
      </c>
      <c r="C1458" s="61" t="s">
        <v>31</v>
      </c>
      <c r="D1458" s="60" t="s">
        <v>740</v>
      </c>
      <c r="E1458" s="62" t="s">
        <v>1439</v>
      </c>
      <c r="F1458" s="73" t="s">
        <v>1381</v>
      </c>
      <c r="G1458" s="59" t="s">
        <v>142</v>
      </c>
      <c r="H1458" s="83">
        <v>0.45833333333333331</v>
      </c>
      <c r="I1458" s="83">
        <v>0.70833333333333337</v>
      </c>
      <c r="J1458" s="63">
        <f t="shared" si="305"/>
        <v>0.25000000000000006</v>
      </c>
      <c r="K1458" s="61" t="s">
        <v>110</v>
      </c>
      <c r="L1458" s="134">
        <f t="shared" si="306"/>
        <v>6.0000000000000018</v>
      </c>
      <c r="O1458" s="81" t="s">
        <v>360</v>
      </c>
      <c r="P1458" s="88">
        <v>5</v>
      </c>
      <c r="Z1458" s="100"/>
    </row>
    <row r="1459" spans="1:26" x14ac:dyDescent="0.25">
      <c r="A1459" s="99">
        <v>45658</v>
      </c>
      <c r="B1459" s="74">
        <v>45683</v>
      </c>
      <c r="C1459" s="61" t="s">
        <v>31</v>
      </c>
      <c r="D1459" s="60" t="s">
        <v>126</v>
      </c>
      <c r="E1459" s="62" t="s">
        <v>1285</v>
      </c>
      <c r="F1459" s="73" t="s">
        <v>342</v>
      </c>
      <c r="G1459" s="59" t="s">
        <v>142</v>
      </c>
      <c r="H1459" s="83">
        <v>0.5</v>
      </c>
      <c r="I1459" s="83">
        <v>0.5625</v>
      </c>
      <c r="J1459" s="63">
        <f t="shared" si="305"/>
        <v>6.25E-2</v>
      </c>
      <c r="K1459" s="61" t="s">
        <v>110</v>
      </c>
      <c r="L1459" s="134">
        <f t="shared" si="306"/>
        <v>1.5</v>
      </c>
      <c r="O1459" s="81" t="s">
        <v>360</v>
      </c>
      <c r="P1459" s="88">
        <v>4</v>
      </c>
      <c r="Z1459" s="100"/>
    </row>
    <row r="1460" spans="1:26" x14ac:dyDescent="0.25">
      <c r="A1460" s="99">
        <v>45658</v>
      </c>
      <c r="B1460" s="74">
        <v>45684</v>
      </c>
      <c r="C1460" s="61" t="s">
        <v>45</v>
      </c>
      <c r="D1460" s="60" t="s">
        <v>481</v>
      </c>
      <c r="E1460" s="62" t="s">
        <v>1438</v>
      </c>
      <c r="F1460" s="73" t="s">
        <v>1436</v>
      </c>
      <c r="G1460" s="59" t="s">
        <v>142</v>
      </c>
      <c r="H1460" s="83">
        <v>0.375</v>
      </c>
      <c r="I1460" s="83">
        <v>0.70833333333333337</v>
      </c>
      <c r="J1460" s="63">
        <f t="shared" si="305"/>
        <v>0.33333333333333337</v>
      </c>
      <c r="K1460" s="61" t="s">
        <v>113</v>
      </c>
      <c r="L1460" s="134">
        <f t="shared" si="306"/>
        <v>8</v>
      </c>
      <c r="O1460" s="81" t="s">
        <v>539</v>
      </c>
      <c r="P1460" s="88">
        <v>5</v>
      </c>
      <c r="Z1460" s="100"/>
    </row>
    <row r="1461" spans="1:26" x14ac:dyDescent="0.25">
      <c r="A1461" s="99">
        <v>45658</v>
      </c>
      <c r="B1461" s="74">
        <v>45684</v>
      </c>
      <c r="C1461" s="61" t="s">
        <v>45</v>
      </c>
      <c r="D1461" s="60" t="s">
        <v>740</v>
      </c>
      <c r="E1461" s="62" t="s">
        <v>1479</v>
      </c>
      <c r="F1461" s="73" t="s">
        <v>1381</v>
      </c>
      <c r="G1461" s="59" t="s">
        <v>142</v>
      </c>
      <c r="H1461" s="83">
        <v>0.5</v>
      </c>
      <c r="I1461" s="83">
        <v>0.70833333333333337</v>
      </c>
      <c r="J1461" s="63">
        <f t="shared" si="305"/>
        <v>0.20833333333333337</v>
      </c>
      <c r="K1461" s="61" t="s">
        <v>110</v>
      </c>
      <c r="L1461" s="134">
        <f t="shared" si="306"/>
        <v>5.0000000000000009</v>
      </c>
      <c r="O1461" s="81" t="s">
        <v>363</v>
      </c>
      <c r="P1461" s="88">
        <v>5</v>
      </c>
      <c r="Z1461" s="100"/>
    </row>
    <row r="1462" spans="1:26" x14ac:dyDescent="0.25">
      <c r="A1462" s="99">
        <v>45658</v>
      </c>
      <c r="B1462" s="74">
        <v>45684</v>
      </c>
      <c r="C1462" s="61" t="s">
        <v>45</v>
      </c>
      <c r="D1462" s="60" t="s">
        <v>86</v>
      </c>
      <c r="E1462" s="62" t="s">
        <v>1447</v>
      </c>
      <c r="F1462" s="73" t="s">
        <v>1480</v>
      </c>
      <c r="G1462" s="59" t="s">
        <v>142</v>
      </c>
      <c r="H1462" s="83">
        <v>0.45833333333333331</v>
      </c>
      <c r="I1462" s="83">
        <v>0.58333333333333337</v>
      </c>
      <c r="J1462" s="63">
        <f t="shared" si="305"/>
        <v>0.12500000000000006</v>
      </c>
      <c r="K1462" s="61" t="s">
        <v>110</v>
      </c>
      <c r="L1462" s="134">
        <f t="shared" si="306"/>
        <v>3.0000000000000013</v>
      </c>
      <c r="O1462" s="81" t="s">
        <v>363</v>
      </c>
      <c r="P1462" s="88">
        <v>5</v>
      </c>
      <c r="Z1462" s="100"/>
    </row>
    <row r="1463" spans="1:26" x14ac:dyDescent="0.25">
      <c r="A1463" s="99">
        <v>45658</v>
      </c>
      <c r="B1463" s="74">
        <v>45684</v>
      </c>
      <c r="C1463" s="61" t="s">
        <v>45</v>
      </c>
      <c r="D1463" s="60" t="s">
        <v>46</v>
      </c>
      <c r="E1463" s="62" t="s">
        <v>707</v>
      </c>
      <c r="F1463" s="73" t="s">
        <v>1481</v>
      </c>
      <c r="G1463" s="59" t="s">
        <v>142</v>
      </c>
      <c r="H1463" s="83">
        <v>0.41666666666666669</v>
      </c>
      <c r="I1463" s="83">
        <v>0.70833333333333337</v>
      </c>
      <c r="J1463" s="63">
        <f t="shared" si="305"/>
        <v>0.29166666666666669</v>
      </c>
      <c r="K1463" s="61" t="s">
        <v>110</v>
      </c>
      <c r="L1463" s="134">
        <f t="shared" si="306"/>
        <v>7</v>
      </c>
      <c r="O1463" s="81" t="s">
        <v>363</v>
      </c>
      <c r="P1463" s="88">
        <v>5</v>
      </c>
      <c r="Z1463" s="100"/>
    </row>
    <row r="1464" spans="1:26" x14ac:dyDescent="0.25">
      <c r="A1464" s="99">
        <v>45658</v>
      </c>
      <c r="B1464" s="74">
        <v>45685</v>
      </c>
      <c r="C1464" s="61" t="s">
        <v>106</v>
      </c>
      <c r="D1464" s="60" t="s">
        <v>672</v>
      </c>
      <c r="E1464" s="62" t="s">
        <v>1403</v>
      </c>
      <c r="F1464" s="73" t="s">
        <v>1482</v>
      </c>
      <c r="G1464" s="59" t="s">
        <v>142</v>
      </c>
      <c r="H1464" s="83">
        <v>0.60416666666666663</v>
      </c>
      <c r="I1464" s="83">
        <v>0.64583333333333337</v>
      </c>
      <c r="J1464" s="63">
        <f t="shared" si="305"/>
        <v>4.1666666666666741E-2</v>
      </c>
      <c r="K1464" s="61" t="s">
        <v>365</v>
      </c>
      <c r="L1464" s="134">
        <f t="shared" si="306"/>
        <v>1.0000000000000018</v>
      </c>
      <c r="O1464" s="81" t="s">
        <v>1214</v>
      </c>
      <c r="P1464" s="88">
        <v>5</v>
      </c>
      <c r="Z1464" s="100"/>
    </row>
    <row r="1465" spans="1:26" x14ac:dyDescent="0.25">
      <c r="A1465" s="99">
        <v>45658</v>
      </c>
      <c r="B1465" s="74">
        <v>45685</v>
      </c>
      <c r="C1465" s="61" t="s">
        <v>106</v>
      </c>
      <c r="D1465" s="60" t="s">
        <v>481</v>
      </c>
      <c r="E1465" s="62" t="s">
        <v>299</v>
      </c>
      <c r="F1465" s="73" t="s">
        <v>1436</v>
      </c>
      <c r="G1465" s="59" t="s">
        <v>142</v>
      </c>
      <c r="H1465" s="83">
        <v>0.375</v>
      </c>
      <c r="I1465" s="83">
        <v>0.70833333333333337</v>
      </c>
      <c r="J1465" s="63">
        <f t="shared" ref="J1465:J1528" si="307">I1465-H1465</f>
        <v>0.33333333333333337</v>
      </c>
      <c r="K1465" s="61" t="s">
        <v>113</v>
      </c>
      <c r="L1465" s="134">
        <f t="shared" ref="L1465:L1528" si="308">24*J1465</f>
        <v>8</v>
      </c>
      <c r="O1465" s="81" t="s">
        <v>539</v>
      </c>
      <c r="P1465" s="88">
        <v>5</v>
      </c>
      <c r="Z1465" s="100"/>
    </row>
    <row r="1466" spans="1:26" x14ac:dyDescent="0.25">
      <c r="A1466" s="99">
        <v>45658</v>
      </c>
      <c r="B1466" s="74">
        <v>45685</v>
      </c>
      <c r="C1466" s="61" t="s">
        <v>106</v>
      </c>
      <c r="D1466" s="60" t="s">
        <v>740</v>
      </c>
      <c r="E1466" s="62" t="s">
        <v>1162</v>
      </c>
      <c r="F1466" s="73" t="s">
        <v>1381</v>
      </c>
      <c r="G1466" s="59" t="s">
        <v>142</v>
      </c>
      <c r="H1466" s="83">
        <v>0.45833333333333331</v>
      </c>
      <c r="I1466" s="83">
        <v>0.70833333333333337</v>
      </c>
      <c r="J1466" s="63">
        <f t="shared" si="307"/>
        <v>0.25000000000000006</v>
      </c>
      <c r="K1466" s="61" t="s">
        <v>110</v>
      </c>
      <c r="L1466" s="134">
        <f t="shared" si="308"/>
        <v>6.0000000000000018</v>
      </c>
      <c r="O1466" s="81" t="s">
        <v>363</v>
      </c>
      <c r="P1466" s="88">
        <v>5</v>
      </c>
      <c r="Z1466" s="100"/>
    </row>
    <row r="1467" spans="1:26" x14ac:dyDescent="0.25">
      <c r="A1467" s="99">
        <v>45658</v>
      </c>
      <c r="B1467" s="74">
        <v>45685</v>
      </c>
      <c r="C1467" s="61" t="s">
        <v>106</v>
      </c>
      <c r="D1467" s="60" t="s">
        <v>46</v>
      </c>
      <c r="E1467" s="62" t="s">
        <v>707</v>
      </c>
      <c r="F1467" s="73" t="s">
        <v>1481</v>
      </c>
      <c r="G1467" s="59" t="s">
        <v>142</v>
      </c>
      <c r="H1467" s="83">
        <v>0.41666666666666669</v>
      </c>
      <c r="I1467" s="83">
        <v>0.70833333333333337</v>
      </c>
      <c r="J1467" s="63">
        <f t="shared" si="307"/>
        <v>0.29166666666666669</v>
      </c>
      <c r="K1467" s="61" t="s">
        <v>110</v>
      </c>
      <c r="L1467" s="134">
        <f t="shared" si="308"/>
        <v>7</v>
      </c>
      <c r="O1467" s="81" t="s">
        <v>363</v>
      </c>
      <c r="P1467" s="88">
        <v>4</v>
      </c>
      <c r="Z1467" s="100"/>
    </row>
    <row r="1468" spans="1:26" x14ac:dyDescent="0.25">
      <c r="A1468" s="99">
        <v>45658</v>
      </c>
      <c r="B1468" s="74">
        <v>45686</v>
      </c>
      <c r="C1468" s="61" t="s">
        <v>398</v>
      </c>
      <c r="D1468" s="60" t="s">
        <v>46</v>
      </c>
      <c r="E1468" s="62" t="s">
        <v>1369</v>
      </c>
      <c r="F1468" s="73" t="s">
        <v>1153</v>
      </c>
      <c r="G1468" s="59" t="s">
        <v>142</v>
      </c>
      <c r="H1468" s="83">
        <v>0.4375</v>
      </c>
      <c r="I1468" s="83">
        <v>0.54166666666666663</v>
      </c>
      <c r="J1468" s="63">
        <f t="shared" si="307"/>
        <v>0.10416666666666663</v>
      </c>
      <c r="K1468" s="61" t="s">
        <v>365</v>
      </c>
      <c r="L1468" s="134">
        <f t="shared" si="308"/>
        <v>2.4999999999999991</v>
      </c>
      <c r="O1468" s="81" t="s">
        <v>359</v>
      </c>
      <c r="P1468" s="88">
        <v>5</v>
      </c>
      <c r="Z1468" s="100"/>
    </row>
    <row r="1469" spans="1:26" x14ac:dyDescent="0.25">
      <c r="A1469" s="99">
        <v>45658</v>
      </c>
      <c r="B1469" s="74">
        <v>45686</v>
      </c>
      <c r="C1469" s="61" t="s">
        <v>398</v>
      </c>
      <c r="D1469" s="60" t="s">
        <v>1391</v>
      </c>
      <c r="E1469" s="62" t="s">
        <v>1483</v>
      </c>
      <c r="F1469" s="73" t="s">
        <v>1290</v>
      </c>
      <c r="G1469" s="59" t="s">
        <v>142</v>
      </c>
      <c r="H1469" s="83">
        <v>0.41666666666666669</v>
      </c>
      <c r="I1469" s="83">
        <v>0.5</v>
      </c>
      <c r="J1469" s="63">
        <f t="shared" si="307"/>
        <v>8.3333333333333315E-2</v>
      </c>
      <c r="K1469" s="61" t="s">
        <v>110</v>
      </c>
      <c r="L1469" s="134">
        <f t="shared" si="308"/>
        <v>1.9999999999999996</v>
      </c>
      <c r="O1469" s="81" t="s">
        <v>363</v>
      </c>
      <c r="P1469" s="88">
        <v>4</v>
      </c>
      <c r="Z1469" s="100"/>
    </row>
    <row r="1470" spans="1:26" x14ac:dyDescent="0.25">
      <c r="A1470" s="99">
        <v>45658</v>
      </c>
      <c r="B1470" s="74">
        <v>45686</v>
      </c>
      <c r="C1470" s="61" t="s">
        <v>398</v>
      </c>
      <c r="D1470" s="60" t="s">
        <v>46</v>
      </c>
      <c r="E1470" s="62" t="s">
        <v>1484</v>
      </c>
      <c r="F1470" s="73" t="s">
        <v>1481</v>
      </c>
      <c r="G1470" s="59" t="s">
        <v>142</v>
      </c>
      <c r="H1470" s="83">
        <v>0.41666666666666702</v>
      </c>
      <c r="I1470" s="83">
        <v>0.70833333333333337</v>
      </c>
      <c r="J1470" s="63">
        <f t="shared" si="307"/>
        <v>0.29166666666666635</v>
      </c>
      <c r="K1470" s="61" t="s">
        <v>110</v>
      </c>
      <c r="L1470" s="134">
        <f t="shared" si="308"/>
        <v>6.9999999999999929</v>
      </c>
      <c r="O1470" s="81" t="s">
        <v>363</v>
      </c>
      <c r="P1470" s="88">
        <v>5</v>
      </c>
      <c r="Z1470" s="100"/>
    </row>
    <row r="1471" spans="1:26" x14ac:dyDescent="0.25">
      <c r="A1471" s="99">
        <v>45658</v>
      </c>
      <c r="B1471" s="74">
        <v>45686</v>
      </c>
      <c r="C1471" s="61" t="s">
        <v>398</v>
      </c>
      <c r="D1471" s="60" t="s">
        <v>481</v>
      </c>
      <c r="E1471" s="62" t="s">
        <v>299</v>
      </c>
      <c r="F1471" s="73" t="s">
        <v>1436</v>
      </c>
      <c r="G1471" s="59" t="s">
        <v>142</v>
      </c>
      <c r="H1471" s="83">
        <v>0.41666666666666702</v>
      </c>
      <c r="I1471" s="83">
        <v>0.70833333333333337</v>
      </c>
      <c r="J1471" s="63">
        <f t="shared" si="307"/>
        <v>0.29166666666666635</v>
      </c>
      <c r="K1471" s="61" t="s">
        <v>113</v>
      </c>
      <c r="L1471" s="134">
        <f t="shared" si="308"/>
        <v>6.9999999999999929</v>
      </c>
      <c r="O1471" s="81" t="s">
        <v>360</v>
      </c>
      <c r="P1471" s="88">
        <v>4</v>
      </c>
      <c r="Z1471" s="100"/>
    </row>
    <row r="1472" spans="1:26" x14ac:dyDescent="0.25">
      <c r="A1472" s="99">
        <v>45658</v>
      </c>
      <c r="B1472" s="74">
        <v>45687</v>
      </c>
      <c r="C1472" s="61" t="s">
        <v>124</v>
      </c>
      <c r="D1472" s="60" t="s">
        <v>481</v>
      </c>
      <c r="E1472" s="62" t="s">
        <v>377</v>
      </c>
      <c r="F1472" s="73" t="s">
        <v>1378</v>
      </c>
      <c r="G1472" s="59" t="s">
        <v>142</v>
      </c>
      <c r="H1472" s="83">
        <v>0.45833333333333331</v>
      </c>
      <c r="I1472" s="83">
        <v>0.70833333333333337</v>
      </c>
      <c r="J1472" s="63">
        <f t="shared" si="307"/>
        <v>0.25000000000000006</v>
      </c>
      <c r="K1472" s="61" t="s">
        <v>110</v>
      </c>
      <c r="L1472" s="134">
        <f t="shared" si="308"/>
        <v>6.0000000000000018</v>
      </c>
      <c r="O1472" s="81" t="s">
        <v>363</v>
      </c>
      <c r="P1472" s="88">
        <v>5</v>
      </c>
      <c r="Z1472" s="100"/>
    </row>
    <row r="1473" spans="1:26" x14ac:dyDescent="0.25">
      <c r="A1473" s="99">
        <v>45658</v>
      </c>
      <c r="B1473" s="74">
        <v>45687</v>
      </c>
      <c r="C1473" s="61" t="s">
        <v>124</v>
      </c>
      <c r="D1473" s="60" t="s">
        <v>98</v>
      </c>
      <c r="E1473" s="62" t="s">
        <v>1178</v>
      </c>
      <c r="F1473" s="73" t="s">
        <v>580</v>
      </c>
      <c r="G1473" s="59" t="s">
        <v>142</v>
      </c>
      <c r="H1473" s="83">
        <v>0.41666666666666669</v>
      </c>
      <c r="I1473" s="83">
        <v>0.5</v>
      </c>
      <c r="J1473" s="63">
        <f t="shared" si="307"/>
        <v>8.3333333333333315E-2</v>
      </c>
      <c r="K1473" s="61" t="s">
        <v>110</v>
      </c>
      <c r="L1473" s="134">
        <f t="shared" si="308"/>
        <v>1.9999999999999996</v>
      </c>
      <c r="O1473" s="81" t="s">
        <v>363</v>
      </c>
      <c r="P1473" s="88">
        <v>5</v>
      </c>
      <c r="Z1473" s="100"/>
    </row>
    <row r="1474" spans="1:26" x14ac:dyDescent="0.25">
      <c r="A1474" s="99">
        <v>45658</v>
      </c>
      <c r="B1474" s="74">
        <v>45687</v>
      </c>
      <c r="C1474" s="61" t="s">
        <v>124</v>
      </c>
      <c r="D1474" s="60" t="s">
        <v>481</v>
      </c>
      <c r="E1474" s="62" t="s">
        <v>299</v>
      </c>
      <c r="F1474" s="73" t="s">
        <v>1436</v>
      </c>
      <c r="G1474" s="59" t="s">
        <v>142</v>
      </c>
      <c r="H1474" s="83">
        <v>0.41666666666666669</v>
      </c>
      <c r="I1474" s="83">
        <v>0.66666666666666663</v>
      </c>
      <c r="J1474" s="63">
        <f t="shared" si="307"/>
        <v>0.24999999999999994</v>
      </c>
      <c r="K1474" s="61" t="s">
        <v>113</v>
      </c>
      <c r="L1474" s="134">
        <f t="shared" si="308"/>
        <v>5.9999999999999982</v>
      </c>
      <c r="O1474" s="81" t="s">
        <v>359</v>
      </c>
      <c r="P1474" s="88">
        <v>5</v>
      </c>
      <c r="Z1474" s="100"/>
    </row>
    <row r="1475" spans="1:26" x14ac:dyDescent="0.25">
      <c r="A1475" s="99">
        <v>45658</v>
      </c>
      <c r="B1475" s="74">
        <v>45687</v>
      </c>
      <c r="C1475" s="61" t="s">
        <v>124</v>
      </c>
      <c r="D1475" s="60" t="s">
        <v>830</v>
      </c>
      <c r="E1475" s="62" t="s">
        <v>1485</v>
      </c>
      <c r="F1475" s="73" t="s">
        <v>1486</v>
      </c>
      <c r="G1475" s="59" t="s">
        <v>142</v>
      </c>
      <c r="H1475" s="83">
        <v>0.4375</v>
      </c>
      <c r="I1475" s="83">
        <v>0.625</v>
      </c>
      <c r="J1475" s="63">
        <f t="shared" si="307"/>
        <v>0.1875</v>
      </c>
      <c r="K1475" s="61" t="s">
        <v>113</v>
      </c>
      <c r="L1475" s="134">
        <f t="shared" si="308"/>
        <v>4.5</v>
      </c>
      <c r="O1475" s="81" t="s">
        <v>359</v>
      </c>
      <c r="P1475" s="88">
        <v>5</v>
      </c>
      <c r="Z1475" s="100"/>
    </row>
    <row r="1476" spans="1:26" x14ac:dyDescent="0.25">
      <c r="A1476" s="99">
        <v>45689</v>
      </c>
      <c r="B1476" s="74">
        <v>45689</v>
      </c>
      <c r="C1476" s="61" t="s">
        <v>34</v>
      </c>
      <c r="D1476" s="60" t="s">
        <v>492</v>
      </c>
      <c r="E1476" s="62" t="s">
        <v>1487</v>
      </c>
      <c r="F1476" s="73" t="s">
        <v>1488</v>
      </c>
      <c r="G1476" s="59" t="s">
        <v>142</v>
      </c>
      <c r="H1476" s="83">
        <v>0.54166666666666663</v>
      </c>
      <c r="I1476" s="83">
        <v>0.70833333333333337</v>
      </c>
      <c r="J1476" s="63">
        <f t="shared" si="307"/>
        <v>0.16666666666666674</v>
      </c>
      <c r="K1476" s="61" t="s">
        <v>113</v>
      </c>
      <c r="L1476" s="134">
        <f t="shared" si="308"/>
        <v>4.0000000000000018</v>
      </c>
      <c r="O1476" s="81" t="s">
        <v>361</v>
      </c>
      <c r="P1476" s="88">
        <v>5</v>
      </c>
      <c r="Z1476" s="100"/>
    </row>
    <row r="1477" spans="1:26" x14ac:dyDescent="0.25">
      <c r="A1477" s="99">
        <v>45689</v>
      </c>
      <c r="B1477" s="74">
        <v>45689</v>
      </c>
      <c r="C1477" s="61" t="s">
        <v>34</v>
      </c>
      <c r="D1477" s="60" t="s">
        <v>481</v>
      </c>
      <c r="E1477" s="62" t="s">
        <v>1425</v>
      </c>
      <c r="F1477" s="73" t="s">
        <v>1350</v>
      </c>
      <c r="G1477" s="59" t="s">
        <v>142</v>
      </c>
      <c r="H1477" s="83">
        <v>0.41666666666666669</v>
      </c>
      <c r="I1477" s="83">
        <v>0.75</v>
      </c>
      <c r="J1477" s="63">
        <f t="shared" si="307"/>
        <v>0.33333333333333331</v>
      </c>
      <c r="K1477" s="61" t="s">
        <v>300</v>
      </c>
      <c r="L1477" s="134">
        <f t="shared" si="308"/>
        <v>8</v>
      </c>
      <c r="O1477" s="81" t="s">
        <v>362</v>
      </c>
      <c r="P1477" s="88">
        <v>4</v>
      </c>
      <c r="Z1477" s="100"/>
    </row>
    <row r="1478" spans="1:26" x14ac:dyDescent="0.25">
      <c r="A1478" s="99">
        <v>45689</v>
      </c>
      <c r="B1478" s="74">
        <v>45690</v>
      </c>
      <c r="C1478" s="61" t="s">
        <v>31</v>
      </c>
      <c r="D1478" s="60" t="s">
        <v>481</v>
      </c>
      <c r="E1478" s="62" t="s">
        <v>1438</v>
      </c>
      <c r="F1478" s="73" t="s">
        <v>1378</v>
      </c>
      <c r="G1478" s="59" t="s">
        <v>142</v>
      </c>
      <c r="H1478" s="83">
        <v>0.41666666666666669</v>
      </c>
      <c r="I1478" s="83">
        <v>0.70833333333333337</v>
      </c>
      <c r="J1478" s="63">
        <f t="shared" si="307"/>
        <v>0.29166666666666669</v>
      </c>
      <c r="K1478" s="61" t="s">
        <v>110</v>
      </c>
      <c r="L1478" s="134">
        <f t="shared" si="308"/>
        <v>7</v>
      </c>
      <c r="O1478" s="81" t="s">
        <v>363</v>
      </c>
      <c r="P1478" s="88">
        <v>5</v>
      </c>
      <c r="Z1478" s="100"/>
    </row>
    <row r="1479" spans="1:26" x14ac:dyDescent="0.25">
      <c r="A1479" s="99">
        <v>45689</v>
      </c>
      <c r="B1479" s="74">
        <v>45690</v>
      </c>
      <c r="C1479" s="61" t="s">
        <v>31</v>
      </c>
      <c r="D1479" s="60" t="s">
        <v>86</v>
      </c>
      <c r="E1479" s="62" t="s">
        <v>1319</v>
      </c>
      <c r="F1479" s="73" t="s">
        <v>1475</v>
      </c>
      <c r="G1479" s="59" t="s">
        <v>142</v>
      </c>
      <c r="H1479" s="83">
        <v>0.45833333333333331</v>
      </c>
      <c r="I1479" s="83">
        <v>0.5</v>
      </c>
      <c r="J1479" s="63">
        <f t="shared" si="307"/>
        <v>4.1666666666666685E-2</v>
      </c>
      <c r="K1479" s="61" t="s">
        <v>110</v>
      </c>
      <c r="L1479" s="134">
        <f t="shared" si="308"/>
        <v>1.0000000000000004</v>
      </c>
      <c r="O1479" s="81" t="s">
        <v>363</v>
      </c>
      <c r="P1479" s="88">
        <v>5</v>
      </c>
      <c r="Z1479" s="100"/>
    </row>
    <row r="1480" spans="1:26" x14ac:dyDescent="0.25">
      <c r="A1480" s="99">
        <v>45689</v>
      </c>
      <c r="B1480" s="74">
        <v>45690</v>
      </c>
      <c r="C1480" s="61" t="s">
        <v>31</v>
      </c>
      <c r="D1480" s="60" t="s">
        <v>492</v>
      </c>
      <c r="E1480" s="62" t="s">
        <v>1487</v>
      </c>
      <c r="F1480" s="73" t="s">
        <v>1488</v>
      </c>
      <c r="G1480" s="59" t="s">
        <v>142</v>
      </c>
      <c r="H1480" s="83">
        <v>0.33333333333333331</v>
      </c>
      <c r="I1480" s="83">
        <v>0.70833333333333337</v>
      </c>
      <c r="J1480" s="63">
        <f t="shared" si="307"/>
        <v>0.37500000000000006</v>
      </c>
      <c r="K1480" s="61" t="s">
        <v>113</v>
      </c>
      <c r="L1480" s="134">
        <f t="shared" si="308"/>
        <v>9.0000000000000018</v>
      </c>
      <c r="O1480" s="81" t="s">
        <v>539</v>
      </c>
      <c r="P1480" s="88">
        <v>5</v>
      </c>
      <c r="Z1480" s="100"/>
    </row>
    <row r="1481" spans="1:26" x14ac:dyDescent="0.25">
      <c r="A1481" s="99">
        <v>45689</v>
      </c>
      <c r="B1481" s="74">
        <v>45690</v>
      </c>
      <c r="C1481" s="61" t="s">
        <v>31</v>
      </c>
      <c r="D1481" s="60" t="s">
        <v>98</v>
      </c>
      <c r="E1481" s="62" t="s">
        <v>1484</v>
      </c>
      <c r="F1481" s="73" t="s">
        <v>1489</v>
      </c>
      <c r="G1481" s="59" t="s">
        <v>142</v>
      </c>
      <c r="H1481" s="83">
        <v>0.41666666666666669</v>
      </c>
      <c r="I1481" s="83">
        <v>0.70833333333333337</v>
      </c>
      <c r="J1481" s="63">
        <f t="shared" si="307"/>
        <v>0.29166666666666669</v>
      </c>
      <c r="K1481" s="61" t="s">
        <v>113</v>
      </c>
      <c r="L1481" s="134">
        <f t="shared" si="308"/>
        <v>7</v>
      </c>
      <c r="O1481" s="81" t="s">
        <v>539</v>
      </c>
      <c r="P1481" s="88">
        <v>5</v>
      </c>
      <c r="Z1481" s="100"/>
    </row>
    <row r="1482" spans="1:26" x14ac:dyDescent="0.25">
      <c r="A1482" s="99">
        <v>45689</v>
      </c>
      <c r="B1482" s="74">
        <v>45691</v>
      </c>
      <c r="C1482" s="61" t="s">
        <v>45</v>
      </c>
      <c r="D1482" s="60" t="s">
        <v>481</v>
      </c>
      <c r="E1482" s="62" t="s">
        <v>299</v>
      </c>
      <c r="F1482" s="73" t="s">
        <v>1436</v>
      </c>
      <c r="G1482" s="59" t="s">
        <v>142</v>
      </c>
      <c r="H1482" s="83">
        <v>0.375</v>
      </c>
      <c r="I1482" s="83">
        <v>0.70833333333333337</v>
      </c>
      <c r="J1482" s="63">
        <f t="shared" si="307"/>
        <v>0.33333333333333337</v>
      </c>
      <c r="K1482" s="61" t="s">
        <v>113</v>
      </c>
      <c r="L1482" s="134">
        <f t="shared" si="308"/>
        <v>8</v>
      </c>
      <c r="O1482" s="81" t="s">
        <v>539</v>
      </c>
      <c r="P1482" s="88">
        <v>5</v>
      </c>
      <c r="Z1482" s="100"/>
    </row>
    <row r="1483" spans="1:26" x14ac:dyDescent="0.25">
      <c r="A1483" s="99">
        <v>45689</v>
      </c>
      <c r="B1483" s="74">
        <v>45691</v>
      </c>
      <c r="C1483" s="61" t="s">
        <v>45</v>
      </c>
      <c r="D1483" s="60" t="s">
        <v>98</v>
      </c>
      <c r="E1483" s="62" t="s">
        <v>1484</v>
      </c>
      <c r="F1483" s="73" t="s">
        <v>1489</v>
      </c>
      <c r="G1483" s="59" t="s">
        <v>142</v>
      </c>
      <c r="H1483" s="83">
        <v>0.41666666666666669</v>
      </c>
      <c r="I1483" s="83">
        <v>0.70833333333333337</v>
      </c>
      <c r="J1483" s="63">
        <f t="shared" si="307"/>
        <v>0.29166666666666669</v>
      </c>
      <c r="K1483" s="61" t="s">
        <v>113</v>
      </c>
      <c r="L1483" s="134">
        <f t="shared" si="308"/>
        <v>7</v>
      </c>
      <c r="O1483" s="81" t="s">
        <v>539</v>
      </c>
      <c r="P1483" s="88">
        <v>5</v>
      </c>
      <c r="Z1483" s="100"/>
    </row>
    <row r="1484" spans="1:26" x14ac:dyDescent="0.25">
      <c r="A1484" s="99">
        <v>45689</v>
      </c>
      <c r="B1484" s="74">
        <v>45692</v>
      </c>
      <c r="C1484" s="61" t="s">
        <v>106</v>
      </c>
      <c r="D1484" s="60" t="s">
        <v>481</v>
      </c>
      <c r="E1484" s="62" t="s">
        <v>1438</v>
      </c>
      <c r="F1484" s="73" t="s">
        <v>1378</v>
      </c>
      <c r="G1484" s="59" t="s">
        <v>142</v>
      </c>
      <c r="H1484" s="83">
        <v>0.41666666666666669</v>
      </c>
      <c r="I1484" s="83">
        <v>0.70833333333333337</v>
      </c>
      <c r="J1484" s="63">
        <f t="shared" si="307"/>
        <v>0.29166666666666669</v>
      </c>
      <c r="K1484" s="61" t="s">
        <v>110</v>
      </c>
      <c r="L1484" s="134">
        <f t="shared" si="308"/>
        <v>7</v>
      </c>
      <c r="O1484" s="81" t="s">
        <v>363</v>
      </c>
      <c r="P1484" s="88">
        <v>5</v>
      </c>
      <c r="Z1484" s="100"/>
    </row>
    <row r="1485" spans="1:26" x14ac:dyDescent="0.25">
      <c r="A1485" s="99">
        <v>45689</v>
      </c>
      <c r="B1485" s="74">
        <v>45692</v>
      </c>
      <c r="C1485" s="61" t="s">
        <v>106</v>
      </c>
      <c r="D1485" s="60" t="s">
        <v>492</v>
      </c>
      <c r="E1485" s="62" t="s">
        <v>1487</v>
      </c>
      <c r="F1485" s="73" t="s">
        <v>1488</v>
      </c>
      <c r="G1485" s="59" t="s">
        <v>142</v>
      </c>
      <c r="H1485" s="83">
        <v>0.375</v>
      </c>
      <c r="I1485" s="83">
        <v>0.70833333333333337</v>
      </c>
      <c r="J1485" s="63">
        <f t="shared" si="307"/>
        <v>0.33333333333333337</v>
      </c>
      <c r="K1485" s="61" t="s">
        <v>113</v>
      </c>
      <c r="L1485" s="134">
        <f t="shared" si="308"/>
        <v>8</v>
      </c>
      <c r="O1485" s="81" t="s">
        <v>539</v>
      </c>
      <c r="P1485" s="88">
        <v>5</v>
      </c>
      <c r="Z1485" s="100"/>
    </row>
    <row r="1486" spans="1:26" x14ac:dyDescent="0.25">
      <c r="A1486" s="99">
        <v>45689</v>
      </c>
      <c r="B1486" s="74">
        <v>45692</v>
      </c>
      <c r="C1486" s="61" t="s">
        <v>106</v>
      </c>
      <c r="D1486" s="60" t="s">
        <v>98</v>
      </c>
      <c r="E1486" s="62" t="s">
        <v>1484</v>
      </c>
      <c r="F1486" s="73" t="s">
        <v>1489</v>
      </c>
      <c r="G1486" s="59" t="s">
        <v>142</v>
      </c>
      <c r="H1486" s="83">
        <v>0.41666666666666669</v>
      </c>
      <c r="I1486" s="83">
        <v>0.70833333333333337</v>
      </c>
      <c r="J1486" s="63">
        <f t="shared" si="307"/>
        <v>0.29166666666666669</v>
      </c>
      <c r="K1486" s="61" t="s">
        <v>113</v>
      </c>
      <c r="L1486" s="134">
        <f t="shared" si="308"/>
        <v>7</v>
      </c>
      <c r="O1486" s="81" t="s">
        <v>539</v>
      </c>
      <c r="P1486" s="88">
        <v>5</v>
      </c>
      <c r="Z1486" s="100"/>
    </row>
    <row r="1487" spans="1:26" x14ac:dyDescent="0.25">
      <c r="A1487" s="99">
        <v>45689</v>
      </c>
      <c r="B1487" s="74">
        <v>45692</v>
      </c>
      <c r="C1487" s="61" t="s">
        <v>106</v>
      </c>
      <c r="D1487" s="60" t="s">
        <v>1322</v>
      </c>
      <c r="E1487" s="62" t="s">
        <v>1384</v>
      </c>
      <c r="F1487" s="73" t="s">
        <v>1350</v>
      </c>
      <c r="G1487" s="59" t="s">
        <v>142</v>
      </c>
      <c r="H1487" s="83">
        <v>0.47916666666666669</v>
      </c>
      <c r="I1487" s="83">
        <v>0.70833333333333337</v>
      </c>
      <c r="J1487" s="63">
        <f t="shared" si="307"/>
        <v>0.22916666666666669</v>
      </c>
      <c r="K1487" s="61" t="s">
        <v>300</v>
      </c>
      <c r="L1487" s="134">
        <f t="shared" si="308"/>
        <v>5.5</v>
      </c>
      <c r="O1487" s="81" t="s">
        <v>362</v>
      </c>
      <c r="P1487" s="88">
        <v>5</v>
      </c>
      <c r="Z1487" s="100"/>
    </row>
    <row r="1488" spans="1:26" x14ac:dyDescent="0.25">
      <c r="A1488" s="99">
        <v>45689</v>
      </c>
      <c r="B1488" s="74">
        <v>45695</v>
      </c>
      <c r="C1488" s="61" t="s">
        <v>124</v>
      </c>
      <c r="D1488" s="60" t="s">
        <v>46</v>
      </c>
      <c r="E1488" s="62" t="s">
        <v>707</v>
      </c>
      <c r="F1488" s="73" t="s">
        <v>1481</v>
      </c>
      <c r="G1488" s="59" t="s">
        <v>142</v>
      </c>
      <c r="H1488" s="83">
        <v>0.41666666666666669</v>
      </c>
      <c r="I1488" s="83">
        <v>0.5</v>
      </c>
      <c r="J1488" s="63">
        <f t="shared" si="307"/>
        <v>8.3333333333333315E-2</v>
      </c>
      <c r="K1488" s="61" t="s">
        <v>110</v>
      </c>
      <c r="L1488" s="134">
        <f t="shared" si="308"/>
        <v>1.9999999999999996</v>
      </c>
      <c r="O1488" s="81" t="s">
        <v>363</v>
      </c>
      <c r="P1488" s="88">
        <v>5</v>
      </c>
      <c r="Z1488" s="100"/>
    </row>
    <row r="1489" spans="1:26" x14ac:dyDescent="0.25">
      <c r="A1489" s="99">
        <v>45689</v>
      </c>
      <c r="B1489" s="74">
        <v>45696</v>
      </c>
      <c r="C1489" s="61" t="s">
        <v>34</v>
      </c>
      <c r="D1489" s="60" t="s">
        <v>317</v>
      </c>
      <c r="E1489" s="62" t="s">
        <v>1490</v>
      </c>
      <c r="F1489" s="73" t="s">
        <v>1491</v>
      </c>
      <c r="G1489" s="59" t="s">
        <v>142</v>
      </c>
      <c r="H1489" s="83">
        <v>0.41666666666666669</v>
      </c>
      <c r="I1489" s="83">
        <v>0.58333333333333337</v>
      </c>
      <c r="J1489" s="63">
        <f t="shared" si="307"/>
        <v>0.16666666666666669</v>
      </c>
      <c r="K1489" s="61" t="s">
        <v>300</v>
      </c>
      <c r="L1489" s="134">
        <f t="shared" si="308"/>
        <v>4</v>
      </c>
      <c r="O1489" s="81" t="s">
        <v>362</v>
      </c>
      <c r="P1489" s="88">
        <v>5</v>
      </c>
      <c r="Z1489" s="100"/>
    </row>
    <row r="1490" spans="1:26" x14ac:dyDescent="0.25">
      <c r="A1490" s="99">
        <v>45689</v>
      </c>
      <c r="B1490" s="74">
        <v>45696</v>
      </c>
      <c r="C1490" s="61" t="s">
        <v>34</v>
      </c>
      <c r="D1490" s="60" t="s">
        <v>1232</v>
      </c>
      <c r="E1490" s="62" t="s">
        <v>1492</v>
      </c>
      <c r="F1490" s="73" t="s">
        <v>1350</v>
      </c>
      <c r="G1490" s="59" t="s">
        <v>142</v>
      </c>
      <c r="H1490" s="83">
        <v>0.4375</v>
      </c>
      <c r="I1490" s="83">
        <v>0.58333333333333337</v>
      </c>
      <c r="J1490" s="63">
        <f t="shared" si="307"/>
        <v>0.14583333333333337</v>
      </c>
      <c r="K1490" s="61" t="s">
        <v>300</v>
      </c>
      <c r="L1490" s="134">
        <f t="shared" si="308"/>
        <v>3.5000000000000009</v>
      </c>
      <c r="O1490" s="81" t="s">
        <v>362</v>
      </c>
      <c r="P1490" s="88">
        <v>5</v>
      </c>
      <c r="Z1490" s="100"/>
    </row>
    <row r="1491" spans="1:26" x14ac:dyDescent="0.25">
      <c r="A1491" s="99">
        <v>45689</v>
      </c>
      <c r="B1491" s="74">
        <v>45697</v>
      </c>
      <c r="C1491" s="61" t="s">
        <v>31</v>
      </c>
      <c r="D1491" s="60" t="s">
        <v>1493</v>
      </c>
      <c r="E1491" s="62" t="s">
        <v>1494</v>
      </c>
      <c r="F1491" s="73" t="s">
        <v>1495</v>
      </c>
      <c r="G1491" s="59" t="s">
        <v>142</v>
      </c>
      <c r="H1491" s="83">
        <v>0.4375</v>
      </c>
      <c r="I1491" s="83">
        <v>0.75</v>
      </c>
      <c r="J1491" s="63">
        <f t="shared" si="307"/>
        <v>0.3125</v>
      </c>
      <c r="K1491" s="61" t="s">
        <v>365</v>
      </c>
      <c r="L1491" s="134">
        <f t="shared" si="308"/>
        <v>7.5</v>
      </c>
      <c r="O1491" s="81" t="s">
        <v>360</v>
      </c>
      <c r="P1491" s="88">
        <v>5</v>
      </c>
      <c r="Z1491" s="100"/>
    </row>
    <row r="1492" spans="1:26" x14ac:dyDescent="0.25">
      <c r="A1492" s="99">
        <v>45689</v>
      </c>
      <c r="B1492" s="74">
        <v>45697</v>
      </c>
      <c r="C1492" s="61" t="s">
        <v>31</v>
      </c>
      <c r="D1492" s="60" t="s">
        <v>310</v>
      </c>
      <c r="E1492" s="62" t="s">
        <v>1496</v>
      </c>
      <c r="F1492" s="73" t="s">
        <v>1293</v>
      </c>
      <c r="G1492" s="59" t="s">
        <v>142</v>
      </c>
      <c r="H1492" s="83">
        <v>0.5</v>
      </c>
      <c r="I1492" s="83">
        <v>0.70833333333333337</v>
      </c>
      <c r="J1492" s="63">
        <f t="shared" si="307"/>
        <v>0.20833333333333337</v>
      </c>
      <c r="K1492" s="61" t="s">
        <v>110</v>
      </c>
      <c r="L1492" s="134">
        <f t="shared" si="308"/>
        <v>5.0000000000000009</v>
      </c>
      <c r="O1492" s="81" t="s">
        <v>363</v>
      </c>
      <c r="P1492" s="88">
        <v>5</v>
      </c>
      <c r="Z1492" s="100"/>
    </row>
    <row r="1493" spans="1:26" x14ac:dyDescent="0.25">
      <c r="A1493" s="99">
        <v>45689</v>
      </c>
      <c r="B1493" s="74">
        <v>45697</v>
      </c>
      <c r="C1493" s="61" t="s">
        <v>31</v>
      </c>
      <c r="D1493" s="60" t="s">
        <v>740</v>
      </c>
      <c r="E1493" s="62" t="s">
        <v>1497</v>
      </c>
      <c r="F1493" s="73" t="s">
        <v>1381</v>
      </c>
      <c r="G1493" s="59" t="s">
        <v>142</v>
      </c>
      <c r="H1493" s="83">
        <v>0.45833333333333331</v>
      </c>
      <c r="I1493" s="83">
        <v>0.70833333333333337</v>
      </c>
      <c r="J1493" s="63">
        <f t="shared" si="307"/>
        <v>0.25000000000000006</v>
      </c>
      <c r="K1493" s="61" t="s">
        <v>110</v>
      </c>
      <c r="L1493" s="134">
        <f t="shared" si="308"/>
        <v>6.0000000000000018</v>
      </c>
      <c r="O1493" s="81" t="s">
        <v>363</v>
      </c>
      <c r="P1493" s="88">
        <v>5</v>
      </c>
      <c r="Z1493" s="100"/>
    </row>
    <row r="1494" spans="1:26" x14ac:dyDescent="0.25">
      <c r="A1494" s="99">
        <v>45689</v>
      </c>
      <c r="B1494" s="74">
        <v>45697</v>
      </c>
      <c r="C1494" s="61" t="s">
        <v>31</v>
      </c>
      <c r="D1494" s="60" t="s">
        <v>1498</v>
      </c>
      <c r="E1494" s="62" t="s">
        <v>1487</v>
      </c>
      <c r="F1494" s="73" t="s">
        <v>1488</v>
      </c>
      <c r="G1494" s="59" t="s">
        <v>142</v>
      </c>
      <c r="H1494" s="83">
        <v>0.41666666666666669</v>
      </c>
      <c r="I1494" s="83">
        <v>0.70833333333333337</v>
      </c>
      <c r="J1494" s="63">
        <f t="shared" si="307"/>
        <v>0.29166666666666669</v>
      </c>
      <c r="K1494" s="61" t="s">
        <v>113</v>
      </c>
      <c r="L1494" s="134">
        <f t="shared" si="308"/>
        <v>7</v>
      </c>
      <c r="O1494" s="81" t="s">
        <v>539</v>
      </c>
      <c r="P1494" s="88">
        <v>5</v>
      </c>
      <c r="Z1494" s="100"/>
    </row>
    <row r="1495" spans="1:26" x14ac:dyDescent="0.25">
      <c r="A1495" s="99">
        <v>45689</v>
      </c>
      <c r="B1495" s="74">
        <v>45697</v>
      </c>
      <c r="C1495" s="61" t="s">
        <v>31</v>
      </c>
      <c r="D1495" s="60" t="s">
        <v>126</v>
      </c>
      <c r="E1495" s="62" t="s">
        <v>1466</v>
      </c>
      <c r="F1495" s="73" t="s">
        <v>342</v>
      </c>
      <c r="G1495" s="59" t="s">
        <v>142</v>
      </c>
      <c r="H1495" s="83">
        <v>0.625</v>
      </c>
      <c r="I1495" s="83">
        <v>0.66666666666666663</v>
      </c>
      <c r="J1495" s="63">
        <f t="shared" si="307"/>
        <v>4.166666666666663E-2</v>
      </c>
      <c r="K1495" s="61" t="s">
        <v>110</v>
      </c>
      <c r="L1495" s="134">
        <f t="shared" si="308"/>
        <v>0.99999999999999911</v>
      </c>
      <c r="O1495" s="81" t="s">
        <v>363</v>
      </c>
      <c r="P1495" s="88">
        <v>5</v>
      </c>
      <c r="Z1495" s="100"/>
    </row>
    <row r="1496" spans="1:26" x14ac:dyDescent="0.25">
      <c r="A1496" s="99">
        <v>45689</v>
      </c>
      <c r="B1496" s="74">
        <v>45698</v>
      </c>
      <c r="C1496" s="61" t="s">
        <v>45</v>
      </c>
      <c r="D1496" s="60" t="s">
        <v>1493</v>
      </c>
      <c r="E1496" s="62" t="s">
        <v>1499</v>
      </c>
      <c r="F1496" s="73" t="s">
        <v>1495</v>
      </c>
      <c r="G1496" s="59" t="s">
        <v>142</v>
      </c>
      <c r="H1496" s="83">
        <v>0.4375</v>
      </c>
      <c r="I1496" s="83">
        <v>0.72916666666666663</v>
      </c>
      <c r="J1496" s="63">
        <f t="shared" si="307"/>
        <v>0.29166666666666663</v>
      </c>
      <c r="K1496" s="61" t="s">
        <v>365</v>
      </c>
      <c r="L1496" s="134">
        <f t="shared" si="308"/>
        <v>6.9999999999999991</v>
      </c>
      <c r="O1496" s="81" t="s">
        <v>359</v>
      </c>
      <c r="P1496" s="88">
        <v>5</v>
      </c>
      <c r="Z1496" s="100"/>
    </row>
    <row r="1497" spans="1:26" x14ac:dyDescent="0.25">
      <c r="A1497" s="99">
        <v>45689</v>
      </c>
      <c r="B1497" s="74">
        <v>45698</v>
      </c>
      <c r="C1497" s="61" t="s">
        <v>45</v>
      </c>
      <c r="D1497" s="60" t="s">
        <v>830</v>
      </c>
      <c r="E1497" s="62" t="s">
        <v>1399</v>
      </c>
      <c r="F1497" s="73" t="s">
        <v>1400</v>
      </c>
      <c r="G1497" s="59" t="s">
        <v>142</v>
      </c>
      <c r="H1497" s="83">
        <v>0.5</v>
      </c>
      <c r="I1497" s="83">
        <v>0.54166666666666663</v>
      </c>
      <c r="J1497" s="63">
        <f t="shared" si="307"/>
        <v>4.166666666666663E-2</v>
      </c>
      <c r="K1497" s="61" t="s">
        <v>365</v>
      </c>
      <c r="L1497" s="134">
        <f t="shared" si="308"/>
        <v>0.99999999999999911</v>
      </c>
      <c r="O1497" s="81" t="s">
        <v>820</v>
      </c>
      <c r="P1497" s="88">
        <v>5</v>
      </c>
      <c r="Z1497" s="100"/>
    </row>
    <row r="1498" spans="1:26" x14ac:dyDescent="0.25">
      <c r="A1498" s="99">
        <v>45689</v>
      </c>
      <c r="B1498" s="74">
        <v>45699</v>
      </c>
      <c r="C1498" s="61" t="s">
        <v>106</v>
      </c>
      <c r="D1498" s="60" t="s">
        <v>1493</v>
      </c>
      <c r="E1498" s="62" t="s">
        <v>1500</v>
      </c>
      <c r="F1498" s="73" t="s">
        <v>1495</v>
      </c>
      <c r="G1498" s="59" t="s">
        <v>142</v>
      </c>
      <c r="H1498" s="83">
        <v>0.4375</v>
      </c>
      <c r="I1498" s="83">
        <v>0.70833333333333337</v>
      </c>
      <c r="J1498" s="63">
        <f t="shared" si="307"/>
        <v>0.27083333333333337</v>
      </c>
      <c r="K1498" s="61" t="s">
        <v>365</v>
      </c>
      <c r="L1498" s="134">
        <f t="shared" si="308"/>
        <v>6.5000000000000009</v>
      </c>
      <c r="O1498" s="81" t="s">
        <v>359</v>
      </c>
      <c r="P1498" s="88">
        <v>5</v>
      </c>
      <c r="Z1498" s="100"/>
    </row>
    <row r="1499" spans="1:26" x14ac:dyDescent="0.25">
      <c r="A1499" s="99">
        <v>45689</v>
      </c>
      <c r="B1499" s="74">
        <v>45699</v>
      </c>
      <c r="C1499" s="61" t="s">
        <v>106</v>
      </c>
      <c r="D1499" s="60" t="s">
        <v>1064</v>
      </c>
      <c r="E1499" s="62" t="s">
        <v>1501</v>
      </c>
      <c r="F1499" s="73" t="s">
        <v>1502</v>
      </c>
      <c r="G1499" s="59" t="s">
        <v>142</v>
      </c>
      <c r="H1499" s="83">
        <v>0.45833333333333331</v>
      </c>
      <c r="I1499" s="83">
        <v>0.58333333333333337</v>
      </c>
      <c r="J1499" s="63">
        <f t="shared" si="307"/>
        <v>0.12500000000000006</v>
      </c>
      <c r="K1499" s="61" t="s">
        <v>365</v>
      </c>
      <c r="L1499" s="134">
        <f t="shared" si="308"/>
        <v>3.0000000000000013</v>
      </c>
      <c r="O1499" s="81" t="s">
        <v>359</v>
      </c>
      <c r="P1499" s="88">
        <v>5</v>
      </c>
      <c r="Z1499" s="100"/>
    </row>
    <row r="1500" spans="1:26" x14ac:dyDescent="0.25">
      <c r="A1500" s="99">
        <v>45689</v>
      </c>
      <c r="B1500" s="74">
        <v>45699</v>
      </c>
      <c r="C1500" s="61" t="s">
        <v>106</v>
      </c>
      <c r="D1500" s="60" t="s">
        <v>830</v>
      </c>
      <c r="E1500" s="62" t="s">
        <v>1503</v>
      </c>
      <c r="F1500" s="73" t="s">
        <v>1504</v>
      </c>
      <c r="G1500" s="59" t="s">
        <v>142</v>
      </c>
      <c r="H1500" s="83">
        <v>0.5625</v>
      </c>
      <c r="I1500" s="83">
        <v>0.625</v>
      </c>
      <c r="J1500" s="63">
        <f t="shared" si="307"/>
        <v>6.25E-2</v>
      </c>
      <c r="K1500" s="61" t="s">
        <v>365</v>
      </c>
      <c r="L1500" s="134">
        <f t="shared" si="308"/>
        <v>1.5</v>
      </c>
      <c r="O1500" s="81" t="s">
        <v>359</v>
      </c>
      <c r="P1500" s="88">
        <v>5</v>
      </c>
      <c r="Z1500" s="100"/>
    </row>
    <row r="1501" spans="1:26" x14ac:dyDescent="0.25">
      <c r="A1501" s="99">
        <v>45689</v>
      </c>
      <c r="B1501" s="74">
        <v>45700</v>
      </c>
      <c r="C1501" s="61" t="s">
        <v>398</v>
      </c>
      <c r="D1501" s="60" t="s">
        <v>1322</v>
      </c>
      <c r="E1501" s="62" t="s">
        <v>1384</v>
      </c>
      <c r="F1501" s="73" t="s">
        <v>1407</v>
      </c>
      <c r="G1501" s="59" t="s">
        <v>142</v>
      </c>
      <c r="H1501" s="83">
        <v>0.4375</v>
      </c>
      <c r="I1501" s="83">
        <v>0.77083333333333337</v>
      </c>
      <c r="J1501" s="63">
        <f t="shared" si="307"/>
        <v>0.33333333333333337</v>
      </c>
      <c r="K1501" s="61" t="s">
        <v>365</v>
      </c>
      <c r="L1501" s="134">
        <f t="shared" si="308"/>
        <v>8</v>
      </c>
      <c r="O1501" s="81" t="s">
        <v>1214</v>
      </c>
      <c r="P1501" s="88">
        <v>5</v>
      </c>
      <c r="Z1501" s="100"/>
    </row>
    <row r="1502" spans="1:26" x14ac:dyDescent="0.25">
      <c r="A1502" s="99">
        <v>45689</v>
      </c>
      <c r="B1502" s="74">
        <v>45700</v>
      </c>
      <c r="C1502" s="61" t="s">
        <v>398</v>
      </c>
      <c r="D1502" s="60" t="s">
        <v>1493</v>
      </c>
      <c r="E1502" s="62" t="s">
        <v>1500</v>
      </c>
      <c r="F1502" s="73" t="s">
        <v>1505</v>
      </c>
      <c r="G1502" s="59" t="s">
        <v>142</v>
      </c>
      <c r="H1502" s="83">
        <v>0.45833333333333331</v>
      </c>
      <c r="I1502" s="83">
        <v>0.72916666666666663</v>
      </c>
      <c r="J1502" s="63">
        <f t="shared" si="307"/>
        <v>0.27083333333333331</v>
      </c>
      <c r="K1502" s="61" t="s">
        <v>365</v>
      </c>
      <c r="L1502" s="134">
        <f t="shared" si="308"/>
        <v>6.5</v>
      </c>
      <c r="O1502" s="81" t="s">
        <v>1214</v>
      </c>
      <c r="P1502" s="88">
        <v>5</v>
      </c>
      <c r="Z1502" s="100"/>
    </row>
    <row r="1503" spans="1:26" x14ac:dyDescent="0.25">
      <c r="A1503" s="99">
        <v>45689</v>
      </c>
      <c r="B1503" s="74">
        <v>45700</v>
      </c>
      <c r="C1503" s="61" t="s">
        <v>398</v>
      </c>
      <c r="D1503" s="60" t="s">
        <v>98</v>
      </c>
      <c r="E1503" s="62" t="s">
        <v>1484</v>
      </c>
      <c r="F1503" s="73" t="s">
        <v>1489</v>
      </c>
      <c r="G1503" s="59" t="s">
        <v>142</v>
      </c>
      <c r="H1503" s="83">
        <v>0.41666666666666669</v>
      </c>
      <c r="I1503" s="83">
        <v>0.70833333333333337</v>
      </c>
      <c r="J1503" s="63">
        <f t="shared" si="307"/>
        <v>0.29166666666666669</v>
      </c>
      <c r="K1503" s="61" t="s">
        <v>113</v>
      </c>
      <c r="L1503" s="134">
        <f t="shared" si="308"/>
        <v>7</v>
      </c>
      <c r="O1503" s="81" t="s">
        <v>360</v>
      </c>
      <c r="P1503" s="88">
        <v>5</v>
      </c>
      <c r="Z1503" s="100"/>
    </row>
    <row r="1504" spans="1:26" x14ac:dyDescent="0.25">
      <c r="A1504" s="99">
        <v>45689</v>
      </c>
      <c r="B1504" s="74">
        <v>45700</v>
      </c>
      <c r="C1504" s="61" t="s">
        <v>398</v>
      </c>
      <c r="D1504" s="60" t="s">
        <v>1498</v>
      </c>
      <c r="E1504" s="62" t="s">
        <v>1487</v>
      </c>
      <c r="F1504" s="73" t="s">
        <v>1488</v>
      </c>
      <c r="G1504" s="59" t="s">
        <v>142</v>
      </c>
      <c r="H1504" s="83">
        <v>0.45833333333333331</v>
      </c>
      <c r="I1504" s="83">
        <v>0.85416666666666663</v>
      </c>
      <c r="J1504" s="63">
        <f t="shared" si="307"/>
        <v>0.39583333333333331</v>
      </c>
      <c r="K1504" s="61" t="s">
        <v>113</v>
      </c>
      <c r="L1504" s="134">
        <f t="shared" si="308"/>
        <v>9.5</v>
      </c>
      <c r="O1504" s="81" t="s">
        <v>360</v>
      </c>
      <c r="P1504" s="88">
        <v>5</v>
      </c>
      <c r="Z1504" s="100"/>
    </row>
    <row r="1505" spans="1:26" x14ac:dyDescent="0.25">
      <c r="A1505" s="99">
        <v>45689</v>
      </c>
      <c r="B1505" s="74">
        <v>45701</v>
      </c>
      <c r="C1505" s="61" t="s">
        <v>124</v>
      </c>
      <c r="D1505" s="60" t="s">
        <v>1498</v>
      </c>
      <c r="E1505" s="62" t="s">
        <v>1487</v>
      </c>
      <c r="F1505" s="73" t="s">
        <v>1488</v>
      </c>
      <c r="G1505" s="59" t="s">
        <v>142</v>
      </c>
      <c r="H1505" s="83">
        <v>0.41666666666666669</v>
      </c>
      <c r="I1505" s="83">
        <v>0.75</v>
      </c>
      <c r="J1505" s="63">
        <f t="shared" si="307"/>
        <v>0.33333333333333331</v>
      </c>
      <c r="K1505" s="61" t="s">
        <v>113</v>
      </c>
      <c r="L1505" s="134">
        <f t="shared" si="308"/>
        <v>8</v>
      </c>
      <c r="O1505" s="81" t="s">
        <v>360</v>
      </c>
      <c r="P1505" s="88">
        <v>5</v>
      </c>
      <c r="Z1505" s="100"/>
    </row>
    <row r="1506" spans="1:26" x14ac:dyDescent="0.25">
      <c r="A1506" s="99">
        <v>45689</v>
      </c>
      <c r="B1506" s="74">
        <v>45703</v>
      </c>
      <c r="C1506" s="61" t="s">
        <v>34</v>
      </c>
      <c r="D1506" s="60" t="s">
        <v>1506</v>
      </c>
      <c r="E1506" s="62" t="s">
        <v>1507</v>
      </c>
      <c r="F1506" s="73" t="s">
        <v>1508</v>
      </c>
      <c r="G1506" s="59" t="s">
        <v>142</v>
      </c>
      <c r="H1506" s="83">
        <v>0.66666666666666663</v>
      </c>
      <c r="I1506" s="83">
        <v>0.75</v>
      </c>
      <c r="J1506" s="63">
        <f t="shared" si="307"/>
        <v>8.333333333333337E-2</v>
      </c>
      <c r="K1506" s="61" t="s">
        <v>300</v>
      </c>
      <c r="L1506" s="134">
        <f t="shared" si="308"/>
        <v>2.0000000000000009</v>
      </c>
      <c r="O1506" s="81" t="s">
        <v>362</v>
      </c>
      <c r="P1506" s="88">
        <v>5</v>
      </c>
      <c r="Z1506" s="100"/>
    </row>
    <row r="1507" spans="1:26" x14ac:dyDescent="0.25">
      <c r="A1507" s="99">
        <v>45689</v>
      </c>
      <c r="B1507" s="74">
        <v>45704</v>
      </c>
      <c r="C1507" s="61" t="s">
        <v>31</v>
      </c>
      <c r="D1507" s="60" t="s">
        <v>126</v>
      </c>
      <c r="E1507" s="62" t="s">
        <v>1466</v>
      </c>
      <c r="F1507" s="73" t="s">
        <v>342</v>
      </c>
      <c r="G1507" s="59" t="s">
        <v>142</v>
      </c>
      <c r="H1507" s="83">
        <v>0.52083333333333337</v>
      </c>
      <c r="I1507" s="83">
        <v>0.58333333333333337</v>
      </c>
      <c r="J1507" s="63">
        <f t="shared" si="307"/>
        <v>6.25E-2</v>
      </c>
      <c r="K1507" s="61" t="s">
        <v>365</v>
      </c>
      <c r="L1507" s="134">
        <f t="shared" si="308"/>
        <v>1.5</v>
      </c>
      <c r="O1507" s="81" t="s">
        <v>361</v>
      </c>
      <c r="P1507" s="88">
        <v>5</v>
      </c>
      <c r="Z1507" s="100"/>
    </row>
    <row r="1508" spans="1:26" x14ac:dyDescent="0.25">
      <c r="A1508" s="99">
        <v>45689</v>
      </c>
      <c r="B1508" s="74">
        <v>45704</v>
      </c>
      <c r="C1508" s="61" t="s">
        <v>31</v>
      </c>
      <c r="D1508" s="60" t="s">
        <v>1498</v>
      </c>
      <c r="E1508" s="62" t="s">
        <v>1487</v>
      </c>
      <c r="F1508" s="73" t="s">
        <v>1488</v>
      </c>
      <c r="G1508" s="59" t="s">
        <v>142</v>
      </c>
      <c r="H1508" s="83">
        <v>0.41666666666666669</v>
      </c>
      <c r="I1508" s="83">
        <v>0.70833333333333337</v>
      </c>
      <c r="J1508" s="63">
        <f t="shared" si="307"/>
        <v>0.29166666666666669</v>
      </c>
      <c r="K1508" s="61" t="s">
        <v>113</v>
      </c>
      <c r="L1508" s="134">
        <f t="shared" si="308"/>
        <v>7</v>
      </c>
      <c r="O1508" s="81" t="s">
        <v>539</v>
      </c>
      <c r="P1508" s="88">
        <v>5</v>
      </c>
      <c r="Z1508" s="100"/>
    </row>
    <row r="1509" spans="1:26" x14ac:dyDescent="0.25">
      <c r="A1509" s="99">
        <v>45689</v>
      </c>
      <c r="B1509" s="74">
        <v>45704</v>
      </c>
      <c r="C1509" s="61" t="s">
        <v>31</v>
      </c>
      <c r="D1509" s="60" t="s">
        <v>98</v>
      </c>
      <c r="E1509" s="62" t="s">
        <v>1484</v>
      </c>
      <c r="F1509" s="73" t="s">
        <v>1489</v>
      </c>
      <c r="G1509" s="59" t="s">
        <v>142</v>
      </c>
      <c r="H1509" s="83">
        <v>0.41666666666666669</v>
      </c>
      <c r="I1509" s="83">
        <v>0.70833333333333337</v>
      </c>
      <c r="J1509" s="63">
        <f t="shared" si="307"/>
        <v>0.29166666666666669</v>
      </c>
      <c r="K1509" s="61" t="s">
        <v>113</v>
      </c>
      <c r="L1509" s="134">
        <f t="shared" si="308"/>
        <v>7</v>
      </c>
      <c r="O1509" s="81" t="s">
        <v>539</v>
      </c>
      <c r="P1509" s="88">
        <v>5</v>
      </c>
      <c r="Z1509" s="100"/>
    </row>
    <row r="1510" spans="1:26" x14ac:dyDescent="0.25">
      <c r="A1510" s="99">
        <v>45689</v>
      </c>
      <c r="B1510" s="74">
        <v>45706</v>
      </c>
      <c r="C1510" s="61" t="s">
        <v>106</v>
      </c>
      <c r="D1510" s="60" t="s">
        <v>122</v>
      </c>
      <c r="E1510" s="62" t="s">
        <v>1313</v>
      </c>
      <c r="F1510" s="73" t="s">
        <v>1509</v>
      </c>
      <c r="G1510" s="59" t="s">
        <v>142</v>
      </c>
      <c r="H1510" s="83">
        <v>0.54166666666666663</v>
      </c>
      <c r="I1510" s="83">
        <v>0.70833333333333337</v>
      </c>
      <c r="J1510" s="63">
        <f t="shared" si="307"/>
        <v>0.16666666666666674</v>
      </c>
      <c r="K1510" s="61" t="s">
        <v>295</v>
      </c>
      <c r="L1510" s="134">
        <f t="shared" si="308"/>
        <v>4.0000000000000018</v>
      </c>
      <c r="O1510" s="81" t="s">
        <v>358</v>
      </c>
      <c r="P1510" s="88">
        <v>5</v>
      </c>
      <c r="Z1510" s="100"/>
    </row>
    <row r="1511" spans="1:26" x14ac:dyDescent="0.25">
      <c r="A1511" s="99">
        <v>45689</v>
      </c>
      <c r="B1511" s="74">
        <v>45708</v>
      </c>
      <c r="C1511" s="61" t="s">
        <v>124</v>
      </c>
      <c r="D1511" s="60" t="s">
        <v>740</v>
      </c>
      <c r="E1511" s="62" t="s">
        <v>409</v>
      </c>
      <c r="F1511" s="73" t="s">
        <v>1105</v>
      </c>
      <c r="G1511" s="59" t="s">
        <v>142</v>
      </c>
      <c r="H1511" s="83">
        <v>0.5</v>
      </c>
      <c r="I1511" s="83">
        <v>0.54166666666666663</v>
      </c>
      <c r="J1511" s="63">
        <f t="shared" si="307"/>
        <v>4.166666666666663E-2</v>
      </c>
      <c r="K1511" s="61" t="s">
        <v>365</v>
      </c>
      <c r="L1511" s="134">
        <f t="shared" si="308"/>
        <v>0.99999999999999911</v>
      </c>
      <c r="O1511" s="81" t="s">
        <v>820</v>
      </c>
      <c r="P1511" s="88">
        <v>5</v>
      </c>
      <c r="Z1511" s="100"/>
    </row>
    <row r="1512" spans="1:26" x14ac:dyDescent="0.25">
      <c r="A1512" s="99">
        <v>45689</v>
      </c>
      <c r="B1512" s="74">
        <v>45708</v>
      </c>
      <c r="C1512" s="61" t="s">
        <v>124</v>
      </c>
      <c r="D1512" s="60" t="s">
        <v>122</v>
      </c>
      <c r="E1512" s="62" t="s">
        <v>1313</v>
      </c>
      <c r="F1512" s="73" t="s">
        <v>1509</v>
      </c>
      <c r="G1512" s="59" t="s">
        <v>142</v>
      </c>
      <c r="H1512" s="83">
        <v>0.5</v>
      </c>
      <c r="I1512" s="83">
        <v>0.54166666666666663</v>
      </c>
      <c r="J1512" s="63">
        <f t="shared" si="307"/>
        <v>4.166666666666663E-2</v>
      </c>
      <c r="K1512" s="61" t="s">
        <v>295</v>
      </c>
      <c r="L1512" s="134">
        <f t="shared" si="308"/>
        <v>0.99999999999999911</v>
      </c>
      <c r="O1512" s="81" t="s">
        <v>358</v>
      </c>
      <c r="P1512" s="88">
        <v>5</v>
      </c>
      <c r="Z1512" s="100"/>
    </row>
    <row r="1513" spans="1:26" x14ac:dyDescent="0.25">
      <c r="A1513" s="99">
        <v>45689</v>
      </c>
      <c r="B1513" s="74">
        <v>45708</v>
      </c>
      <c r="C1513" s="61" t="s">
        <v>124</v>
      </c>
      <c r="D1513" s="60" t="s">
        <v>46</v>
      </c>
      <c r="E1513" s="62" t="s">
        <v>707</v>
      </c>
      <c r="F1513" s="73" t="s">
        <v>1510</v>
      </c>
      <c r="G1513" s="59" t="s">
        <v>142</v>
      </c>
      <c r="H1513" s="83">
        <v>0.41666666666666669</v>
      </c>
      <c r="I1513" s="83">
        <v>0.5</v>
      </c>
      <c r="J1513" s="63">
        <f t="shared" si="307"/>
        <v>8.3333333333333315E-2</v>
      </c>
      <c r="K1513" s="61" t="s">
        <v>110</v>
      </c>
      <c r="L1513" s="134">
        <f t="shared" si="308"/>
        <v>1.9999999999999996</v>
      </c>
      <c r="O1513" s="81" t="s">
        <v>363</v>
      </c>
      <c r="P1513" s="88">
        <v>5</v>
      </c>
      <c r="Z1513" s="100"/>
    </row>
    <row r="1514" spans="1:26" x14ac:dyDescent="0.25">
      <c r="A1514" s="99">
        <v>45689</v>
      </c>
      <c r="B1514" s="74">
        <v>45708</v>
      </c>
      <c r="C1514" s="61" t="s">
        <v>124</v>
      </c>
      <c r="D1514" s="60" t="s">
        <v>740</v>
      </c>
      <c r="E1514" s="62" t="s">
        <v>409</v>
      </c>
      <c r="F1514" s="73" t="s">
        <v>1381</v>
      </c>
      <c r="G1514" s="59" t="s">
        <v>142</v>
      </c>
      <c r="H1514" s="83">
        <v>0.54166666666666663</v>
      </c>
      <c r="I1514" s="83">
        <v>0.625</v>
      </c>
      <c r="J1514" s="63">
        <f t="shared" si="307"/>
        <v>8.333333333333337E-2</v>
      </c>
      <c r="K1514" s="61" t="s">
        <v>110</v>
      </c>
      <c r="L1514" s="134">
        <f t="shared" si="308"/>
        <v>2.0000000000000009</v>
      </c>
      <c r="O1514" s="81" t="s">
        <v>363</v>
      </c>
      <c r="P1514" s="88">
        <v>5</v>
      </c>
      <c r="Z1514" s="100"/>
    </row>
    <row r="1515" spans="1:26" x14ac:dyDescent="0.25">
      <c r="A1515" s="99">
        <v>45689</v>
      </c>
      <c r="B1515" s="74">
        <v>45710</v>
      </c>
      <c r="C1515" s="61" t="s">
        <v>34</v>
      </c>
      <c r="D1515" s="60" t="s">
        <v>46</v>
      </c>
      <c r="E1515" s="62" t="s">
        <v>707</v>
      </c>
      <c r="F1515" s="73" t="s">
        <v>1511</v>
      </c>
      <c r="G1515" s="59" t="s">
        <v>142</v>
      </c>
      <c r="H1515" s="83">
        <v>0.41666666666666669</v>
      </c>
      <c r="I1515" s="83">
        <v>0.70833333333333337</v>
      </c>
      <c r="J1515" s="63">
        <f t="shared" si="307"/>
        <v>0.29166666666666669</v>
      </c>
      <c r="K1515" s="61" t="s">
        <v>113</v>
      </c>
      <c r="L1515" s="134">
        <f t="shared" si="308"/>
        <v>7</v>
      </c>
      <c r="O1515" s="81" t="s">
        <v>576</v>
      </c>
      <c r="P1515" s="88">
        <v>5</v>
      </c>
      <c r="Z1515" s="100"/>
    </row>
    <row r="1516" spans="1:26" x14ac:dyDescent="0.25">
      <c r="A1516" s="99">
        <v>45689</v>
      </c>
      <c r="B1516" s="74">
        <v>45710</v>
      </c>
      <c r="C1516" s="61" t="s">
        <v>34</v>
      </c>
      <c r="D1516" s="60" t="s">
        <v>1498</v>
      </c>
      <c r="E1516" s="62" t="s">
        <v>1512</v>
      </c>
      <c r="F1516" s="73" t="s">
        <v>1343</v>
      </c>
      <c r="G1516" s="59" t="s">
        <v>142</v>
      </c>
      <c r="H1516" s="83">
        <v>0.45833333333333331</v>
      </c>
      <c r="I1516" s="83">
        <v>0.70833333333333337</v>
      </c>
      <c r="J1516" s="63">
        <f t="shared" si="307"/>
        <v>0.25000000000000006</v>
      </c>
      <c r="K1516" s="61" t="s">
        <v>113</v>
      </c>
      <c r="L1516" s="134">
        <f t="shared" si="308"/>
        <v>6.0000000000000018</v>
      </c>
      <c r="O1516" s="81" t="s">
        <v>576</v>
      </c>
      <c r="P1516" s="88">
        <v>5</v>
      </c>
      <c r="Z1516" s="100"/>
    </row>
    <row r="1517" spans="1:26" x14ac:dyDescent="0.25">
      <c r="A1517" s="99">
        <v>45689</v>
      </c>
      <c r="B1517" s="74">
        <v>45711</v>
      </c>
      <c r="C1517" s="61" t="s">
        <v>31</v>
      </c>
      <c r="D1517" s="60" t="s">
        <v>126</v>
      </c>
      <c r="E1517" s="62" t="s">
        <v>1401</v>
      </c>
      <c r="F1517" s="73" t="s">
        <v>342</v>
      </c>
      <c r="G1517" s="59" t="s">
        <v>142</v>
      </c>
      <c r="H1517" s="83">
        <v>0.45833333333333331</v>
      </c>
      <c r="I1517" s="83">
        <v>0.54166666666666663</v>
      </c>
      <c r="J1517" s="63">
        <f t="shared" si="307"/>
        <v>8.3333333333333315E-2</v>
      </c>
      <c r="K1517" s="61" t="s">
        <v>110</v>
      </c>
      <c r="L1517" s="134">
        <f t="shared" si="308"/>
        <v>1.9999999999999996</v>
      </c>
      <c r="O1517" s="81" t="s">
        <v>363</v>
      </c>
      <c r="P1517" s="88">
        <v>5</v>
      </c>
      <c r="Z1517" s="100"/>
    </row>
    <row r="1518" spans="1:26" x14ac:dyDescent="0.25">
      <c r="A1518" s="99">
        <v>45689</v>
      </c>
      <c r="B1518" s="74">
        <v>45711</v>
      </c>
      <c r="C1518" s="61" t="s">
        <v>31</v>
      </c>
      <c r="D1518" s="60" t="s">
        <v>126</v>
      </c>
      <c r="E1518" s="62" t="s">
        <v>1401</v>
      </c>
      <c r="F1518" s="73" t="s">
        <v>342</v>
      </c>
      <c r="G1518" s="59" t="s">
        <v>142</v>
      </c>
      <c r="H1518" s="83">
        <v>0.54166666666666663</v>
      </c>
      <c r="I1518" s="83">
        <v>0.58333333333333337</v>
      </c>
      <c r="J1518" s="63">
        <f t="shared" si="307"/>
        <v>4.1666666666666741E-2</v>
      </c>
      <c r="K1518" s="61" t="s">
        <v>295</v>
      </c>
      <c r="L1518" s="134">
        <f t="shared" si="308"/>
        <v>1.0000000000000018</v>
      </c>
      <c r="O1518" s="81" t="s">
        <v>363</v>
      </c>
      <c r="P1518" s="88">
        <v>5</v>
      </c>
      <c r="Z1518" s="100"/>
    </row>
    <row r="1519" spans="1:26" x14ac:dyDescent="0.25">
      <c r="A1519" s="99">
        <v>45717</v>
      </c>
      <c r="B1519" s="74">
        <v>45718</v>
      </c>
      <c r="C1519" s="61" t="s">
        <v>31</v>
      </c>
      <c r="D1519" s="60" t="s">
        <v>126</v>
      </c>
      <c r="E1519" s="62" t="s">
        <v>1513</v>
      </c>
      <c r="F1519" s="73" t="s">
        <v>342</v>
      </c>
      <c r="G1519" s="59" t="s">
        <v>142</v>
      </c>
      <c r="H1519" s="83">
        <v>0.52083333333333337</v>
      </c>
      <c r="I1519" s="83">
        <v>0.64583333333333337</v>
      </c>
      <c r="J1519" s="63">
        <f t="shared" si="307"/>
        <v>0.125</v>
      </c>
      <c r="K1519" s="61" t="s">
        <v>365</v>
      </c>
      <c r="L1519" s="134">
        <f t="shared" si="308"/>
        <v>3</v>
      </c>
      <c r="O1519" s="81" t="s">
        <v>1214</v>
      </c>
      <c r="P1519" s="88">
        <v>5</v>
      </c>
      <c r="Z1519" s="100"/>
    </row>
    <row r="1520" spans="1:26" x14ac:dyDescent="0.25">
      <c r="A1520" s="99">
        <v>45717</v>
      </c>
      <c r="B1520" s="74">
        <v>45718</v>
      </c>
      <c r="C1520" s="61" t="s">
        <v>31</v>
      </c>
      <c r="D1520" s="60" t="s">
        <v>126</v>
      </c>
      <c r="E1520" s="62" t="s">
        <v>1466</v>
      </c>
      <c r="F1520" s="73" t="s">
        <v>342</v>
      </c>
      <c r="G1520" s="59" t="s">
        <v>142</v>
      </c>
      <c r="H1520" s="83">
        <v>0.41666666666666669</v>
      </c>
      <c r="I1520" s="83">
        <v>0.45833333333333331</v>
      </c>
      <c r="J1520" s="63">
        <f t="shared" si="307"/>
        <v>4.166666666666663E-2</v>
      </c>
      <c r="K1520" s="61" t="s">
        <v>113</v>
      </c>
      <c r="L1520" s="134">
        <f t="shared" si="308"/>
        <v>0.99999999999999911</v>
      </c>
      <c r="O1520" s="81" t="s">
        <v>363</v>
      </c>
      <c r="P1520" s="88">
        <v>5</v>
      </c>
      <c r="Z1520" s="100"/>
    </row>
    <row r="1521" spans="1:26" x14ac:dyDescent="0.25">
      <c r="A1521" s="99">
        <v>45717</v>
      </c>
      <c r="B1521" s="74">
        <v>45719</v>
      </c>
      <c r="C1521" s="61" t="s">
        <v>45</v>
      </c>
      <c r="D1521" s="60" t="s">
        <v>740</v>
      </c>
      <c r="E1521" s="62" t="s">
        <v>1186</v>
      </c>
      <c r="F1521" s="73" t="s">
        <v>1514</v>
      </c>
      <c r="G1521" s="59" t="s">
        <v>142</v>
      </c>
      <c r="H1521" s="83">
        <v>0.5</v>
      </c>
      <c r="I1521" s="83">
        <v>0.60416666666666663</v>
      </c>
      <c r="J1521" s="63">
        <f t="shared" si="307"/>
        <v>0.10416666666666663</v>
      </c>
      <c r="K1521" s="61" t="s">
        <v>365</v>
      </c>
      <c r="L1521" s="134">
        <f t="shared" si="308"/>
        <v>2.4999999999999991</v>
      </c>
      <c r="O1521" s="81" t="s">
        <v>360</v>
      </c>
      <c r="P1521" s="88">
        <v>5</v>
      </c>
      <c r="Z1521" s="100"/>
    </row>
    <row r="1522" spans="1:26" x14ac:dyDescent="0.25">
      <c r="A1522" s="99">
        <v>45717</v>
      </c>
      <c r="B1522" s="74">
        <v>45722</v>
      </c>
      <c r="C1522" s="61" t="s">
        <v>124</v>
      </c>
      <c r="D1522" s="60" t="s">
        <v>1391</v>
      </c>
      <c r="E1522" s="62" t="s">
        <v>1515</v>
      </c>
      <c r="F1522" s="73" t="s">
        <v>1516</v>
      </c>
      <c r="G1522" s="59" t="s">
        <v>142</v>
      </c>
      <c r="H1522" s="83">
        <v>0.41666666666666669</v>
      </c>
      <c r="I1522" s="83">
        <v>0.66666666666666663</v>
      </c>
      <c r="J1522" s="63">
        <f t="shared" si="307"/>
        <v>0.24999999999999994</v>
      </c>
      <c r="K1522" s="61" t="s">
        <v>365</v>
      </c>
      <c r="L1522" s="134">
        <f t="shared" si="308"/>
        <v>5.9999999999999982</v>
      </c>
      <c r="O1522" s="81" t="s">
        <v>314</v>
      </c>
      <c r="P1522" s="88">
        <v>5</v>
      </c>
      <c r="Z1522" s="100"/>
    </row>
    <row r="1523" spans="1:26" x14ac:dyDescent="0.25">
      <c r="A1523" s="99">
        <v>45717</v>
      </c>
      <c r="B1523" s="74">
        <v>45722</v>
      </c>
      <c r="C1523" s="61" t="s">
        <v>124</v>
      </c>
      <c r="D1523" s="60" t="s">
        <v>830</v>
      </c>
      <c r="E1523" s="62" t="s">
        <v>1485</v>
      </c>
      <c r="F1523" s="73" t="s">
        <v>1400</v>
      </c>
      <c r="G1523" s="59" t="s">
        <v>142</v>
      </c>
      <c r="H1523" s="83">
        <v>0.41666666666666669</v>
      </c>
      <c r="I1523" s="83">
        <v>0.5</v>
      </c>
      <c r="J1523" s="63">
        <f t="shared" si="307"/>
        <v>8.3333333333333315E-2</v>
      </c>
      <c r="K1523" s="61" t="s">
        <v>365</v>
      </c>
      <c r="L1523" s="134">
        <f t="shared" si="308"/>
        <v>1.9999999999999996</v>
      </c>
      <c r="O1523" s="81" t="s">
        <v>820</v>
      </c>
      <c r="P1523" s="88">
        <v>5</v>
      </c>
      <c r="Z1523" s="100"/>
    </row>
    <row r="1524" spans="1:26" x14ac:dyDescent="0.25">
      <c r="A1524" s="99">
        <v>45717</v>
      </c>
      <c r="B1524" s="74">
        <v>45724</v>
      </c>
      <c r="C1524" s="61" t="s">
        <v>34</v>
      </c>
      <c r="D1524" s="60" t="s">
        <v>481</v>
      </c>
      <c r="E1524" s="62" t="s">
        <v>1071</v>
      </c>
      <c r="F1524" s="73" t="s">
        <v>1350</v>
      </c>
      <c r="G1524" s="59" t="s">
        <v>142</v>
      </c>
      <c r="H1524" s="83">
        <v>0.39583333333333331</v>
      </c>
      <c r="I1524" s="83">
        <v>0.66666666666666663</v>
      </c>
      <c r="J1524" s="63">
        <f t="shared" si="307"/>
        <v>0.27083333333333331</v>
      </c>
      <c r="K1524" s="61" t="s">
        <v>300</v>
      </c>
      <c r="L1524" s="134">
        <f t="shared" si="308"/>
        <v>6.5</v>
      </c>
      <c r="O1524" s="81" t="s">
        <v>362</v>
      </c>
      <c r="P1524" s="88">
        <v>5</v>
      </c>
      <c r="Z1524" s="100"/>
    </row>
    <row r="1525" spans="1:26" x14ac:dyDescent="0.25">
      <c r="A1525" s="99">
        <v>45717</v>
      </c>
      <c r="B1525" s="74">
        <v>45724</v>
      </c>
      <c r="C1525" s="61" t="s">
        <v>34</v>
      </c>
      <c r="D1525" s="60" t="s">
        <v>481</v>
      </c>
      <c r="E1525" s="62" t="s">
        <v>1405</v>
      </c>
      <c r="F1525" s="73" t="s">
        <v>1324</v>
      </c>
      <c r="G1525" s="59" t="s">
        <v>142</v>
      </c>
      <c r="H1525" s="83">
        <v>0.45833333333333331</v>
      </c>
      <c r="I1525" s="83">
        <v>0.66666666666666663</v>
      </c>
      <c r="J1525" s="63">
        <f t="shared" si="307"/>
        <v>0.20833333333333331</v>
      </c>
      <c r="K1525" s="61" t="s">
        <v>300</v>
      </c>
      <c r="L1525" s="134">
        <f t="shared" si="308"/>
        <v>5</v>
      </c>
      <c r="O1525" s="81" t="s">
        <v>362</v>
      </c>
      <c r="P1525" s="88">
        <v>5</v>
      </c>
      <c r="Z1525" s="100"/>
    </row>
    <row r="1526" spans="1:26" x14ac:dyDescent="0.25">
      <c r="A1526" s="99">
        <v>45717</v>
      </c>
      <c r="B1526" s="74">
        <v>45724</v>
      </c>
      <c r="C1526" s="61" t="s">
        <v>34</v>
      </c>
      <c r="D1526" s="60" t="s">
        <v>1506</v>
      </c>
      <c r="E1526" s="62" t="s">
        <v>1517</v>
      </c>
      <c r="F1526" s="73" t="s">
        <v>1518</v>
      </c>
      <c r="G1526" s="59" t="s">
        <v>142</v>
      </c>
      <c r="H1526" s="83">
        <v>0.54166666666666663</v>
      </c>
      <c r="I1526" s="83">
        <v>0.66666666666666663</v>
      </c>
      <c r="J1526" s="63">
        <f t="shared" si="307"/>
        <v>0.125</v>
      </c>
      <c r="K1526" s="61" t="s">
        <v>300</v>
      </c>
      <c r="L1526" s="134">
        <f t="shared" si="308"/>
        <v>3</v>
      </c>
      <c r="O1526" s="81" t="s">
        <v>362</v>
      </c>
      <c r="P1526" s="88">
        <v>5</v>
      </c>
      <c r="Z1526" s="100"/>
    </row>
    <row r="1527" spans="1:26" x14ac:dyDescent="0.25">
      <c r="A1527" s="99">
        <v>45717</v>
      </c>
      <c r="B1527" s="74">
        <v>45725</v>
      </c>
      <c r="C1527" s="61" t="s">
        <v>31</v>
      </c>
      <c r="D1527" s="60" t="s">
        <v>1391</v>
      </c>
      <c r="E1527" s="62" t="s">
        <v>1519</v>
      </c>
      <c r="F1527" s="73" t="s">
        <v>1520</v>
      </c>
      <c r="G1527" s="59" t="s">
        <v>142</v>
      </c>
      <c r="H1527" s="83">
        <v>0.54166666666666663</v>
      </c>
      <c r="I1527" s="83">
        <v>0.66666666666666663</v>
      </c>
      <c r="J1527" s="63">
        <f t="shared" si="307"/>
        <v>0.125</v>
      </c>
      <c r="K1527" s="61" t="s">
        <v>110</v>
      </c>
      <c r="L1527" s="134">
        <f t="shared" si="308"/>
        <v>3</v>
      </c>
      <c r="O1527" s="81" t="s">
        <v>363</v>
      </c>
      <c r="P1527" s="88">
        <v>5</v>
      </c>
      <c r="Z1527" s="100"/>
    </row>
    <row r="1528" spans="1:26" x14ac:dyDescent="0.25">
      <c r="A1528" s="99">
        <v>45717</v>
      </c>
      <c r="B1528" s="74">
        <v>45725</v>
      </c>
      <c r="C1528" s="61" t="s">
        <v>31</v>
      </c>
      <c r="D1528" s="60" t="s">
        <v>126</v>
      </c>
      <c r="E1528" s="62" t="s">
        <v>1466</v>
      </c>
      <c r="F1528" s="73" t="s">
        <v>342</v>
      </c>
      <c r="G1528" s="59" t="s">
        <v>142</v>
      </c>
      <c r="H1528" s="83">
        <v>0.45833333333333331</v>
      </c>
      <c r="I1528" s="83">
        <v>0.5</v>
      </c>
      <c r="J1528" s="63">
        <f t="shared" si="307"/>
        <v>4.1666666666666685E-2</v>
      </c>
      <c r="K1528" s="61" t="s">
        <v>110</v>
      </c>
      <c r="L1528" s="134">
        <f t="shared" si="308"/>
        <v>1.0000000000000004</v>
      </c>
      <c r="O1528" s="81" t="s">
        <v>363</v>
      </c>
      <c r="P1528" s="88">
        <v>5</v>
      </c>
      <c r="Z1528" s="100"/>
    </row>
    <row r="1529" spans="1:26" x14ac:dyDescent="0.25">
      <c r="A1529" s="99">
        <v>45717</v>
      </c>
      <c r="B1529" s="74">
        <v>45725</v>
      </c>
      <c r="C1529" s="61" t="s">
        <v>31</v>
      </c>
      <c r="D1529" s="60" t="s">
        <v>1391</v>
      </c>
      <c r="E1529" s="62" t="s">
        <v>1515</v>
      </c>
      <c r="F1529" s="73" t="s">
        <v>1516</v>
      </c>
      <c r="G1529" s="59" t="s">
        <v>142</v>
      </c>
      <c r="H1529" s="83">
        <v>0.41666666666666669</v>
      </c>
      <c r="I1529" s="83">
        <v>0.625</v>
      </c>
      <c r="J1529" s="63">
        <f t="shared" ref="J1529:J1592" si="309">I1529-H1529</f>
        <v>0.20833333333333331</v>
      </c>
      <c r="K1529" s="61" t="s">
        <v>365</v>
      </c>
      <c r="L1529" s="134">
        <f t="shared" ref="L1529:L1592" si="310">24*J1529</f>
        <v>5</v>
      </c>
      <c r="O1529" s="81" t="s">
        <v>358</v>
      </c>
      <c r="P1529" s="88">
        <v>5</v>
      </c>
      <c r="Z1529" s="100"/>
    </row>
    <row r="1530" spans="1:26" x14ac:dyDescent="0.25">
      <c r="A1530" s="99">
        <v>45717</v>
      </c>
      <c r="B1530" s="74">
        <v>45726</v>
      </c>
      <c r="C1530" s="61" t="s">
        <v>45</v>
      </c>
      <c r="D1530" s="60" t="s">
        <v>830</v>
      </c>
      <c r="E1530" s="62" t="s">
        <v>1521</v>
      </c>
      <c r="F1530" s="73" t="s">
        <v>1400</v>
      </c>
      <c r="G1530" s="59" t="s">
        <v>142</v>
      </c>
      <c r="H1530" s="83">
        <v>0.4375</v>
      </c>
      <c r="I1530" s="83">
        <v>0.45833333333333331</v>
      </c>
      <c r="J1530" s="63">
        <f t="shared" si="309"/>
        <v>2.0833333333333315E-2</v>
      </c>
      <c r="K1530" s="61" t="s">
        <v>365</v>
      </c>
      <c r="L1530" s="134">
        <f t="shared" si="310"/>
        <v>0.49999999999999956</v>
      </c>
      <c r="O1530" s="81" t="s">
        <v>314</v>
      </c>
      <c r="P1530" s="88">
        <v>5</v>
      </c>
      <c r="Z1530" s="100"/>
    </row>
    <row r="1531" spans="1:26" x14ac:dyDescent="0.25">
      <c r="A1531" s="99">
        <v>45717</v>
      </c>
      <c r="B1531" s="74">
        <v>45726</v>
      </c>
      <c r="C1531" s="61" t="s">
        <v>45</v>
      </c>
      <c r="D1531" s="60" t="s">
        <v>740</v>
      </c>
      <c r="E1531" s="62" t="s">
        <v>1186</v>
      </c>
      <c r="F1531" s="73" t="s">
        <v>1514</v>
      </c>
      <c r="G1531" s="59" t="s">
        <v>142</v>
      </c>
      <c r="H1531" s="83">
        <v>0.45833333333333331</v>
      </c>
      <c r="I1531" s="83">
        <v>0.58333333333333337</v>
      </c>
      <c r="J1531" s="63">
        <f t="shared" si="309"/>
        <v>0.12500000000000006</v>
      </c>
      <c r="K1531" s="61" t="s">
        <v>110</v>
      </c>
      <c r="L1531" s="134">
        <f t="shared" si="310"/>
        <v>3.0000000000000013</v>
      </c>
      <c r="O1531" s="81" t="s">
        <v>363</v>
      </c>
      <c r="P1531" s="88">
        <v>5</v>
      </c>
      <c r="Z1531" s="100"/>
    </row>
    <row r="1532" spans="1:26" x14ac:dyDescent="0.25">
      <c r="A1532" s="99">
        <v>45717</v>
      </c>
      <c r="B1532" s="74">
        <v>45726</v>
      </c>
      <c r="C1532" s="61" t="s">
        <v>45</v>
      </c>
      <c r="D1532" s="60" t="s">
        <v>830</v>
      </c>
      <c r="E1532" s="62" t="s">
        <v>1521</v>
      </c>
      <c r="F1532" s="73" t="s">
        <v>1400</v>
      </c>
      <c r="G1532" s="59" t="s">
        <v>142</v>
      </c>
      <c r="H1532" s="83">
        <v>0.41666666666666669</v>
      </c>
      <c r="I1532" s="83">
        <v>0.45833333333333331</v>
      </c>
      <c r="J1532" s="63">
        <f t="shared" si="309"/>
        <v>4.166666666666663E-2</v>
      </c>
      <c r="K1532" s="61" t="s">
        <v>110</v>
      </c>
      <c r="L1532" s="134">
        <f t="shared" si="310"/>
        <v>0.99999999999999911</v>
      </c>
      <c r="O1532" s="81" t="s">
        <v>363</v>
      </c>
      <c r="P1532" s="88">
        <v>5</v>
      </c>
      <c r="Z1532" s="100"/>
    </row>
    <row r="1533" spans="1:26" x14ac:dyDescent="0.25">
      <c r="A1533" s="99">
        <v>45717</v>
      </c>
      <c r="B1533" s="74">
        <v>45726</v>
      </c>
      <c r="C1533" s="61" t="s">
        <v>45</v>
      </c>
      <c r="D1533" s="60" t="s">
        <v>830</v>
      </c>
      <c r="E1533" s="62" t="s">
        <v>1522</v>
      </c>
      <c r="F1533" s="73" t="s">
        <v>1523</v>
      </c>
      <c r="G1533" s="59" t="s">
        <v>142</v>
      </c>
      <c r="H1533" s="83">
        <v>0.375</v>
      </c>
      <c r="I1533" s="83">
        <v>0.45833333333333331</v>
      </c>
      <c r="J1533" s="63">
        <f t="shared" si="309"/>
        <v>8.3333333333333315E-2</v>
      </c>
      <c r="K1533" s="61" t="s">
        <v>110</v>
      </c>
      <c r="L1533" s="134">
        <f t="shared" si="310"/>
        <v>1.9999999999999996</v>
      </c>
      <c r="O1533" s="81" t="s">
        <v>363</v>
      </c>
      <c r="P1533" s="88">
        <v>4</v>
      </c>
      <c r="Z1533" s="100"/>
    </row>
    <row r="1534" spans="1:26" x14ac:dyDescent="0.25">
      <c r="A1534" s="99">
        <v>45717</v>
      </c>
      <c r="B1534" s="74">
        <v>45727</v>
      </c>
      <c r="C1534" s="61" t="s">
        <v>106</v>
      </c>
      <c r="D1534" s="60" t="s">
        <v>46</v>
      </c>
      <c r="E1534" s="62" t="s">
        <v>707</v>
      </c>
      <c r="F1534" s="73" t="s">
        <v>1524</v>
      </c>
      <c r="G1534" s="59" t="s">
        <v>142</v>
      </c>
      <c r="H1534" s="83">
        <v>0.41666666666666669</v>
      </c>
      <c r="I1534" s="83">
        <v>0.54166666666666663</v>
      </c>
      <c r="J1534" s="63">
        <f t="shared" si="309"/>
        <v>0.12499999999999994</v>
      </c>
      <c r="K1534" s="61" t="s">
        <v>110</v>
      </c>
      <c r="L1534" s="134">
        <f t="shared" si="310"/>
        <v>2.9999999999999987</v>
      </c>
      <c r="O1534" s="81" t="s">
        <v>363</v>
      </c>
      <c r="P1534" s="88">
        <v>4</v>
      </c>
      <c r="Z1534" s="100"/>
    </row>
    <row r="1535" spans="1:26" x14ac:dyDescent="0.25">
      <c r="A1535" s="99">
        <v>45717</v>
      </c>
      <c r="B1535" s="74">
        <v>45727</v>
      </c>
      <c r="C1535" s="61" t="s">
        <v>106</v>
      </c>
      <c r="D1535" s="60" t="s">
        <v>122</v>
      </c>
      <c r="E1535" s="62" t="s">
        <v>1313</v>
      </c>
      <c r="F1535" s="73" t="s">
        <v>1523</v>
      </c>
      <c r="G1535" s="59" t="s">
        <v>142</v>
      </c>
      <c r="H1535" s="83">
        <v>0.16666666666666666</v>
      </c>
      <c r="I1535" s="83">
        <v>0.1875</v>
      </c>
      <c r="J1535" s="63">
        <f t="shared" si="309"/>
        <v>2.0833333333333343E-2</v>
      </c>
      <c r="K1535" s="61" t="s">
        <v>295</v>
      </c>
      <c r="L1535" s="134">
        <f t="shared" si="310"/>
        <v>0.50000000000000022</v>
      </c>
      <c r="O1535" s="81" t="s">
        <v>360</v>
      </c>
      <c r="P1535" s="88">
        <v>5</v>
      </c>
      <c r="Z1535" s="100"/>
    </row>
    <row r="1536" spans="1:26" x14ac:dyDescent="0.25">
      <c r="A1536" s="99">
        <v>45717</v>
      </c>
      <c r="B1536" s="74">
        <v>45728</v>
      </c>
      <c r="C1536" s="61" t="s">
        <v>398</v>
      </c>
      <c r="D1536" s="60" t="s">
        <v>122</v>
      </c>
      <c r="E1536" s="62" t="s">
        <v>1313</v>
      </c>
      <c r="F1536" s="73" t="s">
        <v>1523</v>
      </c>
      <c r="G1536" s="59" t="s">
        <v>142</v>
      </c>
      <c r="H1536" s="83">
        <v>0.41666666666666669</v>
      </c>
      <c r="I1536" s="83">
        <v>0.45833333333333331</v>
      </c>
      <c r="J1536" s="63">
        <f t="shared" si="309"/>
        <v>4.166666666666663E-2</v>
      </c>
      <c r="K1536" s="61" t="s">
        <v>295</v>
      </c>
      <c r="L1536" s="134">
        <f t="shared" si="310"/>
        <v>0.99999999999999911</v>
      </c>
      <c r="O1536" s="81" t="s">
        <v>576</v>
      </c>
      <c r="P1536" s="88">
        <v>5</v>
      </c>
      <c r="Z1536" s="100"/>
    </row>
    <row r="1537" spans="1:26" x14ac:dyDescent="0.25">
      <c r="A1537" s="99">
        <v>45717</v>
      </c>
      <c r="B1537" s="74">
        <v>45728</v>
      </c>
      <c r="C1537" s="61" t="s">
        <v>398</v>
      </c>
      <c r="D1537" s="60" t="s">
        <v>1525</v>
      </c>
      <c r="E1537" s="62" t="s">
        <v>1401</v>
      </c>
      <c r="F1537" s="73" t="s">
        <v>1526</v>
      </c>
      <c r="G1537" s="59" t="s">
        <v>142</v>
      </c>
      <c r="H1537" s="83">
        <v>0.47916666666666669</v>
      </c>
      <c r="I1537" s="83">
        <v>0.625</v>
      </c>
      <c r="J1537" s="63">
        <f t="shared" si="309"/>
        <v>0.14583333333333331</v>
      </c>
      <c r="K1537" s="61" t="s">
        <v>365</v>
      </c>
      <c r="L1537" s="134">
        <f t="shared" si="310"/>
        <v>3.4999999999999996</v>
      </c>
      <c r="O1537" s="81" t="s">
        <v>576</v>
      </c>
      <c r="P1537" s="88">
        <v>5</v>
      </c>
      <c r="Z1537" s="100"/>
    </row>
    <row r="1538" spans="1:26" x14ac:dyDescent="0.25">
      <c r="A1538" s="99">
        <v>45717</v>
      </c>
      <c r="B1538" s="74">
        <v>45729</v>
      </c>
      <c r="C1538" s="61" t="s">
        <v>124</v>
      </c>
      <c r="D1538" s="60" t="s">
        <v>46</v>
      </c>
      <c r="E1538" s="62" t="s">
        <v>388</v>
      </c>
      <c r="F1538" s="73" t="s">
        <v>1527</v>
      </c>
      <c r="G1538" s="59" t="s">
        <v>142</v>
      </c>
      <c r="H1538" s="83">
        <v>0.39583333333333331</v>
      </c>
      <c r="I1538" s="83">
        <v>0.58333333333333337</v>
      </c>
      <c r="J1538" s="63">
        <f t="shared" si="309"/>
        <v>0.18750000000000006</v>
      </c>
      <c r="K1538" s="61" t="s">
        <v>110</v>
      </c>
      <c r="L1538" s="134">
        <f t="shared" si="310"/>
        <v>4.5000000000000018</v>
      </c>
      <c r="O1538" s="81" t="s">
        <v>314</v>
      </c>
      <c r="P1538" s="88">
        <v>5</v>
      </c>
      <c r="Z1538" s="100"/>
    </row>
    <row r="1539" spans="1:26" x14ac:dyDescent="0.25">
      <c r="A1539" s="99">
        <v>45717</v>
      </c>
      <c r="B1539" s="74">
        <v>45731</v>
      </c>
      <c r="C1539" s="61" t="s">
        <v>34</v>
      </c>
      <c r="D1539" s="60" t="s">
        <v>830</v>
      </c>
      <c r="E1539" s="62" t="s">
        <v>1528</v>
      </c>
      <c r="F1539" s="73" t="s">
        <v>1296</v>
      </c>
      <c r="G1539" s="59" t="s">
        <v>142</v>
      </c>
      <c r="H1539" s="83">
        <v>0.45833333333333331</v>
      </c>
      <c r="I1539" s="83">
        <v>0.58333333333333337</v>
      </c>
      <c r="J1539" s="63">
        <f t="shared" si="309"/>
        <v>0.12500000000000006</v>
      </c>
      <c r="K1539" s="61" t="s">
        <v>110</v>
      </c>
      <c r="L1539" s="134">
        <f t="shared" si="310"/>
        <v>3.0000000000000013</v>
      </c>
      <c r="O1539" s="81" t="s">
        <v>363</v>
      </c>
      <c r="P1539" s="88">
        <v>5</v>
      </c>
      <c r="Z1539" s="100"/>
    </row>
    <row r="1540" spans="1:26" x14ac:dyDescent="0.25">
      <c r="A1540" s="99">
        <v>45717</v>
      </c>
      <c r="B1540" s="74">
        <v>45732</v>
      </c>
      <c r="C1540" s="61" t="s">
        <v>31</v>
      </c>
      <c r="D1540" s="60" t="s">
        <v>46</v>
      </c>
      <c r="E1540" s="62" t="s">
        <v>388</v>
      </c>
      <c r="F1540" s="73" t="s">
        <v>1343</v>
      </c>
      <c r="G1540" s="59" t="s">
        <v>142</v>
      </c>
      <c r="H1540" s="83">
        <v>0.41666666666666669</v>
      </c>
      <c r="I1540" s="83">
        <v>0.58333333333333337</v>
      </c>
      <c r="J1540" s="63">
        <f t="shared" si="309"/>
        <v>0.16666666666666669</v>
      </c>
      <c r="K1540" s="61" t="s">
        <v>110</v>
      </c>
      <c r="L1540" s="134">
        <f t="shared" si="310"/>
        <v>4</v>
      </c>
      <c r="O1540" s="81" t="s">
        <v>363</v>
      </c>
      <c r="P1540" s="88">
        <v>5</v>
      </c>
      <c r="Z1540" s="100"/>
    </row>
    <row r="1541" spans="1:26" x14ac:dyDescent="0.25">
      <c r="A1541" s="99">
        <v>45717</v>
      </c>
      <c r="B1541" s="74">
        <v>45732</v>
      </c>
      <c r="C1541" s="61" t="s">
        <v>31</v>
      </c>
      <c r="D1541" s="60" t="s">
        <v>46</v>
      </c>
      <c r="E1541" s="62" t="s">
        <v>1529</v>
      </c>
      <c r="F1541" s="73" t="s">
        <v>1302</v>
      </c>
      <c r="G1541" s="59" t="s">
        <v>142</v>
      </c>
      <c r="H1541" s="83">
        <v>0.41666666666666669</v>
      </c>
      <c r="I1541" s="83">
        <v>0.625</v>
      </c>
      <c r="J1541" s="63">
        <f t="shared" si="309"/>
        <v>0.20833333333333331</v>
      </c>
      <c r="K1541" s="61" t="s">
        <v>110</v>
      </c>
      <c r="L1541" s="134">
        <f t="shared" si="310"/>
        <v>5</v>
      </c>
      <c r="O1541" s="81" t="s">
        <v>363</v>
      </c>
      <c r="P1541" s="88">
        <v>5</v>
      </c>
      <c r="Z1541" s="100"/>
    </row>
    <row r="1542" spans="1:26" x14ac:dyDescent="0.25">
      <c r="A1542" s="99">
        <v>45717</v>
      </c>
      <c r="B1542" s="74">
        <v>45732</v>
      </c>
      <c r="C1542" s="61" t="s">
        <v>31</v>
      </c>
      <c r="D1542" s="60" t="s">
        <v>126</v>
      </c>
      <c r="E1542" s="62" t="s">
        <v>1466</v>
      </c>
      <c r="F1542" s="73" t="s">
        <v>342</v>
      </c>
      <c r="G1542" s="59" t="s">
        <v>142</v>
      </c>
      <c r="H1542" s="83">
        <v>0.5</v>
      </c>
      <c r="I1542" s="83">
        <v>0.60416666666666663</v>
      </c>
      <c r="J1542" s="63">
        <f t="shared" si="309"/>
        <v>0.10416666666666663</v>
      </c>
      <c r="K1542" s="61" t="s">
        <v>365</v>
      </c>
      <c r="L1542" s="134">
        <f t="shared" si="310"/>
        <v>2.4999999999999991</v>
      </c>
      <c r="O1542" s="81" t="s">
        <v>576</v>
      </c>
      <c r="P1542" s="88">
        <v>5</v>
      </c>
      <c r="Z1542" s="100"/>
    </row>
    <row r="1543" spans="1:26" x14ac:dyDescent="0.25">
      <c r="A1543" s="99">
        <v>45717</v>
      </c>
      <c r="B1543" s="74">
        <v>45732</v>
      </c>
      <c r="C1543" s="61" t="s">
        <v>31</v>
      </c>
      <c r="D1543" s="60" t="s">
        <v>1530</v>
      </c>
      <c r="E1543" s="62" t="s">
        <v>1531</v>
      </c>
      <c r="F1543" s="73" t="s">
        <v>1532</v>
      </c>
      <c r="G1543" s="59" t="s">
        <v>142</v>
      </c>
      <c r="H1543" s="83">
        <v>0.60416666666666663</v>
      </c>
      <c r="I1543" s="83">
        <v>0.70833333333333337</v>
      </c>
      <c r="J1543" s="63">
        <f t="shared" si="309"/>
        <v>0.10416666666666674</v>
      </c>
      <c r="K1543" s="61" t="s">
        <v>365</v>
      </c>
      <c r="L1543" s="134">
        <f t="shared" si="310"/>
        <v>2.5000000000000018</v>
      </c>
      <c r="O1543" s="81" t="s">
        <v>576</v>
      </c>
      <c r="P1543" s="88">
        <v>5</v>
      </c>
      <c r="Z1543" s="100"/>
    </row>
    <row r="1544" spans="1:26" x14ac:dyDescent="0.25">
      <c r="A1544" s="99">
        <v>45717</v>
      </c>
      <c r="B1544" s="74">
        <v>45732</v>
      </c>
      <c r="C1544" s="61" t="s">
        <v>31</v>
      </c>
      <c r="D1544" s="60" t="s">
        <v>1322</v>
      </c>
      <c r="E1544" s="62" t="s">
        <v>1384</v>
      </c>
      <c r="F1544" s="73" t="s">
        <v>1350</v>
      </c>
      <c r="G1544" s="59" t="s">
        <v>142</v>
      </c>
      <c r="H1544" s="83">
        <v>0.52083333333333337</v>
      </c>
      <c r="I1544" s="83">
        <v>0.66666666666666663</v>
      </c>
      <c r="J1544" s="63">
        <f t="shared" si="309"/>
        <v>0.14583333333333326</v>
      </c>
      <c r="K1544" s="61" t="s">
        <v>300</v>
      </c>
      <c r="L1544" s="134">
        <f t="shared" si="310"/>
        <v>3.4999999999999982</v>
      </c>
      <c r="O1544" s="81" t="s">
        <v>362</v>
      </c>
      <c r="P1544" s="88">
        <v>5</v>
      </c>
      <c r="Z1544" s="100"/>
    </row>
    <row r="1545" spans="1:26" x14ac:dyDescent="0.25">
      <c r="A1545" s="99">
        <v>45717</v>
      </c>
      <c r="B1545" s="74">
        <v>45733</v>
      </c>
      <c r="C1545" s="61" t="s">
        <v>45</v>
      </c>
      <c r="D1545" s="60" t="s">
        <v>308</v>
      </c>
      <c r="E1545" s="62" t="s">
        <v>1533</v>
      </c>
      <c r="F1545" s="73" t="s">
        <v>1290</v>
      </c>
      <c r="G1545" s="59" t="s">
        <v>142</v>
      </c>
      <c r="H1545" s="83">
        <v>0.39583333333333331</v>
      </c>
      <c r="I1545" s="83">
        <v>0.47916666666666669</v>
      </c>
      <c r="J1545" s="63">
        <f t="shared" si="309"/>
        <v>8.333333333333337E-2</v>
      </c>
      <c r="K1545" s="61" t="s">
        <v>365</v>
      </c>
      <c r="L1545" s="134">
        <f t="shared" si="310"/>
        <v>2.0000000000000009</v>
      </c>
      <c r="O1545" s="81" t="s">
        <v>576</v>
      </c>
      <c r="P1545" s="88">
        <v>5</v>
      </c>
      <c r="Z1545" s="100"/>
    </row>
    <row r="1546" spans="1:26" x14ac:dyDescent="0.25">
      <c r="A1546" s="99">
        <v>45717</v>
      </c>
      <c r="B1546" s="74">
        <v>45733</v>
      </c>
      <c r="C1546" s="61" t="s">
        <v>45</v>
      </c>
      <c r="D1546" s="60" t="s">
        <v>126</v>
      </c>
      <c r="E1546" s="62" t="s">
        <v>1534</v>
      </c>
      <c r="F1546" s="73" t="s">
        <v>342</v>
      </c>
      <c r="G1546" s="59" t="s">
        <v>142</v>
      </c>
      <c r="H1546" s="83">
        <v>0.45833333333333331</v>
      </c>
      <c r="I1546" s="83">
        <v>0.5</v>
      </c>
      <c r="J1546" s="63">
        <f t="shared" si="309"/>
        <v>4.1666666666666685E-2</v>
      </c>
      <c r="K1546" s="61" t="s">
        <v>365</v>
      </c>
      <c r="L1546" s="134">
        <f t="shared" si="310"/>
        <v>1.0000000000000004</v>
      </c>
      <c r="O1546" s="81" t="s">
        <v>360</v>
      </c>
      <c r="P1546" s="88">
        <v>5</v>
      </c>
      <c r="Z1546" s="100"/>
    </row>
    <row r="1547" spans="1:26" x14ac:dyDescent="0.25">
      <c r="A1547" s="99">
        <v>45717</v>
      </c>
      <c r="B1547" s="74">
        <v>45733</v>
      </c>
      <c r="C1547" s="61" t="s">
        <v>45</v>
      </c>
      <c r="D1547" s="60" t="s">
        <v>46</v>
      </c>
      <c r="E1547" s="62" t="s">
        <v>388</v>
      </c>
      <c r="F1547" s="73" t="s">
        <v>1343</v>
      </c>
      <c r="G1547" s="59" t="s">
        <v>142</v>
      </c>
      <c r="H1547" s="83">
        <v>0.41666666666666669</v>
      </c>
      <c r="I1547" s="83">
        <v>0.58333333333333337</v>
      </c>
      <c r="J1547" s="63">
        <f t="shared" si="309"/>
        <v>0.16666666666666669</v>
      </c>
      <c r="K1547" s="61" t="s">
        <v>110</v>
      </c>
      <c r="L1547" s="134">
        <f t="shared" si="310"/>
        <v>4</v>
      </c>
      <c r="O1547" s="81" t="s">
        <v>363</v>
      </c>
      <c r="P1547" s="88">
        <v>5</v>
      </c>
      <c r="Z1547" s="100"/>
    </row>
    <row r="1548" spans="1:26" x14ac:dyDescent="0.25">
      <c r="A1548" s="99">
        <v>45717</v>
      </c>
      <c r="B1548" s="74">
        <v>45734</v>
      </c>
      <c r="C1548" s="61" t="s">
        <v>106</v>
      </c>
      <c r="D1548" s="60" t="s">
        <v>46</v>
      </c>
      <c r="E1548" s="62" t="s">
        <v>388</v>
      </c>
      <c r="F1548" s="73" t="s">
        <v>1343</v>
      </c>
      <c r="G1548" s="59" t="s">
        <v>142</v>
      </c>
      <c r="H1548" s="83">
        <v>0.41666666666666669</v>
      </c>
      <c r="I1548" s="83">
        <v>0.58333333333333337</v>
      </c>
      <c r="J1548" s="63">
        <f t="shared" si="309"/>
        <v>0.16666666666666669</v>
      </c>
      <c r="K1548" s="61" t="s">
        <v>110</v>
      </c>
      <c r="L1548" s="134">
        <f t="shared" si="310"/>
        <v>4</v>
      </c>
      <c r="O1548" s="81" t="s">
        <v>363</v>
      </c>
      <c r="P1548" s="88">
        <v>5</v>
      </c>
      <c r="Z1548" s="100"/>
    </row>
    <row r="1549" spans="1:26" x14ac:dyDescent="0.25">
      <c r="A1549" s="99">
        <v>45717</v>
      </c>
      <c r="B1549" s="74">
        <v>45738</v>
      </c>
      <c r="C1549" s="61" t="s">
        <v>34</v>
      </c>
      <c r="D1549" s="60" t="s">
        <v>1498</v>
      </c>
      <c r="E1549" s="62" t="s">
        <v>1535</v>
      </c>
      <c r="F1549" s="73" t="s">
        <v>1488</v>
      </c>
      <c r="G1549" s="59" t="s">
        <v>142</v>
      </c>
      <c r="H1549" s="83">
        <v>0.4375</v>
      </c>
      <c r="I1549" s="83">
        <v>0.5625</v>
      </c>
      <c r="J1549" s="63">
        <f t="shared" si="309"/>
        <v>0.125</v>
      </c>
      <c r="K1549" s="61" t="s">
        <v>113</v>
      </c>
      <c r="L1549" s="134">
        <f t="shared" si="310"/>
        <v>3</v>
      </c>
      <c r="O1549" s="81" t="s">
        <v>1214</v>
      </c>
      <c r="P1549" s="88">
        <v>5</v>
      </c>
      <c r="Z1549" s="100"/>
    </row>
    <row r="1550" spans="1:26" x14ac:dyDescent="0.25">
      <c r="A1550" s="99">
        <v>45717</v>
      </c>
      <c r="B1550" s="74">
        <v>45739</v>
      </c>
      <c r="C1550" s="61" t="s">
        <v>31</v>
      </c>
      <c r="D1550" s="60" t="s">
        <v>1322</v>
      </c>
      <c r="E1550" s="62" t="s">
        <v>1384</v>
      </c>
      <c r="F1550" s="73" t="s">
        <v>1350</v>
      </c>
      <c r="G1550" s="59" t="s">
        <v>142</v>
      </c>
      <c r="H1550" s="83">
        <v>0.5</v>
      </c>
      <c r="I1550" s="83">
        <v>0.58333333333333337</v>
      </c>
      <c r="J1550" s="63">
        <f t="shared" si="309"/>
        <v>8.333333333333337E-2</v>
      </c>
      <c r="K1550" s="61" t="s">
        <v>300</v>
      </c>
      <c r="L1550" s="134">
        <f t="shared" si="310"/>
        <v>2.0000000000000009</v>
      </c>
      <c r="O1550" s="81" t="s">
        <v>362</v>
      </c>
      <c r="P1550" s="88">
        <v>5</v>
      </c>
      <c r="Z1550" s="100"/>
    </row>
    <row r="1551" spans="1:26" x14ac:dyDescent="0.25">
      <c r="A1551" s="99">
        <v>45717</v>
      </c>
      <c r="B1551" s="74">
        <v>45740</v>
      </c>
      <c r="C1551" s="61" t="s">
        <v>45</v>
      </c>
      <c r="D1551" s="60" t="s">
        <v>740</v>
      </c>
      <c r="E1551" s="62" t="s">
        <v>409</v>
      </c>
      <c r="F1551" s="73" t="s">
        <v>1514</v>
      </c>
      <c r="G1551" s="59" t="s">
        <v>142</v>
      </c>
      <c r="H1551" s="83">
        <v>0.52083333333333337</v>
      </c>
      <c r="I1551" s="83">
        <v>0.55208333333333337</v>
      </c>
      <c r="J1551" s="63">
        <f t="shared" si="309"/>
        <v>3.125E-2</v>
      </c>
      <c r="K1551" s="61" t="s">
        <v>365</v>
      </c>
      <c r="L1551" s="134">
        <f t="shared" si="310"/>
        <v>0.75</v>
      </c>
      <c r="O1551" s="81" t="s">
        <v>576</v>
      </c>
      <c r="P1551" s="88">
        <v>5</v>
      </c>
      <c r="Z1551" s="100"/>
    </row>
    <row r="1552" spans="1:26" x14ac:dyDescent="0.25">
      <c r="A1552" s="99">
        <v>45717</v>
      </c>
      <c r="B1552" s="74">
        <v>45740</v>
      </c>
      <c r="C1552" s="61" t="s">
        <v>45</v>
      </c>
      <c r="D1552" s="60" t="s">
        <v>740</v>
      </c>
      <c r="E1552" s="62" t="s">
        <v>1536</v>
      </c>
      <c r="F1552" s="73" t="s">
        <v>1514</v>
      </c>
      <c r="G1552" s="59" t="s">
        <v>142</v>
      </c>
      <c r="H1552" s="83">
        <v>0.41666666666666669</v>
      </c>
      <c r="I1552" s="83">
        <v>0.58333333333333337</v>
      </c>
      <c r="J1552" s="63">
        <f t="shared" si="309"/>
        <v>0.16666666666666669</v>
      </c>
      <c r="K1552" s="61" t="s">
        <v>110</v>
      </c>
      <c r="L1552" s="134">
        <f t="shared" si="310"/>
        <v>4</v>
      </c>
      <c r="O1552" s="81" t="s">
        <v>360</v>
      </c>
      <c r="P1552" s="88">
        <v>5</v>
      </c>
      <c r="Z1552" s="100"/>
    </row>
    <row r="1553" spans="1:26" x14ac:dyDescent="0.25">
      <c r="A1553" s="99">
        <v>45717</v>
      </c>
      <c r="B1553" s="74">
        <v>45741</v>
      </c>
      <c r="C1553" s="61" t="s">
        <v>106</v>
      </c>
      <c r="D1553" s="60" t="s">
        <v>122</v>
      </c>
      <c r="E1553" s="62" t="s">
        <v>1313</v>
      </c>
      <c r="F1553" s="73" t="s">
        <v>1523</v>
      </c>
      <c r="G1553" s="59" t="s">
        <v>142</v>
      </c>
      <c r="H1553" s="83">
        <v>0.58333333333333337</v>
      </c>
      <c r="I1553" s="83">
        <v>0.70833333333333337</v>
      </c>
      <c r="J1553" s="63">
        <f t="shared" si="309"/>
        <v>0.125</v>
      </c>
      <c r="K1553" s="61" t="s">
        <v>295</v>
      </c>
      <c r="L1553" s="134">
        <f t="shared" si="310"/>
        <v>3</v>
      </c>
      <c r="O1553" s="81" t="s">
        <v>360</v>
      </c>
      <c r="P1553" s="88">
        <v>5</v>
      </c>
      <c r="Z1553" s="100"/>
    </row>
    <row r="1554" spans="1:26" x14ac:dyDescent="0.25">
      <c r="A1554" s="99">
        <v>45717</v>
      </c>
      <c r="B1554" s="74">
        <v>45741</v>
      </c>
      <c r="C1554" s="61" t="s">
        <v>106</v>
      </c>
      <c r="D1554" s="60" t="s">
        <v>702</v>
      </c>
      <c r="E1554" s="62" t="s">
        <v>1537</v>
      </c>
      <c r="F1554" s="73" t="s">
        <v>1520</v>
      </c>
      <c r="G1554" s="59" t="s">
        <v>142</v>
      </c>
      <c r="H1554" s="83">
        <v>0.41666666666666669</v>
      </c>
      <c r="I1554" s="83">
        <v>0.625</v>
      </c>
      <c r="J1554" s="63">
        <f t="shared" si="309"/>
        <v>0.20833333333333331</v>
      </c>
      <c r="K1554" s="61" t="s">
        <v>110</v>
      </c>
      <c r="L1554" s="134">
        <f t="shared" si="310"/>
        <v>5</v>
      </c>
      <c r="O1554" s="81" t="s">
        <v>363</v>
      </c>
      <c r="P1554" s="88">
        <v>5</v>
      </c>
      <c r="Z1554" s="100"/>
    </row>
    <row r="1555" spans="1:26" x14ac:dyDescent="0.25">
      <c r="A1555" s="99">
        <v>45717</v>
      </c>
      <c r="B1555" s="74">
        <v>45742</v>
      </c>
      <c r="C1555" s="61" t="s">
        <v>398</v>
      </c>
      <c r="D1555" s="60" t="s">
        <v>740</v>
      </c>
      <c r="E1555" s="62" t="s">
        <v>1536</v>
      </c>
      <c r="F1555" s="73" t="s">
        <v>1514</v>
      </c>
      <c r="G1555" s="59" t="s">
        <v>142</v>
      </c>
      <c r="H1555" s="83">
        <v>0.41666666666666669</v>
      </c>
      <c r="I1555" s="83">
        <v>0.625</v>
      </c>
      <c r="J1555" s="63">
        <f t="shared" si="309"/>
        <v>0.20833333333333331</v>
      </c>
      <c r="K1555" s="61" t="s">
        <v>110</v>
      </c>
      <c r="L1555" s="134">
        <f t="shared" si="310"/>
        <v>5</v>
      </c>
      <c r="O1555" s="81" t="s">
        <v>363</v>
      </c>
      <c r="P1555" s="88">
        <v>5</v>
      </c>
      <c r="Z1555" s="100"/>
    </row>
    <row r="1556" spans="1:26" x14ac:dyDescent="0.25">
      <c r="A1556" s="99">
        <v>45717</v>
      </c>
      <c r="B1556" s="74">
        <v>45743</v>
      </c>
      <c r="C1556" s="61" t="s">
        <v>124</v>
      </c>
      <c r="D1556" s="60" t="s">
        <v>830</v>
      </c>
      <c r="E1556" s="62" t="s">
        <v>1485</v>
      </c>
      <c r="F1556" s="73" t="s">
        <v>1538</v>
      </c>
      <c r="G1556" s="59" t="s">
        <v>142</v>
      </c>
      <c r="H1556" s="83">
        <v>0.41666666666666669</v>
      </c>
      <c r="I1556" s="83">
        <v>0.5</v>
      </c>
      <c r="J1556" s="63">
        <f t="shared" si="309"/>
        <v>8.3333333333333315E-2</v>
      </c>
      <c r="K1556" s="61" t="s">
        <v>110</v>
      </c>
      <c r="L1556" s="134">
        <f t="shared" si="310"/>
        <v>1.9999999999999996</v>
      </c>
      <c r="O1556" s="81" t="s">
        <v>363</v>
      </c>
      <c r="P1556" s="88">
        <v>5</v>
      </c>
      <c r="Z1556" s="100"/>
    </row>
    <row r="1557" spans="1:26" x14ac:dyDescent="0.25">
      <c r="A1557" s="99">
        <v>45717</v>
      </c>
      <c r="B1557" s="74">
        <v>45743</v>
      </c>
      <c r="C1557" s="61" t="s">
        <v>124</v>
      </c>
      <c r="D1557" s="60" t="s">
        <v>122</v>
      </c>
      <c r="E1557" s="62" t="s">
        <v>1313</v>
      </c>
      <c r="F1557" s="73" t="s">
        <v>1523</v>
      </c>
      <c r="G1557" s="59" t="s">
        <v>142</v>
      </c>
      <c r="H1557" s="83">
        <v>0.54166666666666663</v>
      </c>
      <c r="I1557" s="83">
        <v>0.79166666666666663</v>
      </c>
      <c r="J1557" s="63">
        <f t="shared" si="309"/>
        <v>0.25</v>
      </c>
      <c r="K1557" s="61" t="s">
        <v>295</v>
      </c>
      <c r="L1557" s="134">
        <f t="shared" si="310"/>
        <v>6</v>
      </c>
      <c r="O1557" s="81" t="s">
        <v>576</v>
      </c>
      <c r="P1557" s="88">
        <v>5</v>
      </c>
      <c r="Z1557" s="100"/>
    </row>
    <row r="1558" spans="1:26" x14ac:dyDescent="0.25">
      <c r="A1558" s="99">
        <v>45717</v>
      </c>
      <c r="B1558" s="74">
        <v>45743</v>
      </c>
      <c r="C1558" s="61" t="s">
        <v>124</v>
      </c>
      <c r="D1558" s="60" t="s">
        <v>1525</v>
      </c>
      <c r="E1558" s="62" t="s">
        <v>1539</v>
      </c>
      <c r="F1558" s="73" t="s">
        <v>1540</v>
      </c>
      <c r="G1558" s="59" t="s">
        <v>142</v>
      </c>
      <c r="H1558" s="83">
        <v>0.91666666666666663</v>
      </c>
      <c r="I1558" s="83">
        <v>0.99930555555555556</v>
      </c>
      <c r="J1558" s="63">
        <f t="shared" si="309"/>
        <v>8.2638888888888928E-2</v>
      </c>
      <c r="K1558" s="61" t="s">
        <v>365</v>
      </c>
      <c r="L1558" s="134">
        <f t="shared" si="310"/>
        <v>1.9833333333333343</v>
      </c>
      <c r="O1558" s="81" t="s">
        <v>314</v>
      </c>
      <c r="P1558" s="88">
        <v>5</v>
      </c>
      <c r="Z1558" s="100"/>
    </row>
    <row r="1559" spans="1:26" x14ac:dyDescent="0.25">
      <c r="A1559" s="99">
        <v>45809</v>
      </c>
      <c r="B1559" s="74">
        <v>45809</v>
      </c>
      <c r="C1559" s="61" t="s">
        <v>31</v>
      </c>
      <c r="D1559" s="60" t="s">
        <v>98</v>
      </c>
      <c r="E1559" s="62" t="s">
        <v>1369</v>
      </c>
      <c r="F1559" s="73" t="s">
        <v>590</v>
      </c>
      <c r="G1559" s="59" t="s">
        <v>142</v>
      </c>
      <c r="H1559" s="83">
        <v>0.66666666666666663</v>
      </c>
      <c r="I1559" s="83">
        <v>0.70833333333333337</v>
      </c>
      <c r="J1559" s="63">
        <f t="shared" si="309"/>
        <v>4.1666666666666741E-2</v>
      </c>
      <c r="K1559" s="61" t="s">
        <v>110</v>
      </c>
      <c r="L1559" s="134">
        <f t="shared" si="310"/>
        <v>1.0000000000000018</v>
      </c>
      <c r="O1559" s="81" t="s">
        <v>576</v>
      </c>
      <c r="P1559" s="88">
        <v>5</v>
      </c>
      <c r="Z1559" s="100"/>
    </row>
    <row r="1560" spans="1:26" x14ac:dyDescent="0.25">
      <c r="A1560" s="99">
        <v>45809</v>
      </c>
      <c r="B1560" s="74">
        <v>45810</v>
      </c>
      <c r="C1560" s="61" t="s">
        <v>45</v>
      </c>
      <c r="D1560" s="60" t="s">
        <v>32</v>
      </c>
      <c r="E1560" s="62" t="s">
        <v>1541</v>
      </c>
      <c r="F1560" s="73" t="s">
        <v>1542</v>
      </c>
      <c r="G1560" s="59" t="s">
        <v>142</v>
      </c>
      <c r="H1560" s="83">
        <v>0.60416666666666663</v>
      </c>
      <c r="I1560" s="83">
        <v>0.66666666666666663</v>
      </c>
      <c r="J1560" s="63">
        <f t="shared" si="309"/>
        <v>6.25E-2</v>
      </c>
      <c r="K1560" s="88" t="s">
        <v>365</v>
      </c>
      <c r="L1560" s="134">
        <f t="shared" si="310"/>
        <v>1.5</v>
      </c>
      <c r="O1560" s="81" t="s">
        <v>820</v>
      </c>
      <c r="P1560" s="88">
        <v>5</v>
      </c>
      <c r="Z1560" s="100"/>
    </row>
    <row r="1561" spans="1:26" x14ac:dyDescent="0.25">
      <c r="A1561" s="99">
        <v>45809</v>
      </c>
      <c r="B1561" s="74">
        <v>45810</v>
      </c>
      <c r="C1561" s="61" t="s">
        <v>45</v>
      </c>
      <c r="D1561" s="60" t="s">
        <v>406</v>
      </c>
      <c r="E1561" s="62" t="s">
        <v>407</v>
      </c>
      <c r="F1561" s="73" t="s">
        <v>1543</v>
      </c>
      <c r="G1561" s="59" t="s">
        <v>142</v>
      </c>
      <c r="H1561" s="83">
        <v>0.54166666666666663</v>
      </c>
      <c r="I1561" s="83">
        <v>0.70833333333333337</v>
      </c>
      <c r="J1561" s="63">
        <f t="shared" si="309"/>
        <v>0.16666666666666674</v>
      </c>
      <c r="K1561" s="88" t="s">
        <v>365</v>
      </c>
      <c r="L1561" s="134">
        <f t="shared" si="310"/>
        <v>4.0000000000000018</v>
      </c>
      <c r="O1561" s="81" t="s">
        <v>576</v>
      </c>
      <c r="P1561" s="88">
        <v>5</v>
      </c>
      <c r="Z1561" s="100"/>
    </row>
    <row r="1562" spans="1:26" x14ac:dyDescent="0.25">
      <c r="A1562" s="99">
        <v>45809</v>
      </c>
      <c r="B1562" s="74">
        <v>45810</v>
      </c>
      <c r="C1562" s="61" t="s">
        <v>45</v>
      </c>
      <c r="D1562" s="60" t="s">
        <v>126</v>
      </c>
      <c r="E1562" s="62" t="s">
        <v>1544</v>
      </c>
      <c r="F1562" s="73" t="s">
        <v>1545</v>
      </c>
      <c r="G1562" s="59" t="s">
        <v>142</v>
      </c>
      <c r="H1562" s="83">
        <v>0.5</v>
      </c>
      <c r="I1562" s="83">
        <v>0.58333333333333337</v>
      </c>
      <c r="J1562" s="63">
        <f t="shared" si="309"/>
        <v>8.333333333333337E-2</v>
      </c>
      <c r="K1562" s="88" t="s">
        <v>110</v>
      </c>
      <c r="L1562" s="134">
        <f t="shared" si="310"/>
        <v>2.0000000000000009</v>
      </c>
      <c r="O1562" s="81" t="s">
        <v>363</v>
      </c>
      <c r="P1562" s="88">
        <v>5</v>
      </c>
      <c r="Z1562" s="100"/>
    </row>
    <row r="1563" spans="1:26" x14ac:dyDescent="0.25">
      <c r="A1563" s="99">
        <v>45809</v>
      </c>
      <c r="B1563" s="74">
        <v>45810</v>
      </c>
      <c r="C1563" s="61" t="s">
        <v>45</v>
      </c>
      <c r="D1563" s="60" t="s">
        <v>98</v>
      </c>
      <c r="E1563" s="62" t="s">
        <v>1546</v>
      </c>
      <c r="F1563" s="73" t="s">
        <v>1547</v>
      </c>
      <c r="G1563" s="59" t="s">
        <v>142</v>
      </c>
      <c r="H1563" s="83">
        <v>0.8125</v>
      </c>
      <c r="I1563" s="83">
        <v>0.875</v>
      </c>
      <c r="J1563" s="63">
        <f t="shared" si="309"/>
        <v>6.25E-2</v>
      </c>
      <c r="K1563" s="88" t="s">
        <v>296</v>
      </c>
      <c r="L1563" s="134">
        <f t="shared" si="310"/>
        <v>1.5</v>
      </c>
      <c r="O1563" s="81" t="s">
        <v>304</v>
      </c>
      <c r="P1563" s="88">
        <v>5</v>
      </c>
      <c r="Z1563" s="100"/>
    </row>
    <row r="1564" spans="1:26" x14ac:dyDescent="0.25">
      <c r="A1564" s="99">
        <v>45809</v>
      </c>
      <c r="B1564" s="74">
        <v>45810</v>
      </c>
      <c r="C1564" s="61" t="s">
        <v>45</v>
      </c>
      <c r="D1564" s="60" t="s">
        <v>32</v>
      </c>
      <c r="E1564" s="62" t="s">
        <v>1548</v>
      </c>
      <c r="F1564" s="73" t="s">
        <v>1549</v>
      </c>
      <c r="G1564" s="59" t="s">
        <v>142</v>
      </c>
      <c r="H1564" s="83">
        <v>0.45833333333333331</v>
      </c>
      <c r="I1564" s="83">
        <v>0.70833333333333337</v>
      </c>
      <c r="J1564" s="63">
        <f t="shared" si="309"/>
        <v>0.25000000000000006</v>
      </c>
      <c r="K1564" s="88" t="s">
        <v>113</v>
      </c>
      <c r="L1564" s="134">
        <f t="shared" si="310"/>
        <v>6.0000000000000018</v>
      </c>
      <c r="O1564" s="81" t="s">
        <v>539</v>
      </c>
      <c r="P1564" s="88">
        <v>5</v>
      </c>
      <c r="Z1564" s="100"/>
    </row>
    <row r="1565" spans="1:26" x14ac:dyDescent="0.25">
      <c r="A1565" s="99">
        <v>45809</v>
      </c>
      <c r="B1565" s="74">
        <v>45810</v>
      </c>
      <c r="C1565" s="61" t="s">
        <v>45</v>
      </c>
      <c r="D1565" s="60" t="s">
        <v>126</v>
      </c>
      <c r="E1565" s="62" t="s">
        <v>1544</v>
      </c>
      <c r="F1565" s="73" t="s">
        <v>1545</v>
      </c>
      <c r="G1565" s="59" t="s">
        <v>142</v>
      </c>
      <c r="H1565" s="83">
        <v>0.5</v>
      </c>
      <c r="I1565" s="83">
        <v>0.58333333333333337</v>
      </c>
      <c r="J1565" s="63">
        <f t="shared" si="309"/>
        <v>8.333333333333337E-2</v>
      </c>
      <c r="K1565" s="88" t="s">
        <v>113</v>
      </c>
      <c r="L1565" s="134">
        <f t="shared" si="310"/>
        <v>2.0000000000000009</v>
      </c>
      <c r="O1565" s="81" t="s">
        <v>539</v>
      </c>
      <c r="P1565" s="88">
        <v>5</v>
      </c>
      <c r="Z1565" s="100"/>
    </row>
    <row r="1566" spans="1:26" x14ac:dyDescent="0.25">
      <c r="A1566" s="99">
        <v>45809</v>
      </c>
      <c r="B1566" s="74">
        <v>45810</v>
      </c>
      <c r="C1566" s="61" t="s">
        <v>45</v>
      </c>
      <c r="D1566" s="60" t="s">
        <v>98</v>
      </c>
      <c r="E1566" s="62" t="s">
        <v>1334</v>
      </c>
      <c r="F1566" s="73" t="s">
        <v>1550</v>
      </c>
      <c r="G1566" s="59" t="s">
        <v>142</v>
      </c>
      <c r="H1566" s="83">
        <v>0.5</v>
      </c>
      <c r="I1566" s="83">
        <v>0.625</v>
      </c>
      <c r="J1566" s="63">
        <f t="shared" si="309"/>
        <v>0.125</v>
      </c>
      <c r="K1566" s="61" t="s">
        <v>113</v>
      </c>
      <c r="L1566" s="134">
        <f t="shared" si="310"/>
        <v>3</v>
      </c>
      <c r="O1566" s="81" t="s">
        <v>539</v>
      </c>
      <c r="P1566" s="88">
        <v>4</v>
      </c>
      <c r="Q1566" s="61" t="s">
        <v>1551</v>
      </c>
      <c r="Z1566" s="100"/>
    </row>
    <row r="1567" spans="1:26" x14ac:dyDescent="0.25">
      <c r="A1567" s="99">
        <v>45809</v>
      </c>
      <c r="B1567" s="74">
        <v>45811</v>
      </c>
      <c r="C1567" s="61" t="s">
        <v>106</v>
      </c>
      <c r="D1567" s="60" t="s">
        <v>98</v>
      </c>
      <c r="E1567" s="62" t="s">
        <v>1552</v>
      </c>
      <c r="F1567" s="73" t="s">
        <v>1553</v>
      </c>
      <c r="G1567" s="59" t="s">
        <v>142</v>
      </c>
      <c r="H1567" s="83">
        <v>0.54166666666666663</v>
      </c>
      <c r="I1567" s="83">
        <v>0.625</v>
      </c>
      <c r="J1567" s="63">
        <f t="shared" si="309"/>
        <v>8.333333333333337E-2</v>
      </c>
      <c r="K1567" s="88" t="s">
        <v>296</v>
      </c>
      <c r="L1567" s="134">
        <f t="shared" si="310"/>
        <v>2.0000000000000009</v>
      </c>
      <c r="O1567" s="81" t="s">
        <v>304</v>
      </c>
      <c r="P1567" s="88">
        <v>5</v>
      </c>
      <c r="Z1567" s="100"/>
    </row>
    <row r="1568" spans="1:26" x14ac:dyDescent="0.25">
      <c r="A1568" s="99">
        <v>45809</v>
      </c>
      <c r="B1568" s="74">
        <v>45812</v>
      </c>
      <c r="C1568" s="61" t="s">
        <v>398</v>
      </c>
      <c r="D1568" s="60" t="s">
        <v>32</v>
      </c>
      <c r="E1568" s="62" t="s">
        <v>1554</v>
      </c>
      <c r="F1568" s="73" t="s">
        <v>1555</v>
      </c>
      <c r="G1568" s="59" t="s">
        <v>142</v>
      </c>
      <c r="H1568" s="83">
        <v>0.45833333333333331</v>
      </c>
      <c r="I1568" s="83">
        <v>0.5</v>
      </c>
      <c r="J1568" s="63">
        <f t="shared" si="309"/>
        <v>4.1666666666666685E-2</v>
      </c>
      <c r="K1568" s="88" t="s">
        <v>110</v>
      </c>
      <c r="L1568" s="134">
        <f t="shared" si="310"/>
        <v>1.0000000000000004</v>
      </c>
      <c r="O1568" s="81" t="s">
        <v>363</v>
      </c>
      <c r="P1568" s="88">
        <v>5</v>
      </c>
      <c r="Z1568" s="100"/>
    </row>
    <row r="1569" spans="1:26" x14ac:dyDescent="0.25">
      <c r="A1569" s="99">
        <v>45809</v>
      </c>
      <c r="B1569" s="74">
        <v>45819</v>
      </c>
      <c r="C1569" s="61" t="s">
        <v>398</v>
      </c>
      <c r="D1569" s="60" t="s">
        <v>1391</v>
      </c>
      <c r="E1569" s="62" t="s">
        <v>1556</v>
      </c>
      <c r="F1569" s="73" t="s">
        <v>1557</v>
      </c>
      <c r="G1569" s="59" t="s">
        <v>142</v>
      </c>
      <c r="H1569" s="83">
        <v>0.54166666666666663</v>
      </c>
      <c r="I1569" s="83">
        <v>0.70833333333333337</v>
      </c>
      <c r="J1569" s="63">
        <f t="shared" si="309"/>
        <v>0.16666666666666674</v>
      </c>
      <c r="K1569" s="61" t="s">
        <v>295</v>
      </c>
      <c r="L1569" s="134">
        <f t="shared" si="310"/>
        <v>4.0000000000000018</v>
      </c>
      <c r="O1569" s="81" t="s">
        <v>304</v>
      </c>
      <c r="P1569" s="88">
        <v>4</v>
      </c>
      <c r="Q1569" s="61" t="s">
        <v>472</v>
      </c>
      <c r="Z1569" s="100"/>
    </row>
    <row r="1570" spans="1:26" x14ac:dyDescent="0.25">
      <c r="A1570" s="99">
        <v>45809</v>
      </c>
      <c r="B1570" s="74">
        <v>45819</v>
      </c>
      <c r="C1570" s="61" t="s">
        <v>398</v>
      </c>
      <c r="D1570" s="60" t="s">
        <v>1253</v>
      </c>
      <c r="E1570" s="62" t="s">
        <v>1558</v>
      </c>
      <c r="F1570" s="73" t="s">
        <v>1559</v>
      </c>
      <c r="G1570" s="59" t="s">
        <v>142</v>
      </c>
      <c r="H1570" s="83">
        <v>0.5</v>
      </c>
      <c r="I1570" s="83">
        <v>0.66666666666666663</v>
      </c>
      <c r="J1570" s="63">
        <f t="shared" si="309"/>
        <v>0.16666666666666663</v>
      </c>
      <c r="K1570" s="61" t="s">
        <v>365</v>
      </c>
      <c r="L1570" s="134">
        <f t="shared" si="310"/>
        <v>3.9999999999999991</v>
      </c>
      <c r="O1570" s="81" t="s">
        <v>361</v>
      </c>
      <c r="P1570" s="88">
        <v>4</v>
      </c>
      <c r="Q1570" s="61" t="s">
        <v>472</v>
      </c>
      <c r="Z1570" s="100"/>
    </row>
    <row r="1571" spans="1:26" x14ac:dyDescent="0.25">
      <c r="A1571" s="99">
        <v>45809</v>
      </c>
      <c r="B1571" s="74">
        <v>45819</v>
      </c>
      <c r="C1571" s="61" t="s">
        <v>398</v>
      </c>
      <c r="D1571" s="60" t="s">
        <v>406</v>
      </c>
      <c r="E1571" s="62" t="s">
        <v>1560</v>
      </c>
      <c r="F1571" s="73" t="s">
        <v>1561</v>
      </c>
      <c r="G1571" s="59" t="s">
        <v>142</v>
      </c>
      <c r="H1571" s="83">
        <v>0.54166666666666663</v>
      </c>
      <c r="I1571" s="83">
        <v>0.625</v>
      </c>
      <c r="J1571" s="63">
        <f t="shared" si="309"/>
        <v>8.333333333333337E-2</v>
      </c>
      <c r="K1571" s="61" t="s">
        <v>365</v>
      </c>
      <c r="L1571" s="134">
        <f t="shared" si="310"/>
        <v>2.0000000000000009</v>
      </c>
      <c r="O1571" s="81" t="s">
        <v>314</v>
      </c>
      <c r="P1571" s="88">
        <v>5</v>
      </c>
      <c r="Z1571" s="100"/>
    </row>
    <row r="1572" spans="1:26" x14ac:dyDescent="0.25">
      <c r="A1572" s="99">
        <v>45809</v>
      </c>
      <c r="B1572" s="74">
        <v>45820</v>
      </c>
      <c r="C1572" s="61" t="s">
        <v>124</v>
      </c>
      <c r="D1572" s="60" t="s">
        <v>1391</v>
      </c>
      <c r="E1572" s="62" t="s">
        <v>1556</v>
      </c>
      <c r="F1572" s="73" t="s">
        <v>1557</v>
      </c>
      <c r="G1572" s="59" t="s">
        <v>142</v>
      </c>
      <c r="H1572" s="83">
        <v>0.39583333333333331</v>
      </c>
      <c r="I1572" s="83">
        <v>0.875</v>
      </c>
      <c r="J1572" s="63">
        <f t="shared" si="309"/>
        <v>0.47916666666666669</v>
      </c>
      <c r="K1572" s="61" t="s">
        <v>295</v>
      </c>
      <c r="L1572" s="134">
        <f t="shared" si="310"/>
        <v>11.5</v>
      </c>
      <c r="O1572" s="81" t="s">
        <v>304</v>
      </c>
      <c r="P1572" s="88">
        <v>4</v>
      </c>
      <c r="Q1572" s="61" t="s">
        <v>472</v>
      </c>
      <c r="Z1572" s="100"/>
    </row>
    <row r="1573" spans="1:26" x14ac:dyDescent="0.25">
      <c r="A1573" s="99">
        <v>45809</v>
      </c>
      <c r="B1573" s="74">
        <v>45820</v>
      </c>
      <c r="C1573" s="61" t="s">
        <v>124</v>
      </c>
      <c r="D1573" s="60" t="s">
        <v>406</v>
      </c>
      <c r="E1573" s="62" t="s">
        <v>1562</v>
      </c>
      <c r="F1573" s="73" t="s">
        <v>1563</v>
      </c>
      <c r="G1573" s="59" t="s">
        <v>142</v>
      </c>
      <c r="H1573" s="83">
        <v>0.54166666666666663</v>
      </c>
      <c r="I1573" s="83">
        <v>0.66666666666666663</v>
      </c>
      <c r="J1573" s="63">
        <f t="shared" si="309"/>
        <v>0.125</v>
      </c>
      <c r="K1573" s="88" t="s">
        <v>113</v>
      </c>
      <c r="L1573" s="134">
        <f t="shared" si="310"/>
        <v>3</v>
      </c>
      <c r="O1573" s="81" t="s">
        <v>359</v>
      </c>
      <c r="P1573" s="88">
        <v>5</v>
      </c>
      <c r="Z1573" s="100"/>
    </row>
    <row r="1574" spans="1:26" x14ac:dyDescent="0.25">
      <c r="A1574" s="99">
        <v>45809</v>
      </c>
      <c r="B1574" s="74">
        <v>45820</v>
      </c>
      <c r="C1574" s="61" t="s">
        <v>124</v>
      </c>
      <c r="D1574" s="60" t="s">
        <v>1253</v>
      </c>
      <c r="E1574" s="62" t="s">
        <v>1564</v>
      </c>
      <c r="F1574" s="73" t="s">
        <v>1559</v>
      </c>
      <c r="G1574" s="59" t="s">
        <v>142</v>
      </c>
      <c r="H1574" s="83">
        <v>0.625</v>
      </c>
      <c r="I1574" s="83">
        <v>0.70833333333333337</v>
      </c>
      <c r="J1574" s="63">
        <f t="shared" si="309"/>
        <v>8.333333333333337E-2</v>
      </c>
      <c r="K1574" s="61" t="s">
        <v>365</v>
      </c>
      <c r="L1574" s="134">
        <f t="shared" si="310"/>
        <v>2.0000000000000009</v>
      </c>
      <c r="O1574" s="81" t="s">
        <v>359</v>
      </c>
      <c r="P1574" s="88">
        <v>4</v>
      </c>
      <c r="Q1574" s="61" t="s">
        <v>1551</v>
      </c>
      <c r="Z1574" s="100"/>
    </row>
    <row r="1575" spans="1:26" x14ac:dyDescent="0.25">
      <c r="A1575" s="99">
        <v>45809</v>
      </c>
      <c r="B1575" s="74">
        <v>45823</v>
      </c>
      <c r="C1575" s="61" t="s">
        <v>31</v>
      </c>
      <c r="D1575" s="60" t="s">
        <v>1565</v>
      </c>
      <c r="E1575" s="62" t="s">
        <v>1566</v>
      </c>
      <c r="F1575" s="73" t="s">
        <v>1567</v>
      </c>
      <c r="G1575" s="59" t="s">
        <v>142</v>
      </c>
      <c r="H1575" s="83">
        <v>0.41666666666666669</v>
      </c>
      <c r="I1575" s="83">
        <v>0.45833333333333331</v>
      </c>
      <c r="J1575" s="63">
        <f t="shared" si="309"/>
        <v>4.166666666666663E-2</v>
      </c>
      <c r="K1575" s="61" t="s">
        <v>365</v>
      </c>
      <c r="L1575" s="134">
        <f t="shared" si="310"/>
        <v>0.99999999999999911</v>
      </c>
      <c r="O1575" s="81" t="s">
        <v>1214</v>
      </c>
      <c r="P1575" s="88">
        <v>5</v>
      </c>
      <c r="Z1575" s="100"/>
    </row>
    <row r="1576" spans="1:26" x14ac:dyDescent="0.25">
      <c r="A1576" s="99">
        <v>45809</v>
      </c>
      <c r="B1576" s="74">
        <v>45822</v>
      </c>
      <c r="C1576" s="61" t="s">
        <v>34</v>
      </c>
      <c r="D1576" s="60" t="s">
        <v>830</v>
      </c>
      <c r="E1576" s="62" t="s">
        <v>1568</v>
      </c>
      <c r="F1576" s="73" t="s">
        <v>837</v>
      </c>
      <c r="G1576" s="59" t="s">
        <v>142</v>
      </c>
      <c r="H1576" s="83">
        <v>0.5</v>
      </c>
      <c r="I1576" s="83">
        <v>0.77083333333333337</v>
      </c>
      <c r="J1576" s="63">
        <f t="shared" si="309"/>
        <v>0.27083333333333337</v>
      </c>
      <c r="K1576" s="88" t="s">
        <v>300</v>
      </c>
      <c r="L1576" s="134">
        <f t="shared" si="310"/>
        <v>6.5000000000000009</v>
      </c>
      <c r="O1576" s="81" t="s">
        <v>362</v>
      </c>
      <c r="P1576" s="88">
        <v>5</v>
      </c>
      <c r="Z1576" s="100"/>
    </row>
    <row r="1577" spans="1:26" x14ac:dyDescent="0.25">
      <c r="A1577" s="99">
        <v>45809</v>
      </c>
      <c r="B1577" s="74">
        <v>45824</v>
      </c>
      <c r="C1577" s="61" t="s">
        <v>45</v>
      </c>
      <c r="D1577" s="60" t="s">
        <v>32</v>
      </c>
      <c r="E1577" s="62" t="s">
        <v>635</v>
      </c>
      <c r="F1577" s="73" t="s">
        <v>1423</v>
      </c>
      <c r="G1577" s="59" t="s">
        <v>142</v>
      </c>
      <c r="H1577" s="83">
        <v>0.45833333333333331</v>
      </c>
      <c r="I1577" s="83">
        <v>0.52083333333333337</v>
      </c>
      <c r="J1577" s="63">
        <f t="shared" si="309"/>
        <v>6.2500000000000056E-2</v>
      </c>
      <c r="K1577" s="61" t="s">
        <v>110</v>
      </c>
      <c r="L1577" s="134">
        <f t="shared" si="310"/>
        <v>1.5000000000000013</v>
      </c>
      <c r="O1577" s="81" t="s">
        <v>363</v>
      </c>
      <c r="P1577" s="88">
        <v>5</v>
      </c>
      <c r="Z1577" s="100"/>
    </row>
    <row r="1578" spans="1:26" x14ac:dyDescent="0.25">
      <c r="A1578" s="99">
        <v>45809</v>
      </c>
      <c r="B1578" s="74">
        <v>45824</v>
      </c>
      <c r="C1578" s="61" t="s">
        <v>45</v>
      </c>
      <c r="D1578" s="60" t="s">
        <v>98</v>
      </c>
      <c r="E1578" s="62" t="s">
        <v>1369</v>
      </c>
      <c r="F1578" s="73" t="s">
        <v>1569</v>
      </c>
      <c r="G1578" s="59" t="s">
        <v>142</v>
      </c>
      <c r="H1578" s="83">
        <v>0.47916666666666669</v>
      </c>
      <c r="I1578" s="83">
        <v>0.70833333333333337</v>
      </c>
      <c r="J1578" s="63">
        <f t="shared" si="309"/>
        <v>0.22916666666666669</v>
      </c>
      <c r="K1578" s="61" t="s">
        <v>365</v>
      </c>
      <c r="L1578" s="134">
        <f t="shared" si="310"/>
        <v>5.5</v>
      </c>
      <c r="O1578" s="81" t="s">
        <v>576</v>
      </c>
      <c r="P1578" s="88">
        <v>5</v>
      </c>
      <c r="Z1578" s="100"/>
    </row>
    <row r="1579" spans="1:26" x14ac:dyDescent="0.25">
      <c r="A1579" s="99">
        <v>45809</v>
      </c>
      <c r="B1579" s="74">
        <v>45824</v>
      </c>
      <c r="C1579" s="61" t="s">
        <v>45</v>
      </c>
      <c r="D1579" s="60" t="s">
        <v>481</v>
      </c>
      <c r="E1579" s="62" t="s">
        <v>1568</v>
      </c>
      <c r="F1579" s="73" t="s">
        <v>837</v>
      </c>
      <c r="G1579" s="59" t="s">
        <v>142</v>
      </c>
      <c r="H1579" s="83">
        <v>0.72916666666666663</v>
      </c>
      <c r="I1579" s="83">
        <v>0.875</v>
      </c>
      <c r="J1579" s="63">
        <f t="shared" si="309"/>
        <v>0.14583333333333337</v>
      </c>
      <c r="K1579" s="88" t="s">
        <v>300</v>
      </c>
      <c r="L1579" s="134">
        <f t="shared" si="310"/>
        <v>3.5000000000000009</v>
      </c>
      <c r="O1579" s="81" t="s">
        <v>362</v>
      </c>
      <c r="P1579" s="88">
        <v>5</v>
      </c>
      <c r="Z1579" s="100"/>
    </row>
    <row r="1580" spans="1:26" x14ac:dyDescent="0.25">
      <c r="A1580" s="99">
        <v>45809</v>
      </c>
      <c r="B1580" s="74">
        <v>45825</v>
      </c>
      <c r="C1580" s="61" t="s">
        <v>106</v>
      </c>
      <c r="D1580" s="60" t="s">
        <v>32</v>
      </c>
      <c r="E1580" s="62" t="s">
        <v>1483</v>
      </c>
      <c r="F1580" s="73" t="s">
        <v>1290</v>
      </c>
      <c r="G1580" s="59" t="s">
        <v>142</v>
      </c>
      <c r="H1580" s="83">
        <v>0.45833333333333331</v>
      </c>
      <c r="I1580" s="83">
        <v>0.54166666666666663</v>
      </c>
      <c r="J1580" s="63">
        <f t="shared" si="309"/>
        <v>8.3333333333333315E-2</v>
      </c>
      <c r="K1580" s="61" t="s">
        <v>110</v>
      </c>
      <c r="L1580" s="134">
        <f t="shared" si="310"/>
        <v>1.9999999999999996</v>
      </c>
      <c r="O1580" s="81" t="s">
        <v>363</v>
      </c>
      <c r="P1580" s="88">
        <v>5</v>
      </c>
      <c r="Z1580" s="100"/>
    </row>
    <row r="1581" spans="1:26" x14ac:dyDescent="0.25">
      <c r="A1581" s="99">
        <v>45809</v>
      </c>
      <c r="B1581" s="74">
        <v>45825</v>
      </c>
      <c r="C1581" s="61" t="s">
        <v>106</v>
      </c>
      <c r="D1581" s="60" t="s">
        <v>406</v>
      </c>
      <c r="E1581" s="62" t="s">
        <v>1562</v>
      </c>
      <c r="F1581" s="73" t="s">
        <v>1563</v>
      </c>
      <c r="G1581" s="59" t="s">
        <v>142</v>
      </c>
      <c r="H1581" s="83">
        <v>0.58333333333333337</v>
      </c>
      <c r="I1581" s="83">
        <v>0.72916666666666663</v>
      </c>
      <c r="J1581" s="63">
        <f t="shared" si="309"/>
        <v>0.14583333333333326</v>
      </c>
      <c r="K1581" s="88" t="s">
        <v>113</v>
      </c>
      <c r="L1581" s="134">
        <f t="shared" si="310"/>
        <v>3.4999999999999982</v>
      </c>
      <c r="O1581" s="81" t="s">
        <v>314</v>
      </c>
      <c r="P1581" s="88">
        <v>5</v>
      </c>
      <c r="Z1581" s="100"/>
    </row>
    <row r="1582" spans="1:26" x14ac:dyDescent="0.25">
      <c r="A1582" s="99">
        <v>45809</v>
      </c>
      <c r="B1582" s="74">
        <v>45826</v>
      </c>
      <c r="C1582" s="61" t="s">
        <v>398</v>
      </c>
      <c r="D1582" s="60" t="s">
        <v>406</v>
      </c>
      <c r="E1582" s="62" t="s">
        <v>1570</v>
      </c>
      <c r="F1582" s="73" t="s">
        <v>1563</v>
      </c>
      <c r="G1582" s="59" t="s">
        <v>142</v>
      </c>
      <c r="H1582" s="83">
        <v>0.5</v>
      </c>
      <c r="I1582" s="83">
        <v>0.70833333333333337</v>
      </c>
      <c r="J1582" s="63">
        <f t="shared" si="309"/>
        <v>0.20833333333333337</v>
      </c>
      <c r="K1582" s="88" t="s">
        <v>113</v>
      </c>
      <c r="L1582" s="134">
        <f t="shared" si="310"/>
        <v>5.0000000000000009</v>
      </c>
      <c r="O1582" s="81" t="s">
        <v>539</v>
      </c>
      <c r="P1582" s="88">
        <v>4</v>
      </c>
      <c r="Q1582" s="61" t="s">
        <v>472</v>
      </c>
      <c r="Z1582" s="100"/>
    </row>
    <row r="1583" spans="1:26" x14ac:dyDescent="0.25">
      <c r="A1583" s="99">
        <v>45809</v>
      </c>
      <c r="B1583" s="74">
        <v>45826</v>
      </c>
      <c r="C1583" s="61" t="s">
        <v>398</v>
      </c>
      <c r="D1583" s="60" t="s">
        <v>98</v>
      </c>
      <c r="E1583" s="62" t="s">
        <v>1369</v>
      </c>
      <c r="F1583" s="73" t="s">
        <v>1571</v>
      </c>
      <c r="G1583" s="59" t="s">
        <v>142</v>
      </c>
      <c r="H1583" s="83">
        <v>0.625</v>
      </c>
      <c r="I1583" s="83">
        <v>0.70833333333333337</v>
      </c>
      <c r="J1583" s="63">
        <f t="shared" si="309"/>
        <v>8.333333333333337E-2</v>
      </c>
      <c r="K1583" s="61" t="s">
        <v>365</v>
      </c>
      <c r="L1583" s="134">
        <f t="shared" si="310"/>
        <v>2.0000000000000009</v>
      </c>
      <c r="O1583" s="81" t="s">
        <v>576</v>
      </c>
      <c r="P1583" s="88">
        <v>5</v>
      </c>
      <c r="Z1583" s="100"/>
    </row>
    <row r="1584" spans="1:26" x14ac:dyDescent="0.25">
      <c r="A1584" s="99">
        <v>45809</v>
      </c>
      <c r="B1584" s="74">
        <v>45826</v>
      </c>
      <c r="C1584" s="61" t="s">
        <v>398</v>
      </c>
      <c r="D1584" s="60" t="s">
        <v>326</v>
      </c>
      <c r="E1584" s="62" t="s">
        <v>1369</v>
      </c>
      <c r="F1584" s="73" t="s">
        <v>1572</v>
      </c>
      <c r="G1584" s="59" t="s">
        <v>142</v>
      </c>
      <c r="H1584" s="83">
        <v>0.45833333333333331</v>
      </c>
      <c r="I1584" s="83">
        <v>0.5</v>
      </c>
      <c r="J1584" s="63">
        <f t="shared" si="309"/>
        <v>4.1666666666666685E-2</v>
      </c>
      <c r="K1584" s="61" t="s">
        <v>365</v>
      </c>
      <c r="L1584" s="134">
        <f t="shared" si="310"/>
        <v>1.0000000000000004</v>
      </c>
      <c r="O1584" s="81" t="s">
        <v>576</v>
      </c>
      <c r="P1584" s="88">
        <v>5</v>
      </c>
      <c r="Z1584" s="100"/>
    </row>
    <row r="1585" spans="1:26" x14ac:dyDescent="0.25">
      <c r="A1585" s="99">
        <v>45809</v>
      </c>
      <c r="B1585" s="74">
        <v>45826</v>
      </c>
      <c r="C1585" s="61" t="s">
        <v>398</v>
      </c>
      <c r="D1585" s="60" t="s">
        <v>326</v>
      </c>
      <c r="E1585" s="62" t="s">
        <v>1573</v>
      </c>
      <c r="F1585" s="73" t="s">
        <v>1572</v>
      </c>
      <c r="G1585" s="59" t="s">
        <v>142</v>
      </c>
      <c r="H1585" s="83">
        <v>0.5</v>
      </c>
      <c r="I1585" s="83">
        <v>0.58333333333333337</v>
      </c>
      <c r="J1585" s="63">
        <f t="shared" si="309"/>
        <v>8.333333333333337E-2</v>
      </c>
      <c r="K1585" s="61" t="s">
        <v>110</v>
      </c>
      <c r="L1585" s="134">
        <f t="shared" si="310"/>
        <v>2.0000000000000009</v>
      </c>
      <c r="O1585" s="81" t="s">
        <v>363</v>
      </c>
      <c r="P1585" s="88">
        <v>5</v>
      </c>
      <c r="Z1585" s="100"/>
    </row>
    <row r="1586" spans="1:26" x14ac:dyDescent="0.25">
      <c r="A1586" s="99">
        <v>45809</v>
      </c>
      <c r="B1586" s="74">
        <v>45826</v>
      </c>
      <c r="C1586" s="61" t="s">
        <v>398</v>
      </c>
      <c r="D1586" s="60" t="s">
        <v>98</v>
      </c>
      <c r="E1586" s="62" t="s">
        <v>1215</v>
      </c>
      <c r="F1586" s="73" t="s">
        <v>1574</v>
      </c>
      <c r="G1586" s="59" t="s">
        <v>142</v>
      </c>
      <c r="H1586" s="83">
        <v>0.5625</v>
      </c>
      <c r="I1586" s="83">
        <v>0.625</v>
      </c>
      <c r="J1586" s="63">
        <f t="shared" si="309"/>
        <v>6.25E-2</v>
      </c>
      <c r="K1586" s="88" t="s">
        <v>296</v>
      </c>
      <c r="L1586" s="134">
        <f t="shared" si="310"/>
        <v>1.5</v>
      </c>
      <c r="O1586" s="81" t="s">
        <v>304</v>
      </c>
      <c r="P1586" s="88">
        <v>4</v>
      </c>
      <c r="Q1586" s="61" t="s">
        <v>472</v>
      </c>
      <c r="Z1586" s="100"/>
    </row>
    <row r="1587" spans="1:26" x14ac:dyDescent="0.25">
      <c r="A1587" s="99">
        <v>45809</v>
      </c>
      <c r="B1587" s="74">
        <v>45826</v>
      </c>
      <c r="C1587" s="61" t="s">
        <v>398</v>
      </c>
      <c r="D1587" s="60" t="s">
        <v>98</v>
      </c>
      <c r="E1587" s="62" t="s">
        <v>731</v>
      </c>
      <c r="F1587" s="73" t="s">
        <v>1575</v>
      </c>
      <c r="G1587" s="59" t="s">
        <v>142</v>
      </c>
      <c r="H1587" s="83">
        <v>0.77083333333333337</v>
      </c>
      <c r="I1587" s="83">
        <v>0.875</v>
      </c>
      <c r="J1587" s="63">
        <f t="shared" si="309"/>
        <v>0.10416666666666663</v>
      </c>
      <c r="K1587" s="88" t="s">
        <v>296</v>
      </c>
      <c r="L1587" s="134">
        <f t="shared" si="310"/>
        <v>2.4999999999999991</v>
      </c>
      <c r="O1587" s="81" t="s">
        <v>304</v>
      </c>
      <c r="P1587" s="88">
        <v>5</v>
      </c>
      <c r="Z1587" s="100"/>
    </row>
    <row r="1588" spans="1:26" x14ac:dyDescent="0.25">
      <c r="A1588" s="99">
        <v>45809</v>
      </c>
      <c r="B1588" s="74">
        <v>45827</v>
      </c>
      <c r="C1588" s="61" t="s">
        <v>124</v>
      </c>
      <c r="D1588" s="60" t="s">
        <v>406</v>
      </c>
      <c r="E1588" s="62" t="s">
        <v>1560</v>
      </c>
      <c r="F1588" s="73" t="s">
        <v>1561</v>
      </c>
      <c r="G1588" s="59" t="s">
        <v>142</v>
      </c>
      <c r="H1588" s="83">
        <v>0.54166666666666663</v>
      </c>
      <c r="I1588" s="83">
        <v>0.72916666666666663</v>
      </c>
      <c r="J1588" s="63">
        <f t="shared" si="309"/>
        <v>0.1875</v>
      </c>
      <c r="K1588" s="61" t="s">
        <v>365</v>
      </c>
      <c r="L1588" s="134">
        <f t="shared" si="310"/>
        <v>4.5</v>
      </c>
      <c r="O1588" s="81" t="s">
        <v>361</v>
      </c>
      <c r="P1588" s="88">
        <v>5</v>
      </c>
      <c r="Z1588" s="100"/>
    </row>
    <row r="1589" spans="1:26" x14ac:dyDescent="0.25">
      <c r="A1589" s="99">
        <v>45809</v>
      </c>
      <c r="B1589" s="74">
        <v>45827</v>
      </c>
      <c r="C1589" s="61" t="s">
        <v>124</v>
      </c>
      <c r="D1589" s="60" t="s">
        <v>740</v>
      </c>
      <c r="E1589" s="62" t="s">
        <v>1186</v>
      </c>
      <c r="F1589" s="73" t="s">
        <v>1576</v>
      </c>
      <c r="G1589" s="59" t="s">
        <v>142</v>
      </c>
      <c r="H1589" s="83">
        <v>0.58333333333333337</v>
      </c>
      <c r="I1589" s="83">
        <v>0.70833333333333337</v>
      </c>
      <c r="J1589" s="63">
        <f t="shared" si="309"/>
        <v>0.125</v>
      </c>
      <c r="K1589" s="88" t="s">
        <v>110</v>
      </c>
      <c r="L1589" s="134">
        <f t="shared" si="310"/>
        <v>3</v>
      </c>
      <c r="O1589" s="81" t="s">
        <v>363</v>
      </c>
      <c r="P1589" s="88">
        <v>5</v>
      </c>
      <c r="Z1589" s="100"/>
    </row>
    <row r="1590" spans="1:26" x14ac:dyDescent="0.25">
      <c r="A1590" s="99">
        <v>45809</v>
      </c>
      <c r="B1590" s="74">
        <v>45827</v>
      </c>
      <c r="C1590" s="61" t="s">
        <v>124</v>
      </c>
      <c r="D1590" s="60" t="s">
        <v>1391</v>
      </c>
      <c r="E1590" s="62" t="s">
        <v>1577</v>
      </c>
      <c r="F1590" s="73" t="s">
        <v>1578</v>
      </c>
      <c r="G1590" s="59" t="s">
        <v>142</v>
      </c>
      <c r="H1590" s="83">
        <v>0.54166666666666663</v>
      </c>
      <c r="I1590" s="83">
        <v>0.625</v>
      </c>
      <c r="J1590" s="63">
        <f t="shared" si="309"/>
        <v>8.333333333333337E-2</v>
      </c>
      <c r="K1590" s="88" t="s">
        <v>110</v>
      </c>
      <c r="L1590" s="134">
        <f t="shared" si="310"/>
        <v>2.0000000000000009</v>
      </c>
      <c r="O1590" s="81" t="s">
        <v>363</v>
      </c>
      <c r="P1590" s="88">
        <v>5</v>
      </c>
      <c r="Z1590" s="100"/>
    </row>
    <row r="1591" spans="1:26" x14ac:dyDescent="0.25">
      <c r="A1591" s="99">
        <v>45809</v>
      </c>
      <c r="B1591" s="74">
        <v>45828</v>
      </c>
      <c r="C1591" s="61" t="s">
        <v>124</v>
      </c>
      <c r="D1591" s="60" t="s">
        <v>126</v>
      </c>
      <c r="E1591" s="62" t="s">
        <v>1579</v>
      </c>
      <c r="F1591" s="73" t="s">
        <v>1580</v>
      </c>
      <c r="G1591" s="59" t="s">
        <v>142</v>
      </c>
      <c r="H1591" s="83">
        <v>0.66666666666666663</v>
      </c>
      <c r="I1591" s="83">
        <v>0.72916666666666663</v>
      </c>
      <c r="J1591" s="63">
        <f t="shared" si="309"/>
        <v>6.25E-2</v>
      </c>
      <c r="K1591" s="88" t="s">
        <v>296</v>
      </c>
      <c r="L1591" s="134">
        <f t="shared" si="310"/>
        <v>1.5</v>
      </c>
      <c r="O1591" s="81" t="s">
        <v>304</v>
      </c>
      <c r="P1591" s="88">
        <v>4</v>
      </c>
      <c r="Q1591" s="61" t="s">
        <v>472</v>
      </c>
      <c r="Z1591" s="100"/>
    </row>
    <row r="1592" spans="1:26" x14ac:dyDescent="0.25">
      <c r="A1592" s="99">
        <v>45809</v>
      </c>
      <c r="B1592" s="74">
        <v>45829</v>
      </c>
      <c r="C1592" s="61" t="s">
        <v>34</v>
      </c>
      <c r="D1592" s="60" t="s">
        <v>1326</v>
      </c>
      <c r="E1592" s="62" t="s">
        <v>1581</v>
      </c>
      <c r="F1592" s="73" t="s">
        <v>1582</v>
      </c>
      <c r="G1592" s="59" t="s">
        <v>142</v>
      </c>
      <c r="H1592" s="83">
        <v>0.4375</v>
      </c>
      <c r="I1592" s="83">
        <v>0.70833333333333337</v>
      </c>
      <c r="J1592" s="63">
        <f t="shared" si="309"/>
        <v>0.27083333333333337</v>
      </c>
      <c r="K1592" s="88" t="s">
        <v>300</v>
      </c>
      <c r="L1592" s="134">
        <f t="shared" si="310"/>
        <v>6.5000000000000009</v>
      </c>
      <c r="O1592" s="81" t="s">
        <v>362</v>
      </c>
      <c r="P1592" s="88">
        <v>5</v>
      </c>
      <c r="Z1592" s="100"/>
    </row>
    <row r="1593" spans="1:26" x14ac:dyDescent="0.25">
      <c r="A1593" s="99">
        <v>45809</v>
      </c>
      <c r="B1593" s="74">
        <v>45829</v>
      </c>
      <c r="C1593" s="61" t="s">
        <v>34</v>
      </c>
      <c r="D1593" s="60" t="s">
        <v>481</v>
      </c>
      <c r="E1593" s="62" t="s">
        <v>959</v>
      </c>
      <c r="F1593" s="73" t="s">
        <v>1426</v>
      </c>
      <c r="G1593" s="59" t="s">
        <v>142</v>
      </c>
      <c r="H1593" s="83">
        <v>0.39583333333333331</v>
      </c>
      <c r="I1593" s="83">
        <v>0.70833333333333337</v>
      </c>
      <c r="J1593" s="63">
        <f t="shared" ref="J1593:J1610" si="311">I1593-H1593</f>
        <v>0.31250000000000006</v>
      </c>
      <c r="K1593" s="88" t="s">
        <v>300</v>
      </c>
      <c r="L1593" s="134">
        <f t="shared" ref="L1593:L1610" si="312">24*J1593</f>
        <v>7.5000000000000018</v>
      </c>
      <c r="O1593" s="81" t="s">
        <v>362</v>
      </c>
      <c r="P1593" s="88">
        <v>5</v>
      </c>
      <c r="Z1593" s="100"/>
    </row>
    <row r="1594" spans="1:26" x14ac:dyDescent="0.25">
      <c r="A1594" s="99">
        <v>45809</v>
      </c>
      <c r="B1594" s="74">
        <v>45830</v>
      </c>
      <c r="C1594" s="61" t="s">
        <v>31</v>
      </c>
      <c r="D1594" s="60" t="s">
        <v>740</v>
      </c>
      <c r="E1594" s="62" t="s">
        <v>409</v>
      </c>
      <c r="F1594" s="73" t="s">
        <v>1576</v>
      </c>
      <c r="G1594" s="59" t="s">
        <v>142</v>
      </c>
      <c r="H1594" s="83">
        <v>0.47916666666666669</v>
      </c>
      <c r="I1594" s="83">
        <v>0.52083333333333337</v>
      </c>
      <c r="J1594" s="63">
        <f t="shared" si="311"/>
        <v>4.1666666666666685E-2</v>
      </c>
      <c r="K1594" s="88" t="s">
        <v>365</v>
      </c>
      <c r="L1594" s="134">
        <f t="shared" si="312"/>
        <v>1.0000000000000004</v>
      </c>
      <c r="O1594" s="81" t="s">
        <v>314</v>
      </c>
      <c r="P1594" s="88">
        <v>5</v>
      </c>
      <c r="Z1594" s="100"/>
    </row>
    <row r="1595" spans="1:26" x14ac:dyDescent="0.25">
      <c r="A1595" s="99">
        <v>45809</v>
      </c>
      <c r="B1595" s="74">
        <v>45830</v>
      </c>
      <c r="C1595" s="61" t="s">
        <v>31</v>
      </c>
      <c r="D1595" s="60" t="s">
        <v>406</v>
      </c>
      <c r="E1595" s="62" t="s">
        <v>407</v>
      </c>
      <c r="F1595" s="73" t="s">
        <v>1543</v>
      </c>
      <c r="G1595" s="59" t="s">
        <v>142</v>
      </c>
      <c r="H1595" s="83">
        <v>0.54166666666666663</v>
      </c>
      <c r="I1595" s="83">
        <v>0.66666666666666663</v>
      </c>
      <c r="J1595" s="63">
        <f t="shared" si="311"/>
        <v>0.125</v>
      </c>
      <c r="K1595" s="88" t="s">
        <v>365</v>
      </c>
      <c r="L1595" s="134">
        <f t="shared" si="312"/>
        <v>3</v>
      </c>
      <c r="O1595" s="81" t="s">
        <v>360</v>
      </c>
      <c r="P1595" s="88">
        <v>5</v>
      </c>
      <c r="Z1595" s="100"/>
    </row>
    <row r="1596" spans="1:26" x14ac:dyDescent="0.25">
      <c r="A1596" s="99">
        <v>45809</v>
      </c>
      <c r="B1596" s="74">
        <v>45830</v>
      </c>
      <c r="C1596" s="61" t="s">
        <v>31</v>
      </c>
      <c r="D1596" s="60" t="s">
        <v>483</v>
      </c>
      <c r="E1596" s="62" t="s">
        <v>1369</v>
      </c>
      <c r="F1596" s="73" t="s">
        <v>1569</v>
      </c>
      <c r="G1596" s="59" t="s">
        <v>142</v>
      </c>
      <c r="H1596" s="83">
        <v>0.5</v>
      </c>
      <c r="I1596" s="83">
        <v>0.54166666666666663</v>
      </c>
      <c r="J1596" s="63">
        <f t="shared" si="311"/>
        <v>4.166666666666663E-2</v>
      </c>
      <c r="K1596" s="61" t="s">
        <v>365</v>
      </c>
      <c r="L1596" s="134">
        <f t="shared" si="312"/>
        <v>0.99999999999999911</v>
      </c>
      <c r="O1596" s="81" t="s">
        <v>359</v>
      </c>
      <c r="P1596" s="88">
        <v>5</v>
      </c>
      <c r="Z1596" s="100"/>
    </row>
    <row r="1597" spans="1:26" x14ac:dyDescent="0.25">
      <c r="A1597" s="99">
        <v>45809</v>
      </c>
      <c r="B1597" s="74">
        <v>45830</v>
      </c>
      <c r="C1597" s="61" t="s">
        <v>31</v>
      </c>
      <c r="D1597" s="60" t="s">
        <v>126</v>
      </c>
      <c r="E1597" s="62" t="s">
        <v>1544</v>
      </c>
      <c r="F1597" s="73" t="s">
        <v>1580</v>
      </c>
      <c r="G1597" s="59" t="s">
        <v>142</v>
      </c>
      <c r="H1597" s="83">
        <v>0.45833333333333331</v>
      </c>
      <c r="I1597" s="83">
        <v>0.5</v>
      </c>
      <c r="J1597" s="63">
        <f t="shared" si="311"/>
        <v>4.1666666666666685E-2</v>
      </c>
      <c r="K1597" s="88" t="s">
        <v>113</v>
      </c>
      <c r="L1597" s="134">
        <f t="shared" si="312"/>
        <v>1.0000000000000004</v>
      </c>
      <c r="O1597" s="81" t="s">
        <v>539</v>
      </c>
      <c r="P1597" s="88">
        <v>5</v>
      </c>
      <c r="Z1597" s="100"/>
    </row>
    <row r="1598" spans="1:26" x14ac:dyDescent="0.25">
      <c r="A1598" s="99">
        <v>45809</v>
      </c>
      <c r="B1598" s="74">
        <v>45830</v>
      </c>
      <c r="C1598" s="61" t="s">
        <v>31</v>
      </c>
      <c r="D1598" s="60" t="s">
        <v>126</v>
      </c>
      <c r="E1598" s="62" t="s">
        <v>1544</v>
      </c>
      <c r="F1598" s="73" t="s">
        <v>1580</v>
      </c>
      <c r="G1598" s="59" t="s">
        <v>142</v>
      </c>
      <c r="H1598" s="83">
        <v>0.5</v>
      </c>
      <c r="I1598" s="83">
        <v>0.54166666666666663</v>
      </c>
      <c r="J1598" s="63">
        <f t="shared" si="311"/>
        <v>4.166666666666663E-2</v>
      </c>
      <c r="K1598" s="88" t="s">
        <v>110</v>
      </c>
      <c r="L1598" s="134">
        <f t="shared" si="312"/>
        <v>0.99999999999999911</v>
      </c>
      <c r="O1598" s="81" t="s">
        <v>363</v>
      </c>
      <c r="P1598" s="88">
        <v>5</v>
      </c>
      <c r="Z1598" s="100"/>
    </row>
    <row r="1599" spans="1:26" x14ac:dyDescent="0.25">
      <c r="A1599" s="99">
        <v>45809</v>
      </c>
      <c r="B1599" s="74">
        <v>45831</v>
      </c>
      <c r="C1599" s="61" t="s">
        <v>45</v>
      </c>
      <c r="D1599" s="60" t="s">
        <v>1322</v>
      </c>
      <c r="E1599" s="60" t="s">
        <v>1583</v>
      </c>
      <c r="F1599" s="73" t="s">
        <v>1584</v>
      </c>
      <c r="G1599" s="59" t="s">
        <v>142</v>
      </c>
      <c r="H1599" s="83">
        <v>0.64583333333333337</v>
      </c>
      <c r="I1599" s="83">
        <v>0.75</v>
      </c>
      <c r="J1599" s="63">
        <f t="shared" si="311"/>
        <v>0.10416666666666663</v>
      </c>
      <c r="K1599" s="88" t="s">
        <v>300</v>
      </c>
      <c r="L1599" s="134">
        <f t="shared" si="312"/>
        <v>2.4999999999999991</v>
      </c>
      <c r="O1599" s="81" t="s">
        <v>362</v>
      </c>
      <c r="P1599" s="88">
        <v>5</v>
      </c>
      <c r="Z1599" s="100"/>
    </row>
    <row r="1600" spans="1:26" x14ac:dyDescent="0.25">
      <c r="A1600" s="99">
        <v>45809</v>
      </c>
      <c r="B1600" s="74">
        <v>45831</v>
      </c>
      <c r="C1600" s="61" t="s">
        <v>45</v>
      </c>
      <c r="D1600" s="60" t="s">
        <v>98</v>
      </c>
      <c r="E1600" s="60" t="s">
        <v>1369</v>
      </c>
      <c r="F1600" s="73" t="s">
        <v>590</v>
      </c>
      <c r="G1600" s="59" t="s">
        <v>142</v>
      </c>
      <c r="H1600" s="83">
        <v>0.41666666666666669</v>
      </c>
      <c r="I1600" s="83">
        <v>0.70833333333333337</v>
      </c>
      <c r="J1600" s="63">
        <f t="shared" si="311"/>
        <v>0.29166666666666669</v>
      </c>
      <c r="K1600" s="88" t="s">
        <v>365</v>
      </c>
      <c r="L1600" s="134">
        <f t="shared" si="312"/>
        <v>7</v>
      </c>
      <c r="O1600" s="81" t="s">
        <v>359</v>
      </c>
      <c r="P1600" s="88">
        <v>5</v>
      </c>
      <c r="Z1600" s="100"/>
    </row>
    <row r="1601" spans="1:26" x14ac:dyDescent="0.25">
      <c r="A1601" s="99">
        <v>45809</v>
      </c>
      <c r="B1601" s="74">
        <v>45831</v>
      </c>
      <c r="C1601" s="61" t="s">
        <v>45</v>
      </c>
      <c r="D1601" s="60" t="s">
        <v>32</v>
      </c>
      <c r="E1601" s="60" t="s">
        <v>1585</v>
      </c>
      <c r="F1601" s="73" t="s">
        <v>1586</v>
      </c>
      <c r="G1601" s="59" t="s">
        <v>142</v>
      </c>
      <c r="H1601" s="83">
        <v>0.54166666666666663</v>
      </c>
      <c r="I1601" s="83">
        <v>0.58333333333333337</v>
      </c>
      <c r="J1601" s="63">
        <f t="shared" si="311"/>
        <v>4.1666666666666741E-2</v>
      </c>
      <c r="K1601" s="88" t="s">
        <v>365</v>
      </c>
      <c r="L1601" s="134">
        <f t="shared" si="312"/>
        <v>1.0000000000000018</v>
      </c>
      <c r="O1601" s="81" t="s">
        <v>361</v>
      </c>
      <c r="P1601" s="88">
        <v>5</v>
      </c>
      <c r="Z1601" s="100"/>
    </row>
    <row r="1602" spans="1:26" x14ac:dyDescent="0.25">
      <c r="A1602" s="99">
        <v>45809</v>
      </c>
      <c r="B1602" s="74">
        <v>45831</v>
      </c>
      <c r="C1602" s="61" t="s">
        <v>45</v>
      </c>
      <c r="D1602" s="60" t="s">
        <v>406</v>
      </c>
      <c r="E1602" s="60" t="s">
        <v>1570</v>
      </c>
      <c r="F1602" s="73" t="s">
        <v>1587</v>
      </c>
      <c r="G1602" s="59" t="s">
        <v>142</v>
      </c>
      <c r="H1602" s="83">
        <v>0.45833333333333331</v>
      </c>
      <c r="I1602" s="83">
        <v>0.70833333333333337</v>
      </c>
      <c r="J1602" s="63">
        <f t="shared" si="311"/>
        <v>0.25000000000000006</v>
      </c>
      <c r="K1602" s="88" t="s">
        <v>113</v>
      </c>
      <c r="L1602" s="134">
        <f t="shared" si="312"/>
        <v>6.0000000000000018</v>
      </c>
      <c r="O1602" s="81" t="s">
        <v>539</v>
      </c>
      <c r="P1602" s="88">
        <v>5</v>
      </c>
      <c r="Z1602" s="100"/>
    </row>
    <row r="1603" spans="1:26" x14ac:dyDescent="0.25">
      <c r="A1603" s="99">
        <v>45809</v>
      </c>
      <c r="B1603" s="74">
        <v>45831</v>
      </c>
      <c r="C1603" s="61" t="s">
        <v>45</v>
      </c>
      <c r="D1603" s="60" t="s">
        <v>98</v>
      </c>
      <c r="E1603" s="60" t="s">
        <v>1588</v>
      </c>
      <c r="F1603" s="73" t="s">
        <v>1589</v>
      </c>
      <c r="G1603" s="59" t="s">
        <v>142</v>
      </c>
      <c r="H1603" s="83">
        <v>0.45833333333333331</v>
      </c>
      <c r="I1603" s="83">
        <v>0.70833333333333337</v>
      </c>
      <c r="J1603" s="63">
        <f t="shared" si="311"/>
        <v>0.25000000000000006</v>
      </c>
      <c r="K1603" s="88" t="s">
        <v>113</v>
      </c>
      <c r="L1603" s="134">
        <f t="shared" si="312"/>
        <v>6.0000000000000018</v>
      </c>
      <c r="O1603" s="81" t="s">
        <v>539</v>
      </c>
      <c r="P1603" s="88">
        <v>5</v>
      </c>
      <c r="Z1603" s="100"/>
    </row>
    <row r="1604" spans="1:26" x14ac:dyDescent="0.25">
      <c r="A1604" s="99">
        <v>45809</v>
      </c>
      <c r="B1604" s="74">
        <v>45832</v>
      </c>
      <c r="C1604" s="61" t="s">
        <v>106</v>
      </c>
      <c r="D1604" s="60" t="s">
        <v>32</v>
      </c>
      <c r="E1604" s="60" t="s">
        <v>1590</v>
      </c>
      <c r="F1604" s="73" t="s">
        <v>1591</v>
      </c>
      <c r="G1604" s="59" t="s">
        <v>142</v>
      </c>
      <c r="H1604" s="83">
        <v>0.4375</v>
      </c>
      <c r="I1604" s="83">
        <v>0.70833333333333337</v>
      </c>
      <c r="J1604" s="63">
        <f t="shared" si="311"/>
        <v>0.27083333333333337</v>
      </c>
      <c r="K1604" s="88" t="s">
        <v>365</v>
      </c>
      <c r="L1604" s="134">
        <f t="shared" si="312"/>
        <v>6.5000000000000009</v>
      </c>
      <c r="O1604" s="81" t="s">
        <v>820</v>
      </c>
      <c r="P1604" s="88">
        <v>5</v>
      </c>
      <c r="Z1604" s="100"/>
    </row>
    <row r="1605" spans="1:26" x14ac:dyDescent="0.25">
      <c r="A1605" s="99">
        <v>45809</v>
      </c>
      <c r="B1605" s="74">
        <v>45832</v>
      </c>
      <c r="C1605" s="61" t="s">
        <v>106</v>
      </c>
      <c r="D1605" s="60" t="s">
        <v>98</v>
      </c>
      <c r="E1605" s="60" t="s">
        <v>1369</v>
      </c>
      <c r="F1605" s="73" t="s">
        <v>590</v>
      </c>
      <c r="G1605" s="59" t="s">
        <v>142</v>
      </c>
      <c r="H1605" s="83">
        <v>0.41666666666666669</v>
      </c>
      <c r="I1605" s="83">
        <v>0.45833333333333331</v>
      </c>
      <c r="J1605" s="63">
        <f t="shared" si="311"/>
        <v>4.166666666666663E-2</v>
      </c>
      <c r="K1605" s="88" t="s">
        <v>113</v>
      </c>
      <c r="L1605" s="134">
        <f t="shared" si="312"/>
        <v>0.99999999999999911</v>
      </c>
      <c r="O1605" s="81" t="s">
        <v>539</v>
      </c>
      <c r="P1605" s="88">
        <v>5</v>
      </c>
      <c r="Z1605" s="100"/>
    </row>
    <row r="1606" spans="1:26" x14ac:dyDescent="0.25">
      <c r="A1606" s="99">
        <v>45809</v>
      </c>
      <c r="B1606" s="74">
        <v>45832</v>
      </c>
      <c r="C1606" s="61" t="s">
        <v>106</v>
      </c>
      <c r="D1606" s="60" t="s">
        <v>98</v>
      </c>
      <c r="E1606" s="60" t="s">
        <v>1588</v>
      </c>
      <c r="F1606" s="73" t="s">
        <v>1589</v>
      </c>
      <c r="G1606" s="59" t="s">
        <v>142</v>
      </c>
      <c r="H1606" s="83">
        <v>0.45833333333333331</v>
      </c>
      <c r="I1606" s="83">
        <v>0.70833333333333337</v>
      </c>
      <c r="J1606" s="63">
        <f t="shared" si="311"/>
        <v>0.25000000000000006</v>
      </c>
      <c r="K1606" s="88" t="s">
        <v>113</v>
      </c>
      <c r="L1606" s="134">
        <f t="shared" si="312"/>
        <v>6.0000000000000018</v>
      </c>
      <c r="O1606" s="81" t="s">
        <v>539</v>
      </c>
      <c r="P1606" s="88">
        <v>5</v>
      </c>
      <c r="Z1606" s="100"/>
    </row>
    <row r="1607" spans="1:26" x14ac:dyDescent="0.25">
      <c r="A1607" s="99">
        <v>45809</v>
      </c>
      <c r="B1607" s="74">
        <v>45833</v>
      </c>
      <c r="C1607" s="61" t="s">
        <v>398</v>
      </c>
      <c r="D1607" s="60" t="s">
        <v>406</v>
      </c>
      <c r="E1607" s="62" t="s">
        <v>1570</v>
      </c>
      <c r="F1607" s="73" t="s">
        <v>1587</v>
      </c>
      <c r="G1607" s="59" t="s">
        <v>142</v>
      </c>
      <c r="H1607" s="83">
        <v>0.5</v>
      </c>
      <c r="I1607" s="83">
        <v>0.70833333333333337</v>
      </c>
      <c r="J1607" s="63">
        <f t="shared" si="311"/>
        <v>0.20833333333333337</v>
      </c>
      <c r="K1607" s="88" t="s">
        <v>113</v>
      </c>
      <c r="L1607" s="134">
        <f t="shared" si="312"/>
        <v>5.0000000000000009</v>
      </c>
      <c r="O1607" s="81" t="s">
        <v>539</v>
      </c>
      <c r="P1607" s="88">
        <v>5</v>
      </c>
      <c r="Z1607" s="100"/>
    </row>
    <row r="1608" spans="1:26" x14ac:dyDescent="0.25">
      <c r="A1608" s="99">
        <v>45809</v>
      </c>
      <c r="B1608" s="74">
        <v>45833</v>
      </c>
      <c r="C1608" s="61" t="s">
        <v>398</v>
      </c>
      <c r="D1608" s="60" t="s">
        <v>322</v>
      </c>
      <c r="E1608" s="62" t="s">
        <v>547</v>
      </c>
      <c r="F1608" s="73" t="s">
        <v>1592</v>
      </c>
      <c r="G1608" s="59" t="s">
        <v>142</v>
      </c>
      <c r="H1608" s="83">
        <v>0.41666666666666669</v>
      </c>
      <c r="I1608" s="83">
        <v>0.4375</v>
      </c>
      <c r="J1608" s="63">
        <f t="shared" si="311"/>
        <v>2.0833333333333315E-2</v>
      </c>
      <c r="K1608" s="88" t="s">
        <v>365</v>
      </c>
      <c r="L1608" s="134">
        <f t="shared" si="312"/>
        <v>0.49999999999999956</v>
      </c>
      <c r="O1608" s="81" t="s">
        <v>820</v>
      </c>
      <c r="P1608" s="88">
        <v>5</v>
      </c>
      <c r="Z1608" s="100"/>
    </row>
    <row r="1609" spans="1:26" x14ac:dyDescent="0.25">
      <c r="A1609" s="99">
        <v>45809</v>
      </c>
      <c r="B1609" s="74">
        <v>45834</v>
      </c>
      <c r="C1609" s="61" t="s">
        <v>124</v>
      </c>
      <c r="D1609" s="60" t="s">
        <v>481</v>
      </c>
      <c r="E1609" s="60" t="s">
        <v>1593</v>
      </c>
      <c r="F1609" s="73" t="s">
        <v>837</v>
      </c>
      <c r="G1609" s="59" t="s">
        <v>142</v>
      </c>
      <c r="H1609" s="83">
        <v>0.4375</v>
      </c>
      <c r="I1609" s="83">
        <v>0.89583333333333337</v>
      </c>
      <c r="J1609" s="63">
        <f t="shared" si="311"/>
        <v>0.45833333333333337</v>
      </c>
      <c r="K1609" s="88" t="s">
        <v>300</v>
      </c>
      <c r="L1609" s="134">
        <f t="shared" si="312"/>
        <v>11</v>
      </c>
      <c r="O1609" s="81" t="s">
        <v>362</v>
      </c>
      <c r="P1609" s="88">
        <v>5</v>
      </c>
      <c r="Z1609" s="100"/>
    </row>
    <row r="1610" spans="1:26" x14ac:dyDescent="0.25">
      <c r="A1610" s="99">
        <v>45809</v>
      </c>
      <c r="B1610" s="74">
        <v>45834</v>
      </c>
      <c r="C1610" s="61" t="s">
        <v>124</v>
      </c>
      <c r="D1610" s="60" t="s">
        <v>311</v>
      </c>
      <c r="E1610" s="60" t="s">
        <v>1558</v>
      </c>
      <c r="F1610" s="73" t="s">
        <v>1594</v>
      </c>
      <c r="G1610" s="59" t="s">
        <v>142</v>
      </c>
      <c r="H1610" s="83">
        <v>0.54166666666666663</v>
      </c>
      <c r="I1610" s="83">
        <v>0.625</v>
      </c>
      <c r="J1610" s="63">
        <f t="shared" si="311"/>
        <v>8.333333333333337E-2</v>
      </c>
      <c r="K1610" s="88" t="s">
        <v>365</v>
      </c>
      <c r="L1610" s="134">
        <f t="shared" si="312"/>
        <v>2.0000000000000009</v>
      </c>
      <c r="O1610" s="81" t="s">
        <v>361</v>
      </c>
      <c r="P1610" s="88">
        <v>5</v>
      </c>
      <c r="Z1610" s="100"/>
    </row>
    <row r="1611" spans="1:26" x14ac:dyDescent="0.25">
      <c r="A1611" s="99">
        <v>45839</v>
      </c>
      <c r="B1611" s="74">
        <v>45839</v>
      </c>
      <c r="C1611" s="61" t="s">
        <v>106</v>
      </c>
      <c r="D1611" s="60" t="s">
        <v>98</v>
      </c>
      <c r="E1611" s="62" t="s">
        <v>1369</v>
      </c>
      <c r="F1611" s="73" t="s">
        <v>1597</v>
      </c>
      <c r="G1611" s="59" t="s">
        <v>142</v>
      </c>
      <c r="H1611" s="60">
        <v>0.58333333333333337</v>
      </c>
      <c r="I1611" s="126">
        <v>0.70833333333333337</v>
      </c>
      <c r="J1611" s="63">
        <v>0.125</v>
      </c>
      <c r="K1611" s="61" t="s">
        <v>365</v>
      </c>
      <c r="L1611" s="134">
        <v>3</v>
      </c>
      <c r="O1611" s="81" t="s">
        <v>576</v>
      </c>
      <c r="P1611" s="88">
        <v>5</v>
      </c>
      <c r="Z1611" s="100"/>
    </row>
    <row r="1612" spans="1:26" x14ac:dyDescent="0.25">
      <c r="A1612" s="99">
        <v>45839</v>
      </c>
      <c r="B1612" s="74">
        <v>45840</v>
      </c>
      <c r="C1612" s="61" t="s">
        <v>398</v>
      </c>
      <c r="D1612" s="60" t="s">
        <v>98</v>
      </c>
      <c r="E1612" s="62" t="s">
        <v>1369</v>
      </c>
      <c r="F1612" s="73" t="s">
        <v>1597</v>
      </c>
      <c r="G1612" s="59" t="s">
        <v>142</v>
      </c>
      <c r="H1612" s="60">
        <v>0.41666666666666669</v>
      </c>
      <c r="I1612" s="126">
        <v>0.54166666666666663</v>
      </c>
      <c r="J1612" s="63">
        <v>0.12499999999999994</v>
      </c>
      <c r="K1612" s="61" t="s">
        <v>365</v>
      </c>
      <c r="L1612" s="134">
        <v>2.9999999999999987</v>
      </c>
      <c r="O1612" s="81" t="s">
        <v>576</v>
      </c>
      <c r="P1612" s="88">
        <v>5</v>
      </c>
      <c r="Z1612" s="100"/>
    </row>
    <row r="1613" spans="1:26" x14ac:dyDescent="0.25">
      <c r="A1613" s="99">
        <v>45839</v>
      </c>
      <c r="B1613" s="74">
        <v>45840</v>
      </c>
      <c r="C1613" s="61" t="s">
        <v>398</v>
      </c>
      <c r="D1613" s="60" t="s">
        <v>406</v>
      </c>
      <c r="E1613" s="62" t="s">
        <v>1052</v>
      </c>
      <c r="F1613" s="73" t="s">
        <v>1587</v>
      </c>
      <c r="G1613" s="59" t="s">
        <v>142</v>
      </c>
      <c r="H1613" s="60">
        <v>0.5</v>
      </c>
      <c r="I1613" s="126">
        <v>0.70833333333333337</v>
      </c>
      <c r="J1613" s="63">
        <v>0.20833333333333337</v>
      </c>
      <c r="K1613" s="61" t="s">
        <v>113</v>
      </c>
      <c r="L1613" s="134">
        <v>5.0000000000000009</v>
      </c>
      <c r="O1613" s="81" t="s">
        <v>539</v>
      </c>
      <c r="P1613" s="88">
        <v>5</v>
      </c>
      <c r="Z1613" s="100"/>
    </row>
    <row r="1614" spans="1:26" x14ac:dyDescent="0.25">
      <c r="A1614" s="99">
        <v>45839</v>
      </c>
      <c r="B1614" s="74">
        <v>45840</v>
      </c>
      <c r="C1614" s="61" t="s">
        <v>398</v>
      </c>
      <c r="D1614" s="60" t="s">
        <v>319</v>
      </c>
      <c r="E1614" s="62" t="s">
        <v>733</v>
      </c>
      <c r="F1614" s="73" t="s">
        <v>1598</v>
      </c>
      <c r="G1614" s="59" t="s">
        <v>142</v>
      </c>
      <c r="H1614" s="60">
        <v>0.625</v>
      </c>
      <c r="I1614" s="126">
        <v>0.66666666666666663</v>
      </c>
      <c r="J1614" s="63">
        <v>4.166666666666663E-2</v>
      </c>
      <c r="K1614" s="61" t="s">
        <v>365</v>
      </c>
      <c r="L1614" s="134">
        <v>0.99999999999999911</v>
      </c>
      <c r="O1614" s="81" t="s">
        <v>576</v>
      </c>
      <c r="P1614" s="88">
        <v>5</v>
      </c>
      <c r="Z1614" s="100"/>
    </row>
    <row r="1615" spans="1:26" x14ac:dyDescent="0.25">
      <c r="A1615" s="99">
        <v>45839</v>
      </c>
      <c r="B1615" s="74">
        <v>45841</v>
      </c>
      <c r="C1615" s="61" t="s">
        <v>124</v>
      </c>
      <c r="D1615" s="60" t="s">
        <v>406</v>
      </c>
      <c r="E1615" s="62" t="s">
        <v>1052</v>
      </c>
      <c r="F1615" s="73" t="s">
        <v>1587</v>
      </c>
      <c r="G1615" s="59" t="s">
        <v>142</v>
      </c>
      <c r="H1615" s="60">
        <v>0.5</v>
      </c>
      <c r="I1615" s="126">
        <v>0.70833333333333337</v>
      </c>
      <c r="J1615" s="63">
        <v>0.20833333333333337</v>
      </c>
      <c r="K1615" s="61" t="s">
        <v>113</v>
      </c>
      <c r="L1615" s="134">
        <v>5.0000000000000009</v>
      </c>
      <c r="O1615" s="81" t="s">
        <v>539</v>
      </c>
      <c r="P1615" s="88">
        <v>5</v>
      </c>
      <c r="Z1615" s="100"/>
    </row>
    <row r="1616" spans="1:26" x14ac:dyDescent="0.25">
      <c r="A1616" s="99">
        <v>45839</v>
      </c>
      <c r="B1616" s="74">
        <v>45842</v>
      </c>
      <c r="C1616" s="61" t="s">
        <v>33</v>
      </c>
      <c r="D1616" s="60" t="s">
        <v>32</v>
      </c>
      <c r="E1616" s="62" t="s">
        <v>1176</v>
      </c>
      <c r="F1616" s="73" t="s">
        <v>1599</v>
      </c>
      <c r="G1616" s="59" t="s">
        <v>142</v>
      </c>
      <c r="H1616" s="60">
        <v>0.41666666666666669</v>
      </c>
      <c r="I1616" s="126">
        <v>0.45833333333333331</v>
      </c>
      <c r="J1616" s="63">
        <v>4.166666666666663E-2</v>
      </c>
      <c r="K1616" s="61" t="s">
        <v>365</v>
      </c>
      <c r="L1616" s="134">
        <v>0.99999999999999911</v>
      </c>
      <c r="O1616" s="81" t="s">
        <v>820</v>
      </c>
      <c r="P1616" s="88">
        <v>5</v>
      </c>
      <c r="Z1616" s="100"/>
    </row>
    <row r="1617" spans="1:26" x14ac:dyDescent="0.25">
      <c r="A1617" s="99">
        <v>45809</v>
      </c>
      <c r="B1617" s="74">
        <v>45843</v>
      </c>
      <c r="C1617" s="61" t="s">
        <v>34</v>
      </c>
      <c r="D1617" s="60" t="s">
        <v>481</v>
      </c>
      <c r="E1617" s="62" t="s">
        <v>1593</v>
      </c>
      <c r="F1617" s="73" t="s">
        <v>837</v>
      </c>
      <c r="G1617" s="59" t="s">
        <v>142</v>
      </c>
      <c r="H1617" s="60">
        <v>0.58333333333333337</v>
      </c>
      <c r="I1617" s="126">
        <v>0.72916666666666663</v>
      </c>
      <c r="J1617" s="63">
        <v>0.14583333333333326</v>
      </c>
      <c r="K1617" s="61" t="s">
        <v>300</v>
      </c>
      <c r="L1617" s="134">
        <v>3.4999999999999982</v>
      </c>
      <c r="O1617" s="81" t="s">
        <v>362</v>
      </c>
      <c r="P1617" s="88">
        <v>5</v>
      </c>
      <c r="Z1617" s="100"/>
    </row>
    <row r="1618" spans="1:26" x14ac:dyDescent="0.25">
      <c r="A1618" s="99">
        <v>45839</v>
      </c>
      <c r="B1618" s="74">
        <v>45844</v>
      </c>
      <c r="C1618" s="61" t="s">
        <v>31</v>
      </c>
      <c r="D1618" s="60" t="s">
        <v>1391</v>
      </c>
      <c r="E1618" s="62" t="s">
        <v>1600</v>
      </c>
      <c r="F1618" s="73" t="s">
        <v>1601</v>
      </c>
      <c r="G1618" s="59" t="s">
        <v>142</v>
      </c>
      <c r="H1618" s="60">
        <v>0.45833333333333331</v>
      </c>
      <c r="I1618" s="126">
        <v>0.54166666666666663</v>
      </c>
      <c r="J1618" s="63">
        <v>8.3333333333333315E-2</v>
      </c>
      <c r="K1618" s="61" t="s">
        <v>365</v>
      </c>
      <c r="L1618" s="134">
        <v>1.9999999999999996</v>
      </c>
      <c r="O1618" s="81" t="s">
        <v>1214</v>
      </c>
      <c r="P1618" s="88">
        <v>5</v>
      </c>
      <c r="Z1618" s="100"/>
    </row>
    <row r="1619" spans="1:26" x14ac:dyDescent="0.25">
      <c r="A1619" s="99">
        <v>45839</v>
      </c>
      <c r="B1619" s="74">
        <v>45844</v>
      </c>
      <c r="C1619" s="61" t="s">
        <v>31</v>
      </c>
      <c r="D1619" s="60" t="s">
        <v>126</v>
      </c>
      <c r="E1619" s="62" t="s">
        <v>1544</v>
      </c>
      <c r="F1619" s="73" t="s">
        <v>1394</v>
      </c>
      <c r="G1619" s="59" t="s">
        <v>142</v>
      </c>
      <c r="H1619" s="60">
        <v>0.45833333333333331</v>
      </c>
      <c r="I1619" s="126">
        <v>0.54166666666666663</v>
      </c>
      <c r="J1619" s="63">
        <v>8.3333333333333315E-2</v>
      </c>
      <c r="K1619" s="61" t="s">
        <v>365</v>
      </c>
      <c r="L1619" s="134">
        <v>1.9999999999999996</v>
      </c>
      <c r="O1619" s="81" t="s">
        <v>361</v>
      </c>
      <c r="P1619" s="88">
        <v>5</v>
      </c>
      <c r="Z1619" s="100"/>
    </row>
    <row r="1620" spans="1:26" x14ac:dyDescent="0.25">
      <c r="A1620" s="99">
        <v>45839</v>
      </c>
      <c r="B1620" s="74">
        <v>45844</v>
      </c>
      <c r="C1620" s="61" t="s">
        <v>31</v>
      </c>
      <c r="D1620" s="60" t="s">
        <v>98</v>
      </c>
      <c r="E1620" s="62" t="s">
        <v>1178</v>
      </c>
      <c r="F1620" s="73" t="s">
        <v>1602</v>
      </c>
      <c r="G1620" s="59" t="s">
        <v>142</v>
      </c>
      <c r="H1620" s="60">
        <v>0.5</v>
      </c>
      <c r="I1620" s="126">
        <v>0.66666666666666663</v>
      </c>
      <c r="J1620" s="63">
        <v>0.16666666666666663</v>
      </c>
      <c r="K1620" s="61" t="s">
        <v>365</v>
      </c>
      <c r="L1620" s="134">
        <v>3.9999999999999991</v>
      </c>
      <c r="O1620" s="81" t="s">
        <v>359</v>
      </c>
      <c r="P1620" s="88">
        <v>5</v>
      </c>
      <c r="Z1620" s="100"/>
    </row>
    <row r="1621" spans="1:26" x14ac:dyDescent="0.25">
      <c r="A1621" s="99">
        <v>45839</v>
      </c>
      <c r="B1621" s="74">
        <v>45844</v>
      </c>
      <c r="C1621" s="61" t="s">
        <v>31</v>
      </c>
      <c r="D1621" s="60" t="s">
        <v>406</v>
      </c>
      <c r="E1621" s="62" t="s">
        <v>1052</v>
      </c>
      <c r="F1621" s="73" t="s">
        <v>1587</v>
      </c>
      <c r="G1621" s="59" t="s">
        <v>142</v>
      </c>
      <c r="H1621" s="60">
        <v>0.5</v>
      </c>
      <c r="I1621" s="126">
        <v>0.70833333333333337</v>
      </c>
      <c r="J1621" s="63">
        <v>0.20833333333333337</v>
      </c>
      <c r="K1621" s="61" t="s">
        <v>113</v>
      </c>
      <c r="L1621" s="134">
        <v>5.0000000000000009</v>
      </c>
      <c r="O1621" s="81" t="s">
        <v>539</v>
      </c>
      <c r="P1621" s="88">
        <v>5</v>
      </c>
      <c r="Z1621" s="100"/>
    </row>
    <row r="1622" spans="1:26" x14ac:dyDescent="0.25">
      <c r="A1622" s="99">
        <v>45809</v>
      </c>
      <c r="B1622" s="74">
        <v>45845</v>
      </c>
      <c r="C1622" s="61" t="s">
        <v>31</v>
      </c>
      <c r="D1622" s="60" t="s">
        <v>740</v>
      </c>
      <c r="E1622" s="62" t="s">
        <v>1603</v>
      </c>
      <c r="F1622" s="73" t="s">
        <v>1604</v>
      </c>
      <c r="G1622" s="59" t="s">
        <v>142</v>
      </c>
      <c r="H1622" s="60">
        <v>0.5</v>
      </c>
      <c r="I1622" s="126">
        <v>0.66666666666666663</v>
      </c>
      <c r="J1622" s="63">
        <v>0.16666666666666663</v>
      </c>
      <c r="K1622" s="61" t="s">
        <v>110</v>
      </c>
      <c r="L1622" s="134">
        <v>3.9999999999999991</v>
      </c>
      <c r="O1622" s="81" t="s">
        <v>363</v>
      </c>
      <c r="P1622" s="88">
        <v>5</v>
      </c>
      <c r="Z1622" s="100"/>
    </row>
    <row r="1623" spans="1:26" x14ac:dyDescent="0.25">
      <c r="A1623" s="99">
        <v>45839</v>
      </c>
      <c r="B1623" s="74">
        <v>45845</v>
      </c>
      <c r="C1623" s="61" t="s">
        <v>31</v>
      </c>
      <c r="D1623" s="60" t="s">
        <v>98</v>
      </c>
      <c r="E1623" s="62" t="s">
        <v>1178</v>
      </c>
      <c r="F1623" s="73" t="s">
        <v>1602</v>
      </c>
      <c r="G1623" s="59" t="s">
        <v>142</v>
      </c>
      <c r="H1623" s="126">
        <v>0.41666666666666669</v>
      </c>
      <c r="I1623" s="126">
        <v>0.58333333333333337</v>
      </c>
      <c r="J1623" s="63">
        <v>0.16666666666666669</v>
      </c>
      <c r="K1623" s="61" t="s">
        <v>365</v>
      </c>
      <c r="L1623" s="134">
        <v>4</v>
      </c>
      <c r="O1623" s="81" t="s">
        <v>359</v>
      </c>
      <c r="P1623" s="88">
        <v>5</v>
      </c>
      <c r="Z1623" s="100"/>
    </row>
    <row r="1624" spans="1:26" x14ac:dyDescent="0.25">
      <c r="A1624" s="99">
        <v>45809</v>
      </c>
      <c r="B1624" s="74">
        <v>45845</v>
      </c>
      <c r="C1624" s="61" t="s">
        <v>45</v>
      </c>
      <c r="D1624" s="60" t="s">
        <v>98</v>
      </c>
      <c r="E1624" s="62" t="s">
        <v>1605</v>
      </c>
      <c r="F1624" s="73" t="s">
        <v>1606</v>
      </c>
      <c r="G1624" s="59" t="s">
        <v>142</v>
      </c>
      <c r="H1624" s="126">
        <v>0.6875</v>
      </c>
      <c r="I1624" s="126">
        <v>0.75</v>
      </c>
      <c r="J1624" s="63">
        <v>6.25E-2</v>
      </c>
      <c r="K1624" s="61" t="s">
        <v>296</v>
      </c>
      <c r="L1624" s="134">
        <v>1.5</v>
      </c>
      <c r="O1624" s="81" t="s">
        <v>304</v>
      </c>
      <c r="P1624" s="88">
        <v>4</v>
      </c>
      <c r="Q1624" s="61" t="s">
        <v>334</v>
      </c>
      <c r="Z1624" s="100"/>
    </row>
    <row r="1625" spans="1:26" x14ac:dyDescent="0.25">
      <c r="A1625" s="99">
        <v>45839</v>
      </c>
      <c r="B1625" s="74">
        <v>45845</v>
      </c>
      <c r="C1625" s="61" t="s">
        <v>45</v>
      </c>
      <c r="D1625" s="60" t="s">
        <v>98</v>
      </c>
      <c r="E1625" s="62" t="s">
        <v>1607</v>
      </c>
      <c r="F1625" s="73" t="s">
        <v>1608</v>
      </c>
      <c r="G1625" s="59" t="s">
        <v>142</v>
      </c>
      <c r="H1625" s="126">
        <v>0.25</v>
      </c>
      <c r="I1625" s="126">
        <v>0.58333333333333337</v>
      </c>
      <c r="J1625" s="63">
        <v>0.33333333333333337</v>
      </c>
      <c r="K1625" s="61" t="s">
        <v>296</v>
      </c>
      <c r="L1625" s="134">
        <v>8</v>
      </c>
      <c r="O1625" s="81" t="s">
        <v>304</v>
      </c>
      <c r="P1625" s="88">
        <v>4</v>
      </c>
      <c r="Q1625" s="61" t="s">
        <v>334</v>
      </c>
      <c r="Z1625" s="100"/>
    </row>
    <row r="1626" spans="1:26" x14ac:dyDescent="0.25">
      <c r="A1626" s="99">
        <v>45839</v>
      </c>
      <c r="B1626" s="74">
        <v>45846</v>
      </c>
      <c r="C1626" s="61" t="s">
        <v>106</v>
      </c>
      <c r="D1626" s="60" t="s">
        <v>98</v>
      </c>
      <c r="E1626" s="62" t="s">
        <v>1609</v>
      </c>
      <c r="F1626" s="73" t="s">
        <v>1610</v>
      </c>
      <c r="G1626" s="59" t="s">
        <v>142</v>
      </c>
      <c r="H1626" s="126">
        <v>0.52083333333333337</v>
      </c>
      <c r="I1626" s="126">
        <v>0.66666666666666663</v>
      </c>
      <c r="J1626" s="63">
        <v>0.14583333333333326</v>
      </c>
      <c r="K1626" s="61" t="s">
        <v>365</v>
      </c>
      <c r="L1626" s="134">
        <v>3.4999999999999982</v>
      </c>
      <c r="O1626" s="81" t="s">
        <v>359</v>
      </c>
      <c r="P1626" s="88">
        <v>4</v>
      </c>
      <c r="Q1626" s="61" t="s">
        <v>472</v>
      </c>
      <c r="Z1626" s="100"/>
    </row>
    <row r="1627" spans="1:26" x14ac:dyDescent="0.25">
      <c r="A1627" s="99">
        <v>45839</v>
      </c>
      <c r="B1627" s="74">
        <v>45846</v>
      </c>
      <c r="C1627" s="61" t="s">
        <v>106</v>
      </c>
      <c r="D1627" s="60" t="s">
        <v>319</v>
      </c>
      <c r="E1627" s="62" t="s">
        <v>733</v>
      </c>
      <c r="F1627" s="73" t="s">
        <v>1611</v>
      </c>
      <c r="G1627" s="59" t="s">
        <v>142</v>
      </c>
      <c r="H1627" s="126">
        <v>0.64583333333333337</v>
      </c>
      <c r="I1627" s="126">
        <v>0.70833333333333337</v>
      </c>
      <c r="J1627" s="63">
        <v>6.25E-2</v>
      </c>
      <c r="K1627" s="61" t="s">
        <v>365</v>
      </c>
      <c r="L1627" s="134">
        <v>1.5</v>
      </c>
      <c r="O1627" s="81" t="s">
        <v>359</v>
      </c>
      <c r="P1627" s="88">
        <v>4</v>
      </c>
      <c r="Q1627" s="61" t="s">
        <v>472</v>
      </c>
      <c r="Z1627" s="100"/>
    </row>
    <row r="1628" spans="1:26" x14ac:dyDescent="0.25">
      <c r="A1628" s="99">
        <v>45839</v>
      </c>
      <c r="B1628" s="74">
        <v>45846</v>
      </c>
      <c r="C1628" s="61" t="s">
        <v>106</v>
      </c>
      <c r="D1628" s="60" t="s">
        <v>98</v>
      </c>
      <c r="E1628" s="62" t="s">
        <v>484</v>
      </c>
      <c r="F1628" s="73" t="s">
        <v>1612</v>
      </c>
      <c r="G1628" s="59" t="s">
        <v>142</v>
      </c>
      <c r="H1628" s="126">
        <v>0.47916666666666669</v>
      </c>
      <c r="I1628" s="126">
        <v>0.70833333333333337</v>
      </c>
      <c r="J1628" s="63">
        <v>0.22916666666666669</v>
      </c>
      <c r="K1628" s="61" t="s">
        <v>365</v>
      </c>
      <c r="L1628" s="134">
        <v>5.5</v>
      </c>
      <c r="O1628" s="81" t="s">
        <v>359</v>
      </c>
      <c r="P1628" s="88">
        <v>3</v>
      </c>
      <c r="Q1628" s="61" t="s">
        <v>334</v>
      </c>
      <c r="Z1628" s="100"/>
    </row>
    <row r="1629" spans="1:26" x14ac:dyDescent="0.25">
      <c r="A1629" s="99">
        <v>45839</v>
      </c>
      <c r="B1629" s="74">
        <v>45847</v>
      </c>
      <c r="C1629" s="61" t="s">
        <v>398</v>
      </c>
      <c r="D1629" s="60" t="s">
        <v>98</v>
      </c>
      <c r="E1629" s="62" t="s">
        <v>1613</v>
      </c>
      <c r="F1629" s="73" t="s">
        <v>1614</v>
      </c>
      <c r="G1629" s="59" t="s">
        <v>142</v>
      </c>
      <c r="H1629" s="126">
        <v>0.58333333333333337</v>
      </c>
      <c r="I1629" s="126">
        <v>0.70833333333333337</v>
      </c>
      <c r="J1629" s="63">
        <v>0.125</v>
      </c>
      <c r="K1629" s="61" t="s">
        <v>296</v>
      </c>
      <c r="L1629" s="134">
        <v>3</v>
      </c>
      <c r="O1629" s="81" t="s">
        <v>304</v>
      </c>
      <c r="P1629" s="88">
        <v>5</v>
      </c>
      <c r="Z1629" s="100"/>
    </row>
    <row r="1630" spans="1:26" x14ac:dyDescent="0.25">
      <c r="A1630" s="99">
        <v>45839</v>
      </c>
      <c r="B1630" s="74">
        <v>45847</v>
      </c>
      <c r="C1630" s="61" t="s">
        <v>398</v>
      </c>
      <c r="D1630" s="60" t="s">
        <v>98</v>
      </c>
      <c r="E1630" s="62" t="s">
        <v>1615</v>
      </c>
      <c r="F1630" s="73" t="s">
        <v>1616</v>
      </c>
      <c r="G1630" s="59" t="s">
        <v>142</v>
      </c>
      <c r="H1630" s="126">
        <v>0.47916666666666669</v>
      </c>
      <c r="I1630" s="126">
        <v>0.52083333333333337</v>
      </c>
      <c r="J1630" s="63">
        <v>4.1666666666666685E-2</v>
      </c>
      <c r="K1630" s="61" t="s">
        <v>365</v>
      </c>
      <c r="L1630" s="134">
        <v>1.0000000000000004</v>
      </c>
      <c r="O1630" s="81" t="s">
        <v>820</v>
      </c>
      <c r="P1630" s="88">
        <v>5</v>
      </c>
      <c r="Z1630" s="100"/>
    </row>
    <row r="1631" spans="1:26" x14ac:dyDescent="0.25">
      <c r="A1631" s="99">
        <v>45839</v>
      </c>
      <c r="B1631" s="74">
        <v>45847</v>
      </c>
      <c r="C1631" s="61" t="s">
        <v>398</v>
      </c>
      <c r="D1631" s="60" t="s">
        <v>406</v>
      </c>
      <c r="E1631" s="62" t="s">
        <v>1052</v>
      </c>
      <c r="F1631" s="73" t="s">
        <v>1617</v>
      </c>
      <c r="G1631" s="59" t="s">
        <v>142</v>
      </c>
      <c r="H1631" s="126">
        <v>0.5</v>
      </c>
      <c r="I1631" s="126">
        <v>0.70833333333333337</v>
      </c>
      <c r="J1631" s="63">
        <v>0.20833333333333337</v>
      </c>
      <c r="K1631" s="61" t="s">
        <v>113</v>
      </c>
      <c r="L1631" s="134">
        <v>5.0000000000000009</v>
      </c>
      <c r="O1631" s="81" t="s">
        <v>539</v>
      </c>
      <c r="P1631" s="88">
        <v>5</v>
      </c>
      <c r="Z1631" s="100"/>
    </row>
    <row r="1632" spans="1:26" x14ac:dyDescent="0.25">
      <c r="A1632" s="99">
        <v>45839</v>
      </c>
      <c r="B1632" s="74">
        <v>45847</v>
      </c>
      <c r="C1632" s="61" t="s">
        <v>398</v>
      </c>
      <c r="D1632" s="60" t="s">
        <v>1322</v>
      </c>
      <c r="E1632" s="62" t="s">
        <v>1583</v>
      </c>
      <c r="F1632" s="73" t="s">
        <v>1618</v>
      </c>
      <c r="G1632" s="59" t="s">
        <v>142</v>
      </c>
      <c r="H1632" s="126">
        <v>0.5</v>
      </c>
      <c r="I1632" s="126">
        <v>0.64583333333333337</v>
      </c>
      <c r="J1632" s="63">
        <v>0.14583333333333337</v>
      </c>
      <c r="K1632" s="61" t="s">
        <v>300</v>
      </c>
      <c r="L1632" s="134">
        <v>3.5000000000000009</v>
      </c>
      <c r="O1632" s="81" t="s">
        <v>362</v>
      </c>
      <c r="P1632" s="88">
        <v>5</v>
      </c>
      <c r="Z1632" s="100"/>
    </row>
    <row r="1633" spans="1:26" x14ac:dyDescent="0.25">
      <c r="A1633" s="99">
        <v>45839</v>
      </c>
      <c r="B1633" s="74">
        <v>45847</v>
      </c>
      <c r="C1633" s="61" t="s">
        <v>398</v>
      </c>
      <c r="D1633" s="60" t="s">
        <v>98</v>
      </c>
      <c r="E1633" s="62" t="s">
        <v>1178</v>
      </c>
      <c r="F1633" s="73" t="s">
        <v>1619</v>
      </c>
      <c r="G1633" s="59" t="s">
        <v>142</v>
      </c>
      <c r="H1633" s="126">
        <v>0.5</v>
      </c>
      <c r="I1633" s="126">
        <v>0.66666666666666663</v>
      </c>
      <c r="J1633" s="63">
        <v>0.16666666666666663</v>
      </c>
      <c r="K1633" s="61" t="s">
        <v>365</v>
      </c>
      <c r="L1633" s="134">
        <v>3.9999999999999991</v>
      </c>
      <c r="O1633" s="81" t="s">
        <v>359</v>
      </c>
      <c r="P1633" s="88">
        <v>5</v>
      </c>
      <c r="Z1633" s="100"/>
    </row>
    <row r="1634" spans="1:26" x14ac:dyDescent="0.25">
      <c r="A1634" s="99">
        <v>45839</v>
      </c>
      <c r="B1634" s="74">
        <v>45847</v>
      </c>
      <c r="C1634" s="61" t="s">
        <v>398</v>
      </c>
      <c r="D1634" s="60" t="s">
        <v>406</v>
      </c>
      <c r="E1634" s="62" t="s">
        <v>407</v>
      </c>
      <c r="F1634" s="73" t="s">
        <v>1543</v>
      </c>
      <c r="G1634" s="59" t="s">
        <v>142</v>
      </c>
      <c r="H1634" s="126">
        <v>0.66666666666666663</v>
      </c>
      <c r="I1634" s="126">
        <v>0.70833333333333337</v>
      </c>
      <c r="J1634" s="63">
        <v>4.1666666666666741E-2</v>
      </c>
      <c r="K1634" s="61" t="s">
        <v>365</v>
      </c>
      <c r="L1634" s="134">
        <v>1.0000000000000018</v>
      </c>
      <c r="O1634" s="81" t="s">
        <v>576</v>
      </c>
      <c r="P1634" s="88">
        <v>5</v>
      </c>
      <c r="Z1634" s="100"/>
    </row>
    <row r="1635" spans="1:26" x14ac:dyDescent="0.25">
      <c r="A1635" s="99">
        <v>45839</v>
      </c>
      <c r="B1635" s="74">
        <v>45847</v>
      </c>
      <c r="C1635" s="61" t="s">
        <v>398</v>
      </c>
      <c r="D1635" s="60" t="s">
        <v>658</v>
      </c>
      <c r="E1635" s="62" t="s">
        <v>1620</v>
      </c>
      <c r="F1635" s="73" t="s">
        <v>1621</v>
      </c>
      <c r="G1635" s="59" t="s">
        <v>142</v>
      </c>
      <c r="H1635" s="126">
        <v>0.66666666666666663</v>
      </c>
      <c r="I1635" s="126">
        <v>0.70833333333333337</v>
      </c>
      <c r="J1635" s="63">
        <v>4.1666666666666741E-2</v>
      </c>
      <c r="K1635" s="61" t="s">
        <v>110</v>
      </c>
      <c r="L1635" s="134">
        <v>1.0000000000000018</v>
      </c>
      <c r="O1635" s="81" t="s">
        <v>363</v>
      </c>
      <c r="P1635" s="88">
        <v>5</v>
      </c>
      <c r="Z1635" s="100"/>
    </row>
    <row r="1636" spans="1:26" x14ac:dyDescent="0.25">
      <c r="A1636" s="99">
        <v>45839</v>
      </c>
      <c r="B1636" s="74">
        <v>45848</v>
      </c>
      <c r="C1636" s="61" t="s">
        <v>124</v>
      </c>
      <c r="D1636" s="60" t="s">
        <v>483</v>
      </c>
      <c r="E1636" s="62" t="s">
        <v>1369</v>
      </c>
      <c r="F1636" s="73" t="s">
        <v>1213</v>
      </c>
      <c r="G1636" s="59" t="s">
        <v>142</v>
      </c>
      <c r="H1636" s="126">
        <v>0.41666666666666669</v>
      </c>
      <c r="I1636" s="126">
        <v>0.66666666666666663</v>
      </c>
      <c r="J1636" s="63">
        <v>0.24999999999999994</v>
      </c>
      <c r="K1636" s="61" t="s">
        <v>365</v>
      </c>
      <c r="L1636" s="134">
        <v>5.9999999999999982</v>
      </c>
      <c r="O1636" s="81" t="s">
        <v>820</v>
      </c>
      <c r="P1636" s="88">
        <v>5</v>
      </c>
      <c r="Z1636" s="100"/>
    </row>
    <row r="1637" spans="1:26" x14ac:dyDescent="0.25">
      <c r="A1637" s="99">
        <v>45839</v>
      </c>
      <c r="B1637" s="74">
        <v>45848</v>
      </c>
      <c r="C1637" s="61" t="s">
        <v>124</v>
      </c>
      <c r="D1637" s="60" t="s">
        <v>702</v>
      </c>
      <c r="E1637" s="62" t="s">
        <v>1622</v>
      </c>
      <c r="F1637" s="73" t="s">
        <v>1623</v>
      </c>
      <c r="G1637" s="59" t="s">
        <v>142</v>
      </c>
      <c r="H1637" s="126">
        <v>0.20833333333333334</v>
      </c>
      <c r="I1637" s="126">
        <v>0.58333333333333337</v>
      </c>
      <c r="J1637" s="63">
        <v>0.375</v>
      </c>
      <c r="K1637" s="61" t="s">
        <v>300</v>
      </c>
      <c r="L1637" s="134">
        <v>9</v>
      </c>
      <c r="O1637" s="81" t="s">
        <v>362</v>
      </c>
      <c r="P1637" s="88">
        <v>5</v>
      </c>
      <c r="Z1637" s="100"/>
    </row>
    <row r="1638" spans="1:26" x14ac:dyDescent="0.25">
      <c r="A1638" s="99">
        <v>45839</v>
      </c>
      <c r="B1638" s="74">
        <v>45848</v>
      </c>
      <c r="C1638" s="61" t="s">
        <v>124</v>
      </c>
      <c r="D1638" s="60" t="s">
        <v>98</v>
      </c>
      <c r="E1638" s="62" t="s">
        <v>1624</v>
      </c>
      <c r="F1638" s="73" t="s">
        <v>1625</v>
      </c>
      <c r="G1638" s="59" t="s">
        <v>142</v>
      </c>
      <c r="H1638" s="126">
        <v>0.41666666666666669</v>
      </c>
      <c r="I1638" s="126">
        <v>0.4375</v>
      </c>
      <c r="J1638" s="63">
        <v>2.0833333333333315E-2</v>
      </c>
      <c r="K1638" s="61" t="s">
        <v>365</v>
      </c>
      <c r="L1638" s="134">
        <v>0.49999999999999956</v>
      </c>
      <c r="O1638" s="81" t="s">
        <v>1214</v>
      </c>
      <c r="P1638" s="88">
        <v>5</v>
      </c>
      <c r="Z1638" s="100"/>
    </row>
    <row r="1639" spans="1:26" x14ac:dyDescent="0.25">
      <c r="A1639" s="99">
        <v>45839</v>
      </c>
      <c r="B1639" s="74">
        <v>45848</v>
      </c>
      <c r="C1639" s="61" t="s">
        <v>124</v>
      </c>
      <c r="D1639" s="60" t="s">
        <v>406</v>
      </c>
      <c r="E1639" s="62" t="s">
        <v>1052</v>
      </c>
      <c r="F1639" s="73" t="s">
        <v>1617</v>
      </c>
      <c r="G1639" s="59" t="s">
        <v>142</v>
      </c>
      <c r="H1639" s="126">
        <v>0.5</v>
      </c>
      <c r="I1639" s="126">
        <v>0.70833333333333337</v>
      </c>
      <c r="J1639" s="63">
        <v>0.20833333333333337</v>
      </c>
      <c r="K1639" s="61" t="s">
        <v>113</v>
      </c>
      <c r="L1639" s="134">
        <v>5.0000000000000009</v>
      </c>
      <c r="O1639" s="81" t="s">
        <v>360</v>
      </c>
      <c r="P1639" s="88">
        <v>4</v>
      </c>
      <c r="Q1639" s="61" t="s">
        <v>472</v>
      </c>
      <c r="Z1639" s="100"/>
    </row>
    <row r="1640" spans="1:26" x14ac:dyDescent="0.25">
      <c r="A1640" s="99">
        <v>45839</v>
      </c>
      <c r="B1640" s="74">
        <v>45848</v>
      </c>
      <c r="C1640" s="61" t="s">
        <v>124</v>
      </c>
      <c r="D1640" s="60" t="s">
        <v>98</v>
      </c>
      <c r="E1640" s="62" t="s">
        <v>1369</v>
      </c>
      <c r="F1640" s="73" t="s">
        <v>1626</v>
      </c>
      <c r="G1640" s="59" t="s">
        <v>142</v>
      </c>
      <c r="H1640" s="126">
        <v>0.64583333333333337</v>
      </c>
      <c r="I1640" s="126">
        <v>0.70833333333333337</v>
      </c>
      <c r="J1640" s="63">
        <v>6.25E-2</v>
      </c>
      <c r="K1640" s="61" t="s">
        <v>365</v>
      </c>
      <c r="L1640" s="134">
        <v>1.5</v>
      </c>
      <c r="O1640" s="81" t="s">
        <v>359</v>
      </c>
      <c r="P1640" s="88">
        <v>5</v>
      </c>
      <c r="Z1640" s="100"/>
    </row>
    <row r="1641" spans="1:26" x14ac:dyDescent="0.25">
      <c r="A1641" s="99">
        <v>45839</v>
      </c>
      <c r="B1641" s="74">
        <v>45850</v>
      </c>
      <c r="C1641" s="61" t="s">
        <v>34</v>
      </c>
      <c r="D1641" s="60" t="s">
        <v>32</v>
      </c>
      <c r="E1641" s="62" t="s">
        <v>1627</v>
      </c>
      <c r="F1641" s="73" t="s">
        <v>400</v>
      </c>
      <c r="G1641" s="59" t="s">
        <v>142</v>
      </c>
      <c r="H1641" s="126">
        <v>0.5</v>
      </c>
      <c r="I1641" s="126">
        <v>0.70833333333333337</v>
      </c>
      <c r="J1641" s="63">
        <v>0.20833333333333337</v>
      </c>
      <c r="K1641" s="61" t="s">
        <v>110</v>
      </c>
      <c r="L1641" s="134">
        <v>5.0000000000000009</v>
      </c>
      <c r="O1641" s="81" t="s">
        <v>363</v>
      </c>
      <c r="P1641" s="88">
        <v>4</v>
      </c>
      <c r="Q1641" s="61" t="s">
        <v>472</v>
      </c>
      <c r="Z1641" s="100"/>
    </row>
    <row r="1642" spans="1:26" x14ac:dyDescent="0.25">
      <c r="A1642" s="99">
        <v>45839</v>
      </c>
      <c r="B1642" s="74">
        <v>45850</v>
      </c>
      <c r="C1642" s="61" t="s">
        <v>34</v>
      </c>
      <c r="D1642" s="60" t="s">
        <v>702</v>
      </c>
      <c r="E1642" s="62" t="s">
        <v>1622</v>
      </c>
      <c r="F1642" s="73" t="s">
        <v>1623</v>
      </c>
      <c r="G1642" s="59" t="s">
        <v>142</v>
      </c>
      <c r="H1642" s="126">
        <v>0.45833333333333331</v>
      </c>
      <c r="I1642" s="126">
        <v>0.79166666666666663</v>
      </c>
      <c r="J1642" s="63">
        <v>0.33333333333333331</v>
      </c>
      <c r="K1642" s="61" t="s">
        <v>300</v>
      </c>
      <c r="L1642" s="134">
        <v>8</v>
      </c>
      <c r="O1642" s="81" t="s">
        <v>362</v>
      </c>
      <c r="P1642" s="88">
        <v>5</v>
      </c>
      <c r="Z1642" s="100"/>
    </row>
    <row r="1643" spans="1:26" x14ac:dyDescent="0.25">
      <c r="A1643" s="99">
        <v>45839</v>
      </c>
      <c r="B1643" s="74">
        <v>45850</v>
      </c>
      <c r="C1643" s="61" t="s">
        <v>34</v>
      </c>
      <c r="D1643" s="60" t="s">
        <v>406</v>
      </c>
      <c r="E1643" s="62" t="s">
        <v>1037</v>
      </c>
      <c r="F1643" s="73" t="s">
        <v>1617</v>
      </c>
      <c r="G1643" s="59" t="s">
        <v>142</v>
      </c>
      <c r="H1643" s="126">
        <v>0.41666666666666669</v>
      </c>
      <c r="I1643" s="126">
        <v>0.70833333333333337</v>
      </c>
      <c r="J1643" s="63">
        <v>0.29166666666666669</v>
      </c>
      <c r="K1643" s="61" t="s">
        <v>113</v>
      </c>
      <c r="L1643" s="134">
        <v>7</v>
      </c>
      <c r="O1643" s="81" t="s">
        <v>314</v>
      </c>
      <c r="P1643" s="88">
        <v>4</v>
      </c>
      <c r="Q1643" s="61" t="s">
        <v>472</v>
      </c>
      <c r="Z1643" s="100"/>
    </row>
    <row r="1644" spans="1:26" x14ac:dyDescent="0.25">
      <c r="A1644" s="99">
        <v>45839</v>
      </c>
      <c r="B1644" s="74">
        <v>45851</v>
      </c>
      <c r="C1644" s="61" t="s">
        <v>31</v>
      </c>
      <c r="D1644" s="60" t="s">
        <v>406</v>
      </c>
      <c r="E1644" s="62" t="s">
        <v>407</v>
      </c>
      <c r="F1644" s="73" t="s">
        <v>1543</v>
      </c>
      <c r="G1644" s="59" t="s">
        <v>142</v>
      </c>
      <c r="H1644" s="126">
        <v>0.54166666666666663</v>
      </c>
      <c r="I1644" s="126">
        <v>0.70833333333333337</v>
      </c>
      <c r="J1644" s="63">
        <v>0.16666666666666674</v>
      </c>
      <c r="K1644" s="61" t="s">
        <v>365</v>
      </c>
      <c r="L1644" s="134">
        <v>4.0000000000000018</v>
      </c>
      <c r="O1644" s="81" t="s">
        <v>358</v>
      </c>
      <c r="P1644" s="88">
        <v>5</v>
      </c>
      <c r="Z1644" s="100"/>
    </row>
    <row r="1645" spans="1:26" x14ac:dyDescent="0.25">
      <c r="A1645" s="99">
        <v>45839</v>
      </c>
      <c r="B1645" s="74">
        <v>45851</v>
      </c>
      <c r="C1645" s="61" t="s">
        <v>31</v>
      </c>
      <c r="D1645" s="60" t="s">
        <v>1628</v>
      </c>
      <c r="E1645" s="62" t="s">
        <v>1629</v>
      </c>
      <c r="F1645" s="73" t="s">
        <v>1269</v>
      </c>
      <c r="G1645" s="59" t="s">
        <v>142</v>
      </c>
      <c r="H1645" s="126">
        <v>0.55208333333333337</v>
      </c>
      <c r="I1645" s="126">
        <v>0.58333333333333337</v>
      </c>
      <c r="J1645" s="63">
        <v>3.125E-2</v>
      </c>
      <c r="K1645" s="61" t="s">
        <v>300</v>
      </c>
      <c r="L1645" s="134">
        <v>0.75</v>
      </c>
      <c r="O1645" s="81" t="s">
        <v>362</v>
      </c>
      <c r="P1645" s="88">
        <v>5</v>
      </c>
      <c r="Z1645" s="100"/>
    </row>
    <row r="1646" spans="1:26" x14ac:dyDescent="0.25">
      <c r="A1646" s="99">
        <v>45839</v>
      </c>
      <c r="B1646" s="74">
        <v>45851</v>
      </c>
      <c r="C1646" s="61" t="s">
        <v>31</v>
      </c>
      <c r="D1646" s="60" t="s">
        <v>126</v>
      </c>
      <c r="E1646" s="62" t="s">
        <v>1630</v>
      </c>
      <c r="F1646" s="73" t="s">
        <v>1631</v>
      </c>
      <c r="G1646" s="59" t="s">
        <v>142</v>
      </c>
      <c r="H1646" s="126">
        <v>0.5</v>
      </c>
      <c r="I1646" s="126">
        <v>0.70833333333333337</v>
      </c>
      <c r="J1646" s="63">
        <v>0.20833333333333337</v>
      </c>
      <c r="K1646" s="61" t="s">
        <v>365</v>
      </c>
      <c r="L1646" s="134">
        <v>5.0000000000000009</v>
      </c>
      <c r="O1646" s="81" t="s">
        <v>1214</v>
      </c>
      <c r="P1646" s="88">
        <v>5</v>
      </c>
      <c r="Z1646" s="100"/>
    </row>
    <row r="1647" spans="1:26" x14ac:dyDescent="0.25">
      <c r="A1647" s="99">
        <v>45839</v>
      </c>
      <c r="B1647" s="74">
        <v>45851</v>
      </c>
      <c r="C1647" s="61" t="s">
        <v>31</v>
      </c>
      <c r="D1647" s="60" t="s">
        <v>126</v>
      </c>
      <c r="E1647" s="62" t="s">
        <v>1630</v>
      </c>
      <c r="F1647" s="73" t="s">
        <v>1631</v>
      </c>
      <c r="G1647" s="59" t="s">
        <v>142</v>
      </c>
      <c r="H1647" s="126">
        <v>0.54166666666666663</v>
      </c>
      <c r="I1647" s="126">
        <v>0.58333333333333337</v>
      </c>
      <c r="J1647" s="63">
        <v>4.1666666666666741E-2</v>
      </c>
      <c r="K1647" s="61" t="s">
        <v>110</v>
      </c>
      <c r="L1647" s="134">
        <v>1.0000000000000018</v>
      </c>
      <c r="O1647" s="81" t="s">
        <v>363</v>
      </c>
      <c r="P1647" s="88">
        <v>5</v>
      </c>
      <c r="Z1647" s="100"/>
    </row>
    <row r="1648" spans="1:26" x14ac:dyDescent="0.25">
      <c r="A1648" s="99">
        <v>45839</v>
      </c>
      <c r="B1648" s="74">
        <v>45851</v>
      </c>
      <c r="C1648" s="61" t="s">
        <v>31</v>
      </c>
      <c r="D1648" s="60" t="s">
        <v>98</v>
      </c>
      <c r="E1648" s="62" t="s">
        <v>1369</v>
      </c>
      <c r="F1648" s="73" t="s">
        <v>618</v>
      </c>
      <c r="G1648" s="59" t="s">
        <v>142</v>
      </c>
      <c r="H1648" s="126">
        <v>0.5</v>
      </c>
      <c r="I1648" s="126">
        <v>0.58333333333333337</v>
      </c>
      <c r="J1648" s="63">
        <v>8.333333333333337E-2</v>
      </c>
      <c r="K1648" s="61" t="s">
        <v>110</v>
      </c>
      <c r="L1648" s="134">
        <v>2.0000000000000009</v>
      </c>
      <c r="O1648" s="81" t="s">
        <v>363</v>
      </c>
      <c r="P1648" s="88">
        <v>5</v>
      </c>
      <c r="Z1648" s="100"/>
    </row>
    <row r="1649" spans="1:26" x14ac:dyDescent="0.25">
      <c r="A1649" s="99">
        <v>45839</v>
      </c>
      <c r="B1649" s="74">
        <v>45852</v>
      </c>
      <c r="C1649" s="61" t="s">
        <v>45</v>
      </c>
      <c r="D1649" s="60" t="s">
        <v>98</v>
      </c>
      <c r="E1649" s="62" t="s">
        <v>1632</v>
      </c>
      <c r="F1649" s="73" t="s">
        <v>1633</v>
      </c>
      <c r="G1649" s="59" t="s">
        <v>142</v>
      </c>
      <c r="H1649" s="126">
        <v>0.54166666666666663</v>
      </c>
      <c r="I1649" s="126">
        <v>0.60416666666666663</v>
      </c>
      <c r="J1649" s="63">
        <v>6.25E-2</v>
      </c>
      <c r="K1649" s="61" t="s">
        <v>296</v>
      </c>
      <c r="L1649" s="134">
        <v>1.5</v>
      </c>
      <c r="O1649" s="81" t="s">
        <v>304</v>
      </c>
      <c r="P1649" s="88">
        <v>5</v>
      </c>
      <c r="Z1649" s="100"/>
    </row>
    <row r="1650" spans="1:26" x14ac:dyDescent="0.25">
      <c r="A1650" s="99">
        <v>45839</v>
      </c>
      <c r="B1650" s="74">
        <v>45852</v>
      </c>
      <c r="C1650" s="61" t="s">
        <v>45</v>
      </c>
      <c r="D1650" s="60" t="s">
        <v>325</v>
      </c>
      <c r="E1650" s="62" t="s">
        <v>370</v>
      </c>
      <c r="F1650" s="73" t="s">
        <v>1634</v>
      </c>
      <c r="G1650" s="59" t="s">
        <v>142</v>
      </c>
      <c r="H1650" s="126">
        <v>0.4375</v>
      </c>
      <c r="I1650" s="126">
        <v>0.70833333333333337</v>
      </c>
      <c r="J1650" s="63">
        <v>0.27083333333333337</v>
      </c>
      <c r="K1650" s="61" t="s">
        <v>113</v>
      </c>
      <c r="L1650" s="134">
        <v>6.5000000000000009</v>
      </c>
      <c r="O1650" s="81" t="s">
        <v>576</v>
      </c>
      <c r="P1650" s="88">
        <v>4</v>
      </c>
      <c r="Q1650" s="61" t="s">
        <v>334</v>
      </c>
      <c r="Z1650" s="100"/>
    </row>
    <row r="1651" spans="1:26" x14ac:dyDescent="0.25">
      <c r="A1651" s="99">
        <v>45839</v>
      </c>
      <c r="B1651" s="74">
        <v>45852</v>
      </c>
      <c r="C1651" s="61" t="s">
        <v>45</v>
      </c>
      <c r="D1651" s="60" t="s">
        <v>98</v>
      </c>
      <c r="E1651" s="62" t="s">
        <v>612</v>
      </c>
      <c r="F1651" s="73" t="s">
        <v>1635</v>
      </c>
      <c r="G1651" s="59" t="s">
        <v>142</v>
      </c>
      <c r="H1651" s="126">
        <v>0.4375</v>
      </c>
      <c r="I1651" s="126">
        <v>0.70833333333333337</v>
      </c>
      <c r="J1651" s="63">
        <v>0.27083333333333337</v>
      </c>
      <c r="K1651" s="61" t="s">
        <v>113</v>
      </c>
      <c r="L1651" s="134">
        <v>6.5000000000000009</v>
      </c>
      <c r="O1651" s="81" t="s">
        <v>576</v>
      </c>
      <c r="P1651" s="88">
        <v>4</v>
      </c>
      <c r="Q1651" s="61" t="s">
        <v>334</v>
      </c>
      <c r="Z1651" s="100"/>
    </row>
    <row r="1652" spans="1:26" x14ac:dyDescent="0.25">
      <c r="A1652" s="99">
        <v>45839</v>
      </c>
      <c r="B1652" s="74">
        <v>45853</v>
      </c>
      <c r="C1652" s="61" t="s">
        <v>106</v>
      </c>
      <c r="D1652" s="60" t="s">
        <v>499</v>
      </c>
      <c r="E1652" s="62" t="s">
        <v>505</v>
      </c>
      <c r="F1652" s="73" t="s">
        <v>1269</v>
      </c>
      <c r="G1652" s="59" t="s">
        <v>142</v>
      </c>
      <c r="H1652" s="126">
        <v>0.375</v>
      </c>
      <c r="I1652" s="126">
        <v>0.41666666666666669</v>
      </c>
      <c r="J1652" s="63">
        <v>4.1666666666666685E-2</v>
      </c>
      <c r="K1652" s="61" t="s">
        <v>300</v>
      </c>
      <c r="L1652" s="134">
        <v>1.0000000000000004</v>
      </c>
      <c r="O1652" s="81" t="s">
        <v>362</v>
      </c>
      <c r="P1652" s="88">
        <v>5</v>
      </c>
      <c r="Z1652" s="100"/>
    </row>
    <row r="1653" spans="1:26" x14ac:dyDescent="0.25">
      <c r="A1653" s="99">
        <v>45839</v>
      </c>
      <c r="B1653" s="74">
        <v>45853</v>
      </c>
      <c r="C1653" s="61" t="s">
        <v>106</v>
      </c>
      <c r="D1653" s="60" t="s">
        <v>1628</v>
      </c>
      <c r="E1653" s="62" t="s">
        <v>1629</v>
      </c>
      <c r="F1653" s="73" t="s">
        <v>1269</v>
      </c>
      <c r="G1653" s="59" t="s">
        <v>142</v>
      </c>
      <c r="H1653" s="126">
        <v>0.55208333333333337</v>
      </c>
      <c r="I1653" s="126">
        <v>0.58333333333333337</v>
      </c>
      <c r="J1653" s="63">
        <v>3.125E-2</v>
      </c>
      <c r="K1653" s="61" t="s">
        <v>300</v>
      </c>
      <c r="L1653" s="134">
        <v>0.75</v>
      </c>
      <c r="O1653" s="81" t="s">
        <v>362</v>
      </c>
      <c r="P1653" s="88">
        <v>5</v>
      </c>
      <c r="Z1653" s="100"/>
    </row>
    <row r="1654" spans="1:26" x14ac:dyDescent="0.25">
      <c r="A1654" s="99">
        <v>45839</v>
      </c>
      <c r="B1654" s="74">
        <v>45853</v>
      </c>
      <c r="C1654" s="61" t="s">
        <v>106</v>
      </c>
      <c r="D1654" s="60" t="s">
        <v>325</v>
      </c>
      <c r="E1654" s="62" t="s">
        <v>370</v>
      </c>
      <c r="F1654" s="73" t="s">
        <v>1634</v>
      </c>
      <c r="G1654" s="59" t="s">
        <v>142</v>
      </c>
      <c r="H1654" s="126">
        <v>0.45833333333333331</v>
      </c>
      <c r="I1654" s="126">
        <v>0.70833333333333337</v>
      </c>
      <c r="J1654" s="63">
        <v>0.25000000000000006</v>
      </c>
      <c r="K1654" s="61" t="s">
        <v>113</v>
      </c>
      <c r="L1654" s="134">
        <v>6.0000000000000018</v>
      </c>
      <c r="O1654" s="81" t="s">
        <v>576</v>
      </c>
      <c r="P1654" s="88">
        <v>4</v>
      </c>
      <c r="Q1654" s="61" t="s">
        <v>334</v>
      </c>
      <c r="Z1654" s="100"/>
    </row>
    <row r="1655" spans="1:26" x14ac:dyDescent="0.25">
      <c r="A1655" s="99">
        <v>45839</v>
      </c>
      <c r="B1655" s="74">
        <v>45854</v>
      </c>
      <c r="C1655" s="61" t="s">
        <v>398</v>
      </c>
      <c r="D1655" s="60" t="s">
        <v>98</v>
      </c>
      <c r="E1655" s="62" t="s">
        <v>1636</v>
      </c>
      <c r="F1655" s="73" t="s">
        <v>1637</v>
      </c>
      <c r="G1655" s="59" t="s">
        <v>142</v>
      </c>
      <c r="H1655" s="126">
        <v>0.5</v>
      </c>
      <c r="I1655" s="126">
        <v>0.54166666666666663</v>
      </c>
      <c r="J1655" s="63">
        <v>4.166666666666663E-2</v>
      </c>
      <c r="K1655" s="61" t="s">
        <v>365</v>
      </c>
      <c r="L1655" s="134">
        <v>0.99999999999999911</v>
      </c>
      <c r="O1655" s="81" t="s">
        <v>314</v>
      </c>
      <c r="P1655" s="88">
        <v>5</v>
      </c>
      <c r="Z1655" s="100"/>
    </row>
    <row r="1656" spans="1:26" x14ac:dyDescent="0.25">
      <c r="A1656" s="99">
        <v>45839</v>
      </c>
      <c r="B1656" s="74">
        <v>45854</v>
      </c>
      <c r="C1656" s="61" t="s">
        <v>398</v>
      </c>
      <c r="D1656" s="60" t="s">
        <v>32</v>
      </c>
      <c r="E1656" s="62" t="s">
        <v>1638</v>
      </c>
      <c r="F1656" s="73" t="s">
        <v>1639</v>
      </c>
      <c r="G1656" s="59" t="s">
        <v>142</v>
      </c>
      <c r="H1656" s="126">
        <v>0.5</v>
      </c>
      <c r="I1656" s="126">
        <v>0.70833333333333337</v>
      </c>
      <c r="J1656" s="63">
        <v>0.20833333333333337</v>
      </c>
      <c r="K1656" s="61" t="s">
        <v>113</v>
      </c>
      <c r="L1656" s="134">
        <v>5.0000000000000009</v>
      </c>
      <c r="O1656" s="81" t="s">
        <v>539</v>
      </c>
      <c r="P1656" s="88">
        <v>5</v>
      </c>
      <c r="Z1656" s="100"/>
    </row>
    <row r="1657" spans="1:26" x14ac:dyDescent="0.25">
      <c r="A1657" s="99">
        <v>45839</v>
      </c>
      <c r="B1657" s="74">
        <v>45854</v>
      </c>
      <c r="C1657" s="61" t="s">
        <v>398</v>
      </c>
      <c r="D1657" s="60" t="s">
        <v>98</v>
      </c>
      <c r="E1657" s="62" t="s">
        <v>1369</v>
      </c>
      <c r="F1657" s="73" t="s">
        <v>1640</v>
      </c>
      <c r="G1657" s="59" t="s">
        <v>142</v>
      </c>
      <c r="H1657" s="126">
        <v>0.41666666666666669</v>
      </c>
      <c r="I1657" s="126">
        <v>0.70833333333333337</v>
      </c>
      <c r="J1657" s="63">
        <v>0.29166666666666669</v>
      </c>
      <c r="K1657" s="61" t="s">
        <v>365</v>
      </c>
      <c r="L1657" s="134">
        <v>7</v>
      </c>
      <c r="O1657" s="81" t="s">
        <v>358</v>
      </c>
      <c r="P1657" s="88">
        <v>5</v>
      </c>
      <c r="Z1657" s="100"/>
    </row>
    <row r="1658" spans="1:26" x14ac:dyDescent="0.25">
      <c r="A1658" s="99">
        <v>45839</v>
      </c>
      <c r="B1658" s="74">
        <v>45854</v>
      </c>
      <c r="C1658" s="61" t="s">
        <v>398</v>
      </c>
      <c r="D1658" s="60" t="s">
        <v>406</v>
      </c>
      <c r="E1658" s="62" t="s">
        <v>1052</v>
      </c>
      <c r="F1658" s="73" t="s">
        <v>1617</v>
      </c>
      <c r="G1658" s="59" t="s">
        <v>142</v>
      </c>
      <c r="H1658" s="126">
        <v>0.5</v>
      </c>
      <c r="I1658" s="126">
        <v>0.70833333333333337</v>
      </c>
      <c r="J1658" s="63">
        <v>0.20833333333333337</v>
      </c>
      <c r="K1658" s="61" t="s">
        <v>113</v>
      </c>
      <c r="L1658" s="134">
        <v>5.0000000000000009</v>
      </c>
      <c r="O1658" s="81" t="s">
        <v>539</v>
      </c>
      <c r="P1658" s="88">
        <v>5</v>
      </c>
      <c r="Z1658" s="100"/>
    </row>
    <row r="1659" spans="1:26" x14ac:dyDescent="0.25">
      <c r="A1659" s="99">
        <v>45839</v>
      </c>
      <c r="B1659" s="74">
        <v>45854</v>
      </c>
      <c r="C1659" s="61" t="s">
        <v>398</v>
      </c>
      <c r="D1659" s="60" t="s">
        <v>325</v>
      </c>
      <c r="E1659" s="62" t="s">
        <v>370</v>
      </c>
      <c r="F1659" s="73" t="s">
        <v>1641</v>
      </c>
      <c r="G1659" s="59" t="s">
        <v>142</v>
      </c>
      <c r="H1659" s="126">
        <v>0.45833333333333331</v>
      </c>
      <c r="I1659" s="126">
        <v>0.70833333333333337</v>
      </c>
      <c r="J1659" s="63">
        <v>0.25000000000000006</v>
      </c>
      <c r="K1659" s="61" t="s">
        <v>113</v>
      </c>
      <c r="L1659" s="134">
        <v>6.0000000000000018</v>
      </c>
      <c r="O1659" s="81" t="s">
        <v>539</v>
      </c>
      <c r="P1659" s="88">
        <v>5</v>
      </c>
      <c r="Z1659" s="100"/>
    </row>
    <row r="1660" spans="1:26" x14ac:dyDescent="0.25">
      <c r="A1660" s="99">
        <v>45839</v>
      </c>
      <c r="B1660" s="74">
        <v>45854</v>
      </c>
      <c r="C1660" s="61" t="s">
        <v>398</v>
      </c>
      <c r="D1660" s="60" t="s">
        <v>98</v>
      </c>
      <c r="E1660" s="62" t="s">
        <v>1636</v>
      </c>
      <c r="F1660" s="73" t="s">
        <v>1637</v>
      </c>
      <c r="G1660" s="59" t="s">
        <v>142</v>
      </c>
      <c r="H1660" s="126">
        <v>0.5625</v>
      </c>
      <c r="I1660" s="126">
        <v>0.58333333333333337</v>
      </c>
      <c r="J1660" s="63">
        <v>2.083333333333337E-2</v>
      </c>
      <c r="K1660" s="61" t="s">
        <v>110</v>
      </c>
      <c r="L1660" s="134">
        <v>0.50000000000000089</v>
      </c>
      <c r="O1660" s="81" t="s">
        <v>576</v>
      </c>
      <c r="P1660" s="88">
        <v>5</v>
      </c>
      <c r="Z1660" s="100"/>
    </row>
    <row r="1661" spans="1:26" x14ac:dyDescent="0.25">
      <c r="A1661" s="99">
        <v>45839</v>
      </c>
      <c r="B1661" s="74">
        <v>45854</v>
      </c>
      <c r="C1661" s="61" t="s">
        <v>398</v>
      </c>
      <c r="D1661" s="60" t="s">
        <v>98</v>
      </c>
      <c r="E1661" s="62" t="s">
        <v>1369</v>
      </c>
      <c r="F1661" s="73" t="s">
        <v>1642</v>
      </c>
      <c r="G1661" s="59" t="s">
        <v>142</v>
      </c>
      <c r="H1661" s="126">
        <v>0.45833333333333331</v>
      </c>
      <c r="I1661" s="126">
        <v>0.5</v>
      </c>
      <c r="J1661" s="63">
        <v>4.1666666666666685E-2</v>
      </c>
      <c r="K1661" s="61" t="s">
        <v>113</v>
      </c>
      <c r="L1661" s="134">
        <v>1.0000000000000004</v>
      </c>
      <c r="O1661" s="81" t="s">
        <v>539</v>
      </c>
      <c r="P1661" s="88">
        <v>5</v>
      </c>
      <c r="Z1661" s="100"/>
    </row>
    <row r="1662" spans="1:26" x14ac:dyDescent="0.25">
      <c r="A1662" s="99">
        <v>45839</v>
      </c>
      <c r="B1662" s="74">
        <v>45854</v>
      </c>
      <c r="C1662" s="61" t="s">
        <v>398</v>
      </c>
      <c r="D1662" s="60" t="s">
        <v>98</v>
      </c>
      <c r="E1662" s="62" t="s">
        <v>1369</v>
      </c>
      <c r="F1662" s="73" t="s">
        <v>618</v>
      </c>
      <c r="G1662" s="59" t="s">
        <v>142</v>
      </c>
      <c r="H1662" s="126">
        <v>0.41666666666666669</v>
      </c>
      <c r="I1662" s="126">
        <v>0.66666666666666663</v>
      </c>
      <c r="J1662" s="63">
        <v>0.24999999999999994</v>
      </c>
      <c r="K1662" s="61" t="s">
        <v>365</v>
      </c>
      <c r="L1662" s="134">
        <v>5.9999999999999982</v>
      </c>
      <c r="O1662" s="81" t="s">
        <v>358</v>
      </c>
      <c r="P1662" s="88">
        <v>5</v>
      </c>
      <c r="Z1662" s="100"/>
    </row>
    <row r="1663" spans="1:26" x14ac:dyDescent="0.25">
      <c r="A1663" s="99">
        <v>45839</v>
      </c>
      <c r="B1663" s="74">
        <v>45855</v>
      </c>
      <c r="C1663" s="61" t="s">
        <v>124</v>
      </c>
      <c r="D1663" s="60" t="s">
        <v>1643</v>
      </c>
      <c r="E1663" s="62" t="s">
        <v>1644</v>
      </c>
      <c r="F1663" s="73" t="s">
        <v>1645</v>
      </c>
      <c r="G1663" s="59" t="s">
        <v>142</v>
      </c>
      <c r="H1663" s="126">
        <v>0.45833333333333331</v>
      </c>
      <c r="I1663" s="126">
        <v>0.47916666666666669</v>
      </c>
      <c r="J1663" s="63">
        <v>2.083333333333337E-2</v>
      </c>
      <c r="K1663" s="61" t="s">
        <v>365</v>
      </c>
      <c r="L1663" s="134">
        <v>0.50000000000000089</v>
      </c>
      <c r="O1663" s="81" t="s">
        <v>576</v>
      </c>
      <c r="P1663" s="88">
        <v>5</v>
      </c>
      <c r="Z1663" s="100"/>
    </row>
    <row r="1664" spans="1:26" x14ac:dyDescent="0.25">
      <c r="A1664" s="99">
        <v>45839</v>
      </c>
      <c r="B1664" s="74">
        <v>45855</v>
      </c>
      <c r="C1664" s="61" t="s">
        <v>124</v>
      </c>
      <c r="D1664" s="60" t="s">
        <v>632</v>
      </c>
      <c r="E1664" s="62" t="s">
        <v>1646</v>
      </c>
      <c r="F1664" s="73" t="s">
        <v>1647</v>
      </c>
      <c r="G1664" s="59" t="s">
        <v>142</v>
      </c>
      <c r="H1664" s="126">
        <v>0.51041666666666663</v>
      </c>
      <c r="I1664" s="126">
        <v>0.58333333333333337</v>
      </c>
      <c r="J1664" s="63">
        <v>7.2916666666666741E-2</v>
      </c>
      <c r="K1664" s="61" t="s">
        <v>365</v>
      </c>
      <c r="L1664" s="134">
        <v>1.7500000000000018</v>
      </c>
      <c r="O1664" s="81" t="s">
        <v>576</v>
      </c>
      <c r="P1664" s="88">
        <v>5</v>
      </c>
      <c r="Z1664" s="100"/>
    </row>
    <row r="1665" spans="1:26" x14ac:dyDescent="0.25">
      <c r="A1665" s="99">
        <v>45839</v>
      </c>
      <c r="B1665" s="74">
        <v>45855</v>
      </c>
      <c r="C1665" s="61" t="s">
        <v>124</v>
      </c>
      <c r="D1665" s="60" t="s">
        <v>126</v>
      </c>
      <c r="E1665" s="62" t="s">
        <v>1630</v>
      </c>
      <c r="F1665" s="73" t="s">
        <v>1631</v>
      </c>
      <c r="G1665" s="59" t="s">
        <v>142</v>
      </c>
      <c r="H1665" s="126">
        <v>0.64583333333333337</v>
      </c>
      <c r="I1665" s="126">
        <v>0.70833333333333337</v>
      </c>
      <c r="J1665" s="63">
        <v>6.25E-2</v>
      </c>
      <c r="K1665" s="61" t="s">
        <v>365</v>
      </c>
      <c r="L1665" s="134">
        <v>1.5</v>
      </c>
      <c r="O1665" s="81" t="s">
        <v>576</v>
      </c>
      <c r="P1665" s="88">
        <v>5</v>
      </c>
      <c r="Z1665" s="100"/>
    </row>
    <row r="1666" spans="1:26" x14ac:dyDescent="0.25">
      <c r="A1666" s="99">
        <v>45839</v>
      </c>
      <c r="B1666" s="74">
        <v>45855</v>
      </c>
      <c r="C1666" s="61" t="s">
        <v>124</v>
      </c>
      <c r="D1666" s="60" t="s">
        <v>325</v>
      </c>
      <c r="E1666" s="62" t="s">
        <v>370</v>
      </c>
      <c r="F1666" s="73" t="s">
        <v>1648</v>
      </c>
      <c r="G1666" s="59" t="s">
        <v>142</v>
      </c>
      <c r="H1666" s="126">
        <v>0.45833333333333331</v>
      </c>
      <c r="I1666" s="126">
        <v>0.70833333333333337</v>
      </c>
      <c r="J1666" s="63">
        <v>0.25000000000000006</v>
      </c>
      <c r="K1666" s="61" t="s">
        <v>113</v>
      </c>
      <c r="L1666" s="134">
        <v>6.0000000000000018</v>
      </c>
      <c r="O1666" s="81" t="s">
        <v>539</v>
      </c>
      <c r="P1666" s="88">
        <v>5</v>
      </c>
      <c r="Z1666" s="100"/>
    </row>
    <row r="1667" spans="1:26" x14ac:dyDescent="0.25">
      <c r="A1667" s="99">
        <v>45839</v>
      </c>
      <c r="B1667" s="74">
        <v>45855</v>
      </c>
      <c r="C1667" s="61" t="s">
        <v>124</v>
      </c>
      <c r="D1667" s="60" t="s">
        <v>98</v>
      </c>
      <c r="E1667" s="62" t="s">
        <v>1369</v>
      </c>
      <c r="F1667" s="73" t="s">
        <v>1649</v>
      </c>
      <c r="G1667" s="59" t="s">
        <v>142</v>
      </c>
      <c r="H1667" s="126">
        <v>0.58333333333333337</v>
      </c>
      <c r="I1667" s="126">
        <v>0.66666666666666663</v>
      </c>
      <c r="J1667" s="63">
        <v>8.3333333333333259E-2</v>
      </c>
      <c r="K1667" s="61" t="s">
        <v>365</v>
      </c>
      <c r="L1667" s="134">
        <v>1.9999999999999982</v>
      </c>
      <c r="O1667" s="81" t="s">
        <v>576</v>
      </c>
      <c r="P1667" s="88">
        <v>5</v>
      </c>
      <c r="Z1667" s="100"/>
    </row>
    <row r="1668" spans="1:26" x14ac:dyDescent="0.25">
      <c r="A1668" s="99">
        <v>45839</v>
      </c>
      <c r="B1668" s="74">
        <v>45855</v>
      </c>
      <c r="C1668" s="61" t="s">
        <v>124</v>
      </c>
      <c r="D1668" s="60" t="s">
        <v>406</v>
      </c>
      <c r="E1668" s="62" t="s">
        <v>1052</v>
      </c>
      <c r="F1668" s="73" t="s">
        <v>1650</v>
      </c>
      <c r="G1668" s="59" t="s">
        <v>142</v>
      </c>
      <c r="H1668" s="126">
        <v>0.5</v>
      </c>
      <c r="I1668" s="126">
        <v>0.70833333333333337</v>
      </c>
      <c r="J1668" s="63">
        <v>0.20833333333333337</v>
      </c>
      <c r="K1668" s="61" t="s">
        <v>113</v>
      </c>
      <c r="L1668" s="134">
        <v>5.0000000000000009</v>
      </c>
      <c r="O1668" s="81" t="s">
        <v>539</v>
      </c>
      <c r="P1668" s="88">
        <v>5</v>
      </c>
      <c r="Z1668" s="100"/>
    </row>
    <row r="1669" spans="1:26" x14ac:dyDescent="0.25">
      <c r="A1669" s="99">
        <v>45839</v>
      </c>
      <c r="B1669" s="74">
        <v>45857</v>
      </c>
      <c r="C1669" s="61" t="s">
        <v>34</v>
      </c>
      <c r="D1669" s="60" t="s">
        <v>1326</v>
      </c>
      <c r="E1669" s="62" t="s">
        <v>1651</v>
      </c>
      <c r="F1669" s="73" t="s">
        <v>1582</v>
      </c>
      <c r="G1669" s="59" t="s">
        <v>142</v>
      </c>
      <c r="H1669" s="126">
        <v>0.4375</v>
      </c>
      <c r="I1669" s="126">
        <v>0.58333333333333337</v>
      </c>
      <c r="J1669" s="63">
        <v>0.14583333333333337</v>
      </c>
      <c r="K1669" s="61" t="s">
        <v>300</v>
      </c>
      <c r="L1669" s="134">
        <v>3.5000000000000009</v>
      </c>
      <c r="O1669" s="81" t="s">
        <v>362</v>
      </c>
      <c r="P1669" s="88">
        <v>5</v>
      </c>
      <c r="Z1669" s="100"/>
    </row>
    <row r="1670" spans="1:26" x14ac:dyDescent="0.25">
      <c r="A1670" s="99">
        <v>45839</v>
      </c>
      <c r="B1670" s="74">
        <v>45857</v>
      </c>
      <c r="C1670" s="61" t="s">
        <v>34</v>
      </c>
      <c r="D1670" s="60" t="s">
        <v>325</v>
      </c>
      <c r="E1670" s="62" t="s">
        <v>370</v>
      </c>
      <c r="F1670" s="73" t="s">
        <v>1648</v>
      </c>
      <c r="G1670" s="59" t="s">
        <v>142</v>
      </c>
      <c r="H1670" s="126">
        <v>0.41666666666666669</v>
      </c>
      <c r="I1670" s="126">
        <v>0.70833333333333337</v>
      </c>
      <c r="J1670" s="63">
        <v>0.29166666666666669</v>
      </c>
      <c r="K1670" s="61" t="s">
        <v>113</v>
      </c>
      <c r="L1670" s="134">
        <v>7</v>
      </c>
      <c r="O1670" s="81" t="s">
        <v>539</v>
      </c>
      <c r="P1670" s="88">
        <v>5</v>
      </c>
      <c r="Z1670" s="100"/>
    </row>
    <row r="1671" spans="1:26" x14ac:dyDescent="0.25">
      <c r="A1671" s="99">
        <v>45839</v>
      </c>
      <c r="B1671" s="74">
        <v>45858</v>
      </c>
      <c r="C1671" s="61" t="s">
        <v>31</v>
      </c>
      <c r="D1671" s="60" t="s">
        <v>325</v>
      </c>
      <c r="E1671" s="62" t="s">
        <v>370</v>
      </c>
      <c r="F1671" s="73" t="s">
        <v>1641</v>
      </c>
      <c r="G1671" s="59" t="s">
        <v>142</v>
      </c>
      <c r="H1671" s="126">
        <v>0.41666666666666669</v>
      </c>
      <c r="I1671" s="126">
        <v>0.70833333333333337</v>
      </c>
      <c r="J1671" s="63">
        <v>0.29166666666666669</v>
      </c>
      <c r="K1671" s="61" t="s">
        <v>113</v>
      </c>
      <c r="L1671" s="134">
        <v>7</v>
      </c>
      <c r="O1671" s="81" t="s">
        <v>539</v>
      </c>
      <c r="P1671" s="88">
        <v>5</v>
      </c>
      <c r="Z1671" s="100"/>
    </row>
    <row r="1672" spans="1:26" x14ac:dyDescent="0.25">
      <c r="A1672" s="99">
        <v>45839</v>
      </c>
      <c r="B1672" s="74">
        <v>45858</v>
      </c>
      <c r="C1672" s="61" t="s">
        <v>31</v>
      </c>
      <c r="D1672" s="60" t="s">
        <v>406</v>
      </c>
      <c r="E1672" s="62" t="s">
        <v>1052</v>
      </c>
      <c r="F1672" s="73" t="s">
        <v>1652</v>
      </c>
      <c r="G1672" s="59" t="s">
        <v>142</v>
      </c>
      <c r="H1672" s="126">
        <v>0.52083333333333337</v>
      </c>
      <c r="I1672" s="126">
        <v>0.70833333333333337</v>
      </c>
      <c r="J1672" s="63">
        <v>0.1875</v>
      </c>
      <c r="K1672" s="61" t="s">
        <v>113</v>
      </c>
      <c r="L1672" s="134">
        <v>4.5</v>
      </c>
      <c r="O1672" s="81" t="s">
        <v>360</v>
      </c>
      <c r="P1672" s="88">
        <v>4</v>
      </c>
      <c r="Q1672" s="61" t="s">
        <v>334</v>
      </c>
      <c r="Z1672" s="100"/>
    </row>
    <row r="1673" spans="1:26" x14ac:dyDescent="0.25">
      <c r="A1673" s="99">
        <v>45839</v>
      </c>
      <c r="B1673" s="74">
        <v>45858</v>
      </c>
      <c r="C1673" s="61" t="s">
        <v>31</v>
      </c>
      <c r="D1673" s="60" t="s">
        <v>98</v>
      </c>
      <c r="E1673" s="62" t="s">
        <v>505</v>
      </c>
      <c r="F1673" s="73" t="s">
        <v>1653</v>
      </c>
      <c r="G1673" s="59" t="s">
        <v>142</v>
      </c>
      <c r="H1673" s="126">
        <v>0.58333333333333337</v>
      </c>
      <c r="I1673" s="126">
        <v>0.625</v>
      </c>
      <c r="J1673" s="63">
        <v>4.166666666666663E-2</v>
      </c>
      <c r="K1673" s="61" t="s">
        <v>296</v>
      </c>
      <c r="L1673" s="134">
        <v>0.99999999999999911</v>
      </c>
      <c r="O1673" s="81" t="s">
        <v>304</v>
      </c>
      <c r="P1673" s="88">
        <v>5</v>
      </c>
      <c r="Z1673" s="100"/>
    </row>
    <row r="1674" spans="1:26" x14ac:dyDescent="0.25">
      <c r="A1674" s="99">
        <v>45839</v>
      </c>
      <c r="B1674" s="74">
        <v>45859</v>
      </c>
      <c r="C1674" s="61" t="s">
        <v>45</v>
      </c>
      <c r="D1674" s="60" t="s">
        <v>1654</v>
      </c>
      <c r="E1674" s="62" t="s">
        <v>1655</v>
      </c>
      <c r="F1674" s="73" t="s">
        <v>1079</v>
      </c>
      <c r="G1674" s="59" t="s">
        <v>142</v>
      </c>
      <c r="H1674" s="126">
        <v>0.47916666666666669</v>
      </c>
      <c r="I1674" s="126">
        <v>0.70833333333333337</v>
      </c>
      <c r="J1674" s="63">
        <v>0.22916666666666669</v>
      </c>
      <c r="K1674" s="61" t="s">
        <v>365</v>
      </c>
      <c r="L1674" s="134">
        <v>5.5</v>
      </c>
      <c r="O1674" s="81" t="s">
        <v>820</v>
      </c>
      <c r="P1674" s="88">
        <v>5</v>
      </c>
      <c r="Z1674" s="100"/>
    </row>
    <row r="1675" spans="1:26" x14ac:dyDescent="0.25">
      <c r="A1675" s="99">
        <v>45839</v>
      </c>
      <c r="B1675" s="74">
        <v>45859</v>
      </c>
      <c r="C1675" s="61" t="s">
        <v>45</v>
      </c>
      <c r="D1675" s="60" t="s">
        <v>126</v>
      </c>
      <c r="E1675" s="62" t="s">
        <v>1656</v>
      </c>
      <c r="F1675" s="73" t="s">
        <v>1580</v>
      </c>
      <c r="G1675" s="59" t="s">
        <v>142</v>
      </c>
      <c r="H1675" s="126">
        <v>0.58333333333333337</v>
      </c>
      <c r="I1675" s="126">
        <v>0.66666666666666663</v>
      </c>
      <c r="J1675" s="63">
        <v>8.3333333333333259E-2</v>
      </c>
      <c r="K1675" s="61" t="s">
        <v>365</v>
      </c>
      <c r="L1675" s="134">
        <v>1.9999999999999982</v>
      </c>
      <c r="O1675" s="81" t="s">
        <v>360</v>
      </c>
      <c r="P1675" s="88">
        <v>5</v>
      </c>
      <c r="Z1675" s="100"/>
    </row>
    <row r="1676" spans="1:26" x14ac:dyDescent="0.25">
      <c r="A1676" s="99">
        <v>45839</v>
      </c>
      <c r="B1676" s="74">
        <v>45859</v>
      </c>
      <c r="C1676" s="61" t="s">
        <v>45</v>
      </c>
      <c r="D1676" s="60" t="s">
        <v>98</v>
      </c>
      <c r="E1676" s="62" t="s">
        <v>612</v>
      </c>
      <c r="F1676" s="73" t="s">
        <v>1657</v>
      </c>
      <c r="G1676" s="59" t="s">
        <v>142</v>
      </c>
      <c r="H1676" s="126">
        <v>0.41666666666666669</v>
      </c>
      <c r="I1676" s="126">
        <v>0.45833333333333331</v>
      </c>
      <c r="J1676" s="63">
        <v>4.166666666666663E-2</v>
      </c>
      <c r="K1676" s="61" t="s">
        <v>365</v>
      </c>
      <c r="L1676" s="134">
        <v>0.99999999999999911</v>
      </c>
      <c r="O1676" s="81" t="s">
        <v>363</v>
      </c>
      <c r="P1676" s="88">
        <v>5</v>
      </c>
      <c r="Z1676" s="100"/>
    </row>
    <row r="1677" spans="1:26" x14ac:dyDescent="0.25">
      <c r="A1677" s="99">
        <v>45839</v>
      </c>
      <c r="B1677" s="74">
        <v>45859</v>
      </c>
      <c r="C1677" s="61" t="s">
        <v>45</v>
      </c>
      <c r="D1677" s="60" t="s">
        <v>98</v>
      </c>
      <c r="E1677" s="62" t="s">
        <v>1369</v>
      </c>
      <c r="F1677" s="73" t="s">
        <v>1649</v>
      </c>
      <c r="G1677" s="59" t="s">
        <v>142</v>
      </c>
      <c r="H1677" s="126">
        <v>0.54166666666666663</v>
      </c>
      <c r="I1677" s="126">
        <v>0.625</v>
      </c>
      <c r="J1677" s="63">
        <v>8.333333333333337E-2</v>
      </c>
      <c r="K1677" s="61" t="s">
        <v>110</v>
      </c>
      <c r="L1677" s="134">
        <v>2.0000000000000009</v>
      </c>
      <c r="O1677" s="81" t="s">
        <v>363</v>
      </c>
      <c r="P1677" s="88">
        <v>5</v>
      </c>
      <c r="Z1677" s="100"/>
    </row>
    <row r="1678" spans="1:26" x14ac:dyDescent="0.25">
      <c r="A1678" s="99">
        <v>45839</v>
      </c>
      <c r="B1678" s="74">
        <v>45859</v>
      </c>
      <c r="C1678" s="61" t="s">
        <v>45</v>
      </c>
      <c r="D1678" s="60" t="s">
        <v>325</v>
      </c>
      <c r="E1678" s="62" t="s">
        <v>370</v>
      </c>
      <c r="F1678" s="73" t="s">
        <v>1641</v>
      </c>
      <c r="G1678" s="59" t="s">
        <v>142</v>
      </c>
      <c r="H1678" s="126">
        <v>0.41666666666666669</v>
      </c>
      <c r="I1678" s="126">
        <v>0.70833333333333337</v>
      </c>
      <c r="J1678" s="63">
        <v>0.29166666666666669</v>
      </c>
      <c r="K1678" s="61" t="s">
        <v>113</v>
      </c>
      <c r="L1678" s="134">
        <v>7</v>
      </c>
      <c r="O1678" s="81" t="s">
        <v>539</v>
      </c>
      <c r="P1678" s="88">
        <v>4</v>
      </c>
      <c r="Q1678" s="61" t="s">
        <v>1658</v>
      </c>
      <c r="Z1678" s="100"/>
    </row>
    <row r="1679" spans="1:26" x14ac:dyDescent="0.25">
      <c r="A1679" s="99">
        <v>45839</v>
      </c>
      <c r="B1679" s="74">
        <v>45859</v>
      </c>
      <c r="C1679" s="61" t="s">
        <v>45</v>
      </c>
      <c r="D1679" s="60" t="s">
        <v>406</v>
      </c>
      <c r="E1679" s="62" t="s">
        <v>1052</v>
      </c>
      <c r="F1679" s="73" t="s">
        <v>1650</v>
      </c>
      <c r="G1679" s="59" t="s">
        <v>142</v>
      </c>
      <c r="H1679" s="126">
        <v>0.5</v>
      </c>
      <c r="I1679" s="126">
        <v>0.70833333333333337</v>
      </c>
      <c r="J1679" s="63">
        <v>0.20833333333333337</v>
      </c>
      <c r="K1679" s="61" t="s">
        <v>113</v>
      </c>
      <c r="L1679" s="134">
        <v>5.0000000000000009</v>
      </c>
      <c r="O1679" s="81" t="s">
        <v>539</v>
      </c>
      <c r="P1679" s="88">
        <v>4</v>
      </c>
      <c r="Q1679" s="61" t="s">
        <v>1658</v>
      </c>
      <c r="Z1679" s="100"/>
    </row>
    <row r="1680" spans="1:26" x14ac:dyDescent="0.25">
      <c r="A1680" s="99">
        <v>45839</v>
      </c>
      <c r="B1680" s="74">
        <v>45859</v>
      </c>
      <c r="C1680" s="61" t="s">
        <v>45</v>
      </c>
      <c r="D1680" s="60" t="s">
        <v>98</v>
      </c>
      <c r="E1680" s="62" t="s">
        <v>1369</v>
      </c>
      <c r="F1680" s="73" t="s">
        <v>1649</v>
      </c>
      <c r="G1680" s="59" t="s">
        <v>142</v>
      </c>
      <c r="H1680" s="126">
        <v>0.5</v>
      </c>
      <c r="I1680" s="126">
        <v>0.70833333333333337</v>
      </c>
      <c r="J1680" s="63">
        <v>0.20833333333333337</v>
      </c>
      <c r="K1680" s="61" t="s">
        <v>113</v>
      </c>
      <c r="L1680" s="134">
        <v>5.0000000000000009</v>
      </c>
      <c r="O1680" s="81" t="s">
        <v>539</v>
      </c>
      <c r="P1680" s="88">
        <v>4</v>
      </c>
      <c r="Q1680" s="61" t="s">
        <v>1658</v>
      </c>
      <c r="Z1680" s="100"/>
    </row>
    <row r="1681" spans="1:26" x14ac:dyDescent="0.25">
      <c r="A1681" s="99">
        <v>45839</v>
      </c>
      <c r="B1681" s="74">
        <v>45859</v>
      </c>
      <c r="C1681" s="61" t="s">
        <v>45</v>
      </c>
      <c r="D1681" s="60" t="s">
        <v>98</v>
      </c>
      <c r="E1681" s="62" t="s">
        <v>1369</v>
      </c>
      <c r="F1681" s="73" t="s">
        <v>1649</v>
      </c>
      <c r="G1681" s="59" t="s">
        <v>142</v>
      </c>
      <c r="H1681" s="126">
        <v>0.5</v>
      </c>
      <c r="I1681" s="126">
        <v>0.58333333333333337</v>
      </c>
      <c r="J1681" s="63">
        <v>8.333333333333337E-2</v>
      </c>
      <c r="K1681" s="61" t="s">
        <v>110</v>
      </c>
      <c r="L1681" s="134">
        <v>2.0000000000000009</v>
      </c>
      <c r="O1681" s="81" t="s">
        <v>363</v>
      </c>
      <c r="P1681" s="88">
        <v>5</v>
      </c>
      <c r="Z1681" s="100"/>
    </row>
    <row r="1682" spans="1:26" x14ac:dyDescent="0.25">
      <c r="A1682" s="99">
        <v>45839</v>
      </c>
      <c r="B1682" s="74">
        <v>45860</v>
      </c>
      <c r="C1682" s="61" t="s">
        <v>106</v>
      </c>
      <c r="D1682" s="60" t="s">
        <v>98</v>
      </c>
      <c r="E1682" s="62" t="s">
        <v>1659</v>
      </c>
      <c r="F1682" s="73" t="s">
        <v>1660</v>
      </c>
      <c r="G1682" s="59" t="s">
        <v>142</v>
      </c>
      <c r="H1682" s="126">
        <v>0.70833333333333337</v>
      </c>
      <c r="I1682" s="126">
        <v>0.75</v>
      </c>
      <c r="J1682" s="63">
        <v>4.166666666666663E-2</v>
      </c>
      <c r="K1682" s="61" t="s">
        <v>296</v>
      </c>
      <c r="L1682" s="134">
        <v>0.99999999999999911</v>
      </c>
      <c r="O1682" s="81" t="s">
        <v>304</v>
      </c>
      <c r="P1682" s="88">
        <v>5</v>
      </c>
      <c r="Z1682" s="100"/>
    </row>
    <row r="1683" spans="1:26" x14ac:dyDescent="0.25">
      <c r="A1683" s="99">
        <v>45839</v>
      </c>
      <c r="B1683" s="74">
        <v>45860</v>
      </c>
      <c r="C1683" s="61" t="s">
        <v>106</v>
      </c>
      <c r="D1683" s="60" t="s">
        <v>32</v>
      </c>
      <c r="E1683" s="62" t="s">
        <v>1554</v>
      </c>
      <c r="F1683" s="73" t="s">
        <v>400</v>
      </c>
      <c r="G1683" s="59" t="s">
        <v>142</v>
      </c>
      <c r="H1683" s="126">
        <v>0.5</v>
      </c>
      <c r="I1683" s="126">
        <v>0.54166666666666663</v>
      </c>
      <c r="J1683" s="63">
        <v>4.166666666666663E-2</v>
      </c>
      <c r="K1683" s="61" t="s">
        <v>110</v>
      </c>
      <c r="L1683" s="134">
        <v>0.99999999999999911</v>
      </c>
      <c r="O1683" s="81" t="s">
        <v>363</v>
      </c>
      <c r="P1683" s="88">
        <v>5</v>
      </c>
      <c r="Z1683" s="100"/>
    </row>
    <row r="1684" spans="1:26" x14ac:dyDescent="0.25">
      <c r="A1684" s="99">
        <v>45839</v>
      </c>
      <c r="B1684" s="74">
        <v>45860</v>
      </c>
      <c r="C1684" s="61" t="s">
        <v>106</v>
      </c>
      <c r="D1684" s="60" t="s">
        <v>98</v>
      </c>
      <c r="E1684" s="62" t="s">
        <v>1369</v>
      </c>
      <c r="F1684" s="73" t="s">
        <v>1649</v>
      </c>
      <c r="G1684" s="59" t="s">
        <v>142</v>
      </c>
      <c r="H1684" s="126">
        <v>0.54166666666666663</v>
      </c>
      <c r="I1684" s="126">
        <v>0.58333333333333337</v>
      </c>
      <c r="J1684" s="63">
        <v>4.1666666666666741E-2</v>
      </c>
      <c r="K1684" s="61" t="s">
        <v>110</v>
      </c>
      <c r="L1684" s="134">
        <v>1.0000000000000018</v>
      </c>
      <c r="O1684" s="81" t="s">
        <v>363</v>
      </c>
      <c r="P1684" s="88">
        <v>5</v>
      </c>
      <c r="Z1684" s="100"/>
    </row>
    <row r="1685" spans="1:26" x14ac:dyDescent="0.25">
      <c r="A1685" s="99">
        <v>45839</v>
      </c>
      <c r="B1685" s="74">
        <v>45860</v>
      </c>
      <c r="C1685" s="61" t="s">
        <v>106</v>
      </c>
      <c r="D1685" s="60" t="s">
        <v>310</v>
      </c>
      <c r="E1685" s="62" t="s">
        <v>1661</v>
      </c>
      <c r="F1685" s="73" t="s">
        <v>1662</v>
      </c>
      <c r="G1685" s="59" t="s">
        <v>142</v>
      </c>
      <c r="H1685" s="126">
        <v>0.5</v>
      </c>
      <c r="I1685" s="126">
        <v>0.66666666666666663</v>
      </c>
      <c r="J1685" s="63">
        <v>0.16666666666666663</v>
      </c>
      <c r="K1685" s="61" t="s">
        <v>110</v>
      </c>
      <c r="L1685" s="134">
        <v>3.9999999999999991</v>
      </c>
      <c r="O1685" s="81" t="s">
        <v>363</v>
      </c>
      <c r="P1685" s="88">
        <v>4</v>
      </c>
      <c r="Q1685" s="61" t="s">
        <v>1658</v>
      </c>
      <c r="Z1685" s="100"/>
    </row>
    <row r="1686" spans="1:26" x14ac:dyDescent="0.25">
      <c r="A1686" s="99">
        <v>45839</v>
      </c>
      <c r="B1686" s="74">
        <v>45860</v>
      </c>
      <c r="C1686" s="61" t="s">
        <v>106</v>
      </c>
      <c r="D1686" s="60" t="s">
        <v>98</v>
      </c>
      <c r="E1686" s="62" t="s">
        <v>1663</v>
      </c>
      <c r="F1686" s="73" t="s">
        <v>1664</v>
      </c>
      <c r="G1686" s="59" t="s">
        <v>142</v>
      </c>
      <c r="H1686" s="126">
        <v>0.47916666666666669</v>
      </c>
      <c r="I1686" s="126">
        <v>0.58333333333333337</v>
      </c>
      <c r="J1686" s="63">
        <v>0.10416666666666669</v>
      </c>
      <c r="K1686" s="61" t="s">
        <v>365</v>
      </c>
      <c r="L1686" s="134">
        <v>2.5000000000000004</v>
      </c>
      <c r="O1686" s="81" t="s">
        <v>359</v>
      </c>
      <c r="P1686" s="88">
        <v>4</v>
      </c>
      <c r="Q1686" s="61" t="s">
        <v>1658</v>
      </c>
      <c r="Z1686" s="100"/>
    </row>
    <row r="1687" spans="1:26" x14ac:dyDescent="0.25">
      <c r="A1687" s="99">
        <v>45839</v>
      </c>
      <c r="B1687" s="74">
        <v>45861</v>
      </c>
      <c r="C1687" s="61" t="s">
        <v>106</v>
      </c>
      <c r="D1687" s="60" t="s">
        <v>1654</v>
      </c>
      <c r="E1687" s="62" t="s">
        <v>1665</v>
      </c>
      <c r="F1687" s="73" t="s">
        <v>1666</v>
      </c>
      <c r="G1687" s="59" t="s">
        <v>142</v>
      </c>
      <c r="H1687" s="126">
        <v>0.45833333333333331</v>
      </c>
      <c r="I1687" s="126">
        <v>0.72916666666666663</v>
      </c>
      <c r="J1687" s="63">
        <v>0.27083333333333331</v>
      </c>
      <c r="K1687" s="61" t="s">
        <v>365</v>
      </c>
      <c r="L1687" s="134">
        <v>6.5</v>
      </c>
      <c r="O1687" s="81" t="s">
        <v>820</v>
      </c>
      <c r="P1687" s="88">
        <v>5</v>
      </c>
      <c r="Z1687" s="100"/>
    </row>
    <row r="1688" spans="1:26" x14ac:dyDescent="0.25">
      <c r="A1688" s="99">
        <v>45839</v>
      </c>
      <c r="B1688" s="74">
        <v>45861</v>
      </c>
      <c r="C1688" s="61" t="s">
        <v>398</v>
      </c>
      <c r="D1688" s="60" t="s">
        <v>406</v>
      </c>
      <c r="E1688" s="62" t="s">
        <v>1052</v>
      </c>
      <c r="F1688" s="73" t="s">
        <v>1650</v>
      </c>
      <c r="G1688" s="59" t="s">
        <v>142</v>
      </c>
      <c r="H1688" s="126">
        <v>0.58333333333333337</v>
      </c>
      <c r="I1688" s="126">
        <v>0.70833333333333337</v>
      </c>
      <c r="J1688" s="63">
        <v>0.125</v>
      </c>
      <c r="K1688" s="61" t="s">
        <v>113</v>
      </c>
      <c r="L1688" s="134">
        <v>3</v>
      </c>
      <c r="O1688" s="81" t="s">
        <v>539</v>
      </c>
      <c r="P1688" s="88">
        <v>5</v>
      </c>
      <c r="Z1688" s="100"/>
    </row>
    <row r="1689" spans="1:26" x14ac:dyDescent="0.25">
      <c r="A1689" s="99">
        <v>45839</v>
      </c>
      <c r="B1689" s="74">
        <v>45861</v>
      </c>
      <c r="C1689" s="61" t="s">
        <v>398</v>
      </c>
      <c r="D1689" s="60" t="s">
        <v>1654</v>
      </c>
      <c r="E1689" s="62" t="s">
        <v>1665</v>
      </c>
      <c r="F1689" s="73" t="s">
        <v>1666</v>
      </c>
      <c r="G1689" s="59" t="s">
        <v>142</v>
      </c>
      <c r="H1689" s="126">
        <v>0.4375</v>
      </c>
      <c r="I1689" s="126">
        <v>0.72916666666666663</v>
      </c>
      <c r="J1689" s="63">
        <v>0.29166666666666663</v>
      </c>
      <c r="K1689" s="61" t="s">
        <v>365</v>
      </c>
      <c r="L1689" s="134">
        <v>6.9999999999999991</v>
      </c>
      <c r="O1689" s="81" t="s">
        <v>820</v>
      </c>
      <c r="P1689" s="88">
        <v>5</v>
      </c>
      <c r="Z1689" s="100"/>
    </row>
    <row r="1690" spans="1:26" x14ac:dyDescent="0.25">
      <c r="A1690" s="99">
        <v>45839</v>
      </c>
      <c r="B1690" s="74">
        <v>45860</v>
      </c>
      <c r="C1690" s="61" t="s">
        <v>106</v>
      </c>
      <c r="D1690" s="60" t="s">
        <v>98</v>
      </c>
      <c r="E1690" s="62" t="s">
        <v>1659</v>
      </c>
      <c r="F1690" s="73" t="s">
        <v>1660</v>
      </c>
      <c r="G1690" s="59" t="s">
        <v>142</v>
      </c>
      <c r="H1690" s="126">
        <v>0.70833333333333337</v>
      </c>
      <c r="I1690" s="126">
        <v>0.75</v>
      </c>
      <c r="J1690" s="63">
        <v>4.166666666666663E-2</v>
      </c>
      <c r="K1690" s="61" t="s">
        <v>296</v>
      </c>
      <c r="L1690" s="134">
        <v>0.99999999999999911</v>
      </c>
      <c r="O1690" s="81" t="s">
        <v>304</v>
      </c>
      <c r="P1690" s="88">
        <v>5</v>
      </c>
      <c r="Z1690" s="100"/>
    </row>
    <row r="1691" spans="1:26" x14ac:dyDescent="0.25">
      <c r="A1691" s="99">
        <v>45839</v>
      </c>
      <c r="B1691" s="74">
        <v>45861</v>
      </c>
      <c r="C1691" s="61" t="s">
        <v>398</v>
      </c>
      <c r="D1691" s="60" t="s">
        <v>126</v>
      </c>
      <c r="E1691" s="62" t="s">
        <v>1667</v>
      </c>
      <c r="F1691" s="73" t="s">
        <v>1631</v>
      </c>
      <c r="G1691" s="59" t="s">
        <v>142</v>
      </c>
      <c r="H1691" s="126">
        <v>0.45833333333333331</v>
      </c>
      <c r="I1691" s="126">
        <v>0.5</v>
      </c>
      <c r="J1691" s="63">
        <v>4.1666666666666685E-2</v>
      </c>
      <c r="K1691" s="61" t="s">
        <v>296</v>
      </c>
      <c r="L1691" s="134">
        <v>1.0000000000000004</v>
      </c>
      <c r="O1691" s="81" t="s">
        <v>304</v>
      </c>
      <c r="P1691" s="88">
        <v>5</v>
      </c>
      <c r="Z1691" s="100"/>
    </row>
    <row r="1692" spans="1:26" x14ac:dyDescent="0.25">
      <c r="A1692" s="99">
        <v>45839</v>
      </c>
      <c r="B1692" s="74">
        <v>45861</v>
      </c>
      <c r="C1692" s="61" t="s">
        <v>398</v>
      </c>
      <c r="D1692" s="60" t="s">
        <v>32</v>
      </c>
      <c r="E1692" s="62" t="s">
        <v>1668</v>
      </c>
      <c r="F1692" s="73" t="s">
        <v>1669</v>
      </c>
      <c r="G1692" s="59" t="s">
        <v>142</v>
      </c>
      <c r="H1692" s="126">
        <v>0.45833333333333331</v>
      </c>
      <c r="I1692" s="126">
        <v>0.625</v>
      </c>
      <c r="J1692" s="63">
        <v>0.16666666666666669</v>
      </c>
      <c r="K1692" s="61" t="s">
        <v>110</v>
      </c>
      <c r="L1692" s="134">
        <v>4</v>
      </c>
      <c r="O1692" s="81" t="s">
        <v>363</v>
      </c>
      <c r="P1692" s="88">
        <v>4</v>
      </c>
      <c r="Q1692" s="61" t="s">
        <v>472</v>
      </c>
      <c r="Z1692" s="100"/>
    </row>
    <row r="1693" spans="1:26" x14ac:dyDescent="0.25">
      <c r="A1693" s="99">
        <v>45839</v>
      </c>
      <c r="B1693" s="74">
        <v>45861</v>
      </c>
      <c r="C1693" s="61" t="s">
        <v>398</v>
      </c>
      <c r="D1693" s="60" t="s">
        <v>98</v>
      </c>
      <c r="E1693" s="62" t="s">
        <v>1663</v>
      </c>
      <c r="F1693" s="73" t="s">
        <v>1670</v>
      </c>
      <c r="G1693" s="59" t="s">
        <v>142</v>
      </c>
      <c r="H1693" s="126">
        <v>0.5</v>
      </c>
      <c r="I1693" s="126">
        <v>0.625</v>
      </c>
      <c r="J1693" s="63">
        <v>0.125</v>
      </c>
      <c r="K1693" s="61" t="s">
        <v>110</v>
      </c>
      <c r="L1693" s="134">
        <v>3</v>
      </c>
      <c r="O1693" s="81" t="s">
        <v>363</v>
      </c>
      <c r="P1693" s="88">
        <v>5</v>
      </c>
      <c r="Z1693" s="100"/>
    </row>
    <row r="1694" spans="1:26" x14ac:dyDescent="0.25">
      <c r="A1694" s="99">
        <v>45839</v>
      </c>
      <c r="B1694" s="74">
        <v>45861</v>
      </c>
      <c r="C1694" s="61" t="s">
        <v>398</v>
      </c>
      <c r="D1694" s="60" t="s">
        <v>740</v>
      </c>
      <c r="E1694" s="62" t="s">
        <v>409</v>
      </c>
      <c r="F1694" s="73" t="s">
        <v>1671</v>
      </c>
      <c r="G1694" s="59" t="s">
        <v>142</v>
      </c>
      <c r="H1694" s="126">
        <v>0.625</v>
      </c>
      <c r="I1694" s="126">
        <v>0.66666666666666663</v>
      </c>
      <c r="J1694" s="63">
        <v>4.166666666666663E-2</v>
      </c>
      <c r="K1694" s="61" t="s">
        <v>110</v>
      </c>
      <c r="L1694" s="134">
        <v>0.99999999999999911</v>
      </c>
      <c r="O1694" s="81" t="s">
        <v>363</v>
      </c>
      <c r="P1694" s="88">
        <v>5</v>
      </c>
      <c r="Z1694" s="100"/>
    </row>
    <row r="1695" spans="1:26" x14ac:dyDescent="0.25">
      <c r="A1695" s="99">
        <v>45839</v>
      </c>
      <c r="B1695" s="74">
        <v>45862</v>
      </c>
      <c r="C1695" s="61" t="s">
        <v>124</v>
      </c>
      <c r="D1695" s="60" t="s">
        <v>1654</v>
      </c>
      <c r="E1695" s="62" t="s">
        <v>1665</v>
      </c>
      <c r="F1695" s="73" t="s">
        <v>1672</v>
      </c>
      <c r="G1695" s="59" t="s">
        <v>142</v>
      </c>
      <c r="H1695" s="126">
        <v>0.4375</v>
      </c>
      <c r="I1695" s="126">
        <v>0.72916666666666663</v>
      </c>
      <c r="J1695" s="63">
        <v>0.29166666666666663</v>
      </c>
      <c r="K1695" s="61" t="s">
        <v>365</v>
      </c>
      <c r="L1695" s="134">
        <v>6.9999999999999991</v>
      </c>
      <c r="O1695" s="81" t="s">
        <v>314</v>
      </c>
      <c r="P1695" s="88">
        <v>5</v>
      </c>
      <c r="Z1695" s="100"/>
    </row>
    <row r="1696" spans="1:26" x14ac:dyDescent="0.25">
      <c r="A1696" s="99">
        <v>45839</v>
      </c>
      <c r="B1696" s="74">
        <v>45865</v>
      </c>
      <c r="C1696" s="61" t="s">
        <v>31</v>
      </c>
      <c r="D1696" s="60" t="s">
        <v>98</v>
      </c>
      <c r="E1696" s="62" t="s">
        <v>1369</v>
      </c>
      <c r="F1696" s="73" t="s">
        <v>1649</v>
      </c>
      <c r="G1696" s="59" t="s">
        <v>142</v>
      </c>
      <c r="H1696" s="126">
        <v>0.41666666666666669</v>
      </c>
      <c r="I1696" s="126">
        <v>0.58333333333333337</v>
      </c>
      <c r="J1696" s="63">
        <v>0.16666666666666669</v>
      </c>
      <c r="K1696" s="61" t="s">
        <v>110</v>
      </c>
      <c r="L1696" s="134">
        <v>4</v>
      </c>
      <c r="O1696" s="81" t="s">
        <v>363</v>
      </c>
      <c r="P1696" s="88">
        <v>5</v>
      </c>
      <c r="Z1696" s="100"/>
    </row>
    <row r="1697" spans="1:26" x14ac:dyDescent="0.25">
      <c r="A1697" s="99">
        <v>45839</v>
      </c>
      <c r="B1697" s="74">
        <v>45865</v>
      </c>
      <c r="C1697" s="61" t="s">
        <v>31</v>
      </c>
      <c r="D1697" s="60" t="s">
        <v>98</v>
      </c>
      <c r="E1697" s="62" t="s">
        <v>727</v>
      </c>
      <c r="F1697" s="73" t="s">
        <v>1323</v>
      </c>
      <c r="G1697" s="59" t="s">
        <v>142</v>
      </c>
      <c r="H1697" s="126">
        <v>0.45833333333333331</v>
      </c>
      <c r="I1697" s="126">
        <v>0.58333333333333337</v>
      </c>
      <c r="J1697" s="63">
        <v>0.12500000000000006</v>
      </c>
      <c r="K1697" s="61" t="s">
        <v>110</v>
      </c>
      <c r="L1697" s="134">
        <v>3.0000000000000013</v>
      </c>
      <c r="O1697" s="81" t="s">
        <v>363</v>
      </c>
      <c r="P1697" s="88">
        <v>5</v>
      </c>
      <c r="Z1697" s="100"/>
    </row>
    <row r="1698" spans="1:26" x14ac:dyDescent="0.25">
      <c r="A1698" s="99">
        <v>45839</v>
      </c>
      <c r="B1698" s="74">
        <v>45865</v>
      </c>
      <c r="C1698" s="61" t="s">
        <v>31</v>
      </c>
      <c r="D1698" s="60" t="s">
        <v>1654</v>
      </c>
      <c r="E1698" s="62" t="s">
        <v>1665</v>
      </c>
      <c r="F1698" s="73" t="s">
        <v>1672</v>
      </c>
      <c r="G1698" s="59" t="s">
        <v>142</v>
      </c>
      <c r="H1698" s="126">
        <v>0.4375</v>
      </c>
      <c r="I1698" s="126">
        <v>0.6875</v>
      </c>
      <c r="J1698" s="63">
        <v>0.25</v>
      </c>
      <c r="K1698" s="61" t="s">
        <v>365</v>
      </c>
      <c r="L1698" s="134">
        <v>6</v>
      </c>
      <c r="O1698" s="81" t="s">
        <v>820</v>
      </c>
      <c r="P1698" s="88">
        <v>5</v>
      </c>
      <c r="Z1698" s="100"/>
    </row>
    <row r="1699" spans="1:26" x14ac:dyDescent="0.25">
      <c r="A1699" s="99">
        <v>45839</v>
      </c>
      <c r="B1699" s="74">
        <v>45866</v>
      </c>
      <c r="C1699" s="61" t="s">
        <v>45</v>
      </c>
      <c r="D1699" s="60" t="s">
        <v>126</v>
      </c>
      <c r="E1699" s="62" t="s">
        <v>1544</v>
      </c>
      <c r="F1699" s="73" t="s">
        <v>1631</v>
      </c>
      <c r="G1699" s="59" t="s">
        <v>142</v>
      </c>
      <c r="H1699" s="126">
        <v>0.5</v>
      </c>
      <c r="I1699" s="126">
        <v>0.58333333333333337</v>
      </c>
      <c r="J1699" s="63">
        <v>8.333333333333337E-2</v>
      </c>
      <c r="K1699" s="61" t="s">
        <v>365</v>
      </c>
      <c r="L1699" s="134">
        <v>2.0000000000000009</v>
      </c>
      <c r="O1699" s="81" t="s">
        <v>361</v>
      </c>
      <c r="P1699" s="88">
        <v>5</v>
      </c>
      <c r="Z1699" s="100"/>
    </row>
    <row r="1700" spans="1:26" x14ac:dyDescent="0.25">
      <c r="A1700" s="99">
        <v>45839</v>
      </c>
      <c r="B1700" s="74">
        <v>45866</v>
      </c>
      <c r="C1700" s="61" t="s">
        <v>45</v>
      </c>
      <c r="D1700" s="60" t="s">
        <v>1654</v>
      </c>
      <c r="E1700" s="62" t="s">
        <v>1665</v>
      </c>
      <c r="F1700" s="73" t="s">
        <v>1666</v>
      </c>
      <c r="G1700" s="59" t="s">
        <v>142</v>
      </c>
      <c r="H1700" s="126">
        <v>0.4375</v>
      </c>
      <c r="I1700" s="126">
        <v>0.70833333333333337</v>
      </c>
      <c r="J1700" s="63">
        <v>0.27083333333333337</v>
      </c>
      <c r="K1700" s="61" t="s">
        <v>365</v>
      </c>
      <c r="L1700" s="134">
        <v>6.5000000000000009</v>
      </c>
      <c r="O1700" s="81" t="s">
        <v>820</v>
      </c>
      <c r="P1700" s="88">
        <v>5</v>
      </c>
      <c r="Z1700" s="100"/>
    </row>
    <row r="1701" spans="1:26" x14ac:dyDescent="0.25">
      <c r="A1701" s="99">
        <v>45839</v>
      </c>
      <c r="B1701" s="74">
        <v>45866</v>
      </c>
      <c r="C1701" s="61" t="s">
        <v>45</v>
      </c>
      <c r="D1701" s="60" t="s">
        <v>406</v>
      </c>
      <c r="E1701" s="62" t="s">
        <v>1052</v>
      </c>
      <c r="F1701" s="73" t="s">
        <v>1650</v>
      </c>
      <c r="G1701" s="59" t="s">
        <v>142</v>
      </c>
      <c r="H1701" s="126">
        <v>0.58333333333333337</v>
      </c>
      <c r="I1701" s="126">
        <v>0.70833333333333337</v>
      </c>
      <c r="J1701" s="63">
        <v>0.125</v>
      </c>
      <c r="K1701" s="61" t="s">
        <v>113</v>
      </c>
      <c r="L1701" s="134">
        <v>3</v>
      </c>
      <c r="O1701" s="81" t="s">
        <v>539</v>
      </c>
      <c r="P1701" s="88">
        <v>5</v>
      </c>
      <c r="Z1701" s="100"/>
    </row>
    <row r="1702" spans="1:26" x14ac:dyDescent="0.25">
      <c r="A1702" s="99">
        <v>45839</v>
      </c>
      <c r="B1702" s="74">
        <v>45866</v>
      </c>
      <c r="C1702" s="61" t="s">
        <v>45</v>
      </c>
      <c r="D1702" s="60" t="s">
        <v>126</v>
      </c>
      <c r="E1702" s="62" t="s">
        <v>1673</v>
      </c>
      <c r="F1702" s="73" t="s">
        <v>1631</v>
      </c>
      <c r="G1702" s="59" t="s">
        <v>142</v>
      </c>
      <c r="H1702" s="126">
        <v>0.58333333333333337</v>
      </c>
      <c r="I1702" s="126">
        <v>0.70833333333333337</v>
      </c>
      <c r="J1702" s="63">
        <v>0.125</v>
      </c>
      <c r="K1702" s="61" t="s">
        <v>113</v>
      </c>
      <c r="L1702" s="134">
        <v>3</v>
      </c>
      <c r="O1702" s="81" t="s">
        <v>539</v>
      </c>
      <c r="P1702" s="88">
        <v>5</v>
      </c>
      <c r="Z1702" s="100"/>
    </row>
    <row r="1703" spans="1:26" x14ac:dyDescent="0.25">
      <c r="A1703" s="99">
        <v>45839</v>
      </c>
      <c r="B1703" s="74">
        <v>45866</v>
      </c>
      <c r="C1703" s="61" t="s">
        <v>45</v>
      </c>
      <c r="D1703" s="60" t="s">
        <v>98</v>
      </c>
      <c r="E1703" s="62" t="s">
        <v>1369</v>
      </c>
      <c r="F1703" s="73" t="s">
        <v>1649</v>
      </c>
      <c r="G1703" s="59" t="s">
        <v>142</v>
      </c>
      <c r="H1703" s="126">
        <v>0.4375</v>
      </c>
      <c r="I1703" s="126">
        <v>0.58333333333333337</v>
      </c>
      <c r="J1703" s="63">
        <v>0.14583333333333337</v>
      </c>
      <c r="K1703" s="61" t="s">
        <v>365</v>
      </c>
      <c r="L1703" s="134">
        <v>3.5000000000000009</v>
      </c>
      <c r="O1703" s="81" t="s">
        <v>361</v>
      </c>
      <c r="P1703" s="88">
        <v>4</v>
      </c>
      <c r="Q1703" s="61" t="s">
        <v>334</v>
      </c>
      <c r="Z1703" s="100"/>
    </row>
    <row r="1704" spans="1:26" x14ac:dyDescent="0.25">
      <c r="A1704" s="99">
        <v>45839</v>
      </c>
      <c r="B1704" s="74">
        <v>45866</v>
      </c>
      <c r="C1704" s="61" t="s">
        <v>45</v>
      </c>
      <c r="D1704" s="60" t="s">
        <v>98</v>
      </c>
      <c r="E1704" s="62" t="s">
        <v>1369</v>
      </c>
      <c r="F1704" s="73" t="s">
        <v>1649</v>
      </c>
      <c r="G1704" s="59" t="s">
        <v>142</v>
      </c>
      <c r="H1704" s="126">
        <v>0.4375</v>
      </c>
      <c r="I1704" s="126">
        <v>0.58333333333333337</v>
      </c>
      <c r="J1704" s="63">
        <v>0.14583333333333337</v>
      </c>
      <c r="K1704" s="61" t="s">
        <v>110</v>
      </c>
      <c r="L1704" s="134">
        <v>3.5000000000000009</v>
      </c>
      <c r="O1704" s="81" t="s">
        <v>363</v>
      </c>
      <c r="P1704" s="88">
        <v>4</v>
      </c>
      <c r="Q1704" s="61" t="s">
        <v>334</v>
      </c>
      <c r="Z1704" s="100"/>
    </row>
    <row r="1705" spans="1:26" x14ac:dyDescent="0.25">
      <c r="A1705" s="99">
        <v>45839</v>
      </c>
      <c r="B1705" s="74">
        <v>45867</v>
      </c>
      <c r="C1705" s="61" t="s">
        <v>106</v>
      </c>
      <c r="D1705" s="60" t="s">
        <v>98</v>
      </c>
      <c r="E1705" s="62" t="s">
        <v>1369</v>
      </c>
      <c r="F1705" s="73" t="s">
        <v>1649</v>
      </c>
      <c r="G1705" s="59" t="s">
        <v>142</v>
      </c>
      <c r="H1705" s="126">
        <v>0.66666666666666663</v>
      </c>
      <c r="I1705" s="126">
        <v>0.70833333333333337</v>
      </c>
      <c r="J1705" s="63">
        <v>4.1666666666666741E-2</v>
      </c>
      <c r="K1705" s="61" t="s">
        <v>365</v>
      </c>
      <c r="L1705" s="134">
        <v>1.0000000000000018</v>
      </c>
      <c r="O1705" s="81" t="s">
        <v>576</v>
      </c>
      <c r="P1705" s="88">
        <v>5</v>
      </c>
      <c r="Z1705" s="100"/>
    </row>
    <row r="1706" spans="1:26" x14ac:dyDescent="0.25">
      <c r="A1706" s="99">
        <v>45839</v>
      </c>
      <c r="B1706" s="74">
        <v>45867</v>
      </c>
      <c r="C1706" s="61" t="s">
        <v>106</v>
      </c>
      <c r="D1706" s="60" t="s">
        <v>98</v>
      </c>
      <c r="E1706" s="62" t="s">
        <v>1674</v>
      </c>
      <c r="F1706" s="73" t="s">
        <v>1675</v>
      </c>
      <c r="G1706" s="59" t="s">
        <v>142</v>
      </c>
      <c r="H1706" s="126">
        <v>0.625</v>
      </c>
      <c r="I1706" s="126">
        <v>0.66666666666666663</v>
      </c>
      <c r="J1706" s="63">
        <v>4.166666666666663E-2</v>
      </c>
      <c r="K1706" s="61" t="s">
        <v>296</v>
      </c>
      <c r="L1706" s="134">
        <v>0.99999999999999911</v>
      </c>
      <c r="O1706" s="81" t="s">
        <v>304</v>
      </c>
      <c r="P1706" s="88">
        <v>5</v>
      </c>
      <c r="Z1706" s="100"/>
    </row>
    <row r="1707" spans="1:26" x14ac:dyDescent="0.25">
      <c r="A1707" s="99">
        <v>45839</v>
      </c>
      <c r="B1707" s="74">
        <v>45868</v>
      </c>
      <c r="C1707" s="61" t="s">
        <v>398</v>
      </c>
      <c r="D1707" s="60" t="s">
        <v>32</v>
      </c>
      <c r="E1707" s="62" t="s">
        <v>388</v>
      </c>
      <c r="F1707" s="73" t="s">
        <v>1676</v>
      </c>
      <c r="G1707" s="59" t="s">
        <v>142</v>
      </c>
      <c r="H1707" s="126">
        <v>0.45833333333333331</v>
      </c>
      <c r="I1707" s="126">
        <v>0.72916666666666663</v>
      </c>
      <c r="J1707" s="63">
        <v>0.27083333333333331</v>
      </c>
      <c r="K1707" s="61" t="s">
        <v>365</v>
      </c>
      <c r="L1707" s="134">
        <v>6.5</v>
      </c>
      <c r="O1707" s="81" t="s">
        <v>820</v>
      </c>
      <c r="P1707" s="88">
        <v>5</v>
      </c>
      <c r="Z1707" s="100"/>
    </row>
    <row r="1708" spans="1:26" x14ac:dyDescent="0.25">
      <c r="A1708" s="99">
        <v>45839</v>
      </c>
      <c r="B1708" s="74">
        <v>45868</v>
      </c>
      <c r="C1708" s="61" t="s">
        <v>398</v>
      </c>
      <c r="D1708" s="60" t="s">
        <v>98</v>
      </c>
      <c r="E1708" s="62" t="s">
        <v>612</v>
      </c>
      <c r="F1708" s="73" t="s">
        <v>1677</v>
      </c>
      <c r="G1708" s="59" t="s">
        <v>142</v>
      </c>
      <c r="H1708" s="126">
        <v>0.41666666666666669</v>
      </c>
      <c r="I1708" s="126">
        <v>0.45833333333333331</v>
      </c>
      <c r="J1708" s="63">
        <v>4.166666666666663E-2</v>
      </c>
      <c r="K1708" s="61" t="s">
        <v>365</v>
      </c>
      <c r="L1708" s="134">
        <v>0.99999999999999911</v>
      </c>
      <c r="O1708" s="81" t="s">
        <v>361</v>
      </c>
      <c r="P1708" s="88">
        <v>5</v>
      </c>
      <c r="Z1708" s="100"/>
    </row>
    <row r="1709" spans="1:26" x14ac:dyDescent="0.25">
      <c r="A1709" s="99">
        <v>45870</v>
      </c>
      <c r="B1709" s="74">
        <v>45870</v>
      </c>
      <c r="C1709" s="61" t="s">
        <v>33</v>
      </c>
      <c r="D1709" s="60" t="s">
        <v>658</v>
      </c>
      <c r="E1709" s="62" t="s">
        <v>1678</v>
      </c>
      <c r="F1709" s="73" t="s">
        <v>1679</v>
      </c>
      <c r="G1709" s="59" t="s">
        <v>142</v>
      </c>
      <c r="H1709" s="126">
        <v>0.60416666666666663</v>
      </c>
      <c r="I1709" s="126">
        <v>0.625</v>
      </c>
      <c r="J1709" s="127">
        <v>2.0833333333333402E-2</v>
      </c>
      <c r="K1709" s="61" t="s">
        <v>296</v>
      </c>
      <c r="L1709" s="134">
        <v>0.50000000000000089</v>
      </c>
      <c r="O1709" s="81" t="s">
        <v>304</v>
      </c>
      <c r="P1709" s="88">
        <v>3</v>
      </c>
      <c r="Q1709" s="61" t="s">
        <v>1658</v>
      </c>
      <c r="Z1709" s="100"/>
    </row>
    <row r="1710" spans="1:26" x14ac:dyDescent="0.25">
      <c r="A1710" s="99">
        <v>45870</v>
      </c>
      <c r="B1710" s="74">
        <v>45871</v>
      </c>
      <c r="C1710" s="61" t="s">
        <v>34</v>
      </c>
      <c r="D1710" s="60" t="s">
        <v>98</v>
      </c>
      <c r="E1710" s="62" t="s">
        <v>1680</v>
      </c>
      <c r="F1710" s="73" t="s">
        <v>182</v>
      </c>
      <c r="G1710" s="59" t="s">
        <v>142</v>
      </c>
      <c r="H1710" s="126">
        <v>0.41666666666666669</v>
      </c>
      <c r="I1710" s="126">
        <v>0.66666666666666663</v>
      </c>
      <c r="J1710" s="127">
        <v>0.24999999999999994</v>
      </c>
      <c r="K1710" s="61" t="s">
        <v>113</v>
      </c>
      <c r="L1710" s="134">
        <v>5.9999999999999982</v>
      </c>
      <c r="O1710" s="81" t="s">
        <v>363</v>
      </c>
      <c r="P1710" s="88">
        <v>5</v>
      </c>
      <c r="Z1710" s="100"/>
    </row>
    <row r="1711" spans="1:26" x14ac:dyDescent="0.25">
      <c r="A1711" s="99">
        <v>45870</v>
      </c>
      <c r="B1711" s="74">
        <v>45871</v>
      </c>
      <c r="C1711" s="61" t="s">
        <v>34</v>
      </c>
      <c r="D1711" s="60" t="s">
        <v>499</v>
      </c>
      <c r="E1711" s="62" t="s">
        <v>1681</v>
      </c>
      <c r="F1711" s="73" t="s">
        <v>1682</v>
      </c>
      <c r="G1711" s="59" t="s">
        <v>142</v>
      </c>
      <c r="H1711" s="126">
        <v>0.45833333333333331</v>
      </c>
      <c r="I1711" s="126">
        <v>0.625</v>
      </c>
      <c r="J1711" s="127">
        <v>0.16666666666666669</v>
      </c>
      <c r="K1711" s="61" t="s">
        <v>300</v>
      </c>
      <c r="L1711" s="134">
        <v>4</v>
      </c>
      <c r="O1711" s="81" t="s">
        <v>362</v>
      </c>
      <c r="P1711" s="88">
        <v>5</v>
      </c>
      <c r="Z1711" s="100"/>
    </row>
    <row r="1712" spans="1:26" x14ac:dyDescent="0.25">
      <c r="A1712" s="99">
        <v>45870</v>
      </c>
      <c r="B1712" s="74">
        <v>45871</v>
      </c>
      <c r="C1712" s="61" t="s">
        <v>34</v>
      </c>
      <c r="D1712" s="60" t="s">
        <v>1430</v>
      </c>
      <c r="E1712" s="62" t="s">
        <v>1683</v>
      </c>
      <c r="F1712" s="73" t="s">
        <v>837</v>
      </c>
      <c r="G1712" s="59" t="s">
        <v>142</v>
      </c>
      <c r="H1712" s="126">
        <v>0.625</v>
      </c>
      <c r="I1712" s="126">
        <v>0.95833333333333337</v>
      </c>
      <c r="J1712" s="127">
        <v>0.33333333333333337</v>
      </c>
      <c r="K1712" s="61" t="s">
        <v>300</v>
      </c>
      <c r="L1712" s="134">
        <v>8</v>
      </c>
      <c r="O1712" s="81" t="s">
        <v>362</v>
      </c>
      <c r="P1712" s="88">
        <v>5</v>
      </c>
      <c r="Z1712" s="100"/>
    </row>
    <row r="1713" spans="1:26" x14ac:dyDescent="0.25">
      <c r="A1713" s="99">
        <v>45870</v>
      </c>
      <c r="B1713" s="74">
        <v>45871</v>
      </c>
      <c r="C1713" s="61" t="s">
        <v>34</v>
      </c>
      <c r="D1713" s="60" t="s">
        <v>1326</v>
      </c>
      <c r="E1713" s="62" t="s">
        <v>1651</v>
      </c>
      <c r="F1713" s="73" t="s">
        <v>1582</v>
      </c>
      <c r="G1713" s="59" t="s">
        <v>142</v>
      </c>
      <c r="H1713" s="126">
        <v>0.45833333333333331</v>
      </c>
      <c r="I1713" s="126">
        <v>0.58333333333333337</v>
      </c>
      <c r="J1713" s="127">
        <v>0.12500000000000006</v>
      </c>
      <c r="K1713" s="61" t="s">
        <v>300</v>
      </c>
      <c r="L1713" s="134">
        <v>3.0000000000000013</v>
      </c>
      <c r="O1713" s="81" t="s">
        <v>362</v>
      </c>
      <c r="P1713" s="88">
        <v>5</v>
      </c>
      <c r="Z1713" s="100"/>
    </row>
    <row r="1714" spans="1:26" x14ac:dyDescent="0.25">
      <c r="A1714" s="99">
        <v>45870</v>
      </c>
      <c r="B1714" s="74">
        <v>45871</v>
      </c>
      <c r="C1714" s="61" t="s">
        <v>34</v>
      </c>
      <c r="D1714" s="60" t="s">
        <v>98</v>
      </c>
      <c r="E1714" s="62" t="s">
        <v>1684</v>
      </c>
      <c r="F1714" s="73" t="s">
        <v>400</v>
      </c>
      <c r="G1714" s="59" t="s">
        <v>142</v>
      </c>
      <c r="H1714" s="126">
        <v>0.41666666666666669</v>
      </c>
      <c r="I1714" s="126">
        <v>0.45833333333333331</v>
      </c>
      <c r="J1714" s="127">
        <v>4.166666666666663E-2</v>
      </c>
      <c r="K1714" s="61" t="s">
        <v>113</v>
      </c>
      <c r="L1714" s="134">
        <v>0.99999999999999911</v>
      </c>
      <c r="O1714" s="81" t="s">
        <v>363</v>
      </c>
      <c r="P1714" s="88">
        <v>5</v>
      </c>
      <c r="Z1714" s="100"/>
    </row>
    <row r="1715" spans="1:26" x14ac:dyDescent="0.25">
      <c r="A1715" s="99">
        <v>45870</v>
      </c>
      <c r="B1715" s="74">
        <v>45872</v>
      </c>
      <c r="C1715" s="61" t="s">
        <v>31</v>
      </c>
      <c r="D1715" s="60" t="s">
        <v>98</v>
      </c>
      <c r="E1715" s="62" t="s">
        <v>1369</v>
      </c>
      <c r="F1715" s="73" t="s">
        <v>1685</v>
      </c>
      <c r="G1715" s="59" t="s">
        <v>142</v>
      </c>
      <c r="H1715" s="126">
        <v>0.54166666666666663</v>
      </c>
      <c r="I1715" s="126">
        <v>0.70833333333333337</v>
      </c>
      <c r="J1715" s="127">
        <v>0.16666666666666674</v>
      </c>
      <c r="K1715" s="61" t="s">
        <v>365</v>
      </c>
      <c r="L1715" s="134">
        <v>4.0000000000000018</v>
      </c>
      <c r="O1715" s="81" t="s">
        <v>359</v>
      </c>
      <c r="P1715" s="88">
        <v>5</v>
      </c>
      <c r="Z1715" s="100"/>
    </row>
    <row r="1716" spans="1:26" x14ac:dyDescent="0.25">
      <c r="A1716" s="99">
        <v>45870</v>
      </c>
      <c r="B1716" s="74">
        <v>45872</v>
      </c>
      <c r="C1716" s="61" t="s">
        <v>31</v>
      </c>
      <c r="D1716" s="60" t="s">
        <v>406</v>
      </c>
      <c r="E1716" s="62" t="s">
        <v>1052</v>
      </c>
      <c r="F1716" s="73" t="s">
        <v>1686</v>
      </c>
      <c r="G1716" s="59" t="s">
        <v>142</v>
      </c>
      <c r="H1716" s="126">
        <v>0.58333333333333337</v>
      </c>
      <c r="I1716" s="126">
        <v>0.70833333333333337</v>
      </c>
      <c r="J1716" s="127">
        <v>0.125</v>
      </c>
      <c r="K1716" s="61" t="s">
        <v>113</v>
      </c>
      <c r="L1716" s="134">
        <v>3</v>
      </c>
      <c r="O1716" s="81" t="s">
        <v>539</v>
      </c>
      <c r="P1716" s="88">
        <v>5</v>
      </c>
      <c r="Z1716" s="100"/>
    </row>
    <row r="1717" spans="1:26" x14ac:dyDescent="0.25">
      <c r="A1717" s="99">
        <v>45870</v>
      </c>
      <c r="B1717" s="74">
        <v>45872</v>
      </c>
      <c r="C1717" s="61" t="s">
        <v>31</v>
      </c>
      <c r="D1717" s="60" t="s">
        <v>1654</v>
      </c>
      <c r="E1717" s="62" t="s">
        <v>1665</v>
      </c>
      <c r="F1717" s="73" t="s">
        <v>1687</v>
      </c>
      <c r="G1717" s="59" t="s">
        <v>142</v>
      </c>
      <c r="H1717" s="126">
        <v>0.52083333333333337</v>
      </c>
      <c r="I1717" s="126">
        <v>0.70833333333333337</v>
      </c>
      <c r="J1717" s="127">
        <v>0.1875</v>
      </c>
      <c r="K1717" s="61" t="s">
        <v>365</v>
      </c>
      <c r="L1717" s="134">
        <v>4.5</v>
      </c>
      <c r="O1717" s="81" t="s">
        <v>359</v>
      </c>
      <c r="P1717" s="88">
        <v>5</v>
      </c>
      <c r="Z1717" s="100"/>
    </row>
    <row r="1718" spans="1:26" x14ac:dyDescent="0.25">
      <c r="A1718" s="99">
        <v>45870</v>
      </c>
      <c r="B1718" s="74">
        <v>45872</v>
      </c>
      <c r="C1718" s="61" t="s">
        <v>31</v>
      </c>
      <c r="D1718" s="60" t="s">
        <v>1430</v>
      </c>
      <c r="E1718" s="62" t="s">
        <v>1683</v>
      </c>
      <c r="F1718" s="73" t="s">
        <v>837</v>
      </c>
      <c r="G1718" s="59" t="s">
        <v>142</v>
      </c>
      <c r="H1718" s="126">
        <v>0.41666666666666669</v>
      </c>
      <c r="I1718" s="126">
        <v>0.66666666666666663</v>
      </c>
      <c r="J1718" s="127">
        <v>0.24999999999999994</v>
      </c>
      <c r="K1718" s="61" t="s">
        <v>300</v>
      </c>
      <c r="L1718" s="134">
        <v>5.9999999999999982</v>
      </c>
      <c r="O1718" s="81" t="s">
        <v>362</v>
      </c>
      <c r="P1718" s="88">
        <v>5</v>
      </c>
      <c r="Z1718" s="100"/>
    </row>
    <row r="1719" spans="1:26" x14ac:dyDescent="0.25">
      <c r="A1719" s="99">
        <v>45870</v>
      </c>
      <c r="B1719" s="74">
        <v>45873</v>
      </c>
      <c r="C1719" s="61" t="s">
        <v>45</v>
      </c>
      <c r="D1719" s="60" t="s">
        <v>1688</v>
      </c>
      <c r="E1719" s="62" t="s">
        <v>1017</v>
      </c>
      <c r="F1719" s="73" t="s">
        <v>1689</v>
      </c>
      <c r="G1719" s="59" t="s">
        <v>142</v>
      </c>
      <c r="H1719" s="126">
        <v>0.47916666666666669</v>
      </c>
      <c r="I1719" s="126">
        <v>0.5625</v>
      </c>
      <c r="J1719" s="127">
        <v>8.3333333333333315E-2</v>
      </c>
      <c r="K1719" s="61" t="s">
        <v>365</v>
      </c>
      <c r="L1719" s="134">
        <v>1.9999999999999996</v>
      </c>
      <c r="O1719" s="81" t="s">
        <v>820</v>
      </c>
      <c r="P1719" s="88">
        <v>5</v>
      </c>
      <c r="Z1719" s="100"/>
    </row>
    <row r="1720" spans="1:26" x14ac:dyDescent="0.25">
      <c r="A1720" s="99">
        <v>45870</v>
      </c>
      <c r="B1720" s="74">
        <v>45873</v>
      </c>
      <c r="C1720" s="61" t="s">
        <v>45</v>
      </c>
      <c r="D1720" s="60" t="s">
        <v>126</v>
      </c>
      <c r="E1720" s="62" t="s">
        <v>1690</v>
      </c>
      <c r="F1720" s="73" t="s">
        <v>1631</v>
      </c>
      <c r="G1720" s="59" t="s">
        <v>142</v>
      </c>
      <c r="H1720" s="126">
        <v>0.5</v>
      </c>
      <c r="I1720" s="126">
        <v>0.58333333333333337</v>
      </c>
      <c r="J1720" s="127">
        <v>8.333333333333337E-2</v>
      </c>
      <c r="K1720" s="61" t="s">
        <v>365</v>
      </c>
      <c r="L1720" s="134">
        <v>2.0000000000000009</v>
      </c>
      <c r="O1720" s="81" t="s">
        <v>820</v>
      </c>
      <c r="P1720" s="88">
        <v>5</v>
      </c>
      <c r="Z1720" s="100"/>
    </row>
    <row r="1721" spans="1:26" x14ac:dyDescent="0.25">
      <c r="A1721" s="99">
        <v>45870</v>
      </c>
      <c r="B1721" s="74">
        <v>45873</v>
      </c>
      <c r="C1721" s="61" t="s">
        <v>45</v>
      </c>
      <c r="D1721" s="60" t="s">
        <v>1691</v>
      </c>
      <c r="E1721" s="62" t="s">
        <v>1692</v>
      </c>
      <c r="F1721" s="73" t="s">
        <v>1693</v>
      </c>
      <c r="G1721" s="59" t="s">
        <v>142</v>
      </c>
      <c r="H1721" s="126">
        <v>0.52083333333333337</v>
      </c>
      <c r="I1721" s="126">
        <v>0.70833333333333337</v>
      </c>
      <c r="J1721" s="127">
        <v>0.1875</v>
      </c>
      <c r="K1721" s="61" t="s">
        <v>366</v>
      </c>
      <c r="L1721" s="134">
        <v>4.5</v>
      </c>
      <c r="O1721" s="81" t="s">
        <v>359</v>
      </c>
      <c r="P1721" s="88">
        <v>5</v>
      </c>
      <c r="Z1721" s="100"/>
    </row>
    <row r="1722" spans="1:26" x14ac:dyDescent="0.25">
      <c r="A1722" s="99">
        <v>45870</v>
      </c>
      <c r="B1722" s="74">
        <v>45873</v>
      </c>
      <c r="C1722" s="61" t="s">
        <v>45</v>
      </c>
      <c r="D1722" s="60" t="s">
        <v>126</v>
      </c>
      <c r="E1722" s="62" t="s">
        <v>1690</v>
      </c>
      <c r="F1722" s="73" t="s">
        <v>1631</v>
      </c>
      <c r="G1722" s="59" t="s">
        <v>142</v>
      </c>
      <c r="H1722" s="126">
        <v>0.58333333333333337</v>
      </c>
      <c r="I1722" s="126">
        <v>0.625</v>
      </c>
      <c r="J1722" s="127">
        <v>4.166666666666663E-2</v>
      </c>
      <c r="K1722" s="61" t="s">
        <v>110</v>
      </c>
      <c r="L1722" s="134">
        <v>0.99999999999999911</v>
      </c>
      <c r="O1722" s="81" t="s">
        <v>576</v>
      </c>
      <c r="P1722" s="88">
        <v>5</v>
      </c>
      <c r="Z1722" s="100"/>
    </row>
    <row r="1723" spans="1:26" x14ac:dyDescent="0.25">
      <c r="A1723" s="99">
        <v>45870</v>
      </c>
      <c r="B1723" s="74">
        <v>45873</v>
      </c>
      <c r="C1723" s="61" t="s">
        <v>45</v>
      </c>
      <c r="D1723" s="60" t="s">
        <v>126</v>
      </c>
      <c r="E1723" s="62" t="s">
        <v>1690</v>
      </c>
      <c r="F1723" s="73" t="s">
        <v>1631</v>
      </c>
      <c r="G1723" s="59" t="s">
        <v>142</v>
      </c>
      <c r="H1723" s="126">
        <v>0.625</v>
      </c>
      <c r="I1723" s="126">
        <v>0.70833333333333337</v>
      </c>
      <c r="J1723" s="127">
        <v>8.333333333333337E-2</v>
      </c>
      <c r="K1723" s="61" t="s">
        <v>113</v>
      </c>
      <c r="L1723" s="134">
        <v>2.0000000000000009</v>
      </c>
      <c r="O1723" s="81" t="s">
        <v>539</v>
      </c>
      <c r="P1723" s="88">
        <v>5</v>
      </c>
      <c r="Z1723" s="100"/>
    </row>
    <row r="1724" spans="1:26" x14ac:dyDescent="0.25">
      <c r="A1724" s="99">
        <v>45870</v>
      </c>
      <c r="B1724" s="74">
        <v>45873</v>
      </c>
      <c r="C1724" s="61" t="s">
        <v>45</v>
      </c>
      <c r="D1724" s="60" t="s">
        <v>406</v>
      </c>
      <c r="E1724" s="62" t="s">
        <v>1052</v>
      </c>
      <c r="F1724" s="73" t="s">
        <v>1686</v>
      </c>
      <c r="G1724" s="59" t="s">
        <v>142</v>
      </c>
      <c r="H1724" s="126">
        <v>0.58333333333333337</v>
      </c>
      <c r="I1724" s="126">
        <v>0.70833333333333337</v>
      </c>
      <c r="J1724" s="127">
        <v>0.125</v>
      </c>
      <c r="K1724" s="61" t="s">
        <v>113</v>
      </c>
      <c r="L1724" s="134">
        <v>3</v>
      </c>
      <c r="O1724" s="81" t="s">
        <v>539</v>
      </c>
      <c r="P1724" s="88">
        <v>5</v>
      </c>
      <c r="Z1724" s="100"/>
    </row>
    <row r="1725" spans="1:26" x14ac:dyDescent="0.25">
      <c r="A1725" s="99">
        <v>45870</v>
      </c>
      <c r="B1725" s="74">
        <v>45874</v>
      </c>
      <c r="C1725" s="61" t="s">
        <v>106</v>
      </c>
      <c r="D1725" s="60" t="s">
        <v>126</v>
      </c>
      <c r="E1725" s="62" t="s">
        <v>1690</v>
      </c>
      <c r="F1725" s="73" t="s">
        <v>1631</v>
      </c>
      <c r="G1725" s="59" t="s">
        <v>142</v>
      </c>
      <c r="H1725" s="126">
        <v>0.54166666666666663</v>
      </c>
      <c r="I1725" s="126">
        <v>0.70833333333333337</v>
      </c>
      <c r="J1725" s="127">
        <v>0.16666666666666674</v>
      </c>
      <c r="K1725" s="61" t="s">
        <v>296</v>
      </c>
      <c r="L1725" s="134">
        <v>4.0000000000000018</v>
      </c>
      <c r="O1725" s="81" t="s">
        <v>304</v>
      </c>
      <c r="P1725" s="88">
        <v>5</v>
      </c>
      <c r="Z1725" s="100"/>
    </row>
    <row r="1726" spans="1:26" x14ac:dyDescent="0.25">
      <c r="A1726" s="99">
        <v>45870</v>
      </c>
      <c r="B1726" s="74">
        <v>45874</v>
      </c>
      <c r="C1726" s="61" t="s">
        <v>106</v>
      </c>
      <c r="D1726" s="60" t="s">
        <v>98</v>
      </c>
      <c r="E1726" s="62" t="s">
        <v>1369</v>
      </c>
      <c r="F1726" s="73" t="s">
        <v>1694</v>
      </c>
      <c r="G1726" s="59" t="s">
        <v>142</v>
      </c>
      <c r="H1726" s="126">
        <v>0.41666666666666669</v>
      </c>
      <c r="I1726" s="126">
        <v>0.70833333333333337</v>
      </c>
      <c r="J1726" s="127">
        <v>0.29166666666666669</v>
      </c>
      <c r="K1726" s="61" t="s">
        <v>365</v>
      </c>
      <c r="L1726" s="134">
        <v>7</v>
      </c>
      <c r="O1726" s="81" t="s">
        <v>820</v>
      </c>
      <c r="P1726" s="88">
        <v>5</v>
      </c>
      <c r="Z1726" s="100"/>
    </row>
    <row r="1727" spans="1:26" x14ac:dyDescent="0.25">
      <c r="A1727" s="99">
        <v>45870</v>
      </c>
      <c r="B1727" s="74">
        <v>45874</v>
      </c>
      <c r="C1727" s="61" t="s">
        <v>106</v>
      </c>
      <c r="D1727" s="60" t="s">
        <v>98</v>
      </c>
      <c r="E1727" s="62" t="s">
        <v>1150</v>
      </c>
      <c r="F1727" s="73" t="s">
        <v>1695</v>
      </c>
      <c r="G1727" s="59" t="s">
        <v>142</v>
      </c>
      <c r="H1727" s="126">
        <v>0.5</v>
      </c>
      <c r="I1727" s="126">
        <v>0.70833333333333337</v>
      </c>
      <c r="J1727" s="127">
        <v>0.20833333333333337</v>
      </c>
      <c r="K1727" s="61" t="s">
        <v>113</v>
      </c>
      <c r="L1727" s="134">
        <v>5.0000000000000009</v>
      </c>
      <c r="O1727" s="81" t="s">
        <v>539</v>
      </c>
      <c r="P1727" s="88">
        <v>5</v>
      </c>
      <c r="Z1727" s="100"/>
    </row>
    <row r="1728" spans="1:26" x14ac:dyDescent="0.25">
      <c r="A1728" s="99">
        <v>45870</v>
      </c>
      <c r="B1728" s="74">
        <v>45874</v>
      </c>
      <c r="C1728" s="61" t="s">
        <v>106</v>
      </c>
      <c r="D1728" s="60" t="s">
        <v>499</v>
      </c>
      <c r="E1728" s="62" t="s">
        <v>505</v>
      </c>
      <c r="F1728" s="73" t="s">
        <v>1491</v>
      </c>
      <c r="G1728" s="59" t="s">
        <v>142</v>
      </c>
      <c r="H1728" s="126">
        <v>0.45833333333333331</v>
      </c>
      <c r="I1728" s="126">
        <v>0.54166666666666663</v>
      </c>
      <c r="J1728" s="127">
        <v>8.3333333333333315E-2</v>
      </c>
      <c r="K1728" s="61" t="s">
        <v>300</v>
      </c>
      <c r="L1728" s="134">
        <v>1.9999999999999996</v>
      </c>
      <c r="O1728" s="81" t="s">
        <v>362</v>
      </c>
      <c r="P1728" s="88">
        <v>5</v>
      </c>
      <c r="Z1728" s="100"/>
    </row>
    <row r="1729" spans="1:26" x14ac:dyDescent="0.25">
      <c r="A1729" s="99">
        <v>45870</v>
      </c>
      <c r="B1729" s="74">
        <v>45874</v>
      </c>
      <c r="C1729" s="61" t="s">
        <v>106</v>
      </c>
      <c r="D1729" s="60" t="s">
        <v>406</v>
      </c>
      <c r="E1729" s="62" t="s">
        <v>1052</v>
      </c>
      <c r="F1729" s="73" t="s">
        <v>1686</v>
      </c>
      <c r="G1729" s="59" t="s">
        <v>142</v>
      </c>
      <c r="H1729" s="126">
        <v>0.625</v>
      </c>
      <c r="I1729" s="126">
        <v>0.70833333333333337</v>
      </c>
      <c r="J1729" s="127">
        <v>8.333333333333337E-2</v>
      </c>
      <c r="K1729" s="61" t="s">
        <v>113</v>
      </c>
      <c r="L1729" s="134">
        <v>2.0000000000000009</v>
      </c>
      <c r="O1729" s="81" t="s">
        <v>539</v>
      </c>
      <c r="P1729" s="88">
        <v>5</v>
      </c>
      <c r="Z1729" s="100"/>
    </row>
    <row r="1730" spans="1:26" x14ac:dyDescent="0.25">
      <c r="A1730" s="99">
        <v>45870</v>
      </c>
      <c r="B1730" s="74">
        <v>45875</v>
      </c>
      <c r="C1730" s="61" t="s">
        <v>398</v>
      </c>
      <c r="D1730" s="60" t="s">
        <v>98</v>
      </c>
      <c r="E1730" s="62" t="s">
        <v>1369</v>
      </c>
      <c r="F1730" s="73" t="s">
        <v>1696</v>
      </c>
      <c r="G1730" s="59" t="s">
        <v>142</v>
      </c>
      <c r="H1730" s="126">
        <v>0.52083333333333337</v>
      </c>
      <c r="I1730" s="126">
        <v>0.5625</v>
      </c>
      <c r="J1730" s="127">
        <v>4.166666666666663E-2</v>
      </c>
      <c r="K1730" s="61" t="s">
        <v>365</v>
      </c>
      <c r="L1730" s="134">
        <v>0.99999999999999911</v>
      </c>
      <c r="O1730" s="81" t="s">
        <v>359</v>
      </c>
      <c r="P1730" s="88">
        <v>5</v>
      </c>
      <c r="Z1730" s="100"/>
    </row>
    <row r="1731" spans="1:26" x14ac:dyDescent="0.25">
      <c r="A1731" s="99">
        <v>45870</v>
      </c>
      <c r="B1731" s="74">
        <v>45875</v>
      </c>
      <c r="C1731" s="61" t="s">
        <v>398</v>
      </c>
      <c r="D1731" s="60" t="s">
        <v>319</v>
      </c>
      <c r="E1731" s="62" t="s">
        <v>733</v>
      </c>
      <c r="F1731" s="73" t="s">
        <v>1697</v>
      </c>
      <c r="G1731" s="59" t="s">
        <v>142</v>
      </c>
      <c r="H1731" s="126">
        <v>0.625</v>
      </c>
      <c r="I1731" s="126">
        <v>0.70833333333333337</v>
      </c>
      <c r="J1731" s="127">
        <v>8.333333333333337E-2</v>
      </c>
      <c r="K1731" s="61" t="s">
        <v>365</v>
      </c>
      <c r="L1731" s="134">
        <v>2.0000000000000009</v>
      </c>
      <c r="O1731" s="81" t="s">
        <v>359</v>
      </c>
      <c r="P1731" s="88">
        <v>5</v>
      </c>
      <c r="Z1731" s="100"/>
    </row>
    <row r="1732" spans="1:26" x14ac:dyDescent="0.25">
      <c r="A1732" s="99">
        <v>45870</v>
      </c>
      <c r="B1732" s="74">
        <v>45876</v>
      </c>
      <c r="C1732" s="61" t="s">
        <v>124</v>
      </c>
      <c r="D1732" s="60" t="s">
        <v>720</v>
      </c>
      <c r="E1732" s="62" t="s">
        <v>1698</v>
      </c>
      <c r="F1732" s="73" t="s">
        <v>837</v>
      </c>
      <c r="G1732" s="59" t="s">
        <v>142</v>
      </c>
      <c r="H1732" s="126">
        <v>0.70833333333333337</v>
      </c>
      <c r="I1732" s="126">
        <v>0.83333333333333337</v>
      </c>
      <c r="J1732" s="127">
        <v>0.125</v>
      </c>
      <c r="K1732" s="61" t="s">
        <v>300</v>
      </c>
      <c r="L1732" s="134">
        <v>3</v>
      </c>
      <c r="O1732" s="81" t="s">
        <v>362</v>
      </c>
      <c r="P1732" s="88">
        <v>5</v>
      </c>
      <c r="Z1732" s="100"/>
    </row>
    <row r="1733" spans="1:26" x14ac:dyDescent="0.25">
      <c r="A1733" s="99">
        <v>45870</v>
      </c>
      <c r="B1733" s="74">
        <v>45876</v>
      </c>
      <c r="C1733" s="61" t="s">
        <v>124</v>
      </c>
      <c r="D1733" s="60" t="s">
        <v>1430</v>
      </c>
      <c r="E1733" s="62" t="s">
        <v>1683</v>
      </c>
      <c r="F1733" s="73" t="s">
        <v>837</v>
      </c>
      <c r="G1733" s="59" t="s">
        <v>142</v>
      </c>
      <c r="H1733" s="126">
        <v>0.69791666666666663</v>
      </c>
      <c r="I1733" s="126">
        <v>0.91666666666666663</v>
      </c>
      <c r="J1733" s="127">
        <v>0.21875</v>
      </c>
      <c r="K1733" s="61" t="s">
        <v>300</v>
      </c>
      <c r="L1733" s="134">
        <v>5.25</v>
      </c>
      <c r="O1733" s="81" t="s">
        <v>362</v>
      </c>
      <c r="P1733" s="88">
        <v>5</v>
      </c>
      <c r="Z1733" s="100"/>
    </row>
    <row r="1734" spans="1:26" x14ac:dyDescent="0.25">
      <c r="A1734" s="99">
        <v>45870</v>
      </c>
      <c r="B1734" s="74">
        <v>45876</v>
      </c>
      <c r="C1734" s="61" t="s">
        <v>124</v>
      </c>
      <c r="D1734" s="60" t="s">
        <v>319</v>
      </c>
      <c r="E1734" s="62" t="s">
        <v>733</v>
      </c>
      <c r="F1734" s="73" t="s">
        <v>1697</v>
      </c>
      <c r="G1734" s="59" t="s">
        <v>142</v>
      </c>
      <c r="H1734" s="126">
        <v>0.625</v>
      </c>
      <c r="I1734" s="126">
        <v>0.70833333333333337</v>
      </c>
      <c r="J1734" s="127">
        <v>8.333333333333337E-2</v>
      </c>
      <c r="K1734" s="61" t="s">
        <v>365</v>
      </c>
      <c r="L1734" s="134">
        <v>2.0000000000000009</v>
      </c>
      <c r="O1734" s="81" t="s">
        <v>363</v>
      </c>
      <c r="P1734" s="88">
        <v>5</v>
      </c>
      <c r="Z1734" s="100"/>
    </row>
    <row r="1735" spans="1:26" x14ac:dyDescent="0.25">
      <c r="A1735" s="99">
        <v>45870</v>
      </c>
      <c r="B1735" s="74">
        <v>45876</v>
      </c>
      <c r="C1735" s="61" t="s">
        <v>124</v>
      </c>
      <c r="D1735" s="60" t="s">
        <v>1628</v>
      </c>
      <c r="E1735" s="62" t="s">
        <v>880</v>
      </c>
      <c r="F1735" s="73" t="s">
        <v>837</v>
      </c>
      <c r="G1735" s="59" t="s">
        <v>142</v>
      </c>
      <c r="H1735" s="126">
        <v>0.5</v>
      </c>
      <c r="I1735" s="126">
        <v>0.75</v>
      </c>
      <c r="J1735" s="127">
        <v>0.25</v>
      </c>
      <c r="K1735" s="61" t="s">
        <v>300</v>
      </c>
      <c r="L1735" s="134">
        <v>6</v>
      </c>
      <c r="O1735" s="81" t="s">
        <v>362</v>
      </c>
      <c r="P1735" s="88">
        <v>5</v>
      </c>
      <c r="Z1735" s="100"/>
    </row>
    <row r="1736" spans="1:26" x14ac:dyDescent="0.25">
      <c r="A1736" s="99">
        <v>45870</v>
      </c>
      <c r="B1736" s="74">
        <v>45876</v>
      </c>
      <c r="C1736" s="61" t="s">
        <v>124</v>
      </c>
      <c r="D1736" s="60" t="s">
        <v>98</v>
      </c>
      <c r="E1736" s="62" t="s">
        <v>1369</v>
      </c>
      <c r="F1736" s="73" t="s">
        <v>1699</v>
      </c>
      <c r="G1736" s="59" t="s">
        <v>142</v>
      </c>
      <c r="H1736" s="126">
        <v>0.45833333333333331</v>
      </c>
      <c r="I1736" s="126">
        <v>0.5</v>
      </c>
      <c r="J1736" s="127">
        <v>4.1666666666666685E-2</v>
      </c>
      <c r="K1736" s="61" t="s">
        <v>365</v>
      </c>
      <c r="L1736" s="134">
        <v>1.0000000000000004</v>
      </c>
      <c r="O1736" s="81" t="s">
        <v>576</v>
      </c>
      <c r="P1736" s="88">
        <v>5</v>
      </c>
      <c r="Z1736" s="100"/>
    </row>
    <row r="1737" spans="1:26" x14ac:dyDescent="0.25">
      <c r="A1737" s="99">
        <v>45870</v>
      </c>
      <c r="B1737" s="74">
        <v>45878</v>
      </c>
      <c r="C1737" s="61" t="s">
        <v>34</v>
      </c>
      <c r="D1737" s="60" t="s">
        <v>1691</v>
      </c>
      <c r="E1737" s="62" t="s">
        <v>1692</v>
      </c>
      <c r="F1737" s="73" t="s">
        <v>1693</v>
      </c>
      <c r="G1737" s="59" t="s">
        <v>142</v>
      </c>
      <c r="H1737" s="126">
        <v>0.41666666666666669</v>
      </c>
      <c r="I1737" s="126">
        <v>0.70833333333333337</v>
      </c>
      <c r="J1737" s="127">
        <v>0.29166666666666669</v>
      </c>
      <c r="K1737" s="61" t="s">
        <v>366</v>
      </c>
      <c r="L1737" s="134">
        <v>7</v>
      </c>
      <c r="O1737" s="81" t="s">
        <v>576</v>
      </c>
      <c r="P1737" s="88">
        <v>5</v>
      </c>
      <c r="Z1737" s="100"/>
    </row>
    <row r="1738" spans="1:26" x14ac:dyDescent="0.25">
      <c r="A1738" s="99">
        <v>45870</v>
      </c>
      <c r="B1738" s="74">
        <v>45878</v>
      </c>
      <c r="C1738" s="61" t="s">
        <v>34</v>
      </c>
      <c r="D1738" s="60" t="s">
        <v>1700</v>
      </c>
      <c r="E1738" s="62" t="s">
        <v>1630</v>
      </c>
      <c r="F1738" s="73" t="s">
        <v>837</v>
      </c>
      <c r="G1738" s="59" t="s">
        <v>142</v>
      </c>
      <c r="H1738" s="126">
        <v>0.41666666666666669</v>
      </c>
      <c r="I1738" s="126">
        <v>0.83333333333333337</v>
      </c>
      <c r="J1738" s="127">
        <v>0.41666666666666669</v>
      </c>
      <c r="K1738" s="61" t="s">
        <v>300</v>
      </c>
      <c r="L1738" s="134">
        <v>10</v>
      </c>
      <c r="O1738" s="81" t="s">
        <v>362</v>
      </c>
      <c r="P1738" s="88">
        <v>5</v>
      </c>
      <c r="Z1738" s="100"/>
    </row>
    <row r="1739" spans="1:26" x14ac:dyDescent="0.25">
      <c r="A1739" s="99">
        <v>45870</v>
      </c>
      <c r="B1739" s="74">
        <v>45879</v>
      </c>
      <c r="C1739" s="61" t="s">
        <v>31</v>
      </c>
      <c r="D1739" s="60" t="s">
        <v>830</v>
      </c>
      <c r="E1739" s="62" t="s">
        <v>1390</v>
      </c>
      <c r="F1739" s="73" t="s">
        <v>1701</v>
      </c>
      <c r="G1739" s="59" t="s">
        <v>142</v>
      </c>
      <c r="H1739" s="126">
        <v>0.5</v>
      </c>
      <c r="I1739" s="126">
        <v>0.625</v>
      </c>
      <c r="J1739" s="127">
        <v>0.125</v>
      </c>
      <c r="K1739" s="61" t="s">
        <v>365</v>
      </c>
      <c r="L1739" s="134">
        <v>3</v>
      </c>
      <c r="O1739" s="81" t="s">
        <v>358</v>
      </c>
      <c r="P1739" s="88">
        <v>5</v>
      </c>
      <c r="Z1739" s="100"/>
    </row>
    <row r="1740" spans="1:26" x14ac:dyDescent="0.25">
      <c r="A1740" s="99">
        <v>45870</v>
      </c>
      <c r="B1740" s="74">
        <v>45879</v>
      </c>
      <c r="C1740" s="61" t="s">
        <v>31</v>
      </c>
      <c r="D1740" s="60" t="s">
        <v>98</v>
      </c>
      <c r="E1740" s="62" t="s">
        <v>414</v>
      </c>
      <c r="F1740" s="73" t="s">
        <v>1702</v>
      </c>
      <c r="G1740" s="59" t="s">
        <v>142</v>
      </c>
      <c r="H1740" s="126">
        <v>0.54166666666666663</v>
      </c>
      <c r="I1740" s="126">
        <v>0.625</v>
      </c>
      <c r="J1740" s="127">
        <v>8.333333333333337E-2</v>
      </c>
      <c r="K1740" s="61" t="s">
        <v>110</v>
      </c>
      <c r="L1740" s="134">
        <v>2.0000000000000009</v>
      </c>
      <c r="O1740" s="81" t="s">
        <v>363</v>
      </c>
      <c r="P1740" s="88">
        <v>5</v>
      </c>
      <c r="Z1740" s="100"/>
    </row>
    <row r="1741" spans="1:26" x14ac:dyDescent="0.25">
      <c r="A1741" s="99">
        <v>45870</v>
      </c>
      <c r="B1741" s="74">
        <v>45879</v>
      </c>
      <c r="C1741" s="61" t="s">
        <v>31</v>
      </c>
      <c r="D1741" s="60" t="s">
        <v>830</v>
      </c>
      <c r="E1741" s="62" t="s">
        <v>1390</v>
      </c>
      <c r="F1741" s="73" t="s">
        <v>1701</v>
      </c>
      <c r="G1741" s="59" t="s">
        <v>142</v>
      </c>
      <c r="H1741" s="126">
        <v>0.64583333333333337</v>
      </c>
      <c r="I1741" s="126">
        <v>0.70833333333333337</v>
      </c>
      <c r="J1741" s="127">
        <v>6.25E-2</v>
      </c>
      <c r="K1741" s="61" t="s">
        <v>113</v>
      </c>
      <c r="L1741" s="134">
        <v>1.5</v>
      </c>
      <c r="O1741" s="81" t="s">
        <v>576</v>
      </c>
      <c r="P1741" s="88">
        <v>5</v>
      </c>
      <c r="Z1741" s="100"/>
    </row>
    <row r="1742" spans="1:26" x14ac:dyDescent="0.25">
      <c r="A1742" s="99">
        <v>45870</v>
      </c>
      <c r="B1742" s="74">
        <v>45879</v>
      </c>
      <c r="C1742" s="61" t="s">
        <v>31</v>
      </c>
      <c r="D1742" s="60" t="s">
        <v>406</v>
      </c>
      <c r="E1742" s="62" t="s">
        <v>1052</v>
      </c>
      <c r="F1742" s="73" t="s">
        <v>1686</v>
      </c>
      <c r="G1742" s="59" t="s">
        <v>142</v>
      </c>
      <c r="H1742" s="126">
        <v>0.41666666666666669</v>
      </c>
      <c r="I1742" s="126">
        <v>0.70833333333333337</v>
      </c>
      <c r="J1742" s="127">
        <v>0.29166666666666669</v>
      </c>
      <c r="K1742" s="61" t="s">
        <v>113</v>
      </c>
      <c r="L1742" s="134">
        <v>7</v>
      </c>
      <c r="O1742" s="81" t="s">
        <v>576</v>
      </c>
      <c r="P1742" s="88">
        <v>5</v>
      </c>
      <c r="Z1742" s="100"/>
    </row>
    <row r="1743" spans="1:26" x14ac:dyDescent="0.25">
      <c r="A1743" s="99">
        <v>45870</v>
      </c>
      <c r="B1743" s="74">
        <v>45879</v>
      </c>
      <c r="C1743" s="61" t="s">
        <v>31</v>
      </c>
      <c r="D1743" s="60" t="s">
        <v>98</v>
      </c>
      <c r="E1743" s="62" t="s">
        <v>1703</v>
      </c>
      <c r="F1743" s="73" t="s">
        <v>1704</v>
      </c>
      <c r="G1743" s="59" t="s">
        <v>142</v>
      </c>
      <c r="H1743" s="126">
        <v>0.45833333333333331</v>
      </c>
      <c r="I1743" s="126">
        <v>0.70833333333333337</v>
      </c>
      <c r="J1743" s="127">
        <v>0.25000000000000006</v>
      </c>
      <c r="K1743" s="61" t="s">
        <v>113</v>
      </c>
      <c r="L1743" s="134">
        <v>6.0000000000000018</v>
      </c>
      <c r="O1743" s="81" t="s">
        <v>576</v>
      </c>
      <c r="P1743" s="88">
        <v>5</v>
      </c>
      <c r="Z1743" s="100"/>
    </row>
    <row r="1744" spans="1:26" x14ac:dyDescent="0.25">
      <c r="A1744" s="99">
        <v>45870</v>
      </c>
      <c r="B1744" s="74">
        <v>45880</v>
      </c>
      <c r="C1744" s="61" t="s">
        <v>45</v>
      </c>
      <c r="D1744" s="60" t="s">
        <v>1691</v>
      </c>
      <c r="E1744" s="62" t="s">
        <v>1705</v>
      </c>
      <c r="F1744" s="73" t="s">
        <v>1693</v>
      </c>
      <c r="G1744" s="59" t="s">
        <v>142</v>
      </c>
      <c r="H1744" s="126">
        <v>0.41666666666666669</v>
      </c>
      <c r="I1744" s="126">
        <v>0.70833333333333337</v>
      </c>
      <c r="J1744" s="127">
        <v>0.29166666666666669</v>
      </c>
      <c r="K1744" s="61" t="s">
        <v>366</v>
      </c>
      <c r="L1744" s="134">
        <v>7</v>
      </c>
      <c r="O1744" s="81" t="s">
        <v>361</v>
      </c>
      <c r="P1744" s="88">
        <v>4</v>
      </c>
      <c r="Q1744" s="61" t="s">
        <v>1706</v>
      </c>
      <c r="Z1744" s="100"/>
    </row>
    <row r="1745" spans="1:26" x14ac:dyDescent="0.25">
      <c r="A1745" s="99">
        <v>45870</v>
      </c>
      <c r="B1745" s="74">
        <v>45880</v>
      </c>
      <c r="C1745" s="61" t="s">
        <v>45</v>
      </c>
      <c r="D1745" s="60" t="s">
        <v>830</v>
      </c>
      <c r="E1745" s="62" t="s">
        <v>1707</v>
      </c>
      <c r="F1745" s="73" t="s">
        <v>1708</v>
      </c>
      <c r="G1745" s="59" t="s">
        <v>142</v>
      </c>
      <c r="H1745" s="126">
        <v>0.45833333333333331</v>
      </c>
      <c r="I1745" s="126">
        <v>0.5</v>
      </c>
      <c r="J1745" s="127">
        <v>4.1666666666666685E-2</v>
      </c>
      <c r="K1745" s="61" t="s">
        <v>365</v>
      </c>
      <c r="L1745" s="134">
        <v>1.0000000000000004</v>
      </c>
      <c r="O1745" s="81" t="s">
        <v>358</v>
      </c>
      <c r="P1745" s="88">
        <v>5</v>
      </c>
      <c r="Z1745" s="100"/>
    </row>
    <row r="1746" spans="1:26" x14ac:dyDescent="0.25">
      <c r="A1746" s="99">
        <v>45870</v>
      </c>
      <c r="B1746" s="74">
        <v>45880</v>
      </c>
      <c r="C1746" s="61" t="s">
        <v>45</v>
      </c>
      <c r="D1746" s="60" t="s">
        <v>830</v>
      </c>
      <c r="E1746" s="62" t="s">
        <v>1707</v>
      </c>
      <c r="F1746" s="73" t="s">
        <v>1708</v>
      </c>
      <c r="G1746" s="59" t="s">
        <v>142</v>
      </c>
      <c r="H1746" s="126">
        <v>0.64583333333333337</v>
      </c>
      <c r="I1746" s="126">
        <v>0.70833333333333337</v>
      </c>
      <c r="J1746" s="127">
        <v>6.25E-2</v>
      </c>
      <c r="K1746" s="61" t="s">
        <v>113</v>
      </c>
      <c r="L1746" s="134">
        <v>1.5</v>
      </c>
      <c r="O1746" s="81" t="s">
        <v>576</v>
      </c>
      <c r="P1746" s="88">
        <v>5</v>
      </c>
      <c r="Z1746" s="100"/>
    </row>
    <row r="1747" spans="1:26" x14ac:dyDescent="0.25">
      <c r="A1747" s="99">
        <v>45870</v>
      </c>
      <c r="B1747" s="74">
        <v>45880</v>
      </c>
      <c r="C1747" s="61" t="s">
        <v>45</v>
      </c>
      <c r="D1747" s="60" t="s">
        <v>308</v>
      </c>
      <c r="E1747" s="62" t="s">
        <v>1627</v>
      </c>
      <c r="F1747" s="73" t="s">
        <v>1709</v>
      </c>
      <c r="G1747" s="59" t="s">
        <v>142</v>
      </c>
      <c r="H1747" s="126">
        <v>0.52083333333333337</v>
      </c>
      <c r="I1747" s="126">
        <v>0.66666666666666663</v>
      </c>
      <c r="J1747" s="127">
        <v>0.14583333333333326</v>
      </c>
      <c r="K1747" s="61" t="s">
        <v>113</v>
      </c>
      <c r="L1747" s="134">
        <v>3.4999999999999982</v>
      </c>
      <c r="O1747" s="81" t="s">
        <v>576</v>
      </c>
      <c r="P1747" s="88">
        <v>5</v>
      </c>
      <c r="Z1747" s="100"/>
    </row>
    <row r="1748" spans="1:26" x14ac:dyDescent="0.25">
      <c r="A1748" s="99">
        <v>45870</v>
      </c>
      <c r="B1748" s="74">
        <v>45880</v>
      </c>
      <c r="C1748" s="61" t="s">
        <v>45</v>
      </c>
      <c r="D1748" s="60" t="s">
        <v>406</v>
      </c>
      <c r="E1748" s="62" t="s">
        <v>1037</v>
      </c>
      <c r="F1748" s="73" t="s">
        <v>1710</v>
      </c>
      <c r="G1748" s="59" t="s">
        <v>142</v>
      </c>
      <c r="H1748" s="126">
        <v>0.52083333333333337</v>
      </c>
      <c r="I1748" s="126">
        <v>0.70833333333333337</v>
      </c>
      <c r="J1748" s="127">
        <v>0.1875</v>
      </c>
      <c r="K1748" s="61" t="s">
        <v>113</v>
      </c>
      <c r="L1748" s="134">
        <v>4.5</v>
      </c>
      <c r="O1748" s="81" t="s">
        <v>576</v>
      </c>
      <c r="P1748" s="88">
        <v>5</v>
      </c>
      <c r="Z1748" s="100"/>
    </row>
    <row r="1749" spans="1:26" x14ac:dyDescent="0.25">
      <c r="A1749" s="99">
        <v>45870</v>
      </c>
      <c r="B1749" s="74">
        <v>45880</v>
      </c>
      <c r="C1749" s="61" t="s">
        <v>45</v>
      </c>
      <c r="D1749" s="60" t="s">
        <v>830</v>
      </c>
      <c r="E1749" s="62" t="s">
        <v>1707</v>
      </c>
      <c r="F1749" s="73" t="s">
        <v>1708</v>
      </c>
      <c r="G1749" s="59" t="s">
        <v>142</v>
      </c>
      <c r="H1749" s="126">
        <v>0.45833333333333331</v>
      </c>
      <c r="I1749" s="126">
        <v>0.70833333333333337</v>
      </c>
      <c r="J1749" s="127">
        <v>0.25000000000000006</v>
      </c>
      <c r="K1749" s="61" t="s">
        <v>110</v>
      </c>
      <c r="L1749" s="134">
        <v>6.0000000000000018</v>
      </c>
      <c r="O1749" s="81" t="s">
        <v>363</v>
      </c>
      <c r="P1749" s="88">
        <v>5</v>
      </c>
      <c r="Z1749" s="100"/>
    </row>
    <row r="1750" spans="1:26" x14ac:dyDescent="0.25">
      <c r="A1750" s="99">
        <v>45870</v>
      </c>
      <c r="B1750" s="74">
        <v>45880</v>
      </c>
      <c r="C1750" s="61" t="s">
        <v>45</v>
      </c>
      <c r="D1750" s="60" t="s">
        <v>98</v>
      </c>
      <c r="E1750" s="62" t="s">
        <v>505</v>
      </c>
      <c r="F1750" s="73" t="s">
        <v>1711</v>
      </c>
      <c r="G1750" s="59" t="s">
        <v>142</v>
      </c>
      <c r="H1750" s="126">
        <v>0.5</v>
      </c>
      <c r="I1750" s="126">
        <v>0.5625</v>
      </c>
      <c r="J1750" s="127">
        <v>6.25E-2</v>
      </c>
      <c r="K1750" s="61" t="s">
        <v>296</v>
      </c>
      <c r="L1750" s="134">
        <v>1.5</v>
      </c>
      <c r="O1750" s="81" t="s">
        <v>304</v>
      </c>
      <c r="P1750" s="88">
        <v>5</v>
      </c>
      <c r="Z1750" s="100"/>
    </row>
    <row r="1751" spans="1:26" x14ac:dyDescent="0.25">
      <c r="A1751" s="99">
        <v>45870</v>
      </c>
      <c r="B1751" s="74">
        <v>45881</v>
      </c>
      <c r="C1751" s="61" t="s">
        <v>106</v>
      </c>
      <c r="D1751" s="60" t="s">
        <v>406</v>
      </c>
      <c r="E1751" s="62" t="s">
        <v>407</v>
      </c>
      <c r="F1751" s="73" t="s">
        <v>1712</v>
      </c>
      <c r="G1751" s="59" t="s">
        <v>142</v>
      </c>
      <c r="H1751" s="126">
        <v>0.58333333333333337</v>
      </c>
      <c r="I1751" s="126">
        <v>0.70833333333333337</v>
      </c>
      <c r="J1751" s="127">
        <v>0.125</v>
      </c>
      <c r="K1751" s="61" t="s">
        <v>365</v>
      </c>
      <c r="L1751" s="134">
        <v>3</v>
      </c>
      <c r="O1751" s="81" t="s">
        <v>361</v>
      </c>
      <c r="P1751" s="88">
        <v>5</v>
      </c>
      <c r="Z1751" s="100"/>
    </row>
    <row r="1752" spans="1:26" x14ac:dyDescent="0.25">
      <c r="A1752" s="99">
        <v>45870</v>
      </c>
      <c r="B1752" s="74">
        <v>45881</v>
      </c>
      <c r="C1752" s="61" t="s">
        <v>106</v>
      </c>
      <c r="D1752" s="60" t="s">
        <v>406</v>
      </c>
      <c r="E1752" s="62" t="s">
        <v>1037</v>
      </c>
      <c r="F1752" s="73" t="s">
        <v>1713</v>
      </c>
      <c r="G1752" s="59" t="s">
        <v>142</v>
      </c>
      <c r="H1752" s="126">
        <v>0.54166666666666663</v>
      </c>
      <c r="I1752" s="126">
        <v>0.70833333333333337</v>
      </c>
      <c r="J1752" s="127">
        <v>0.16666666666666674</v>
      </c>
      <c r="K1752" s="61" t="s">
        <v>113</v>
      </c>
      <c r="L1752" s="134">
        <v>4.0000000000000018</v>
      </c>
      <c r="O1752" s="81" t="s">
        <v>539</v>
      </c>
      <c r="P1752" s="88">
        <v>5</v>
      </c>
      <c r="Z1752" s="100"/>
    </row>
    <row r="1753" spans="1:26" x14ac:dyDescent="0.25">
      <c r="A1753" s="99">
        <v>45870</v>
      </c>
      <c r="B1753" s="74">
        <v>45881</v>
      </c>
      <c r="C1753" s="61" t="s">
        <v>106</v>
      </c>
      <c r="D1753" s="60" t="s">
        <v>325</v>
      </c>
      <c r="E1753" s="62" t="s">
        <v>1714</v>
      </c>
      <c r="F1753" s="73" t="s">
        <v>1715</v>
      </c>
      <c r="G1753" s="59" t="s">
        <v>142</v>
      </c>
      <c r="H1753" s="126">
        <v>0.41666666666666669</v>
      </c>
      <c r="I1753" s="126">
        <v>0.5</v>
      </c>
      <c r="J1753" s="127">
        <v>8.3333333333333315E-2</v>
      </c>
      <c r="K1753" s="61" t="s">
        <v>113</v>
      </c>
      <c r="L1753" s="134">
        <v>1.9999999999999996</v>
      </c>
      <c r="O1753" s="81" t="s">
        <v>576</v>
      </c>
      <c r="P1753" s="88">
        <v>5</v>
      </c>
      <c r="Z1753" s="100"/>
    </row>
    <row r="1754" spans="1:26" x14ac:dyDescent="0.25">
      <c r="A1754" s="99">
        <v>45870</v>
      </c>
      <c r="B1754" s="74">
        <v>45881</v>
      </c>
      <c r="C1754" s="61" t="s">
        <v>106</v>
      </c>
      <c r="D1754" s="60" t="s">
        <v>98</v>
      </c>
      <c r="E1754" s="62" t="s">
        <v>1703</v>
      </c>
      <c r="F1754" s="73" t="s">
        <v>1704</v>
      </c>
      <c r="G1754" s="59" t="s">
        <v>142</v>
      </c>
      <c r="H1754" s="126">
        <v>0.5</v>
      </c>
      <c r="I1754" s="126">
        <v>0.70833333333333337</v>
      </c>
      <c r="J1754" s="127">
        <v>0.20833333333333337</v>
      </c>
      <c r="K1754" s="61" t="s">
        <v>113</v>
      </c>
      <c r="L1754" s="134">
        <v>5.0000000000000009</v>
      </c>
      <c r="O1754" s="81" t="s">
        <v>576</v>
      </c>
      <c r="P1754" s="88">
        <v>5</v>
      </c>
      <c r="Z1754" s="100"/>
    </row>
    <row r="1755" spans="1:26" x14ac:dyDescent="0.25">
      <c r="A1755" s="99">
        <v>45870</v>
      </c>
      <c r="B1755" s="74">
        <v>45882</v>
      </c>
      <c r="C1755" s="61" t="s">
        <v>398</v>
      </c>
      <c r="D1755" s="60" t="s">
        <v>406</v>
      </c>
      <c r="E1755" s="62" t="s">
        <v>1037</v>
      </c>
      <c r="F1755" s="73" t="s">
        <v>1710</v>
      </c>
      <c r="G1755" s="59" t="s">
        <v>142</v>
      </c>
      <c r="H1755" s="126">
        <v>0.58333333333333337</v>
      </c>
      <c r="I1755" s="126">
        <v>0.70833333333333337</v>
      </c>
      <c r="J1755" s="127">
        <v>0.125</v>
      </c>
      <c r="K1755" s="61" t="s">
        <v>113</v>
      </c>
      <c r="L1755" s="134">
        <v>3</v>
      </c>
      <c r="O1755" s="81" t="s">
        <v>539</v>
      </c>
      <c r="P1755" s="88">
        <v>5</v>
      </c>
      <c r="Z1755" s="100"/>
    </row>
    <row r="1756" spans="1:26" x14ac:dyDescent="0.25">
      <c r="A1756" s="99">
        <v>45870</v>
      </c>
      <c r="B1756" s="74">
        <v>45883</v>
      </c>
      <c r="C1756" s="61" t="s">
        <v>124</v>
      </c>
      <c r="D1756" s="60" t="s">
        <v>1628</v>
      </c>
      <c r="E1756" s="62" t="s">
        <v>880</v>
      </c>
      <c r="F1756" s="73" t="s">
        <v>837</v>
      </c>
      <c r="G1756" s="59" t="s">
        <v>142</v>
      </c>
      <c r="H1756" s="126">
        <v>0.5</v>
      </c>
      <c r="I1756" s="126">
        <v>0.75</v>
      </c>
      <c r="J1756" s="127">
        <v>0.25</v>
      </c>
      <c r="K1756" s="61" t="s">
        <v>300</v>
      </c>
      <c r="L1756" s="134">
        <v>6</v>
      </c>
      <c r="O1756" s="81" t="s">
        <v>362</v>
      </c>
      <c r="P1756" s="88">
        <v>5</v>
      </c>
      <c r="Z1756" s="100"/>
    </row>
    <row r="1757" spans="1:26" x14ac:dyDescent="0.25">
      <c r="A1757" s="99">
        <v>45870</v>
      </c>
      <c r="B1757" s="74">
        <v>45883</v>
      </c>
      <c r="C1757" s="61" t="s">
        <v>124</v>
      </c>
      <c r="D1757" s="60" t="s">
        <v>406</v>
      </c>
      <c r="E1757" s="62" t="s">
        <v>1037</v>
      </c>
      <c r="F1757" s="73" t="s">
        <v>1710</v>
      </c>
      <c r="G1757" s="59" t="s">
        <v>142</v>
      </c>
      <c r="H1757" s="126">
        <v>0.54166666666666663</v>
      </c>
      <c r="I1757" s="126">
        <v>0.70833333333333337</v>
      </c>
      <c r="J1757" s="127">
        <v>0.16666666666666674</v>
      </c>
      <c r="K1757" s="61" t="s">
        <v>113</v>
      </c>
      <c r="L1757" s="134">
        <v>4.0000000000000018</v>
      </c>
      <c r="O1757" s="81" t="s">
        <v>576</v>
      </c>
      <c r="P1757" s="88">
        <v>5</v>
      </c>
      <c r="Z1757" s="100"/>
    </row>
    <row r="1758" spans="1:26" x14ac:dyDescent="0.25">
      <c r="A1758" s="99">
        <v>45870</v>
      </c>
      <c r="B1758" s="74">
        <v>45885</v>
      </c>
      <c r="C1758" s="61" t="s">
        <v>34</v>
      </c>
      <c r="D1758" s="60" t="s">
        <v>499</v>
      </c>
      <c r="E1758" s="62" t="s">
        <v>1716</v>
      </c>
      <c r="F1758" s="73" t="s">
        <v>1717</v>
      </c>
      <c r="G1758" s="59" t="s">
        <v>142</v>
      </c>
      <c r="H1758" s="126">
        <v>0.41666666666666669</v>
      </c>
      <c r="I1758" s="126">
        <v>0.70833333333333337</v>
      </c>
      <c r="J1758" s="127">
        <v>0.29166666666666669</v>
      </c>
      <c r="K1758" s="61" t="s">
        <v>365</v>
      </c>
      <c r="L1758" s="134">
        <v>7</v>
      </c>
      <c r="O1758" s="81" t="s">
        <v>820</v>
      </c>
      <c r="P1758" s="88">
        <v>5</v>
      </c>
      <c r="Z1758" s="100"/>
    </row>
    <row r="1759" spans="1:26" x14ac:dyDescent="0.25">
      <c r="A1759" s="99">
        <v>45870</v>
      </c>
      <c r="B1759" s="74">
        <v>45885</v>
      </c>
      <c r="C1759" s="61" t="s">
        <v>34</v>
      </c>
      <c r="D1759" s="60" t="s">
        <v>1628</v>
      </c>
      <c r="E1759" s="62" t="s">
        <v>880</v>
      </c>
      <c r="F1759" s="73" t="s">
        <v>837</v>
      </c>
      <c r="G1759" s="59" t="s">
        <v>142</v>
      </c>
      <c r="H1759" s="126">
        <v>0.45833333333333331</v>
      </c>
      <c r="I1759" s="126">
        <v>0.75</v>
      </c>
      <c r="J1759" s="127">
        <v>0.29166666666666669</v>
      </c>
      <c r="K1759" s="61" t="s">
        <v>300</v>
      </c>
      <c r="L1759" s="134">
        <v>7</v>
      </c>
      <c r="O1759" s="81" t="s">
        <v>362</v>
      </c>
      <c r="P1759" s="88">
        <v>5</v>
      </c>
      <c r="Z1759" s="100"/>
    </row>
    <row r="1760" spans="1:26" x14ac:dyDescent="0.25">
      <c r="A1760" s="99">
        <v>45870</v>
      </c>
      <c r="B1760" s="74">
        <v>45885</v>
      </c>
      <c r="C1760" s="61" t="s">
        <v>34</v>
      </c>
      <c r="D1760" s="60" t="s">
        <v>481</v>
      </c>
      <c r="E1760" s="62" t="s">
        <v>1593</v>
      </c>
      <c r="F1760" s="73" t="s">
        <v>837</v>
      </c>
      <c r="G1760" s="59" t="s">
        <v>142</v>
      </c>
      <c r="H1760" s="126">
        <v>0.45833333333333331</v>
      </c>
      <c r="I1760" s="126">
        <v>0.75</v>
      </c>
      <c r="J1760" s="127">
        <v>0.29166666666666669</v>
      </c>
      <c r="K1760" s="61" t="s">
        <v>300</v>
      </c>
      <c r="L1760" s="134">
        <v>7</v>
      </c>
      <c r="O1760" s="81" t="s">
        <v>362</v>
      </c>
      <c r="P1760" s="88">
        <v>5</v>
      </c>
      <c r="Z1760" s="100"/>
    </row>
    <row r="1761" spans="1:26" x14ac:dyDescent="0.25">
      <c r="A1761" s="99">
        <v>45870</v>
      </c>
      <c r="B1761" s="74">
        <v>45886</v>
      </c>
      <c r="C1761" s="61" t="s">
        <v>31</v>
      </c>
      <c r="D1761" s="60" t="s">
        <v>499</v>
      </c>
      <c r="E1761" s="62" t="s">
        <v>1716</v>
      </c>
      <c r="F1761" s="73" t="s">
        <v>1718</v>
      </c>
      <c r="G1761" s="59" t="s">
        <v>142</v>
      </c>
      <c r="H1761" s="126">
        <v>0.4375</v>
      </c>
      <c r="I1761" s="126">
        <v>0.70833333333333337</v>
      </c>
      <c r="J1761" s="127">
        <v>0.27083333333333337</v>
      </c>
      <c r="K1761" s="61" t="s">
        <v>365</v>
      </c>
      <c r="L1761" s="134">
        <v>6.5000000000000009</v>
      </c>
      <c r="O1761" s="81" t="s">
        <v>820</v>
      </c>
      <c r="P1761" s="88">
        <v>5</v>
      </c>
      <c r="Z1761" s="100"/>
    </row>
    <row r="1762" spans="1:26" x14ac:dyDescent="0.25">
      <c r="A1762" s="99">
        <v>45870</v>
      </c>
      <c r="B1762" s="74">
        <v>45886</v>
      </c>
      <c r="C1762" s="61" t="s">
        <v>31</v>
      </c>
      <c r="D1762" s="60" t="s">
        <v>98</v>
      </c>
      <c r="E1762" s="62" t="s">
        <v>414</v>
      </c>
      <c r="F1762" s="73" t="s">
        <v>1719</v>
      </c>
      <c r="G1762" s="59" t="s">
        <v>142</v>
      </c>
      <c r="H1762" s="126">
        <v>0.58333333333333337</v>
      </c>
      <c r="I1762" s="126">
        <v>0.70833333333333337</v>
      </c>
      <c r="J1762" s="127">
        <v>0.125</v>
      </c>
      <c r="K1762" s="61" t="s">
        <v>365</v>
      </c>
      <c r="L1762" s="134">
        <v>3</v>
      </c>
      <c r="O1762" s="81" t="s">
        <v>539</v>
      </c>
      <c r="P1762" s="88">
        <v>5</v>
      </c>
      <c r="Z1762" s="100"/>
    </row>
    <row r="1763" spans="1:26" x14ac:dyDescent="0.25">
      <c r="A1763" s="99">
        <v>45870</v>
      </c>
      <c r="B1763" s="74">
        <v>45886</v>
      </c>
      <c r="C1763" s="61" t="s">
        <v>31</v>
      </c>
      <c r="D1763" s="60" t="s">
        <v>32</v>
      </c>
      <c r="E1763" s="62" t="s">
        <v>388</v>
      </c>
      <c r="F1763" s="73" t="s">
        <v>1720</v>
      </c>
      <c r="G1763" s="59" t="s">
        <v>142</v>
      </c>
      <c r="H1763" s="126">
        <v>0.45833333333333331</v>
      </c>
      <c r="I1763" s="126">
        <v>0.66666666666666663</v>
      </c>
      <c r="J1763" s="127">
        <v>0.20833333333333331</v>
      </c>
      <c r="K1763" s="61" t="s">
        <v>365</v>
      </c>
      <c r="L1763" s="134">
        <v>5</v>
      </c>
      <c r="O1763" s="81" t="s">
        <v>314</v>
      </c>
      <c r="P1763" s="88">
        <v>5</v>
      </c>
      <c r="Z1763" s="100"/>
    </row>
    <row r="1764" spans="1:26" x14ac:dyDescent="0.25">
      <c r="A1764" s="99">
        <v>45870</v>
      </c>
      <c r="B1764" s="74">
        <v>45887</v>
      </c>
      <c r="C1764" s="61" t="s">
        <v>45</v>
      </c>
      <c r="D1764" s="60" t="s">
        <v>32</v>
      </c>
      <c r="E1764" s="62" t="s">
        <v>1721</v>
      </c>
      <c r="F1764" s="73" t="s">
        <v>1051</v>
      </c>
      <c r="G1764" s="59" t="s">
        <v>142</v>
      </c>
      <c r="H1764" s="126">
        <v>0.41666666666666669</v>
      </c>
      <c r="I1764" s="126">
        <v>0.625</v>
      </c>
      <c r="J1764" s="127">
        <v>0.20833333333333331</v>
      </c>
      <c r="K1764" s="61" t="s">
        <v>365</v>
      </c>
      <c r="L1764" s="134">
        <v>5</v>
      </c>
      <c r="O1764" s="81" t="s">
        <v>359</v>
      </c>
      <c r="P1764" s="88">
        <v>5</v>
      </c>
      <c r="Z1764" s="100"/>
    </row>
    <row r="1765" spans="1:26" x14ac:dyDescent="0.25">
      <c r="A1765" s="99">
        <v>45870</v>
      </c>
      <c r="B1765" s="74">
        <v>45887</v>
      </c>
      <c r="C1765" s="61" t="s">
        <v>45</v>
      </c>
      <c r="D1765" s="60" t="s">
        <v>98</v>
      </c>
      <c r="E1765" s="62" t="s">
        <v>1722</v>
      </c>
      <c r="F1765" s="73" t="s">
        <v>1723</v>
      </c>
      <c r="G1765" s="59" t="s">
        <v>142</v>
      </c>
      <c r="H1765" s="126">
        <v>0.45833333333333331</v>
      </c>
      <c r="I1765" s="126">
        <v>0.70833333333333337</v>
      </c>
      <c r="J1765" s="127">
        <v>0.25000000000000006</v>
      </c>
      <c r="K1765" s="61" t="s">
        <v>365</v>
      </c>
      <c r="L1765" s="134">
        <v>6.0000000000000018</v>
      </c>
      <c r="O1765" s="81" t="s">
        <v>539</v>
      </c>
      <c r="P1765" s="88">
        <v>5</v>
      </c>
      <c r="Z1765" s="100"/>
    </row>
    <row r="1766" spans="1:26" x14ac:dyDescent="0.25">
      <c r="A1766" s="99">
        <v>45870</v>
      </c>
      <c r="B1766" s="74">
        <v>45887</v>
      </c>
      <c r="C1766" s="61" t="s">
        <v>45</v>
      </c>
      <c r="D1766" s="60" t="s">
        <v>98</v>
      </c>
      <c r="E1766" s="62" t="s">
        <v>1724</v>
      </c>
      <c r="F1766" s="73" t="s">
        <v>1323</v>
      </c>
      <c r="G1766" s="59" t="s">
        <v>142</v>
      </c>
      <c r="H1766" s="126">
        <v>0.58333333333333337</v>
      </c>
      <c r="I1766" s="126">
        <v>0.625</v>
      </c>
      <c r="J1766" s="127">
        <v>4.166666666666663E-2</v>
      </c>
      <c r="K1766" s="61" t="s">
        <v>110</v>
      </c>
      <c r="L1766" s="134">
        <v>0.99999999999999911</v>
      </c>
      <c r="O1766" s="81" t="s">
        <v>363</v>
      </c>
      <c r="P1766" s="88">
        <v>5</v>
      </c>
      <c r="Z1766" s="100"/>
    </row>
    <row r="1767" spans="1:26" x14ac:dyDescent="0.25">
      <c r="A1767" s="99">
        <v>45870</v>
      </c>
      <c r="B1767" s="74">
        <v>45887</v>
      </c>
      <c r="C1767" s="61" t="s">
        <v>45</v>
      </c>
      <c r="D1767" s="60" t="s">
        <v>98</v>
      </c>
      <c r="E1767" s="62" t="s">
        <v>1722</v>
      </c>
      <c r="F1767" s="73" t="s">
        <v>1725</v>
      </c>
      <c r="G1767" s="59" t="s">
        <v>142</v>
      </c>
      <c r="H1767" s="126">
        <v>0.41666666666666669</v>
      </c>
      <c r="I1767" s="126">
        <v>0.45833333333333331</v>
      </c>
      <c r="J1767" s="127">
        <v>4.166666666666663E-2</v>
      </c>
      <c r="K1767" s="61" t="s">
        <v>110</v>
      </c>
      <c r="L1767" s="134">
        <v>0.99999999999999911</v>
      </c>
      <c r="O1767" s="81" t="s">
        <v>363</v>
      </c>
      <c r="P1767" s="88">
        <v>5</v>
      </c>
      <c r="Z1767" s="100"/>
    </row>
    <row r="1768" spans="1:26" x14ac:dyDescent="0.25">
      <c r="A1768" s="99">
        <v>45870</v>
      </c>
      <c r="B1768" s="74">
        <v>45887</v>
      </c>
      <c r="C1768" s="61" t="s">
        <v>45</v>
      </c>
      <c r="D1768" s="60" t="s">
        <v>406</v>
      </c>
      <c r="E1768" s="62" t="s">
        <v>1037</v>
      </c>
      <c r="F1768" s="73" t="s">
        <v>1726</v>
      </c>
      <c r="G1768" s="59" t="s">
        <v>142</v>
      </c>
      <c r="H1768" s="126">
        <v>0.58333333333333337</v>
      </c>
      <c r="I1768" s="126">
        <v>0.70833333333333337</v>
      </c>
      <c r="J1768" s="127">
        <v>0.125</v>
      </c>
      <c r="K1768" s="61" t="s">
        <v>113</v>
      </c>
      <c r="L1768" s="134">
        <v>3</v>
      </c>
      <c r="O1768" s="81" t="s">
        <v>539</v>
      </c>
      <c r="P1768" s="88">
        <v>5</v>
      </c>
      <c r="Z1768" s="100"/>
    </row>
    <row r="1769" spans="1:26" x14ac:dyDescent="0.25">
      <c r="A1769" s="99">
        <v>45870</v>
      </c>
      <c r="B1769" s="74">
        <v>45887</v>
      </c>
      <c r="C1769" s="61" t="s">
        <v>45</v>
      </c>
      <c r="D1769" s="60" t="s">
        <v>98</v>
      </c>
      <c r="E1769" s="62" t="s">
        <v>414</v>
      </c>
      <c r="F1769" s="73" t="s">
        <v>1727</v>
      </c>
      <c r="G1769" s="59" t="s">
        <v>142</v>
      </c>
      <c r="H1769" s="126">
        <v>0.58333333333333337</v>
      </c>
      <c r="I1769" s="126">
        <v>0.70833333333333337</v>
      </c>
      <c r="J1769" s="127">
        <v>0.125</v>
      </c>
      <c r="K1769" s="61" t="s">
        <v>113</v>
      </c>
      <c r="L1769" s="134">
        <v>3</v>
      </c>
      <c r="O1769" s="81" t="s">
        <v>539</v>
      </c>
      <c r="P1769" s="88">
        <v>5</v>
      </c>
      <c r="Z1769" s="100"/>
    </row>
    <row r="1770" spans="1:26" x14ac:dyDescent="0.25">
      <c r="A1770" s="99">
        <v>45870</v>
      </c>
      <c r="B1770" s="74">
        <v>45887</v>
      </c>
      <c r="C1770" s="61" t="s">
        <v>45</v>
      </c>
      <c r="D1770" s="60" t="s">
        <v>126</v>
      </c>
      <c r="E1770" s="62" t="s">
        <v>1728</v>
      </c>
      <c r="F1770" s="73" t="s">
        <v>1631</v>
      </c>
      <c r="G1770" s="59" t="s">
        <v>142</v>
      </c>
      <c r="H1770" s="126">
        <v>0.5</v>
      </c>
      <c r="I1770" s="126">
        <v>0.70833333333333337</v>
      </c>
      <c r="J1770" s="127">
        <v>0.20833333333333337</v>
      </c>
      <c r="K1770" s="61" t="s">
        <v>113</v>
      </c>
      <c r="L1770" s="134">
        <v>5.0000000000000009</v>
      </c>
      <c r="O1770" s="81" t="s">
        <v>539</v>
      </c>
      <c r="P1770" s="88">
        <v>5</v>
      </c>
      <c r="Z1770" s="100"/>
    </row>
    <row r="1771" spans="1:26" x14ac:dyDescent="0.25">
      <c r="A1771" s="99">
        <v>45870</v>
      </c>
      <c r="B1771" s="74">
        <v>45887</v>
      </c>
      <c r="C1771" s="61" t="s">
        <v>45</v>
      </c>
      <c r="D1771" s="60" t="s">
        <v>32</v>
      </c>
      <c r="E1771" s="62" t="s">
        <v>1729</v>
      </c>
      <c r="F1771" s="73" t="s">
        <v>1730</v>
      </c>
      <c r="G1771" s="59" t="s">
        <v>142</v>
      </c>
      <c r="H1771" s="126">
        <v>0.45833333333333331</v>
      </c>
      <c r="I1771" s="126">
        <v>0.70833333333333337</v>
      </c>
      <c r="J1771" s="127">
        <v>0.25000000000000006</v>
      </c>
      <c r="K1771" s="61" t="s">
        <v>110</v>
      </c>
      <c r="L1771" s="134">
        <v>6.0000000000000018</v>
      </c>
      <c r="O1771" s="81" t="s">
        <v>539</v>
      </c>
      <c r="P1771" s="88">
        <v>5</v>
      </c>
      <c r="Z1771" s="100"/>
    </row>
    <row r="1772" spans="1:26" x14ac:dyDescent="0.25">
      <c r="A1772" s="99">
        <v>45870</v>
      </c>
      <c r="B1772" s="74">
        <v>45887</v>
      </c>
      <c r="C1772" s="61" t="s">
        <v>45</v>
      </c>
      <c r="D1772" s="60" t="s">
        <v>126</v>
      </c>
      <c r="E1772" s="62" t="s">
        <v>1728</v>
      </c>
      <c r="F1772" s="73" t="s">
        <v>1631</v>
      </c>
      <c r="G1772" s="59" t="s">
        <v>142</v>
      </c>
      <c r="H1772" s="126">
        <v>0.58333333333333337</v>
      </c>
      <c r="I1772" s="126">
        <v>0.625</v>
      </c>
      <c r="J1772" s="127">
        <v>4.166666666666663E-2</v>
      </c>
      <c r="K1772" s="61" t="s">
        <v>110</v>
      </c>
      <c r="L1772" s="134">
        <v>0.99999999999999911</v>
      </c>
      <c r="O1772" s="81" t="s">
        <v>363</v>
      </c>
      <c r="P1772" s="88">
        <v>5</v>
      </c>
      <c r="Z1772" s="100"/>
    </row>
    <row r="1773" spans="1:26" x14ac:dyDescent="0.25">
      <c r="A1773" s="99">
        <v>45870</v>
      </c>
      <c r="B1773" s="74">
        <v>45888</v>
      </c>
      <c r="C1773" s="61" t="s">
        <v>106</v>
      </c>
      <c r="D1773" s="60" t="s">
        <v>32</v>
      </c>
      <c r="E1773" s="62" t="s">
        <v>1731</v>
      </c>
      <c r="F1773" s="73" t="s">
        <v>1732</v>
      </c>
      <c r="G1773" s="59" t="s">
        <v>142</v>
      </c>
      <c r="H1773" s="126">
        <v>0.64583333333333337</v>
      </c>
      <c r="I1773" s="126">
        <v>0.6875</v>
      </c>
      <c r="J1773" s="127">
        <v>4.166666666666663E-2</v>
      </c>
      <c r="K1773" s="61" t="s">
        <v>365</v>
      </c>
      <c r="L1773" s="134">
        <v>0.99999999999999911</v>
      </c>
      <c r="O1773" s="81" t="s">
        <v>359</v>
      </c>
      <c r="P1773" s="88">
        <v>5</v>
      </c>
      <c r="Z1773" s="100"/>
    </row>
    <row r="1774" spans="1:26" x14ac:dyDescent="0.25">
      <c r="A1774" s="99">
        <v>45870</v>
      </c>
      <c r="B1774" s="74">
        <v>45888</v>
      </c>
      <c r="C1774" s="61" t="s">
        <v>106</v>
      </c>
      <c r="D1774" s="60" t="s">
        <v>325</v>
      </c>
      <c r="E1774" s="62" t="s">
        <v>1714</v>
      </c>
      <c r="F1774" s="73" t="s">
        <v>1715</v>
      </c>
      <c r="G1774" s="59" t="s">
        <v>142</v>
      </c>
      <c r="H1774" s="126">
        <v>0.45833333333333331</v>
      </c>
      <c r="I1774" s="126">
        <v>0.70833333333333337</v>
      </c>
      <c r="J1774" s="127">
        <v>0.25000000000000006</v>
      </c>
      <c r="K1774" s="61" t="s">
        <v>113</v>
      </c>
      <c r="L1774" s="134">
        <v>6.0000000000000018</v>
      </c>
      <c r="O1774" s="81" t="s">
        <v>539</v>
      </c>
      <c r="P1774" s="88">
        <v>5</v>
      </c>
      <c r="Z1774" s="100"/>
    </row>
    <row r="1775" spans="1:26" x14ac:dyDescent="0.25">
      <c r="A1775" s="99">
        <v>45870</v>
      </c>
      <c r="B1775" s="74">
        <v>45889</v>
      </c>
      <c r="C1775" s="61" t="s">
        <v>398</v>
      </c>
      <c r="D1775" s="60" t="s">
        <v>98</v>
      </c>
      <c r="E1775" s="62" t="s">
        <v>884</v>
      </c>
      <c r="F1775" s="73" t="s">
        <v>1733</v>
      </c>
      <c r="G1775" s="59" t="s">
        <v>142</v>
      </c>
      <c r="H1775" s="126">
        <v>0.54166666666666663</v>
      </c>
      <c r="I1775" s="126">
        <v>0.625</v>
      </c>
      <c r="J1775" s="127">
        <v>8.333333333333337E-2</v>
      </c>
      <c r="K1775" s="61" t="s">
        <v>110</v>
      </c>
      <c r="L1775" s="134">
        <v>2.0000000000000009</v>
      </c>
      <c r="O1775" s="81" t="s">
        <v>363</v>
      </c>
      <c r="P1775" s="88">
        <v>5</v>
      </c>
      <c r="Z1775" s="100"/>
    </row>
    <row r="1776" spans="1:26" x14ac:dyDescent="0.25">
      <c r="A1776" s="99">
        <v>45870</v>
      </c>
      <c r="B1776" s="74">
        <v>45889</v>
      </c>
      <c r="C1776" s="61" t="s">
        <v>398</v>
      </c>
      <c r="D1776" s="60" t="s">
        <v>1430</v>
      </c>
      <c r="E1776" s="62" t="s">
        <v>1734</v>
      </c>
      <c r="F1776" s="73" t="s">
        <v>837</v>
      </c>
      <c r="G1776" s="59" t="s">
        <v>142</v>
      </c>
      <c r="H1776" s="126">
        <v>0.41666666666666669</v>
      </c>
      <c r="I1776" s="126">
        <v>0.83333333333333337</v>
      </c>
      <c r="J1776" s="127">
        <v>0.41666666666666669</v>
      </c>
      <c r="K1776" s="61" t="s">
        <v>300</v>
      </c>
      <c r="L1776" s="134">
        <v>10</v>
      </c>
      <c r="O1776" s="81" t="s">
        <v>362</v>
      </c>
      <c r="P1776" s="88">
        <v>5</v>
      </c>
      <c r="Z1776" s="100"/>
    </row>
    <row r="1777" spans="1:26" x14ac:dyDescent="0.25">
      <c r="A1777" s="99">
        <v>45870</v>
      </c>
      <c r="B1777" s="74">
        <v>45889</v>
      </c>
      <c r="C1777" s="61" t="s">
        <v>398</v>
      </c>
      <c r="D1777" s="60" t="s">
        <v>326</v>
      </c>
      <c r="E1777" s="62" t="s">
        <v>1735</v>
      </c>
      <c r="F1777" s="73" t="s">
        <v>1736</v>
      </c>
      <c r="G1777" s="59" t="s">
        <v>142</v>
      </c>
      <c r="H1777" s="126">
        <v>0.54166666666666663</v>
      </c>
      <c r="I1777" s="126">
        <v>0.625</v>
      </c>
      <c r="J1777" s="127">
        <v>8.333333333333337E-2</v>
      </c>
      <c r="K1777" s="61" t="s">
        <v>110</v>
      </c>
      <c r="L1777" s="134">
        <v>2.0000000000000009</v>
      </c>
      <c r="O1777" s="81" t="s">
        <v>363</v>
      </c>
      <c r="P1777" s="88">
        <v>5</v>
      </c>
      <c r="Z1777" s="100"/>
    </row>
    <row r="1778" spans="1:26" x14ac:dyDescent="0.25">
      <c r="A1778" s="99">
        <v>45870</v>
      </c>
      <c r="B1778" s="74">
        <v>45889</v>
      </c>
      <c r="C1778" s="61" t="s">
        <v>398</v>
      </c>
      <c r="D1778" s="60" t="s">
        <v>406</v>
      </c>
      <c r="E1778" s="62" t="s">
        <v>1037</v>
      </c>
      <c r="F1778" s="73" t="s">
        <v>1726</v>
      </c>
      <c r="G1778" s="59" t="s">
        <v>142</v>
      </c>
      <c r="H1778" s="126">
        <v>0.58333333333333337</v>
      </c>
      <c r="I1778" s="126">
        <v>0.70833333333333337</v>
      </c>
      <c r="J1778" s="127">
        <v>0.125</v>
      </c>
      <c r="K1778" s="61" t="s">
        <v>113</v>
      </c>
      <c r="L1778" s="134">
        <v>3</v>
      </c>
      <c r="O1778" s="81" t="s">
        <v>539</v>
      </c>
      <c r="P1778" s="88">
        <v>5</v>
      </c>
      <c r="Z1778" s="100"/>
    </row>
    <row r="1779" spans="1:26" x14ac:dyDescent="0.25">
      <c r="A1779" s="99">
        <v>45870</v>
      </c>
      <c r="B1779" s="74">
        <v>45889</v>
      </c>
      <c r="C1779" s="61" t="s">
        <v>398</v>
      </c>
      <c r="D1779" s="60" t="s">
        <v>98</v>
      </c>
      <c r="E1779" s="62" t="s">
        <v>1724</v>
      </c>
      <c r="F1779" s="73" t="s">
        <v>1719</v>
      </c>
      <c r="G1779" s="59" t="s">
        <v>142</v>
      </c>
      <c r="H1779" s="126">
        <v>0.45833333333333331</v>
      </c>
      <c r="I1779" s="126">
        <v>0.70833333333333337</v>
      </c>
      <c r="J1779" s="127">
        <v>0.25000000000000006</v>
      </c>
      <c r="K1779" s="61" t="s">
        <v>113</v>
      </c>
      <c r="L1779" s="134">
        <v>6.0000000000000018</v>
      </c>
      <c r="O1779" s="81" t="s">
        <v>539</v>
      </c>
      <c r="P1779" s="88">
        <v>5</v>
      </c>
      <c r="Z1779" s="100"/>
    </row>
    <row r="1780" spans="1:26" x14ac:dyDescent="0.25">
      <c r="A1780" s="99">
        <v>45870</v>
      </c>
      <c r="B1780" s="74">
        <v>45890</v>
      </c>
      <c r="C1780" s="61" t="s">
        <v>124</v>
      </c>
      <c r="D1780" s="60" t="s">
        <v>499</v>
      </c>
      <c r="E1780" s="62" t="s">
        <v>1737</v>
      </c>
      <c r="F1780" s="73" t="s">
        <v>1738</v>
      </c>
      <c r="G1780" s="59" t="s">
        <v>142</v>
      </c>
      <c r="H1780" s="126">
        <v>0.5</v>
      </c>
      <c r="I1780" s="126">
        <v>0.625</v>
      </c>
      <c r="J1780" s="127">
        <v>0.125</v>
      </c>
      <c r="K1780" s="61" t="s">
        <v>365</v>
      </c>
      <c r="L1780" s="134">
        <v>3</v>
      </c>
      <c r="O1780" s="81" t="s">
        <v>361</v>
      </c>
      <c r="P1780" s="88">
        <v>5</v>
      </c>
      <c r="Z1780" s="100"/>
    </row>
    <row r="1781" spans="1:26" x14ac:dyDescent="0.25">
      <c r="A1781" s="99">
        <v>45870</v>
      </c>
      <c r="B1781" s="74">
        <v>45890</v>
      </c>
      <c r="C1781" s="61" t="s">
        <v>124</v>
      </c>
      <c r="D1781" s="60" t="s">
        <v>98</v>
      </c>
      <c r="E1781" s="62" t="s">
        <v>1724</v>
      </c>
      <c r="F1781" s="73" t="s">
        <v>1719</v>
      </c>
      <c r="G1781" s="59" t="s">
        <v>142</v>
      </c>
      <c r="H1781" s="126">
        <v>0.41666666666666669</v>
      </c>
      <c r="I1781" s="126">
        <v>0.70833333333333337</v>
      </c>
      <c r="J1781" s="127">
        <v>0.29166666666666669</v>
      </c>
      <c r="K1781" s="61" t="s">
        <v>113</v>
      </c>
      <c r="L1781" s="134">
        <v>7</v>
      </c>
      <c r="O1781" s="81" t="s">
        <v>359</v>
      </c>
      <c r="P1781" s="88">
        <v>5</v>
      </c>
      <c r="Z1781" s="100"/>
    </row>
    <row r="1782" spans="1:26" x14ac:dyDescent="0.25">
      <c r="A1782" s="99">
        <v>45870</v>
      </c>
      <c r="B1782" s="74">
        <v>45890</v>
      </c>
      <c r="C1782" s="61" t="s">
        <v>124</v>
      </c>
      <c r="D1782" s="60" t="s">
        <v>406</v>
      </c>
      <c r="E1782" s="62" t="s">
        <v>1037</v>
      </c>
      <c r="F1782" s="73" t="s">
        <v>1739</v>
      </c>
      <c r="G1782" s="59" t="s">
        <v>142</v>
      </c>
      <c r="H1782" s="126">
        <v>0.625</v>
      </c>
      <c r="I1782" s="126">
        <v>0.70833333333333337</v>
      </c>
      <c r="J1782" s="127">
        <v>8.333333333333337E-2</v>
      </c>
      <c r="K1782" s="61" t="s">
        <v>113</v>
      </c>
      <c r="L1782" s="134">
        <v>2.0000000000000009</v>
      </c>
      <c r="O1782" s="81" t="s">
        <v>359</v>
      </c>
      <c r="P1782" s="88">
        <v>5</v>
      </c>
      <c r="Z1782" s="100"/>
    </row>
    <row r="1783" spans="1:26" x14ac:dyDescent="0.25">
      <c r="A1783" s="99">
        <v>45870</v>
      </c>
      <c r="B1783" s="74">
        <v>45890</v>
      </c>
      <c r="C1783" s="61" t="s">
        <v>124</v>
      </c>
      <c r="D1783" s="60" t="s">
        <v>98</v>
      </c>
      <c r="E1783" s="62" t="s">
        <v>1721</v>
      </c>
      <c r="F1783" s="73" t="s">
        <v>618</v>
      </c>
      <c r="G1783" s="59" t="s">
        <v>142</v>
      </c>
      <c r="H1783" s="126">
        <v>0.54166666666666663</v>
      </c>
      <c r="I1783" s="126">
        <v>0.66666666666666663</v>
      </c>
      <c r="J1783" s="127">
        <v>0.125</v>
      </c>
      <c r="K1783" s="61" t="s">
        <v>113</v>
      </c>
      <c r="L1783" s="134">
        <v>3</v>
      </c>
      <c r="O1783" s="81" t="s">
        <v>359</v>
      </c>
      <c r="P1783" s="88">
        <v>5</v>
      </c>
      <c r="Z1783" s="100"/>
    </row>
    <row r="1784" spans="1:26" x14ac:dyDescent="0.25">
      <c r="A1784" s="99">
        <v>45870</v>
      </c>
      <c r="B1784" s="74">
        <v>45890</v>
      </c>
      <c r="C1784" s="61" t="s">
        <v>124</v>
      </c>
      <c r="D1784" s="60" t="s">
        <v>126</v>
      </c>
      <c r="E1784" s="62" t="s">
        <v>1690</v>
      </c>
      <c r="F1784" s="73" t="s">
        <v>1631</v>
      </c>
      <c r="G1784" s="59" t="s">
        <v>142</v>
      </c>
      <c r="H1784" s="126">
        <v>0.6875</v>
      </c>
      <c r="I1784" s="126">
        <v>0.72916666666666663</v>
      </c>
      <c r="J1784" s="127">
        <v>4.166666666666663E-2</v>
      </c>
      <c r="K1784" s="61" t="s">
        <v>296</v>
      </c>
      <c r="L1784" s="134">
        <v>0.99999999999999911</v>
      </c>
      <c r="O1784" s="81" t="s">
        <v>304</v>
      </c>
      <c r="P1784" s="88">
        <v>5</v>
      </c>
      <c r="Z1784" s="100"/>
    </row>
    <row r="1785" spans="1:26" x14ac:dyDescent="0.25">
      <c r="A1785" s="99">
        <v>45870</v>
      </c>
      <c r="B1785" s="74">
        <v>45890</v>
      </c>
      <c r="C1785" s="61" t="s">
        <v>124</v>
      </c>
      <c r="D1785" s="60" t="s">
        <v>499</v>
      </c>
      <c r="E1785" s="62" t="s">
        <v>1740</v>
      </c>
      <c r="F1785" s="73" t="s">
        <v>1741</v>
      </c>
      <c r="G1785" s="59" t="s">
        <v>142</v>
      </c>
      <c r="H1785" s="126">
        <v>0.5625</v>
      </c>
      <c r="I1785" s="126">
        <v>0.625</v>
      </c>
      <c r="J1785" s="127">
        <v>6.25E-2</v>
      </c>
      <c r="K1785" s="61" t="s">
        <v>296</v>
      </c>
      <c r="L1785" s="134">
        <v>1.5</v>
      </c>
      <c r="O1785" s="81" t="s">
        <v>304</v>
      </c>
      <c r="P1785" s="88">
        <v>5</v>
      </c>
      <c r="Z1785" s="100"/>
    </row>
    <row r="1786" spans="1:26" x14ac:dyDescent="0.25">
      <c r="A1786" s="99">
        <v>45870</v>
      </c>
      <c r="B1786" s="74">
        <v>45890</v>
      </c>
      <c r="C1786" s="61" t="s">
        <v>124</v>
      </c>
      <c r="D1786" s="60" t="s">
        <v>499</v>
      </c>
      <c r="E1786" s="62" t="s">
        <v>1742</v>
      </c>
      <c r="F1786" s="73" t="s">
        <v>1743</v>
      </c>
      <c r="G1786" s="59" t="s">
        <v>142</v>
      </c>
      <c r="H1786" s="126">
        <v>0.5625</v>
      </c>
      <c r="I1786" s="126">
        <v>0.97916666666666663</v>
      </c>
      <c r="J1786" s="127">
        <v>0.41666666666666663</v>
      </c>
      <c r="K1786" s="61" t="s">
        <v>296</v>
      </c>
      <c r="L1786" s="134">
        <v>10</v>
      </c>
      <c r="O1786" s="81" t="s">
        <v>304</v>
      </c>
      <c r="P1786" s="88">
        <v>5</v>
      </c>
      <c r="Z1786" s="100"/>
    </row>
    <row r="1787" spans="1:26" x14ac:dyDescent="0.25">
      <c r="A1787" s="99">
        <v>45870</v>
      </c>
      <c r="B1787" s="74">
        <v>45892</v>
      </c>
      <c r="C1787" s="61" t="s">
        <v>34</v>
      </c>
      <c r="D1787" s="60" t="s">
        <v>1430</v>
      </c>
      <c r="E1787" s="62" t="s">
        <v>1734</v>
      </c>
      <c r="F1787" s="73" t="s">
        <v>837</v>
      </c>
      <c r="G1787" s="59" t="s">
        <v>142</v>
      </c>
      <c r="H1787" s="126">
        <v>0.5</v>
      </c>
      <c r="I1787" s="126">
        <v>0.75</v>
      </c>
      <c r="J1787" s="127">
        <v>0.25</v>
      </c>
      <c r="K1787" s="61" t="s">
        <v>300</v>
      </c>
      <c r="L1787" s="134">
        <v>6</v>
      </c>
      <c r="O1787" s="81" t="s">
        <v>362</v>
      </c>
      <c r="P1787" s="88">
        <v>5</v>
      </c>
      <c r="Z1787" s="100"/>
    </row>
    <row r="1788" spans="1:26" x14ac:dyDescent="0.25">
      <c r="A1788" s="99">
        <v>45870</v>
      </c>
      <c r="B1788" s="74">
        <v>45892</v>
      </c>
      <c r="C1788" s="61" t="s">
        <v>34</v>
      </c>
      <c r="D1788" s="60" t="s">
        <v>481</v>
      </c>
      <c r="E1788" s="62" t="s">
        <v>1734</v>
      </c>
      <c r="F1788" s="73" t="s">
        <v>837</v>
      </c>
      <c r="G1788" s="59" t="s">
        <v>142</v>
      </c>
      <c r="H1788" s="126">
        <v>0.625</v>
      </c>
      <c r="I1788" s="126">
        <v>0.75</v>
      </c>
      <c r="J1788" s="127">
        <v>0.125</v>
      </c>
      <c r="K1788" s="61" t="s">
        <v>300</v>
      </c>
      <c r="L1788" s="134">
        <v>3</v>
      </c>
      <c r="O1788" s="81" t="s">
        <v>362</v>
      </c>
      <c r="P1788" s="88">
        <v>5</v>
      </c>
      <c r="Z1788" s="100"/>
    </row>
    <row r="1789" spans="1:26" x14ac:dyDescent="0.25">
      <c r="A1789" s="99">
        <v>45870</v>
      </c>
      <c r="B1789" s="74">
        <v>45892</v>
      </c>
      <c r="C1789" s="61" t="s">
        <v>34</v>
      </c>
      <c r="D1789" s="60" t="s">
        <v>98</v>
      </c>
      <c r="E1789" s="62" t="s">
        <v>353</v>
      </c>
      <c r="F1789" s="73" t="s">
        <v>1704</v>
      </c>
      <c r="G1789" s="59" t="s">
        <v>142</v>
      </c>
      <c r="H1789" s="126">
        <v>0.41666666666666669</v>
      </c>
      <c r="I1789" s="126">
        <v>0.66666666666666663</v>
      </c>
      <c r="J1789" s="127">
        <v>0.24999999999999994</v>
      </c>
      <c r="K1789" s="61" t="s">
        <v>110</v>
      </c>
      <c r="L1789" s="134">
        <v>5.9999999999999982</v>
      </c>
      <c r="O1789" s="81" t="s">
        <v>363</v>
      </c>
      <c r="P1789" s="88">
        <v>5</v>
      </c>
      <c r="Z1789" s="100"/>
    </row>
    <row r="1790" spans="1:26" x14ac:dyDescent="0.25">
      <c r="A1790" s="99">
        <v>45870</v>
      </c>
      <c r="B1790" s="74">
        <v>45893</v>
      </c>
      <c r="C1790" s="61" t="s">
        <v>31</v>
      </c>
      <c r="D1790" s="60" t="s">
        <v>406</v>
      </c>
      <c r="E1790" s="62" t="s">
        <v>1744</v>
      </c>
      <c r="F1790" s="73" t="s">
        <v>1726</v>
      </c>
      <c r="G1790" s="59" t="s">
        <v>142</v>
      </c>
      <c r="H1790" s="126">
        <v>0.58333333333333337</v>
      </c>
      <c r="I1790" s="126">
        <v>0.70833333333333337</v>
      </c>
      <c r="J1790" s="127">
        <v>0.125</v>
      </c>
      <c r="K1790" s="61" t="s">
        <v>113</v>
      </c>
      <c r="L1790" s="134">
        <v>3</v>
      </c>
      <c r="O1790" s="81" t="s">
        <v>539</v>
      </c>
      <c r="P1790" s="88">
        <v>5</v>
      </c>
      <c r="Z1790" s="100"/>
    </row>
    <row r="1791" spans="1:26" x14ac:dyDescent="0.25">
      <c r="A1791" s="99">
        <v>45870</v>
      </c>
      <c r="B1791" s="74">
        <v>45894</v>
      </c>
      <c r="C1791" s="61" t="s">
        <v>45</v>
      </c>
      <c r="D1791" s="60" t="s">
        <v>740</v>
      </c>
      <c r="E1791" s="62" t="s">
        <v>1745</v>
      </c>
      <c r="F1791" s="73" t="s">
        <v>1746</v>
      </c>
      <c r="G1791" s="59" t="s">
        <v>142</v>
      </c>
      <c r="H1791" s="126">
        <v>0.45833333333333331</v>
      </c>
      <c r="I1791" s="126">
        <v>0.5</v>
      </c>
      <c r="J1791" s="127">
        <v>4.1666666666666685E-2</v>
      </c>
      <c r="K1791" s="61" t="s">
        <v>365</v>
      </c>
      <c r="L1791" s="134">
        <v>1.0000000000000004</v>
      </c>
      <c r="O1791" s="81" t="s">
        <v>361</v>
      </c>
      <c r="P1791" s="88">
        <v>5</v>
      </c>
      <c r="Z1791" s="100"/>
    </row>
    <row r="1792" spans="1:26" x14ac:dyDescent="0.25">
      <c r="A1792" s="99">
        <v>45870</v>
      </c>
      <c r="B1792" s="74">
        <v>45894</v>
      </c>
      <c r="C1792" s="61" t="s">
        <v>45</v>
      </c>
      <c r="D1792" s="60" t="s">
        <v>406</v>
      </c>
      <c r="E1792" s="62" t="s">
        <v>407</v>
      </c>
      <c r="F1792" s="73" t="s">
        <v>1747</v>
      </c>
      <c r="G1792" s="59" t="s">
        <v>142</v>
      </c>
      <c r="H1792" s="126">
        <v>0.54166666666666663</v>
      </c>
      <c r="I1792" s="126">
        <v>0.66666666666666663</v>
      </c>
      <c r="J1792" s="127">
        <v>0.125</v>
      </c>
      <c r="K1792" s="61" t="s">
        <v>365</v>
      </c>
      <c r="L1792" s="134">
        <v>3</v>
      </c>
      <c r="O1792" s="81" t="s">
        <v>361</v>
      </c>
      <c r="P1792" s="88">
        <v>5</v>
      </c>
      <c r="Z1792" s="100"/>
    </row>
    <row r="1793" spans="1:26" x14ac:dyDescent="0.25">
      <c r="A1793" s="99">
        <v>45870</v>
      </c>
      <c r="B1793" s="74">
        <v>45894</v>
      </c>
      <c r="C1793" s="61" t="s">
        <v>45</v>
      </c>
      <c r="D1793" s="60" t="s">
        <v>481</v>
      </c>
      <c r="E1793" s="62" t="s">
        <v>1748</v>
      </c>
      <c r="F1793" s="73" t="s">
        <v>1749</v>
      </c>
      <c r="G1793" s="59" t="s">
        <v>142</v>
      </c>
      <c r="H1793" s="126">
        <v>0.72916666666666663</v>
      </c>
      <c r="I1793" s="126">
        <v>0.91666666666666663</v>
      </c>
      <c r="J1793" s="127">
        <v>0.1875</v>
      </c>
      <c r="K1793" s="61" t="s">
        <v>365</v>
      </c>
      <c r="L1793" s="134">
        <v>4.5</v>
      </c>
      <c r="O1793" s="81" t="s">
        <v>820</v>
      </c>
      <c r="P1793" s="88">
        <v>5</v>
      </c>
      <c r="Z1793" s="100"/>
    </row>
    <row r="1794" spans="1:26" x14ac:dyDescent="0.25">
      <c r="A1794" s="99">
        <v>45870</v>
      </c>
      <c r="B1794" s="74">
        <v>45894</v>
      </c>
      <c r="C1794" s="61" t="s">
        <v>45</v>
      </c>
      <c r="D1794" s="60" t="s">
        <v>406</v>
      </c>
      <c r="E1794" s="62" t="s">
        <v>1037</v>
      </c>
      <c r="F1794" s="73" t="s">
        <v>1726</v>
      </c>
      <c r="G1794" s="59" t="s">
        <v>142</v>
      </c>
      <c r="H1794" s="126">
        <v>0.41666666666666669</v>
      </c>
      <c r="I1794" s="126">
        <v>0.70833333333333337</v>
      </c>
      <c r="J1794" s="127">
        <v>0.29166666666666669</v>
      </c>
      <c r="K1794" s="61" t="s">
        <v>113</v>
      </c>
      <c r="L1794" s="134">
        <v>7</v>
      </c>
      <c r="O1794" s="81" t="s">
        <v>539</v>
      </c>
      <c r="P1794" s="88">
        <v>5</v>
      </c>
      <c r="Z1794" s="100"/>
    </row>
    <row r="1795" spans="1:26" x14ac:dyDescent="0.25">
      <c r="A1795" s="99">
        <v>45870</v>
      </c>
      <c r="B1795" s="74">
        <v>45894</v>
      </c>
      <c r="C1795" s="61" t="s">
        <v>45</v>
      </c>
      <c r="D1795" s="60" t="s">
        <v>126</v>
      </c>
      <c r="E1795" s="62" t="s">
        <v>1750</v>
      </c>
      <c r="F1795" s="73" t="s">
        <v>1631</v>
      </c>
      <c r="G1795" s="59" t="s">
        <v>142</v>
      </c>
      <c r="H1795" s="126">
        <v>0.625</v>
      </c>
      <c r="I1795" s="126">
        <v>0.70833333333333337</v>
      </c>
      <c r="J1795" s="127">
        <v>8.333333333333337E-2</v>
      </c>
      <c r="K1795" s="61" t="s">
        <v>365</v>
      </c>
      <c r="L1795" s="134">
        <v>2.0000000000000009</v>
      </c>
      <c r="O1795" s="81" t="s">
        <v>361</v>
      </c>
      <c r="P1795" s="88">
        <v>5</v>
      </c>
      <c r="Z1795" s="100"/>
    </row>
    <row r="1796" spans="1:26" x14ac:dyDescent="0.25">
      <c r="A1796" s="99">
        <v>45870</v>
      </c>
      <c r="B1796" s="74">
        <v>45894</v>
      </c>
      <c r="C1796" s="61" t="s">
        <v>45</v>
      </c>
      <c r="D1796" s="60" t="s">
        <v>1498</v>
      </c>
      <c r="E1796" s="62" t="s">
        <v>1751</v>
      </c>
      <c r="F1796" s="73" t="s">
        <v>1752</v>
      </c>
      <c r="G1796" s="59" t="s">
        <v>142</v>
      </c>
      <c r="H1796" s="126">
        <v>0.58333333333333337</v>
      </c>
      <c r="I1796" s="126">
        <v>0.60416666666666663</v>
      </c>
      <c r="J1796" s="127">
        <v>2.0833333333333259E-2</v>
      </c>
      <c r="K1796" s="61" t="s">
        <v>296</v>
      </c>
      <c r="L1796" s="134">
        <v>0.49999999999999822</v>
      </c>
      <c r="O1796" s="81" t="s">
        <v>304</v>
      </c>
      <c r="P1796" s="88">
        <v>5</v>
      </c>
      <c r="Z1796" s="100"/>
    </row>
    <row r="1797" spans="1:26" x14ac:dyDescent="0.25">
      <c r="A1797" s="99">
        <v>45870</v>
      </c>
      <c r="B1797" s="74">
        <v>45895</v>
      </c>
      <c r="C1797" s="61" t="s">
        <v>106</v>
      </c>
      <c r="D1797" s="60" t="s">
        <v>98</v>
      </c>
      <c r="E1797" s="62" t="s">
        <v>884</v>
      </c>
      <c r="F1797" s="73" t="s">
        <v>1753</v>
      </c>
      <c r="G1797" s="59" t="s">
        <v>142</v>
      </c>
      <c r="H1797" s="126">
        <v>0.54166666666666663</v>
      </c>
      <c r="I1797" s="126">
        <v>0.625</v>
      </c>
      <c r="J1797" s="127">
        <v>8.333333333333337E-2</v>
      </c>
      <c r="K1797" s="61" t="s">
        <v>365</v>
      </c>
      <c r="L1797" s="134">
        <v>2.0000000000000009</v>
      </c>
      <c r="O1797" s="81" t="s">
        <v>361</v>
      </c>
      <c r="P1797" s="88">
        <v>5</v>
      </c>
      <c r="Z1797" s="100"/>
    </row>
    <row r="1798" spans="1:26" x14ac:dyDescent="0.25">
      <c r="A1798" s="99">
        <v>45870</v>
      </c>
      <c r="B1798" s="74">
        <v>45895</v>
      </c>
      <c r="C1798" s="61" t="s">
        <v>106</v>
      </c>
      <c r="D1798" s="60" t="s">
        <v>406</v>
      </c>
      <c r="E1798" s="62" t="s">
        <v>1037</v>
      </c>
      <c r="F1798" s="73" t="s">
        <v>1726</v>
      </c>
      <c r="G1798" s="59" t="s">
        <v>142</v>
      </c>
      <c r="H1798" s="126">
        <v>0.66666666666666663</v>
      </c>
      <c r="I1798" s="126">
        <v>0.70833333333333337</v>
      </c>
      <c r="J1798" s="127">
        <v>4.1666666666666741E-2</v>
      </c>
      <c r="K1798" s="61" t="s">
        <v>113</v>
      </c>
      <c r="L1798" s="134">
        <v>1.0000000000000018</v>
      </c>
      <c r="O1798" s="81" t="s">
        <v>539</v>
      </c>
      <c r="P1798" s="88">
        <v>5</v>
      </c>
      <c r="Z1798" s="100"/>
    </row>
    <row r="1799" spans="1:26" x14ac:dyDescent="0.25">
      <c r="A1799" s="99">
        <v>45870</v>
      </c>
      <c r="B1799" s="74">
        <v>45900</v>
      </c>
      <c r="C1799" s="61" t="s">
        <v>31</v>
      </c>
      <c r="D1799" s="60" t="s">
        <v>1754</v>
      </c>
      <c r="E1799" s="62" t="s">
        <v>1215</v>
      </c>
      <c r="F1799" s="73" t="s">
        <v>1755</v>
      </c>
      <c r="G1799" s="59" t="s">
        <v>142</v>
      </c>
      <c r="H1799" s="126">
        <v>0.45833333333333331</v>
      </c>
      <c r="I1799" s="126">
        <v>0.64583333333333337</v>
      </c>
      <c r="J1799" s="127">
        <v>0.18750000000000006</v>
      </c>
      <c r="K1799" s="61" t="s">
        <v>366</v>
      </c>
      <c r="L1799" s="134">
        <v>4.5000000000000018</v>
      </c>
      <c r="O1799" s="81" t="s">
        <v>314</v>
      </c>
      <c r="P1799" s="88">
        <v>4</v>
      </c>
      <c r="Z1799" s="100"/>
    </row>
    <row r="1800" spans="1:26" x14ac:dyDescent="0.25">
      <c r="A1800" s="99">
        <v>45870</v>
      </c>
      <c r="B1800" s="74">
        <v>45900</v>
      </c>
      <c r="C1800" s="61" t="s">
        <v>31</v>
      </c>
      <c r="D1800" s="60" t="s">
        <v>1756</v>
      </c>
      <c r="E1800" s="62" t="s">
        <v>1468</v>
      </c>
      <c r="F1800" s="73" t="s">
        <v>1757</v>
      </c>
      <c r="G1800" s="59" t="s">
        <v>142</v>
      </c>
      <c r="H1800" s="126">
        <v>0.47916666666666669</v>
      </c>
      <c r="I1800" s="126">
        <v>0.66666666666666663</v>
      </c>
      <c r="J1800" s="127">
        <v>0.18749999999999994</v>
      </c>
      <c r="K1800" s="61" t="s">
        <v>365</v>
      </c>
      <c r="L1800" s="134">
        <v>4.4999999999999982</v>
      </c>
      <c r="O1800" s="81" t="s">
        <v>359</v>
      </c>
      <c r="P1800" s="88">
        <v>4</v>
      </c>
      <c r="Z1800" s="100"/>
    </row>
    <row r="1801" spans="1:26" x14ac:dyDescent="0.25">
      <c r="A1801" s="99">
        <v>45870</v>
      </c>
      <c r="B1801" s="74">
        <v>45900</v>
      </c>
      <c r="C1801" s="61" t="s">
        <v>31</v>
      </c>
      <c r="D1801" s="60" t="s">
        <v>1758</v>
      </c>
      <c r="E1801" s="62" t="s">
        <v>1037</v>
      </c>
      <c r="F1801" s="73" t="s">
        <v>1759</v>
      </c>
      <c r="G1801" s="59" t="s">
        <v>142</v>
      </c>
      <c r="H1801" s="126">
        <v>0.66666666666666663</v>
      </c>
      <c r="I1801" s="126">
        <v>0.875</v>
      </c>
      <c r="J1801" s="127">
        <v>0.20833333333333337</v>
      </c>
      <c r="K1801" s="61" t="s">
        <v>113</v>
      </c>
      <c r="L1801" s="134">
        <v>5.0000000000000009</v>
      </c>
      <c r="O1801" s="81" t="s">
        <v>539</v>
      </c>
      <c r="P1801" s="88">
        <v>5</v>
      </c>
      <c r="Z1801" s="100"/>
    </row>
    <row r="1802" spans="1:26" x14ac:dyDescent="0.25">
      <c r="A1802" s="99"/>
      <c r="P1802" s="88"/>
      <c r="Z1802" s="100"/>
    </row>
    <row r="1803" spans="1:26" x14ac:dyDescent="0.25">
      <c r="A1803" s="99"/>
      <c r="P1803" s="88"/>
      <c r="Z1803" s="100"/>
    </row>
    <row r="1804" spans="1:26" x14ac:dyDescent="0.25">
      <c r="A1804" s="99"/>
      <c r="P1804" s="88"/>
      <c r="Z1804" s="100"/>
    </row>
    <row r="1805" spans="1:26" x14ac:dyDescent="0.25">
      <c r="A1805" s="99"/>
      <c r="P1805" s="88"/>
      <c r="Z1805" s="100"/>
    </row>
    <row r="1806" spans="1:26" x14ac:dyDescent="0.25">
      <c r="A1806" s="99"/>
      <c r="P1806" s="88"/>
      <c r="Z1806" s="100"/>
    </row>
    <row r="1807" spans="1:26" x14ac:dyDescent="0.25">
      <c r="A1807" s="99"/>
      <c r="P1807" s="88"/>
      <c r="Z1807" s="100"/>
    </row>
    <row r="1808" spans="1:26" x14ac:dyDescent="0.25">
      <c r="A1808" s="99"/>
      <c r="P1808" s="88"/>
      <c r="Z1808" s="100"/>
    </row>
    <row r="1809" spans="1:26" x14ac:dyDescent="0.25">
      <c r="A1809" s="99"/>
      <c r="P1809" s="88"/>
      <c r="Z1809" s="100"/>
    </row>
    <row r="1810" spans="1:26" x14ac:dyDescent="0.25">
      <c r="A1810" s="99"/>
      <c r="P1810" s="88"/>
      <c r="Z1810" s="100"/>
    </row>
    <row r="1811" spans="1:26" x14ac:dyDescent="0.25">
      <c r="A1811" s="99"/>
      <c r="P1811" s="88"/>
      <c r="Z1811" s="100"/>
    </row>
    <row r="1812" spans="1:26" x14ac:dyDescent="0.25">
      <c r="A1812" s="99"/>
      <c r="P1812" s="88"/>
      <c r="Z1812" s="100"/>
    </row>
    <row r="1813" spans="1:26" x14ac:dyDescent="0.25">
      <c r="A1813" s="99"/>
      <c r="P1813" s="88"/>
      <c r="Z1813" s="100"/>
    </row>
    <row r="1814" spans="1:26" x14ac:dyDescent="0.25">
      <c r="A1814" s="99"/>
      <c r="P1814" s="88"/>
      <c r="Z1814" s="100"/>
    </row>
    <row r="1815" spans="1:26" x14ac:dyDescent="0.25">
      <c r="A1815" s="99"/>
      <c r="P1815" s="88"/>
      <c r="Z1815" s="100"/>
    </row>
    <row r="1816" spans="1:26" x14ac:dyDescent="0.25">
      <c r="A1816" s="99"/>
      <c r="P1816" s="88"/>
      <c r="Z1816" s="100"/>
    </row>
    <row r="1817" spans="1:26" x14ac:dyDescent="0.25">
      <c r="A1817" s="99"/>
      <c r="P1817" s="88"/>
      <c r="Z1817" s="100"/>
    </row>
    <row r="1818" spans="1:26" x14ac:dyDescent="0.25">
      <c r="A1818" s="99"/>
      <c r="P1818" s="88"/>
      <c r="Z1818" s="100"/>
    </row>
    <row r="1819" spans="1:26" x14ac:dyDescent="0.25">
      <c r="A1819" s="99"/>
      <c r="P1819" s="88"/>
      <c r="Z1819" s="100"/>
    </row>
    <row r="1820" spans="1:26" x14ac:dyDescent="0.25">
      <c r="A1820" s="99"/>
      <c r="P1820" s="88"/>
      <c r="Z1820" s="100"/>
    </row>
    <row r="1821" spans="1:26" x14ac:dyDescent="0.25">
      <c r="A1821" s="99"/>
      <c r="P1821" s="88"/>
      <c r="Z1821" s="100"/>
    </row>
    <row r="1822" spans="1:26" x14ac:dyDescent="0.25">
      <c r="A1822" s="99"/>
      <c r="P1822" s="88"/>
      <c r="Z1822" s="100"/>
    </row>
    <row r="1823" spans="1:26" x14ac:dyDescent="0.25">
      <c r="A1823" s="99"/>
      <c r="P1823" s="88"/>
      <c r="Z1823" s="100"/>
    </row>
    <row r="1824" spans="1:26" x14ac:dyDescent="0.25">
      <c r="A1824" s="99"/>
      <c r="P1824" s="88"/>
      <c r="Z1824" s="100"/>
    </row>
    <row r="1825" spans="1:26" x14ac:dyDescent="0.25">
      <c r="A1825" s="99"/>
      <c r="P1825" s="88"/>
      <c r="Z1825" s="100"/>
    </row>
    <row r="1826" spans="1:26" x14ac:dyDescent="0.25">
      <c r="A1826" s="99"/>
      <c r="P1826" s="88"/>
      <c r="Z1826" s="100"/>
    </row>
    <row r="1827" spans="1:26" x14ac:dyDescent="0.25">
      <c r="A1827" s="99"/>
      <c r="P1827" s="88"/>
      <c r="Z1827" s="100"/>
    </row>
    <row r="1828" spans="1:26" x14ac:dyDescent="0.25">
      <c r="A1828" s="99"/>
      <c r="P1828" s="88"/>
      <c r="Z1828" s="100"/>
    </row>
    <row r="1829" spans="1:26" x14ac:dyDescent="0.25">
      <c r="A1829" s="99"/>
      <c r="P1829" s="88"/>
      <c r="Z1829" s="100"/>
    </row>
    <row r="1830" spans="1:26" x14ac:dyDescent="0.25">
      <c r="A1830" s="99"/>
      <c r="P1830" s="88"/>
      <c r="Z1830" s="100"/>
    </row>
    <row r="1831" spans="1:26" x14ac:dyDescent="0.25">
      <c r="A1831" s="99"/>
      <c r="P1831" s="88"/>
      <c r="Z1831" s="100"/>
    </row>
    <row r="1832" spans="1:26" x14ac:dyDescent="0.25">
      <c r="A1832" s="99"/>
      <c r="P1832" s="88"/>
      <c r="Z1832" s="100"/>
    </row>
    <row r="1833" spans="1:26" x14ac:dyDescent="0.25">
      <c r="A1833" s="99"/>
      <c r="P1833" s="88"/>
      <c r="Z1833" s="100"/>
    </row>
    <row r="1834" spans="1:26" x14ac:dyDescent="0.25">
      <c r="A1834" s="99"/>
      <c r="P1834" s="88"/>
      <c r="Z1834" s="100"/>
    </row>
    <row r="1835" spans="1:26" x14ac:dyDescent="0.25">
      <c r="A1835" s="99"/>
      <c r="P1835" s="88"/>
      <c r="Z1835" s="100"/>
    </row>
    <row r="1836" spans="1:26" x14ac:dyDescent="0.25">
      <c r="A1836" s="99"/>
      <c r="P1836" s="88"/>
      <c r="Z1836" s="100"/>
    </row>
    <row r="1837" spans="1:26" x14ac:dyDescent="0.25">
      <c r="A1837" s="99"/>
      <c r="P1837" s="88"/>
      <c r="Z1837" s="100"/>
    </row>
    <row r="1838" spans="1:26" x14ac:dyDescent="0.25">
      <c r="A1838" s="99"/>
      <c r="P1838" s="88"/>
      <c r="Z1838" s="100"/>
    </row>
    <row r="1839" spans="1:26" x14ac:dyDescent="0.25">
      <c r="A1839" s="99"/>
      <c r="P1839" s="88"/>
      <c r="Z1839" s="100"/>
    </row>
    <row r="1840" spans="1:26" x14ac:dyDescent="0.25">
      <c r="A1840" s="99"/>
      <c r="P1840" s="88"/>
      <c r="Z1840" s="100"/>
    </row>
    <row r="1841" spans="1:26" x14ac:dyDescent="0.25">
      <c r="A1841" s="99"/>
      <c r="P1841" s="88"/>
      <c r="Z1841" s="100"/>
    </row>
    <row r="1842" spans="1:26" x14ac:dyDescent="0.25">
      <c r="A1842" s="99"/>
      <c r="P1842" s="88"/>
      <c r="Z1842" s="100"/>
    </row>
    <row r="1843" spans="1:26" x14ac:dyDescent="0.25">
      <c r="A1843" s="99"/>
      <c r="P1843" s="88"/>
      <c r="Z1843" s="100"/>
    </row>
    <row r="1844" spans="1:26" x14ac:dyDescent="0.25">
      <c r="A1844" s="99"/>
      <c r="P1844" s="88"/>
      <c r="Z1844" s="100"/>
    </row>
    <row r="1845" spans="1:26" x14ac:dyDescent="0.25">
      <c r="A1845" s="99"/>
      <c r="P1845" s="88"/>
      <c r="Z1845" s="100"/>
    </row>
    <row r="1846" spans="1:26" x14ac:dyDescent="0.25">
      <c r="A1846" s="99"/>
      <c r="P1846" s="88"/>
      <c r="Z1846" s="100"/>
    </row>
    <row r="1847" spans="1:26" x14ac:dyDescent="0.25">
      <c r="A1847" s="99"/>
      <c r="P1847" s="88"/>
      <c r="Z1847" s="100"/>
    </row>
    <row r="1848" spans="1:26" x14ac:dyDescent="0.25">
      <c r="A1848" s="99"/>
      <c r="P1848" s="88"/>
      <c r="Z1848" s="100"/>
    </row>
    <row r="1849" spans="1:26" x14ac:dyDescent="0.25">
      <c r="A1849" s="99"/>
      <c r="P1849" s="88"/>
      <c r="Z1849" s="100"/>
    </row>
    <row r="1850" spans="1:26" x14ac:dyDescent="0.25">
      <c r="A1850" s="99"/>
      <c r="P1850" s="88"/>
      <c r="Z1850" s="100"/>
    </row>
    <row r="1851" spans="1:26" x14ac:dyDescent="0.25">
      <c r="A1851" s="99"/>
      <c r="P1851" s="88"/>
      <c r="Z1851" s="100"/>
    </row>
    <row r="1852" spans="1:26" x14ac:dyDescent="0.25">
      <c r="A1852" s="99"/>
      <c r="P1852" s="88"/>
      <c r="Z1852" s="100"/>
    </row>
    <row r="1853" spans="1:26" x14ac:dyDescent="0.25">
      <c r="A1853" s="99"/>
      <c r="P1853" s="88"/>
      <c r="Z1853" s="100"/>
    </row>
    <row r="1854" spans="1:26" x14ac:dyDescent="0.25">
      <c r="A1854" s="99"/>
      <c r="P1854" s="88"/>
      <c r="Z1854" s="100"/>
    </row>
    <row r="1855" spans="1:26" x14ac:dyDescent="0.25">
      <c r="A1855" s="99"/>
      <c r="P1855" s="88"/>
      <c r="Z1855" s="100"/>
    </row>
    <row r="1856" spans="1:26" x14ac:dyDescent="0.25">
      <c r="A1856" s="99"/>
      <c r="P1856" s="88"/>
      <c r="Z1856" s="100"/>
    </row>
    <row r="1857" spans="1:26" x14ac:dyDescent="0.25">
      <c r="A1857" s="99"/>
      <c r="P1857" s="88"/>
      <c r="Z1857" s="100"/>
    </row>
    <row r="1858" spans="1:26" x14ac:dyDescent="0.25">
      <c r="A1858" s="99"/>
      <c r="P1858" s="88"/>
      <c r="Z1858" s="100"/>
    </row>
    <row r="1859" spans="1:26" x14ac:dyDescent="0.25">
      <c r="A1859" s="99"/>
      <c r="P1859" s="88"/>
      <c r="Z1859" s="100"/>
    </row>
    <row r="1860" spans="1:26" x14ac:dyDescent="0.25">
      <c r="A1860" s="99"/>
      <c r="P1860" s="88"/>
      <c r="Z1860" s="100"/>
    </row>
    <row r="1861" spans="1:26" x14ac:dyDescent="0.25">
      <c r="A1861" s="99"/>
      <c r="P1861" s="88"/>
      <c r="Z1861" s="100"/>
    </row>
    <row r="1862" spans="1:26" x14ac:dyDescent="0.25">
      <c r="A1862" s="99"/>
      <c r="P1862" s="88"/>
      <c r="Z1862" s="100"/>
    </row>
    <row r="1863" spans="1:26" x14ac:dyDescent="0.25">
      <c r="A1863" s="99"/>
      <c r="P1863" s="88"/>
      <c r="Z1863" s="100"/>
    </row>
    <row r="1864" spans="1:26" x14ac:dyDescent="0.25">
      <c r="A1864" s="99"/>
      <c r="P1864" s="88"/>
      <c r="Z1864" s="100"/>
    </row>
    <row r="1865" spans="1:26" x14ac:dyDescent="0.25">
      <c r="A1865" s="99"/>
      <c r="P1865" s="88"/>
      <c r="Z1865" s="100"/>
    </row>
    <row r="1866" spans="1:26" x14ac:dyDescent="0.25">
      <c r="A1866" s="99"/>
      <c r="P1866" s="88"/>
      <c r="Z1866" s="100"/>
    </row>
    <row r="1867" spans="1:26" x14ac:dyDescent="0.25">
      <c r="A1867" s="99"/>
      <c r="P1867" s="88"/>
      <c r="Z1867" s="100"/>
    </row>
    <row r="1868" spans="1:26" x14ac:dyDescent="0.25">
      <c r="A1868" s="99"/>
      <c r="P1868" s="88"/>
      <c r="Z1868" s="100"/>
    </row>
    <row r="1869" spans="1:26" x14ac:dyDescent="0.25">
      <c r="A1869" s="99"/>
      <c r="P1869" s="88"/>
      <c r="Z1869" s="100"/>
    </row>
    <row r="1870" spans="1:26" x14ac:dyDescent="0.25">
      <c r="A1870" s="99"/>
      <c r="P1870" s="88"/>
      <c r="Z1870" s="100"/>
    </row>
    <row r="1871" spans="1:26" x14ac:dyDescent="0.25">
      <c r="A1871" s="99"/>
      <c r="P1871" s="88"/>
      <c r="Z1871" s="100"/>
    </row>
    <row r="1872" spans="1:26" x14ac:dyDescent="0.25">
      <c r="A1872" s="99"/>
      <c r="P1872" s="88"/>
      <c r="Z1872" s="100"/>
    </row>
    <row r="1873" spans="1:26" x14ac:dyDescent="0.25">
      <c r="A1873" s="99"/>
      <c r="P1873" s="88"/>
      <c r="Z1873" s="100"/>
    </row>
    <row r="1874" spans="1:26" x14ac:dyDescent="0.25">
      <c r="A1874" s="99"/>
      <c r="P1874" s="88"/>
      <c r="Z1874" s="100"/>
    </row>
    <row r="1875" spans="1:26" x14ac:dyDescent="0.25">
      <c r="A1875" s="99"/>
      <c r="P1875" s="88"/>
      <c r="Z1875" s="100"/>
    </row>
    <row r="1876" spans="1:26" x14ac:dyDescent="0.25">
      <c r="A1876" s="99"/>
      <c r="P1876" s="88"/>
      <c r="Z1876" s="100"/>
    </row>
    <row r="1877" spans="1:26" x14ac:dyDescent="0.25">
      <c r="A1877" s="99"/>
      <c r="P1877" s="88"/>
      <c r="Z1877" s="100"/>
    </row>
    <row r="1878" spans="1:26" x14ac:dyDescent="0.25">
      <c r="A1878" s="99"/>
      <c r="P1878" s="88"/>
      <c r="Z1878" s="100"/>
    </row>
    <row r="1879" spans="1:26" x14ac:dyDescent="0.25">
      <c r="A1879" s="99"/>
      <c r="P1879" s="88"/>
      <c r="Z1879" s="100"/>
    </row>
    <row r="1880" spans="1:26" x14ac:dyDescent="0.25">
      <c r="A1880" s="99"/>
      <c r="P1880" s="88"/>
      <c r="Z1880" s="100"/>
    </row>
    <row r="1881" spans="1:26" x14ac:dyDescent="0.25">
      <c r="A1881" s="99"/>
      <c r="P1881" s="88"/>
      <c r="Z1881" s="100"/>
    </row>
    <row r="1882" spans="1:26" x14ac:dyDescent="0.25">
      <c r="A1882" s="99"/>
      <c r="P1882" s="88"/>
      <c r="Z1882" s="100"/>
    </row>
    <row r="1883" spans="1:26" x14ac:dyDescent="0.25">
      <c r="A1883" s="99"/>
      <c r="P1883" s="88"/>
      <c r="Z1883" s="100"/>
    </row>
    <row r="1884" spans="1:26" x14ac:dyDescent="0.25">
      <c r="A1884" s="99"/>
      <c r="P1884" s="88"/>
      <c r="Z1884" s="100"/>
    </row>
    <row r="1885" spans="1:26" x14ac:dyDescent="0.25">
      <c r="A1885" s="99"/>
      <c r="P1885" s="88"/>
      <c r="Z1885" s="100"/>
    </row>
    <row r="1886" spans="1:26" x14ac:dyDescent="0.25">
      <c r="A1886" s="99"/>
      <c r="P1886" s="88"/>
      <c r="Z1886" s="100"/>
    </row>
    <row r="1887" spans="1:26" x14ac:dyDescent="0.25">
      <c r="A1887" s="99"/>
      <c r="P1887" s="88"/>
      <c r="Z1887" s="100"/>
    </row>
    <row r="1888" spans="1:26" x14ac:dyDescent="0.25">
      <c r="A1888" s="99"/>
      <c r="P1888" s="88"/>
      <c r="Z1888" s="100"/>
    </row>
    <row r="1889" spans="1:26" x14ac:dyDescent="0.25">
      <c r="A1889" s="99"/>
      <c r="P1889" s="88"/>
      <c r="Z1889" s="100"/>
    </row>
    <row r="1890" spans="1:26" x14ac:dyDescent="0.25">
      <c r="A1890" s="99"/>
      <c r="P1890" s="88"/>
      <c r="Z1890" s="100"/>
    </row>
    <row r="1891" spans="1:26" x14ac:dyDescent="0.25">
      <c r="A1891" s="99"/>
      <c r="P1891" s="88"/>
      <c r="Z1891" s="100"/>
    </row>
    <row r="1892" spans="1:26" x14ac:dyDescent="0.25">
      <c r="A1892" s="99"/>
      <c r="P1892" s="88"/>
      <c r="Z1892" s="100"/>
    </row>
    <row r="1893" spans="1:26" x14ac:dyDescent="0.25">
      <c r="A1893" s="99"/>
      <c r="P1893" s="88"/>
      <c r="Z1893" s="100"/>
    </row>
    <row r="1894" spans="1:26" x14ac:dyDescent="0.25">
      <c r="A1894" s="99"/>
      <c r="P1894" s="88"/>
      <c r="Z1894" s="100"/>
    </row>
    <row r="1895" spans="1:26" x14ac:dyDescent="0.25">
      <c r="A1895" s="99"/>
      <c r="P1895" s="88"/>
      <c r="Z1895" s="100"/>
    </row>
    <row r="1896" spans="1:26" x14ac:dyDescent="0.25">
      <c r="A1896" s="99"/>
      <c r="P1896" s="88"/>
      <c r="Z1896" s="100"/>
    </row>
    <row r="1897" spans="1:26" x14ac:dyDescent="0.25">
      <c r="A1897" s="99"/>
      <c r="P1897" s="88"/>
      <c r="Z1897" s="100"/>
    </row>
    <row r="1898" spans="1:26" x14ac:dyDescent="0.25">
      <c r="A1898" s="99"/>
      <c r="P1898" s="88"/>
      <c r="Z1898" s="100"/>
    </row>
    <row r="1899" spans="1:26" x14ac:dyDescent="0.25">
      <c r="A1899" s="99"/>
      <c r="P1899" s="88"/>
      <c r="Z1899" s="100"/>
    </row>
    <row r="1900" spans="1:26" x14ac:dyDescent="0.25">
      <c r="A1900" s="99"/>
      <c r="P1900" s="88"/>
      <c r="Z1900" s="100"/>
    </row>
    <row r="1901" spans="1:26" x14ac:dyDescent="0.25">
      <c r="A1901" s="99"/>
      <c r="P1901" s="88"/>
      <c r="Z1901" s="100"/>
    </row>
    <row r="1902" spans="1:26" x14ac:dyDescent="0.25">
      <c r="A1902" s="99"/>
      <c r="P1902" s="88"/>
      <c r="Z1902" s="100"/>
    </row>
    <row r="1903" spans="1:26" x14ac:dyDescent="0.25">
      <c r="A1903" s="99"/>
      <c r="P1903" s="88"/>
      <c r="Z1903" s="100"/>
    </row>
    <row r="1904" spans="1:26" x14ac:dyDescent="0.25">
      <c r="A1904" s="99"/>
      <c r="P1904" s="88"/>
      <c r="Z1904" s="100"/>
    </row>
    <row r="1905" spans="1:26" x14ac:dyDescent="0.25">
      <c r="A1905" s="99"/>
      <c r="P1905" s="88"/>
      <c r="Z1905" s="100"/>
    </row>
    <row r="1906" spans="1:26" x14ac:dyDescent="0.25">
      <c r="A1906" s="99"/>
      <c r="P1906" s="88"/>
      <c r="Z1906" s="100"/>
    </row>
    <row r="1907" spans="1:26" x14ac:dyDescent="0.25">
      <c r="A1907" s="99"/>
      <c r="P1907" s="88"/>
      <c r="Z1907" s="100"/>
    </row>
    <row r="1908" spans="1:26" x14ac:dyDescent="0.25">
      <c r="A1908" s="99"/>
      <c r="P1908" s="88"/>
      <c r="Z1908" s="100"/>
    </row>
    <row r="1909" spans="1:26" x14ac:dyDescent="0.25">
      <c r="A1909" s="99"/>
      <c r="P1909" s="88"/>
      <c r="Z1909" s="100"/>
    </row>
    <row r="1910" spans="1:26" x14ac:dyDescent="0.25">
      <c r="A1910" s="99"/>
      <c r="P1910" s="88"/>
      <c r="Z1910" s="100"/>
    </row>
    <row r="1911" spans="1:26" x14ac:dyDescent="0.25">
      <c r="A1911" s="99"/>
      <c r="P1911" s="88"/>
      <c r="Z1911" s="100"/>
    </row>
    <row r="1912" spans="1:26" x14ac:dyDescent="0.25">
      <c r="A1912" s="99"/>
      <c r="P1912" s="88"/>
      <c r="Z1912" s="100"/>
    </row>
    <row r="1913" spans="1:26" x14ac:dyDescent="0.25">
      <c r="A1913" s="99"/>
      <c r="P1913" s="88"/>
      <c r="Z1913" s="100"/>
    </row>
    <row r="1914" spans="1:26" x14ac:dyDescent="0.25">
      <c r="A1914" s="99"/>
      <c r="P1914" s="88"/>
      <c r="Z1914" s="100"/>
    </row>
    <row r="1915" spans="1:26" x14ac:dyDescent="0.25">
      <c r="A1915" s="99"/>
      <c r="P1915" s="88"/>
      <c r="Z1915" s="100"/>
    </row>
    <row r="1916" spans="1:26" x14ac:dyDescent="0.25">
      <c r="A1916" s="99"/>
      <c r="P1916" s="88"/>
      <c r="Z1916" s="100"/>
    </row>
    <row r="1917" spans="1:26" x14ac:dyDescent="0.25">
      <c r="A1917" s="99"/>
      <c r="P1917" s="88"/>
      <c r="Z1917" s="100"/>
    </row>
    <row r="1918" spans="1:26" x14ac:dyDescent="0.25">
      <c r="A1918" s="99"/>
      <c r="P1918" s="88"/>
      <c r="Z1918" s="100"/>
    </row>
    <row r="1919" spans="1:26" x14ac:dyDescent="0.25">
      <c r="A1919" s="99"/>
      <c r="P1919" s="88"/>
      <c r="Z1919" s="100"/>
    </row>
    <row r="1920" spans="1:26" x14ac:dyDescent="0.25">
      <c r="A1920" s="99"/>
      <c r="P1920" s="88"/>
      <c r="Z1920" s="100"/>
    </row>
    <row r="1921" spans="1:26" x14ac:dyDescent="0.25">
      <c r="A1921" s="99"/>
      <c r="P1921" s="88"/>
      <c r="Z1921" s="100"/>
    </row>
    <row r="1922" spans="1:26" x14ac:dyDescent="0.25">
      <c r="A1922" s="99"/>
      <c r="P1922" s="88"/>
      <c r="Z1922" s="100"/>
    </row>
    <row r="1923" spans="1:26" x14ac:dyDescent="0.25">
      <c r="A1923" s="99"/>
      <c r="P1923" s="88"/>
      <c r="Z1923" s="100"/>
    </row>
    <row r="1924" spans="1:26" x14ac:dyDescent="0.25">
      <c r="A1924" s="99"/>
      <c r="P1924" s="88"/>
      <c r="Z1924" s="100"/>
    </row>
    <row r="1925" spans="1:26" x14ac:dyDescent="0.25">
      <c r="A1925" s="99"/>
      <c r="P1925" s="88"/>
      <c r="Z1925" s="100"/>
    </row>
    <row r="1926" spans="1:26" x14ac:dyDescent="0.25">
      <c r="A1926" s="99"/>
      <c r="P1926" s="88"/>
      <c r="Z1926" s="100"/>
    </row>
    <row r="1927" spans="1:26" x14ac:dyDescent="0.25">
      <c r="A1927" s="99"/>
      <c r="P1927" s="88"/>
      <c r="Z1927" s="100"/>
    </row>
    <row r="1928" spans="1:26" x14ac:dyDescent="0.25">
      <c r="A1928" s="99"/>
      <c r="P1928" s="88"/>
      <c r="Z1928" s="100"/>
    </row>
    <row r="1929" spans="1:26" x14ac:dyDescent="0.25">
      <c r="A1929" s="99"/>
      <c r="P1929" s="88"/>
      <c r="Z1929" s="100"/>
    </row>
    <row r="1930" spans="1:26" x14ac:dyDescent="0.25">
      <c r="A1930" s="99"/>
      <c r="P1930" s="88"/>
      <c r="Z1930" s="100"/>
    </row>
    <row r="1931" spans="1:26" x14ac:dyDescent="0.25">
      <c r="A1931" s="99"/>
      <c r="P1931" s="88"/>
      <c r="Z1931" s="100"/>
    </row>
    <row r="1932" spans="1:26" x14ac:dyDescent="0.25">
      <c r="A1932" s="99"/>
      <c r="P1932" s="88"/>
      <c r="Z1932" s="100"/>
    </row>
    <row r="1933" spans="1:26" x14ac:dyDescent="0.25">
      <c r="A1933" s="99"/>
      <c r="P1933" s="88"/>
      <c r="Z1933" s="100"/>
    </row>
    <row r="1934" spans="1:26" x14ac:dyDescent="0.25">
      <c r="A1934" s="99"/>
      <c r="P1934" s="88"/>
      <c r="Z1934" s="100"/>
    </row>
    <row r="1935" spans="1:26" x14ac:dyDescent="0.25">
      <c r="A1935" s="99"/>
      <c r="P1935" s="88"/>
      <c r="Z1935" s="100"/>
    </row>
    <row r="1936" spans="1:26" x14ac:dyDescent="0.25">
      <c r="A1936" s="99"/>
      <c r="P1936" s="88"/>
      <c r="Z1936" s="100"/>
    </row>
    <row r="1937" spans="1:26" x14ac:dyDescent="0.25">
      <c r="A1937" s="99"/>
      <c r="P1937" s="88"/>
      <c r="Z1937" s="100"/>
    </row>
    <row r="1938" spans="1:26" x14ac:dyDescent="0.25">
      <c r="A1938" s="99"/>
      <c r="P1938" s="88"/>
      <c r="Z1938" s="100"/>
    </row>
    <row r="1939" spans="1:26" x14ac:dyDescent="0.25">
      <c r="A1939" s="99"/>
      <c r="P1939" s="88"/>
      <c r="Z1939" s="100"/>
    </row>
    <row r="1940" spans="1:26" x14ac:dyDescent="0.25">
      <c r="A1940" s="99"/>
      <c r="P1940" s="88"/>
      <c r="Z1940" s="100"/>
    </row>
    <row r="1941" spans="1:26" x14ac:dyDescent="0.25">
      <c r="A1941" s="99"/>
      <c r="P1941" s="88"/>
      <c r="Z1941" s="100"/>
    </row>
    <row r="1942" spans="1:26" x14ac:dyDescent="0.25">
      <c r="A1942" s="99"/>
      <c r="P1942" s="88"/>
      <c r="Z1942" s="100"/>
    </row>
    <row r="1943" spans="1:26" x14ac:dyDescent="0.25">
      <c r="A1943" s="99"/>
      <c r="P1943" s="88"/>
      <c r="Z1943" s="100"/>
    </row>
    <row r="1944" spans="1:26" x14ac:dyDescent="0.25">
      <c r="A1944" s="99"/>
      <c r="P1944" s="88"/>
      <c r="Z1944" s="100"/>
    </row>
    <row r="1945" spans="1:26" x14ac:dyDescent="0.25">
      <c r="A1945" s="99"/>
      <c r="P1945" s="88"/>
      <c r="Z1945" s="100"/>
    </row>
    <row r="1946" spans="1:26" x14ac:dyDescent="0.25">
      <c r="A1946" s="99"/>
      <c r="P1946" s="88"/>
      <c r="Z1946" s="100"/>
    </row>
    <row r="1947" spans="1:26" x14ac:dyDescent="0.25">
      <c r="A1947" s="99"/>
      <c r="P1947" s="88"/>
      <c r="Z1947" s="100"/>
    </row>
    <row r="1948" spans="1:26" x14ac:dyDescent="0.25">
      <c r="A1948" s="99"/>
      <c r="P1948" s="88"/>
      <c r="Z1948" s="100"/>
    </row>
    <row r="1949" spans="1:26" x14ac:dyDescent="0.25">
      <c r="A1949" s="99"/>
      <c r="P1949" s="88"/>
      <c r="Z1949" s="100"/>
    </row>
    <row r="1950" spans="1:26" x14ac:dyDescent="0.25">
      <c r="A1950" s="99"/>
      <c r="P1950" s="88"/>
      <c r="Z1950" s="100"/>
    </row>
    <row r="1951" spans="1:26" x14ac:dyDescent="0.25">
      <c r="A1951" s="99"/>
      <c r="P1951" s="88"/>
      <c r="Z1951" s="100"/>
    </row>
    <row r="1952" spans="1:26" x14ac:dyDescent="0.25">
      <c r="A1952" s="99"/>
      <c r="P1952" s="88"/>
      <c r="Z1952" s="100"/>
    </row>
    <row r="1953" spans="1:26" x14ac:dyDescent="0.25">
      <c r="A1953" s="99"/>
      <c r="P1953" s="88"/>
      <c r="Z1953" s="100"/>
    </row>
    <row r="1954" spans="1:26" x14ac:dyDescent="0.25">
      <c r="A1954" s="99"/>
      <c r="P1954" s="88"/>
      <c r="Z1954" s="100"/>
    </row>
    <row r="1955" spans="1:26" x14ac:dyDescent="0.25">
      <c r="A1955" s="99"/>
      <c r="P1955" s="88"/>
      <c r="Z1955" s="100"/>
    </row>
    <row r="1956" spans="1:26" x14ac:dyDescent="0.25">
      <c r="A1956" s="99"/>
      <c r="P1956" s="88"/>
      <c r="Z1956" s="100"/>
    </row>
    <row r="1957" spans="1:26" x14ac:dyDescent="0.25">
      <c r="A1957" s="99"/>
      <c r="P1957" s="88"/>
      <c r="Z1957" s="100"/>
    </row>
    <row r="1958" spans="1:26" x14ac:dyDescent="0.25">
      <c r="A1958" s="99"/>
      <c r="P1958" s="88"/>
      <c r="Z1958" s="100"/>
    </row>
    <row r="1959" spans="1:26" x14ac:dyDescent="0.25">
      <c r="A1959" s="99"/>
      <c r="P1959" s="88"/>
      <c r="Z1959" s="100"/>
    </row>
    <row r="1960" spans="1:26" x14ac:dyDescent="0.25">
      <c r="A1960" s="99"/>
      <c r="P1960" s="88"/>
      <c r="Z1960" s="100"/>
    </row>
    <row r="1961" spans="1:26" x14ac:dyDescent="0.25">
      <c r="A1961" s="99"/>
      <c r="P1961" s="88"/>
      <c r="Z1961" s="100"/>
    </row>
    <row r="1962" spans="1:26" x14ac:dyDescent="0.25">
      <c r="A1962" s="99"/>
      <c r="P1962" s="88"/>
      <c r="Z1962" s="100"/>
    </row>
    <row r="1963" spans="1:26" x14ac:dyDescent="0.25">
      <c r="A1963" s="99"/>
      <c r="P1963" s="88"/>
      <c r="Z1963" s="100"/>
    </row>
    <row r="1964" spans="1:26" x14ac:dyDescent="0.25">
      <c r="A1964" s="99"/>
      <c r="P1964" s="88"/>
      <c r="Z1964" s="100"/>
    </row>
    <row r="1965" spans="1:26" x14ac:dyDescent="0.25">
      <c r="A1965" s="99"/>
      <c r="P1965" s="88"/>
      <c r="Z1965" s="100"/>
    </row>
    <row r="1966" spans="1:26" x14ac:dyDescent="0.25">
      <c r="A1966" s="99"/>
      <c r="P1966" s="88"/>
      <c r="Z1966" s="100"/>
    </row>
    <row r="1967" spans="1:26" x14ac:dyDescent="0.25">
      <c r="A1967" s="99"/>
      <c r="P1967" s="88"/>
      <c r="Z1967" s="100"/>
    </row>
    <row r="1968" spans="1:26" x14ac:dyDescent="0.25">
      <c r="A1968" s="99"/>
      <c r="P1968" s="88"/>
      <c r="Z1968" s="100"/>
    </row>
    <row r="1969" spans="1:26" x14ac:dyDescent="0.25">
      <c r="A1969" s="99"/>
      <c r="P1969" s="88"/>
      <c r="Z1969" s="100"/>
    </row>
    <row r="1970" spans="1:26" x14ac:dyDescent="0.25">
      <c r="A1970" s="99"/>
      <c r="P1970" s="88"/>
      <c r="Z1970" s="100"/>
    </row>
    <row r="1971" spans="1:26" x14ac:dyDescent="0.25">
      <c r="A1971" s="99"/>
      <c r="P1971" s="88"/>
      <c r="Z1971" s="100"/>
    </row>
    <row r="1972" spans="1:26" x14ac:dyDescent="0.25">
      <c r="A1972" s="99"/>
      <c r="P1972" s="88"/>
      <c r="Z1972" s="100"/>
    </row>
    <row r="1973" spans="1:26" x14ac:dyDescent="0.25">
      <c r="A1973" s="99"/>
      <c r="P1973" s="88"/>
      <c r="Z1973" s="100"/>
    </row>
    <row r="1974" spans="1:26" x14ac:dyDescent="0.25">
      <c r="A1974" s="99"/>
      <c r="P1974" s="88"/>
      <c r="Z1974" s="100"/>
    </row>
    <row r="1975" spans="1:26" x14ac:dyDescent="0.25">
      <c r="A1975" s="99"/>
      <c r="P1975" s="88"/>
      <c r="Z1975" s="100"/>
    </row>
    <row r="1976" spans="1:26" x14ac:dyDescent="0.25">
      <c r="A1976" s="99"/>
      <c r="P1976" s="88"/>
      <c r="Z1976" s="100"/>
    </row>
    <row r="1977" spans="1:26" x14ac:dyDescent="0.25">
      <c r="A1977" s="99"/>
      <c r="P1977" s="88"/>
      <c r="Z1977" s="100"/>
    </row>
    <row r="1978" spans="1:26" x14ac:dyDescent="0.25">
      <c r="A1978" s="99"/>
      <c r="P1978" s="88"/>
      <c r="Z1978" s="100"/>
    </row>
    <row r="1979" spans="1:26" x14ac:dyDescent="0.25">
      <c r="A1979" s="99"/>
      <c r="P1979" s="88"/>
      <c r="Z1979" s="100"/>
    </row>
    <row r="1980" spans="1:26" x14ac:dyDescent="0.25">
      <c r="A1980" s="99"/>
      <c r="P1980" s="88"/>
      <c r="Z1980" s="100"/>
    </row>
    <row r="1981" spans="1:26" x14ac:dyDescent="0.25">
      <c r="A1981" s="99"/>
      <c r="P1981" s="88"/>
      <c r="Z1981" s="100"/>
    </row>
    <row r="1982" spans="1:26" x14ac:dyDescent="0.25">
      <c r="A1982" s="99"/>
      <c r="P1982" s="88"/>
      <c r="Z1982" s="100"/>
    </row>
    <row r="1983" spans="1:26" x14ac:dyDescent="0.25">
      <c r="A1983" s="99"/>
      <c r="P1983" s="88"/>
      <c r="Z1983" s="100"/>
    </row>
    <row r="1984" spans="1:26" x14ac:dyDescent="0.25">
      <c r="A1984" s="99"/>
      <c r="P1984" s="88"/>
      <c r="Z1984" s="100"/>
    </row>
    <row r="1985" spans="1:26" x14ac:dyDescent="0.25">
      <c r="A1985" s="99"/>
      <c r="P1985" s="88"/>
      <c r="Z1985" s="100"/>
    </row>
    <row r="1986" spans="1:26" x14ac:dyDescent="0.25">
      <c r="A1986" s="99"/>
      <c r="P1986" s="88"/>
      <c r="Z1986" s="100"/>
    </row>
    <row r="1987" spans="1:26" x14ac:dyDescent="0.25">
      <c r="A1987" s="99"/>
      <c r="P1987" s="88"/>
      <c r="Z1987" s="100"/>
    </row>
    <row r="1988" spans="1:26" x14ac:dyDescent="0.25">
      <c r="A1988" s="99"/>
      <c r="P1988" s="88"/>
      <c r="Z1988" s="100"/>
    </row>
    <row r="1989" spans="1:26" x14ac:dyDescent="0.25">
      <c r="A1989" s="99"/>
      <c r="P1989" s="88"/>
      <c r="Z1989" s="100"/>
    </row>
    <row r="1990" spans="1:26" x14ac:dyDescent="0.25">
      <c r="A1990" s="99"/>
      <c r="P1990" s="88"/>
      <c r="Z1990" s="100"/>
    </row>
    <row r="1991" spans="1:26" x14ac:dyDescent="0.25">
      <c r="A1991" s="99"/>
      <c r="P1991" s="88"/>
      <c r="Z1991" s="100"/>
    </row>
    <row r="1992" spans="1:26" x14ac:dyDescent="0.25">
      <c r="A1992" s="99"/>
      <c r="P1992" s="88"/>
      <c r="Z1992" s="100"/>
    </row>
    <row r="1993" spans="1:26" x14ac:dyDescent="0.25">
      <c r="A1993" s="99"/>
      <c r="P1993" s="88"/>
      <c r="Z1993" s="100"/>
    </row>
    <row r="1994" spans="1:26" x14ac:dyDescent="0.25">
      <c r="A1994" s="99"/>
      <c r="P1994" s="88"/>
      <c r="Z1994" s="100"/>
    </row>
    <row r="1995" spans="1:26" x14ac:dyDescent="0.25">
      <c r="A1995" s="99"/>
      <c r="P1995" s="88"/>
      <c r="Z1995" s="100"/>
    </row>
    <row r="1996" spans="1:26" x14ac:dyDescent="0.25">
      <c r="A1996" s="99"/>
      <c r="P1996" s="88"/>
      <c r="Z1996" s="100"/>
    </row>
    <row r="1997" spans="1:26" x14ac:dyDescent="0.25">
      <c r="A1997" s="99"/>
      <c r="P1997" s="88"/>
      <c r="Z1997" s="100"/>
    </row>
    <row r="1998" spans="1:26" x14ac:dyDescent="0.25">
      <c r="A1998" s="99"/>
      <c r="P1998" s="88"/>
      <c r="Z1998" s="100"/>
    </row>
    <row r="1999" spans="1:26" x14ac:dyDescent="0.25">
      <c r="A1999" s="99"/>
      <c r="P1999" s="88"/>
      <c r="Z1999" s="100"/>
    </row>
    <row r="2000" spans="1:26" x14ac:dyDescent="0.25">
      <c r="A2000" s="99"/>
      <c r="P2000" s="88"/>
      <c r="Z2000" s="100"/>
    </row>
    <row r="2001" spans="1:26" x14ac:dyDescent="0.25">
      <c r="A2001" s="99"/>
      <c r="P2001" s="88"/>
      <c r="Z2001" s="100"/>
    </row>
    <row r="2002" spans="1:26" x14ac:dyDescent="0.25">
      <c r="A2002" s="99"/>
      <c r="P2002" s="88"/>
      <c r="Z2002" s="100"/>
    </row>
    <row r="2003" spans="1:26" x14ac:dyDescent="0.25">
      <c r="A2003" s="99"/>
      <c r="P2003" s="88"/>
      <c r="Z2003" s="100"/>
    </row>
    <row r="2004" spans="1:26" x14ac:dyDescent="0.25">
      <c r="A2004" s="99"/>
      <c r="P2004" s="88"/>
      <c r="Z2004" s="100"/>
    </row>
    <row r="2005" spans="1:26" x14ac:dyDescent="0.25">
      <c r="A2005" s="99"/>
      <c r="P2005" s="88"/>
      <c r="Z2005" s="100"/>
    </row>
    <row r="2006" spans="1:26" x14ac:dyDescent="0.25">
      <c r="A2006" s="99"/>
      <c r="P2006" s="88"/>
      <c r="Z2006" s="100"/>
    </row>
    <row r="2007" spans="1:26" x14ac:dyDescent="0.25">
      <c r="A2007" s="99"/>
      <c r="P2007" s="88"/>
      <c r="Z2007" s="100"/>
    </row>
    <row r="2008" spans="1:26" x14ac:dyDescent="0.25">
      <c r="A2008" s="99"/>
      <c r="P2008" s="88"/>
      <c r="Z2008" s="100"/>
    </row>
    <row r="2009" spans="1:26" x14ac:dyDescent="0.25">
      <c r="A2009" s="99"/>
      <c r="P2009" s="88"/>
      <c r="Z2009" s="100"/>
    </row>
    <row r="2010" spans="1:26" x14ac:dyDescent="0.25">
      <c r="A2010" s="99"/>
      <c r="P2010" s="88"/>
      <c r="Z2010" s="100"/>
    </row>
    <row r="2011" spans="1:26" x14ac:dyDescent="0.25">
      <c r="A2011" s="99"/>
      <c r="P2011" s="88"/>
      <c r="Z2011" s="100"/>
    </row>
    <row r="2012" spans="1:26" x14ac:dyDescent="0.25">
      <c r="A2012" s="99"/>
      <c r="P2012" s="88"/>
      <c r="Z2012" s="100"/>
    </row>
    <row r="2013" spans="1:26" x14ac:dyDescent="0.25">
      <c r="A2013" s="99"/>
      <c r="P2013" s="88"/>
      <c r="Z2013" s="100"/>
    </row>
    <row r="2014" spans="1:26" x14ac:dyDescent="0.25">
      <c r="A2014" s="99"/>
      <c r="P2014" s="88"/>
      <c r="Z2014" s="100"/>
    </row>
    <row r="2015" spans="1:26" x14ac:dyDescent="0.25">
      <c r="A2015" s="99"/>
      <c r="P2015" s="88"/>
      <c r="Z2015" s="100"/>
    </row>
    <row r="2016" spans="1:26" x14ac:dyDescent="0.25">
      <c r="A2016" s="99"/>
      <c r="P2016" s="88"/>
      <c r="Z2016" s="100"/>
    </row>
    <row r="2017" spans="1:26" x14ac:dyDescent="0.25">
      <c r="A2017" s="99"/>
      <c r="P2017" s="88"/>
      <c r="Z2017" s="100"/>
    </row>
    <row r="2018" spans="1:26" x14ac:dyDescent="0.25">
      <c r="A2018" s="99"/>
      <c r="P2018" s="88"/>
      <c r="Z2018" s="100"/>
    </row>
    <row r="2019" spans="1:26" x14ac:dyDescent="0.25">
      <c r="A2019" s="99"/>
      <c r="P2019" s="88"/>
      <c r="Z2019" s="100"/>
    </row>
    <row r="2020" spans="1:26" x14ac:dyDescent="0.25">
      <c r="A2020" s="99"/>
      <c r="P2020" s="88"/>
      <c r="Z2020" s="100"/>
    </row>
    <row r="2021" spans="1:26" x14ac:dyDescent="0.25">
      <c r="A2021" s="99"/>
      <c r="P2021" s="88"/>
      <c r="Z2021" s="100"/>
    </row>
    <row r="2022" spans="1:26" x14ac:dyDescent="0.25">
      <c r="A2022" s="99"/>
      <c r="P2022" s="88"/>
      <c r="Z2022" s="100"/>
    </row>
    <row r="2023" spans="1:26" x14ac:dyDescent="0.25">
      <c r="A2023" s="99"/>
      <c r="P2023" s="88"/>
      <c r="Z2023" s="100"/>
    </row>
    <row r="2024" spans="1:26" x14ac:dyDescent="0.25">
      <c r="A2024" s="99"/>
      <c r="P2024" s="88"/>
      <c r="Z2024" s="100"/>
    </row>
    <row r="2025" spans="1:26" x14ac:dyDescent="0.25">
      <c r="A2025" s="99"/>
      <c r="P2025" s="88"/>
      <c r="Z2025" s="100"/>
    </row>
    <row r="2026" spans="1:26" x14ac:dyDescent="0.25">
      <c r="A2026" s="99"/>
      <c r="P2026" s="88"/>
      <c r="Z2026" s="100"/>
    </row>
    <row r="2027" spans="1:26" x14ac:dyDescent="0.25">
      <c r="A2027" s="99"/>
      <c r="P2027" s="88"/>
      <c r="Z2027" s="100"/>
    </row>
    <row r="2028" spans="1:26" x14ac:dyDescent="0.25">
      <c r="A2028" s="99"/>
      <c r="P2028" s="88"/>
      <c r="Z2028" s="100"/>
    </row>
    <row r="2029" spans="1:26" x14ac:dyDescent="0.25">
      <c r="A2029" s="99"/>
      <c r="P2029" s="88"/>
      <c r="Z2029" s="100"/>
    </row>
    <row r="2030" spans="1:26" x14ac:dyDescent="0.25">
      <c r="A2030" s="99"/>
      <c r="P2030" s="88"/>
      <c r="Z2030" s="100"/>
    </row>
    <row r="2031" spans="1:26" x14ac:dyDescent="0.25">
      <c r="A2031" s="99"/>
      <c r="P2031" s="88"/>
      <c r="Z2031" s="100"/>
    </row>
    <row r="2032" spans="1:26" x14ac:dyDescent="0.25">
      <c r="A2032" s="99"/>
      <c r="P2032" s="88"/>
      <c r="Z2032" s="100"/>
    </row>
    <row r="2033" spans="1:26" x14ac:dyDescent="0.25">
      <c r="A2033" s="99"/>
      <c r="P2033" s="88"/>
      <c r="Z2033" s="100"/>
    </row>
    <row r="2034" spans="1:26" x14ac:dyDescent="0.25">
      <c r="A2034" s="99"/>
      <c r="P2034" s="88"/>
      <c r="Z2034" s="100"/>
    </row>
    <row r="2035" spans="1:26" x14ac:dyDescent="0.25">
      <c r="A2035" s="99"/>
      <c r="P2035" s="88"/>
      <c r="Z2035" s="100"/>
    </row>
    <row r="2036" spans="1:26" x14ac:dyDescent="0.25">
      <c r="A2036" s="99"/>
      <c r="P2036" s="88"/>
      <c r="Z2036" s="100"/>
    </row>
    <row r="2037" spans="1:26" x14ac:dyDescent="0.25">
      <c r="A2037" s="99"/>
      <c r="P2037" s="88"/>
      <c r="Z2037" s="100"/>
    </row>
    <row r="2038" spans="1:26" x14ac:dyDescent="0.25">
      <c r="A2038" s="99"/>
      <c r="P2038" s="88"/>
      <c r="Z2038" s="100"/>
    </row>
    <row r="2039" spans="1:26" x14ac:dyDescent="0.25">
      <c r="A2039" s="99"/>
      <c r="P2039" s="88"/>
      <c r="Z2039" s="100"/>
    </row>
    <row r="2040" spans="1:26" x14ac:dyDescent="0.25">
      <c r="A2040" s="99"/>
      <c r="P2040" s="88"/>
      <c r="Z2040" s="100"/>
    </row>
    <row r="2041" spans="1:26" x14ac:dyDescent="0.25">
      <c r="A2041" s="99"/>
      <c r="P2041" s="88"/>
      <c r="Z2041" s="100"/>
    </row>
    <row r="2042" spans="1:26" x14ac:dyDescent="0.25">
      <c r="A2042" s="99"/>
      <c r="P2042" s="88"/>
      <c r="Z2042" s="100"/>
    </row>
    <row r="2043" spans="1:26" x14ac:dyDescent="0.25">
      <c r="A2043" s="99"/>
      <c r="P2043" s="88"/>
      <c r="Z2043" s="100"/>
    </row>
    <row r="2044" spans="1:26" x14ac:dyDescent="0.25">
      <c r="A2044" s="99"/>
      <c r="P2044" s="88"/>
      <c r="Z2044" s="100"/>
    </row>
    <row r="2045" spans="1:26" x14ac:dyDescent="0.25">
      <c r="A2045" s="99"/>
      <c r="P2045" s="88"/>
      <c r="Z2045" s="100"/>
    </row>
    <row r="2046" spans="1:26" x14ac:dyDescent="0.25">
      <c r="A2046" s="99"/>
      <c r="P2046" s="88"/>
      <c r="Z2046" s="100"/>
    </row>
    <row r="2047" spans="1:26" x14ac:dyDescent="0.25">
      <c r="A2047" s="99"/>
      <c r="P2047" s="88"/>
      <c r="Z2047" s="100"/>
    </row>
    <row r="2048" spans="1:26" x14ac:dyDescent="0.25">
      <c r="A2048" s="99"/>
      <c r="P2048" s="88"/>
      <c r="Z2048" s="100"/>
    </row>
    <row r="2049" spans="1:26" x14ac:dyDescent="0.25">
      <c r="A2049" s="99"/>
      <c r="P2049" s="88"/>
      <c r="Z2049" s="100"/>
    </row>
    <row r="2050" spans="1:26" x14ac:dyDescent="0.25">
      <c r="A2050" s="99"/>
      <c r="P2050" s="88"/>
      <c r="Z2050" s="100"/>
    </row>
    <row r="2051" spans="1:26" x14ac:dyDescent="0.25">
      <c r="A2051" s="99"/>
      <c r="P2051" s="88"/>
      <c r="Z2051" s="100"/>
    </row>
    <row r="2052" spans="1:26" x14ac:dyDescent="0.25">
      <c r="A2052" s="99"/>
      <c r="P2052" s="88"/>
      <c r="Z2052" s="100"/>
    </row>
    <row r="2053" spans="1:26" x14ac:dyDescent="0.25">
      <c r="A2053" s="99"/>
      <c r="P2053" s="88"/>
      <c r="Z2053" s="100"/>
    </row>
    <row r="2054" spans="1:26" x14ac:dyDescent="0.25">
      <c r="A2054" s="99"/>
      <c r="P2054" s="88"/>
      <c r="Z2054" s="100"/>
    </row>
    <row r="2055" spans="1:26" x14ac:dyDescent="0.25">
      <c r="A2055" s="99"/>
      <c r="P2055" s="88"/>
      <c r="Z2055" s="100"/>
    </row>
    <row r="2056" spans="1:26" x14ac:dyDescent="0.25">
      <c r="A2056" s="99"/>
      <c r="P2056" s="88"/>
      <c r="Z2056" s="100"/>
    </row>
    <row r="2057" spans="1:26" x14ac:dyDescent="0.25">
      <c r="A2057" s="99"/>
      <c r="P2057" s="88"/>
      <c r="Z2057" s="100"/>
    </row>
    <row r="2058" spans="1:26" x14ac:dyDescent="0.25">
      <c r="A2058" s="99"/>
      <c r="P2058" s="88"/>
      <c r="Z2058" s="100"/>
    </row>
    <row r="2059" spans="1:26" x14ac:dyDescent="0.25">
      <c r="A2059" s="99"/>
      <c r="P2059" s="88"/>
      <c r="Z2059" s="100"/>
    </row>
    <row r="2060" spans="1:26" x14ac:dyDescent="0.25">
      <c r="A2060" s="99"/>
      <c r="P2060" s="88"/>
      <c r="Z2060" s="100"/>
    </row>
    <row r="2061" spans="1:26" x14ac:dyDescent="0.25">
      <c r="A2061" s="99"/>
      <c r="P2061" s="88"/>
      <c r="Z2061" s="100"/>
    </row>
    <row r="2062" spans="1:26" x14ac:dyDescent="0.25">
      <c r="A2062" s="99"/>
      <c r="P2062" s="88"/>
      <c r="Z2062" s="100"/>
    </row>
    <row r="2063" spans="1:26" x14ac:dyDescent="0.25">
      <c r="A2063" s="99"/>
      <c r="P2063" s="88"/>
      <c r="Z2063" s="100"/>
    </row>
    <row r="2064" spans="1:26" x14ac:dyDescent="0.25">
      <c r="A2064" s="99"/>
      <c r="P2064" s="88"/>
      <c r="Z2064" s="100"/>
    </row>
    <row r="2065" spans="1:26" x14ac:dyDescent="0.25">
      <c r="A2065" s="99"/>
      <c r="P2065" s="88"/>
      <c r="Z2065" s="100"/>
    </row>
    <row r="2066" spans="1:26" x14ac:dyDescent="0.25">
      <c r="A2066" s="99"/>
      <c r="P2066" s="88"/>
      <c r="Z2066" s="100"/>
    </row>
    <row r="2067" spans="1:26" x14ac:dyDescent="0.25">
      <c r="A2067" s="99"/>
      <c r="P2067" s="88"/>
      <c r="Z2067" s="100"/>
    </row>
    <row r="2068" spans="1:26" x14ac:dyDescent="0.25">
      <c r="A2068" s="99"/>
      <c r="P2068" s="88"/>
      <c r="Z2068" s="100"/>
    </row>
    <row r="2069" spans="1:26" x14ac:dyDescent="0.25">
      <c r="A2069" s="99"/>
      <c r="P2069" s="88"/>
      <c r="Z2069" s="100"/>
    </row>
    <row r="2070" spans="1:26" x14ac:dyDescent="0.25">
      <c r="A2070" s="99"/>
      <c r="P2070" s="88"/>
      <c r="Z2070" s="100"/>
    </row>
    <row r="2071" spans="1:26" x14ac:dyDescent="0.25">
      <c r="A2071" s="99"/>
      <c r="P2071" s="88"/>
      <c r="Z2071" s="100"/>
    </row>
    <row r="2072" spans="1:26" x14ac:dyDescent="0.25">
      <c r="A2072" s="99"/>
      <c r="P2072" s="88"/>
      <c r="Z2072" s="100"/>
    </row>
    <row r="2073" spans="1:26" x14ac:dyDescent="0.25">
      <c r="A2073" s="99"/>
      <c r="P2073" s="88"/>
      <c r="Z2073" s="100"/>
    </row>
    <row r="2074" spans="1:26" x14ac:dyDescent="0.25">
      <c r="A2074" s="99"/>
      <c r="P2074" s="88"/>
      <c r="Z2074" s="100"/>
    </row>
    <row r="2075" spans="1:26" x14ac:dyDescent="0.25">
      <c r="A2075" s="99"/>
      <c r="P2075" s="88"/>
      <c r="Z2075" s="100"/>
    </row>
    <row r="2076" spans="1:26" x14ac:dyDescent="0.25">
      <c r="A2076" s="99"/>
      <c r="P2076" s="88"/>
      <c r="Z2076" s="100"/>
    </row>
    <row r="2077" spans="1:26" x14ac:dyDescent="0.25">
      <c r="A2077" s="99"/>
      <c r="P2077" s="88"/>
      <c r="Z2077" s="100"/>
    </row>
    <row r="2078" spans="1:26" x14ac:dyDescent="0.25">
      <c r="A2078" s="99"/>
      <c r="P2078" s="88"/>
      <c r="Z2078" s="100"/>
    </row>
    <row r="2079" spans="1:26" x14ac:dyDescent="0.25">
      <c r="P2079" s="88"/>
    </row>
    <row r="2080" spans="1:26" x14ac:dyDescent="0.25">
      <c r="P2080" s="88"/>
    </row>
    <row r="2081" spans="16:16" x14ac:dyDescent="0.25">
      <c r="P2081" s="88"/>
    </row>
    <row r="2082" spans="16:16" x14ac:dyDescent="0.25">
      <c r="P2082" s="88"/>
    </row>
    <row r="2083" spans="16:16" x14ac:dyDescent="0.25">
      <c r="P2083" s="88"/>
    </row>
    <row r="2084" spans="16:16" x14ac:dyDescent="0.25">
      <c r="P2084" s="88"/>
    </row>
    <row r="2085" spans="16:16" x14ac:dyDescent="0.25">
      <c r="P2085" s="88"/>
    </row>
    <row r="2086" spans="16:16" x14ac:dyDescent="0.25">
      <c r="P2086" s="88"/>
    </row>
    <row r="2087" spans="16:16" x14ac:dyDescent="0.25">
      <c r="P2087" s="88"/>
    </row>
    <row r="2088" spans="16:16" x14ac:dyDescent="0.25">
      <c r="P2088" s="88"/>
    </row>
    <row r="2089" spans="16:16" x14ac:dyDescent="0.25">
      <c r="P2089" s="88"/>
    </row>
    <row r="2090" spans="16:16" x14ac:dyDescent="0.25">
      <c r="P2090" s="88"/>
    </row>
  </sheetData>
  <phoneticPr fontId="12" type="noConversion"/>
  <dataValidations count="15">
    <dataValidation type="list" allowBlank="1" showInputMessage="1" showErrorMessage="1" sqref="K104:K108 K1337:K1048576 K1212:K1335 K1198:K1199 K1201:K1210 K763:K1196 K704:K761 K528:K530 K356 K84:K90 K81:K82 K701:K702 K697:K699 K692:K695 K685:K687 K689:K690 K666:K682 K661:K663 K654:K655 K657:K658 K640:K643 K635:K638 K506:K508 K645:K651 K600:K606 K619:K622 K615:K616 K610:K612 K156:K160 K569:K576 K558:K560 K586 K578:K582 K548:K556 K564:K567 K535:K539 K358 K496:K503 K522:K523 K510:K520 K139:K148 K450:K452 K494 K485:K487 K469:K473 K489 K447:K448 K460:K461 K457 K465:K467 K434:K435 K420:K425 K444 K441 K389:K394 K427:K429 K413:K415 K404 K409:K411 K417:K418 K401:K402 K398 K383:K386 K372:K376 K628:K633 K368 K353 K345 K363:K365 K349 K342:K343 K330:K332 K340 K334:K335 K315:K318 K321 K327 K325 K306:K307 K310:K313 K276:K280 K303:K304 K295:K299 K288:K292 K266:K269 K259:K261 K274 K250:K257 K246:K247 K244 K225:K226 K237:K240 K230:K232 K218:K223 K215:K216 K211:K213 K202:K204 K207 K182:K184 K196:K198 K188:K192 K177:K178 K110:K111 K171:K172 K167:K169 K164:K165 K150:K154 K137 K113:K114 K127:K128 K133:K134 K117:K124 K96:K101 K13:K15 K30:K35 K41:K44 K625:K626 K590:K594 K596:K598 K7:K10 K2:K4 K480:K482 K532:K533 K19:K26 K92:K94 K69:K78 K50:K67" xr:uid="{66A165BE-44D1-40BC-85C7-60EC82118B25}">
      <formula1>$W$2:$W$8</formula1>
    </dataValidation>
    <dataValidation type="list" allowBlank="1" showInputMessage="1" showErrorMessage="1" sqref="Y21" xr:uid="{89F2AA1B-5F91-4A28-B314-C6E19A71170E}">
      <formula1>$X$1:$X$13</formula1>
    </dataValidation>
    <dataValidation type="list" allowBlank="1" showInputMessage="1" showErrorMessage="1" sqref="K186:K187 K1336 K762 K723:K724 K530:K531 K696 K683:K684 K691 K688 K634 K659:K660 K644 K639 K652:K653 K604 K623:K627 K656 K504:K505 K617:K618 K587:K589 K583:K585 K577 K664:K665 K561:K563 K483:K488 K468 K540:K547 K534 K521 K524:K527 K508:K509 K607:K609 K557 K495:K496 K490:K493 K595 K462 K163 K458:K459 K478 K449 K445 K455 K442:K443 K437 K430:K433 K426 K419 K45:K49 K300:K302 K405:K408 K399:K400 K403 K416 K395:K397 K387:K388 K380 K333 K328:K329 K322:K324 K319:K320 K314 K308:K309 K305 K412 K293:K294 K287 K284 K281:K282 K275 K273 K270 K234 K265 K262:K263 K258 K248:K249 K245 K243 K228 K193:K195 K214 K210 K205:K206 K161 K155 K174:K175 K703 K68 K135:K136 K166 K599 K568 K130:K132 K112 K613:K614 K109 K115:K116 K102:K103 K91 K700 K27:K29 K79:K80 K95 K11:K12 K5:K6 K83 K16:K18 K36:K40" xr:uid="{A9680670-4D67-4630-B090-560B76BEFF35}">
      <formula1>$W$1:$W$6</formula1>
    </dataValidation>
    <dataValidation type="list" allowBlank="1" showInputMessage="1" showErrorMessage="1" sqref="C2:C585 C590:C1048576" xr:uid="{9284A536-8A73-4FA3-8337-F8E881AACE01}">
      <formula1>$U$3:$U$15</formula1>
    </dataValidation>
    <dataValidation type="list" allowBlank="1" showInputMessage="1" showErrorMessage="1" sqref="K125:K126 K1211 K1200 K1197 K185 K479 K476:K477 K463 K456 K453:K454 K446 K439 K377 K369 K366 K351 K326 K285:K286 K283 K271:K272 K233 K264 K241:K242 K235:K236 K229 K227 K217 K224 K208:K209 K199:K201 K176 K179:K181 K173 K170 K129" xr:uid="{59104C0C-7CDA-4B35-8328-75F45B0FB84F}">
      <formula1>$W$2:$W$9</formula1>
    </dataValidation>
    <dataValidation type="list" allowBlank="1" showInputMessage="1" showErrorMessage="1" sqref="K138 K464 K462 K474:K475 K440 K438 K436 K162 K370:K371 K378:K379 K367 K381:K382 K357 K354:K355 K352 K344 K350 K336:K339 K346:K348 K341 K359:K362 K149" xr:uid="{1479091B-ECAB-43BD-AE64-860E5749E4A7}">
      <formula1>$W$1:$W$5</formula1>
    </dataValidation>
    <dataValidation type="list" allowBlank="1" showInputMessage="1" showErrorMessage="1" sqref="C586:C589" xr:uid="{6973B829-4F38-4D68-AF3E-F292DF6DFFF8}">
      <formula1>$U$6:$U$12</formula1>
    </dataValidation>
    <dataValidation type="list" allowBlank="1" showInputMessage="1" showErrorMessage="1" sqref="D2079:D1048576 D1382:D1386 D1375:D1380 D1336 D1270 D1227:D1228 D1217 D1224:D1225 D1209 D1205 D1219:D1220 D1211 D1200:D1202 D1197 D1191 D1187 D1175:D1185 D1170:D1173 D1162:D1168 D1159:D1160 D1147:D1156 D1138:D1143 D1132:D1134 D1136 D1127 D1124:D1125 D1095:D1106 D1112:D1114 D1116:D1122 D1129 D1108 D1110 D1088:D1089 D1091:D1092 D1079 D1081:D1083 D1063:D1071 D1073:D1077 D1057:D1061 D1051:D1055 D1034:D1041 D1044:D1045 D1048:D1049 D1:D1025 D1030" xr:uid="{4CE93872-F8DF-4C1F-9AED-C63A579C9EB8}">
      <formula1>$V$2:$V$68</formula1>
    </dataValidation>
    <dataValidation type="list" allowBlank="1" showInputMessage="1" showErrorMessage="1" sqref="D1026:D1029 D1709:D2078 D1337:D1374 D1271:D1335 D1229:D1269 D1212:D1216 D1221:D1223 D1206:D1208 D1203:D1204 D1210 D1218 D1198:D1199 D1192:D1196 D1188:D1190 D1186 D1174 D1169 D1157:D1158 D1161 D1144:D1146 D1135 D1137 D1226 D1130:D1131 D1123 D1109 D1128 D1115 D1111 D1126 D1107 D1093:D1094 D1090 D1084:D1087 D1078 D1080 D1072 D1062 D1056 D1050 D1046:D1047 D1042:D1043 D1031:D1033" xr:uid="{8EBF9C78-1577-4EC9-9764-81BC20B98A36}">
      <formula1>$V$2:$V$80</formula1>
    </dataValidation>
    <dataValidation type="list" allowBlank="1" showInputMessage="1" showErrorMessage="1" sqref="D1381 D1387:D1558" xr:uid="{DF60127D-45D0-4A86-B578-2698E264498B}">
      <formula1>$V$2:$V$86</formula1>
    </dataValidation>
    <dataValidation type="list" allowBlank="1" showInputMessage="1" showErrorMessage="1" sqref="D1559:D1610" xr:uid="{F1604F3E-9BA4-46CE-BAC5-82A84C986EDF}">
      <formula1>$V$2:$V$94</formula1>
    </dataValidation>
    <dataValidation type="list" allowBlank="1" showInputMessage="1" showErrorMessage="1" sqref="D1611:D1708" xr:uid="{80E6B87A-3E83-43A1-95C0-D63CE9C06273}">
      <formula1>$V:$V</formula1>
    </dataValidation>
    <dataValidation type="list" allowBlank="1" showInputMessage="1" showErrorMessage="1" sqref="G1:G1048576" xr:uid="{16952D2D-5B24-4583-96BF-27655111D745}">
      <formula1>$Z$2:$Z$3</formula1>
    </dataValidation>
    <dataValidation type="list" allowBlank="1" showInputMessage="1" showErrorMessage="1" sqref="P1:P1048576" xr:uid="{F1D6B4DF-6EA7-466B-883F-6B77CDBD0CF5}">
      <formula1>$R$2:$R$6</formula1>
    </dataValidation>
    <dataValidation type="list" allowBlank="1" showInputMessage="1" showErrorMessage="1" sqref="O1:O1048576" xr:uid="{8B6F290C-22F9-431A-B2B6-9563358B9733}">
      <formula1>$X$2:$X$16</formula1>
    </dataValidation>
  </dataValidations>
  <pageMargins left="0.7" right="0.7" top="0.75" bottom="0.75" header="0.3" footer="0.3"/>
  <pageSetup paperSize="9" scale="69" orientation="portrait" r:id="rId1"/>
  <ignoredErrors>
    <ignoredError sqref="J219:J283 J285:J327 J329:J345 J347:J545 J547:J569 J571:J792" formula="1"/>
  </ignoredErrors>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3D6F6E3B-AA80-400A-8162-17D069FF3C9E}">
          <x14:formula1>
            <xm:f>Sheet2!$C$1:$C$12</xm:f>
          </x14:formula1>
          <xm:sqref>A1709:A1048576 A1:A1130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10058-E4D2-4FF6-AEBB-8F43642454F1}">
  <dimension ref="A1"/>
  <sheetViews>
    <sheetView workbookViewId="0"/>
  </sheetViews>
  <sheetFormatPr defaultRowHeight="14.25" x14ac:dyDescent="0.2"/>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54991-2516-4E98-95D1-78B8F578CC56}">
  <dimension ref="A3:B17"/>
  <sheetViews>
    <sheetView rightToLeft="1" workbookViewId="0">
      <selection activeCell="H10" sqref="H10"/>
    </sheetView>
  </sheetViews>
  <sheetFormatPr defaultRowHeight="14.25" x14ac:dyDescent="0.2"/>
  <cols>
    <col min="1" max="1" width="22" bestFit="1" customWidth="1"/>
    <col min="2" max="2" width="22.75" bestFit="1" customWidth="1"/>
  </cols>
  <sheetData>
    <row r="3" spans="1:2" x14ac:dyDescent="0.2">
      <c r="A3" s="15" t="s">
        <v>823</v>
      </c>
      <c r="B3" t="s">
        <v>298</v>
      </c>
    </row>
    <row r="4" spans="1:2" x14ac:dyDescent="0.2">
      <c r="A4" s="64" t="s">
        <v>576</v>
      </c>
      <c r="B4">
        <v>571.24839999999995</v>
      </c>
    </row>
    <row r="5" spans="1:2" x14ac:dyDescent="0.2">
      <c r="A5" s="64" t="s">
        <v>361</v>
      </c>
      <c r="B5">
        <v>735.49919999999997</v>
      </c>
    </row>
    <row r="6" spans="1:2" x14ac:dyDescent="0.2">
      <c r="A6" s="64" t="s">
        <v>360</v>
      </c>
      <c r="B6">
        <v>412.99599999999998</v>
      </c>
    </row>
    <row r="7" spans="1:2" x14ac:dyDescent="0.2">
      <c r="A7" s="64" t="s">
        <v>359</v>
      </c>
      <c r="B7">
        <v>784.49919999999997</v>
      </c>
    </row>
    <row r="8" spans="1:2" x14ac:dyDescent="0.2">
      <c r="A8" s="64" t="s">
        <v>364</v>
      </c>
      <c r="B8">
        <v>18</v>
      </c>
    </row>
    <row r="9" spans="1:2" x14ac:dyDescent="0.2">
      <c r="A9" s="64" t="s">
        <v>358</v>
      </c>
      <c r="B9">
        <v>397.49680000000001</v>
      </c>
    </row>
    <row r="10" spans="1:2" x14ac:dyDescent="0.2">
      <c r="A10" s="64" t="s">
        <v>362</v>
      </c>
      <c r="B10">
        <v>1030.5</v>
      </c>
    </row>
    <row r="11" spans="1:2" x14ac:dyDescent="0.2">
      <c r="A11" s="64" t="s">
        <v>363</v>
      </c>
      <c r="B11">
        <v>993.48559999999998</v>
      </c>
    </row>
    <row r="12" spans="1:2" x14ac:dyDescent="0.2">
      <c r="A12" s="64" t="s">
        <v>539</v>
      </c>
      <c r="B12">
        <v>1300.4952000000001</v>
      </c>
    </row>
    <row r="13" spans="1:2" x14ac:dyDescent="0.2">
      <c r="A13" s="64" t="s">
        <v>314</v>
      </c>
      <c r="B13">
        <v>649.97613333333322</v>
      </c>
    </row>
    <row r="14" spans="1:2" x14ac:dyDescent="0.2">
      <c r="A14" s="64" t="s">
        <v>304</v>
      </c>
      <c r="B14">
        <v>343.5</v>
      </c>
    </row>
    <row r="15" spans="1:2" x14ac:dyDescent="0.2">
      <c r="A15" s="64" t="s">
        <v>820</v>
      </c>
      <c r="B15" t="e">
        <v>#REF!</v>
      </c>
    </row>
    <row r="16" spans="1:2" x14ac:dyDescent="0.2">
      <c r="A16" s="64" t="s">
        <v>821</v>
      </c>
      <c r="B16">
        <v>94</v>
      </c>
    </row>
    <row r="17" spans="1:2" x14ac:dyDescent="0.2">
      <c r="A17" s="64" t="s">
        <v>825</v>
      </c>
      <c r="B17" t="e">
        <v>#REF!</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AE11E-795E-4E01-AA19-BB84B5D82F15}">
  <dimension ref="A1:M234"/>
  <sheetViews>
    <sheetView rightToLeft="1" workbookViewId="0">
      <pane ySplit="1" topLeftCell="A2" activePane="bottomLeft" state="frozen"/>
      <selection activeCell="B5" sqref="B5"/>
      <selection pane="bottomLeft" activeCell="B5" sqref="B5"/>
    </sheetView>
  </sheetViews>
  <sheetFormatPr defaultRowHeight="15" x14ac:dyDescent="0.2"/>
  <cols>
    <col min="1" max="1" width="4.625" style="1" bestFit="1" customWidth="1"/>
    <col min="2" max="2" width="13.5" customWidth="1"/>
    <col min="3" max="3" width="11" customWidth="1"/>
    <col min="4" max="5" width="17.125" customWidth="1"/>
    <col min="6" max="6" width="27.875" customWidth="1"/>
    <col min="7" max="7" width="14.875" customWidth="1"/>
    <col min="8" max="8" width="14" style="33" customWidth="1"/>
    <col min="9" max="9" width="15" style="33" customWidth="1"/>
    <col min="10" max="10" width="19.125" style="37" customWidth="1"/>
    <col min="12" max="12" width="8.375" customWidth="1"/>
    <col min="13" max="13" width="15.625" customWidth="1"/>
  </cols>
  <sheetData>
    <row r="1" spans="1:13" s="55" customFormat="1" ht="53.1" customHeight="1" x14ac:dyDescent="0.2">
      <c r="A1" s="54" t="s">
        <v>69</v>
      </c>
      <c r="B1" s="50" t="s">
        <v>3</v>
      </c>
      <c r="C1" s="50" t="s">
        <v>4</v>
      </c>
      <c r="D1" s="50" t="s">
        <v>6</v>
      </c>
      <c r="E1" s="50" t="s">
        <v>291</v>
      </c>
      <c r="F1" s="50" t="s">
        <v>127</v>
      </c>
      <c r="G1" s="51" t="s">
        <v>144</v>
      </c>
      <c r="H1" s="52" t="s">
        <v>0</v>
      </c>
      <c r="I1" s="53" t="s">
        <v>1</v>
      </c>
      <c r="J1" s="53" t="s">
        <v>2</v>
      </c>
      <c r="L1" s="56" t="s">
        <v>67</v>
      </c>
      <c r="M1" s="56" t="s">
        <v>68</v>
      </c>
    </row>
    <row r="2" spans="1:13" s="45" customFormat="1" ht="15.75" x14ac:dyDescent="0.2">
      <c r="A2" s="45">
        <v>8</v>
      </c>
      <c r="B2" s="46">
        <v>44934</v>
      </c>
      <c r="C2" s="45" t="s">
        <v>5</v>
      </c>
      <c r="D2" s="47" t="s">
        <v>267</v>
      </c>
      <c r="E2" s="47"/>
      <c r="F2" s="47" t="s">
        <v>266</v>
      </c>
      <c r="G2" s="47" t="s">
        <v>142</v>
      </c>
      <c r="H2" s="48">
        <v>0.41666666666666669</v>
      </c>
      <c r="I2" s="41">
        <v>0.70833333333333337</v>
      </c>
      <c r="J2" s="49">
        <v>0.31249999999999994</v>
      </c>
    </row>
    <row r="3" spans="1:13" s="45" customFormat="1" ht="15.75" x14ac:dyDescent="0.2">
      <c r="A3" s="45">
        <v>8</v>
      </c>
      <c r="B3" s="46">
        <v>44965</v>
      </c>
      <c r="C3" s="47" t="s">
        <v>10</v>
      </c>
      <c r="D3" s="47" t="s">
        <v>267</v>
      </c>
      <c r="E3" s="47"/>
      <c r="F3" s="47" t="s">
        <v>266</v>
      </c>
      <c r="G3" s="47" t="s">
        <v>142</v>
      </c>
      <c r="H3" s="41">
        <v>0.54166666666666663</v>
      </c>
      <c r="I3" s="41">
        <v>0.72916666666666663</v>
      </c>
      <c r="J3" s="49">
        <v>0.31249999999999994</v>
      </c>
    </row>
    <row r="4" spans="1:13" x14ac:dyDescent="0.2">
      <c r="A4" s="44">
        <v>8</v>
      </c>
      <c r="B4" s="43"/>
      <c r="C4" s="43"/>
      <c r="D4" s="43"/>
      <c r="E4" s="43"/>
      <c r="F4" s="43"/>
      <c r="G4" s="31"/>
      <c r="H4" s="34"/>
      <c r="I4" s="34"/>
      <c r="J4" s="42">
        <f t="shared" ref="J4:J66" si="0">I4-H4</f>
        <v>0</v>
      </c>
      <c r="L4" s="10">
        <v>2</v>
      </c>
      <c r="M4" s="11">
        <f t="shared" ref="M4:M12" si="1">SUMIF(A:A,L4,J:J)</f>
        <v>0</v>
      </c>
    </row>
    <row r="5" spans="1:13" x14ac:dyDescent="0.2">
      <c r="A5" s="44">
        <v>8</v>
      </c>
      <c r="B5" s="43"/>
      <c r="C5" s="43"/>
      <c r="D5" s="43"/>
      <c r="E5" s="43"/>
      <c r="F5" s="43"/>
      <c r="G5" s="31"/>
      <c r="H5" s="34"/>
      <c r="I5" s="34"/>
      <c r="J5" s="42">
        <f t="shared" si="0"/>
        <v>0</v>
      </c>
      <c r="L5" s="10">
        <v>3</v>
      </c>
      <c r="M5" s="11">
        <f t="shared" si="1"/>
        <v>0</v>
      </c>
    </row>
    <row r="6" spans="1:13" x14ac:dyDescent="0.2">
      <c r="A6" s="44">
        <v>8</v>
      </c>
      <c r="B6" s="43"/>
      <c r="C6" s="43"/>
      <c r="D6" s="43"/>
      <c r="E6" s="43"/>
      <c r="F6" s="43"/>
      <c r="G6" s="31"/>
      <c r="H6" s="34"/>
      <c r="I6" s="34"/>
      <c r="J6" s="42">
        <f t="shared" si="0"/>
        <v>0</v>
      </c>
      <c r="L6" s="10">
        <v>4</v>
      </c>
      <c r="M6" s="11">
        <f t="shared" si="1"/>
        <v>0</v>
      </c>
    </row>
    <row r="7" spans="1:13" x14ac:dyDescent="0.2">
      <c r="A7" s="44">
        <v>8</v>
      </c>
      <c r="B7" s="43"/>
      <c r="C7" s="43"/>
      <c r="D7" s="43"/>
      <c r="E7" s="43"/>
      <c r="F7" s="43"/>
      <c r="G7" s="31"/>
      <c r="H7" s="34"/>
      <c r="I7" s="34"/>
      <c r="J7" s="42">
        <f t="shared" si="0"/>
        <v>0</v>
      </c>
      <c r="L7" s="10">
        <v>5</v>
      </c>
      <c r="M7" s="11">
        <f t="shared" si="1"/>
        <v>0</v>
      </c>
    </row>
    <row r="8" spans="1:13" x14ac:dyDescent="0.2">
      <c r="A8" s="44">
        <v>8</v>
      </c>
      <c r="B8" s="43"/>
      <c r="C8" s="43"/>
      <c r="D8" s="43"/>
      <c r="E8" s="43"/>
      <c r="F8" s="43"/>
      <c r="G8" s="31"/>
      <c r="H8" s="34"/>
      <c r="I8" s="34"/>
      <c r="J8" s="42">
        <f t="shared" si="0"/>
        <v>0</v>
      </c>
      <c r="L8" s="10">
        <v>6</v>
      </c>
      <c r="M8" s="11">
        <f>SUMIF(A:A,L8,J:J)</f>
        <v>0</v>
      </c>
    </row>
    <row r="9" spans="1:13" x14ac:dyDescent="0.2">
      <c r="A9" s="44">
        <v>8</v>
      </c>
      <c r="B9" s="43"/>
      <c r="C9" s="43"/>
      <c r="D9" s="43"/>
      <c r="E9" s="43"/>
      <c r="F9" s="43"/>
      <c r="G9" s="31"/>
      <c r="H9" s="34"/>
      <c r="I9" s="34"/>
      <c r="J9" s="42">
        <f t="shared" si="0"/>
        <v>0</v>
      </c>
      <c r="L9" s="10">
        <v>7</v>
      </c>
      <c r="M9" s="11">
        <f t="shared" si="1"/>
        <v>0</v>
      </c>
    </row>
    <row r="10" spans="1:13" x14ac:dyDescent="0.2">
      <c r="A10" s="44">
        <v>8</v>
      </c>
      <c r="B10" s="43"/>
      <c r="C10" s="43"/>
      <c r="D10" s="43"/>
      <c r="E10" s="43"/>
      <c r="F10" s="43"/>
      <c r="G10" s="31"/>
      <c r="H10" s="34"/>
      <c r="I10" s="34"/>
      <c r="J10" s="42">
        <f t="shared" si="0"/>
        <v>0</v>
      </c>
      <c r="L10" s="10">
        <v>8</v>
      </c>
      <c r="M10" s="11">
        <f t="shared" si="1"/>
        <v>0.62499999999999989</v>
      </c>
    </row>
    <row r="11" spans="1:13" x14ac:dyDescent="0.2">
      <c r="A11" s="44">
        <v>8</v>
      </c>
      <c r="B11" s="43"/>
      <c r="C11" s="43"/>
      <c r="D11" s="43"/>
      <c r="E11" s="43"/>
      <c r="F11" s="43"/>
      <c r="G11" s="31"/>
      <c r="H11" s="34"/>
      <c r="I11" s="34"/>
      <c r="J11" s="42">
        <f t="shared" si="0"/>
        <v>0</v>
      </c>
      <c r="L11" s="10">
        <v>9</v>
      </c>
      <c r="M11" s="11">
        <f t="shared" si="1"/>
        <v>0</v>
      </c>
    </row>
    <row r="12" spans="1:13" x14ac:dyDescent="0.2">
      <c r="A12" s="44">
        <v>8</v>
      </c>
      <c r="B12" s="43"/>
      <c r="C12" s="43"/>
      <c r="D12" s="43"/>
      <c r="E12" s="43"/>
      <c r="F12" s="43"/>
      <c r="G12" s="31"/>
      <c r="H12" s="34"/>
      <c r="I12" s="34"/>
      <c r="J12" s="42">
        <f t="shared" si="0"/>
        <v>0</v>
      </c>
      <c r="L12" s="10">
        <v>10</v>
      </c>
      <c r="M12" s="11">
        <f t="shared" si="1"/>
        <v>0</v>
      </c>
    </row>
    <row r="13" spans="1:13" x14ac:dyDescent="0.2">
      <c r="A13" s="44">
        <v>8</v>
      </c>
      <c r="B13" s="43"/>
      <c r="C13" s="43"/>
      <c r="D13" s="43"/>
      <c r="E13" s="43"/>
      <c r="F13" s="43"/>
      <c r="G13" s="31"/>
      <c r="H13" s="34"/>
      <c r="I13" s="34"/>
      <c r="J13" s="42">
        <f t="shared" si="0"/>
        <v>0</v>
      </c>
      <c r="L13" s="16" t="s">
        <v>121</v>
      </c>
      <c r="M13" s="17">
        <f>SUM(M2:M12)</f>
        <v>0.62499999999999989</v>
      </c>
    </row>
    <row r="14" spans="1:13" x14ac:dyDescent="0.2">
      <c r="A14" s="44">
        <v>8</v>
      </c>
      <c r="B14" s="43"/>
      <c r="C14" s="43"/>
      <c r="D14" s="43"/>
      <c r="E14" s="43"/>
      <c r="F14" s="43"/>
      <c r="G14" s="31"/>
      <c r="H14" s="34"/>
      <c r="I14" s="34"/>
      <c r="J14" s="42">
        <f t="shared" si="0"/>
        <v>0</v>
      </c>
    </row>
    <row r="15" spans="1:13" x14ac:dyDescent="0.2">
      <c r="A15" s="44">
        <v>8</v>
      </c>
      <c r="B15" s="43"/>
      <c r="C15" s="43"/>
      <c r="D15" s="43"/>
      <c r="E15" s="43"/>
      <c r="F15" s="43"/>
      <c r="G15" s="31"/>
      <c r="H15" s="34"/>
      <c r="I15" s="34"/>
      <c r="J15" s="42">
        <f t="shared" si="0"/>
        <v>0</v>
      </c>
    </row>
    <row r="16" spans="1:13" x14ac:dyDescent="0.2">
      <c r="A16" s="44">
        <v>8</v>
      </c>
      <c r="B16" s="43"/>
      <c r="C16" s="43"/>
      <c r="D16" s="43"/>
      <c r="E16" s="43"/>
      <c r="F16" s="43"/>
      <c r="G16" s="31"/>
      <c r="H16" s="34"/>
      <c r="I16" s="34"/>
      <c r="J16" s="42">
        <f t="shared" si="0"/>
        <v>0</v>
      </c>
    </row>
    <row r="17" spans="1:10" x14ac:dyDescent="0.2">
      <c r="A17" s="44">
        <v>8</v>
      </c>
      <c r="B17" s="43"/>
      <c r="C17" s="43"/>
      <c r="D17" s="43"/>
      <c r="E17" s="43"/>
      <c r="F17" s="43"/>
      <c r="G17" s="31"/>
      <c r="H17" s="34"/>
      <c r="I17" s="34"/>
      <c r="J17" s="42">
        <f t="shared" si="0"/>
        <v>0</v>
      </c>
    </row>
    <row r="18" spans="1:10" x14ac:dyDescent="0.2">
      <c r="A18" s="44">
        <v>8</v>
      </c>
      <c r="B18" s="43"/>
      <c r="C18" s="43"/>
      <c r="D18" s="43"/>
      <c r="E18" s="43"/>
      <c r="F18" s="43"/>
      <c r="G18" s="31"/>
      <c r="H18" s="34"/>
      <c r="I18" s="34"/>
      <c r="J18" s="42">
        <f t="shared" si="0"/>
        <v>0</v>
      </c>
    </row>
    <row r="19" spans="1:10" x14ac:dyDescent="0.2">
      <c r="A19" s="44">
        <v>8</v>
      </c>
      <c r="B19" s="43"/>
      <c r="C19" s="43"/>
      <c r="D19" s="43"/>
      <c r="E19" s="43"/>
      <c r="F19" s="43"/>
      <c r="G19" s="31"/>
      <c r="H19" s="34"/>
      <c r="I19" s="34"/>
      <c r="J19" s="42">
        <f t="shared" si="0"/>
        <v>0</v>
      </c>
    </row>
    <row r="20" spans="1:10" x14ac:dyDescent="0.2">
      <c r="A20" s="44">
        <v>8</v>
      </c>
      <c r="B20" s="43"/>
      <c r="C20" s="43"/>
      <c r="D20" s="43"/>
      <c r="E20" s="43"/>
      <c r="F20" s="43"/>
      <c r="G20" s="31"/>
      <c r="H20" s="34"/>
      <c r="I20" s="34"/>
      <c r="J20" s="42">
        <f t="shared" si="0"/>
        <v>0</v>
      </c>
    </row>
    <row r="21" spans="1:10" x14ac:dyDescent="0.2">
      <c r="B21" s="43"/>
      <c r="C21" s="43"/>
      <c r="D21" s="43"/>
      <c r="E21" s="43"/>
      <c r="F21" s="43"/>
      <c r="G21" s="31"/>
      <c r="H21" s="34"/>
      <c r="I21" s="34"/>
      <c r="J21" s="42">
        <f t="shared" si="0"/>
        <v>0</v>
      </c>
    </row>
    <row r="22" spans="1:10" x14ac:dyDescent="0.2">
      <c r="B22" s="43"/>
      <c r="C22" s="43"/>
      <c r="D22" s="43"/>
      <c r="E22" s="43"/>
      <c r="F22" s="43"/>
      <c r="G22" s="31"/>
      <c r="H22" s="34"/>
      <c r="I22" s="34"/>
      <c r="J22" s="42">
        <f t="shared" si="0"/>
        <v>0</v>
      </c>
    </row>
    <row r="23" spans="1:10" x14ac:dyDescent="0.2">
      <c r="B23" s="43"/>
      <c r="C23" s="43"/>
      <c r="D23" s="43"/>
      <c r="E23" s="43"/>
      <c r="F23" s="43"/>
      <c r="G23" s="31"/>
      <c r="H23" s="34"/>
      <c r="I23" s="34"/>
      <c r="J23" s="42">
        <f t="shared" si="0"/>
        <v>0</v>
      </c>
    </row>
    <row r="24" spans="1:10" x14ac:dyDescent="0.2">
      <c r="B24" s="43"/>
      <c r="C24" s="43"/>
      <c r="D24" s="43"/>
      <c r="E24" s="43"/>
      <c r="F24" s="43"/>
      <c r="G24" s="31"/>
      <c r="H24" s="34"/>
      <c r="I24" s="34"/>
      <c r="J24" s="42">
        <f t="shared" si="0"/>
        <v>0</v>
      </c>
    </row>
    <row r="25" spans="1:10" x14ac:dyDescent="0.2">
      <c r="B25" s="43"/>
      <c r="C25" s="43"/>
      <c r="D25" s="43"/>
      <c r="E25" s="43"/>
      <c r="F25" s="43"/>
      <c r="G25" s="31"/>
      <c r="H25" s="34"/>
      <c r="I25" s="34"/>
      <c r="J25" s="42">
        <f t="shared" si="0"/>
        <v>0</v>
      </c>
    </row>
    <row r="26" spans="1:10" x14ac:dyDescent="0.2">
      <c r="B26" s="43"/>
      <c r="C26" s="43"/>
      <c r="D26" s="43"/>
      <c r="E26" s="43"/>
      <c r="F26" s="43"/>
      <c r="G26" s="31"/>
      <c r="H26" s="34"/>
      <c r="I26" s="34"/>
      <c r="J26" s="42">
        <f t="shared" si="0"/>
        <v>0</v>
      </c>
    </row>
    <row r="27" spans="1:10" x14ac:dyDescent="0.2">
      <c r="B27" s="43"/>
      <c r="C27" s="43"/>
      <c r="D27" s="43"/>
      <c r="E27" s="43"/>
      <c r="F27" s="43"/>
      <c r="G27" s="31"/>
      <c r="H27" s="34"/>
      <c r="I27" s="34"/>
      <c r="J27" s="42">
        <f t="shared" si="0"/>
        <v>0</v>
      </c>
    </row>
    <row r="28" spans="1:10" x14ac:dyDescent="0.2">
      <c r="B28" s="43"/>
      <c r="C28" s="43"/>
      <c r="D28" s="43"/>
      <c r="E28" s="43"/>
      <c r="F28" s="43"/>
      <c r="G28" s="31"/>
      <c r="H28" s="34"/>
      <c r="I28" s="34"/>
      <c r="J28" s="42">
        <f t="shared" si="0"/>
        <v>0</v>
      </c>
    </row>
    <row r="29" spans="1:10" x14ac:dyDescent="0.2">
      <c r="B29" s="43"/>
      <c r="C29" s="43"/>
      <c r="D29" s="43"/>
      <c r="E29" s="43"/>
      <c r="F29" s="43"/>
      <c r="G29" s="31"/>
      <c r="H29" s="34"/>
      <c r="I29" s="34"/>
      <c r="J29" s="42">
        <f t="shared" si="0"/>
        <v>0</v>
      </c>
    </row>
    <row r="30" spans="1:10" x14ac:dyDescent="0.2">
      <c r="B30" s="43"/>
      <c r="C30" s="43"/>
      <c r="D30" s="43"/>
      <c r="E30" s="43"/>
      <c r="F30" s="43"/>
      <c r="G30" s="31"/>
      <c r="H30" s="34"/>
      <c r="I30" s="34"/>
      <c r="J30" s="42">
        <f t="shared" si="0"/>
        <v>0</v>
      </c>
    </row>
    <row r="31" spans="1:10" x14ac:dyDescent="0.2">
      <c r="B31" s="43"/>
      <c r="C31" s="43"/>
      <c r="D31" s="43"/>
      <c r="E31" s="43"/>
      <c r="F31" s="43"/>
      <c r="G31" s="31"/>
      <c r="H31" s="34"/>
      <c r="I31" s="34"/>
      <c r="J31" s="42">
        <f t="shared" si="0"/>
        <v>0</v>
      </c>
    </row>
    <row r="32" spans="1:10" x14ac:dyDescent="0.2">
      <c r="B32" s="43"/>
      <c r="C32" s="43"/>
      <c r="D32" s="43"/>
      <c r="E32" s="43"/>
      <c r="F32" s="43"/>
      <c r="G32" s="31"/>
      <c r="H32" s="34"/>
      <c r="I32" s="34"/>
      <c r="J32" s="42">
        <f t="shared" si="0"/>
        <v>0</v>
      </c>
    </row>
    <row r="33" spans="2:10" x14ac:dyDescent="0.2">
      <c r="B33" s="43"/>
      <c r="C33" s="43"/>
      <c r="D33" s="43"/>
      <c r="E33" s="43"/>
      <c r="F33" s="43"/>
      <c r="G33" s="31"/>
      <c r="H33" s="34"/>
      <c r="I33" s="34"/>
      <c r="J33" s="42">
        <f t="shared" si="0"/>
        <v>0</v>
      </c>
    </row>
    <row r="34" spans="2:10" x14ac:dyDescent="0.2">
      <c r="B34" s="43"/>
      <c r="C34" s="43"/>
      <c r="D34" s="43"/>
      <c r="E34" s="43"/>
      <c r="F34" s="43"/>
      <c r="G34" s="31"/>
      <c r="H34" s="34"/>
      <c r="I34" s="34"/>
      <c r="J34" s="42">
        <f t="shared" si="0"/>
        <v>0</v>
      </c>
    </row>
    <row r="35" spans="2:10" x14ac:dyDescent="0.2">
      <c r="B35" s="43"/>
      <c r="C35" s="43"/>
      <c r="D35" s="43"/>
      <c r="E35" s="43"/>
      <c r="F35" s="43"/>
      <c r="G35" s="31"/>
      <c r="H35" s="34"/>
      <c r="I35" s="34"/>
      <c r="J35" s="42">
        <f t="shared" si="0"/>
        <v>0</v>
      </c>
    </row>
    <row r="36" spans="2:10" x14ac:dyDescent="0.2">
      <c r="B36" s="43"/>
      <c r="C36" s="43"/>
      <c r="D36" s="43"/>
      <c r="E36" s="43"/>
      <c r="F36" s="43"/>
      <c r="G36" s="31"/>
      <c r="H36" s="34"/>
      <c r="I36" s="34"/>
      <c r="J36" s="42">
        <f t="shared" si="0"/>
        <v>0</v>
      </c>
    </row>
    <row r="37" spans="2:10" x14ac:dyDescent="0.2">
      <c r="B37" s="43"/>
      <c r="C37" s="43"/>
      <c r="D37" s="43"/>
      <c r="E37" s="43"/>
      <c r="F37" s="43"/>
      <c r="G37" s="31"/>
      <c r="H37" s="34"/>
      <c r="I37" s="34"/>
      <c r="J37" s="42">
        <f t="shared" si="0"/>
        <v>0</v>
      </c>
    </row>
    <row r="38" spans="2:10" x14ac:dyDescent="0.2">
      <c r="B38" s="43"/>
      <c r="C38" s="43"/>
      <c r="D38" s="43"/>
      <c r="E38" s="43"/>
      <c r="F38" s="43"/>
      <c r="G38" s="31"/>
      <c r="H38" s="34"/>
      <c r="I38" s="34"/>
      <c r="J38" s="42">
        <f t="shared" si="0"/>
        <v>0</v>
      </c>
    </row>
    <row r="39" spans="2:10" x14ac:dyDescent="0.2">
      <c r="B39" s="43"/>
      <c r="C39" s="43"/>
      <c r="D39" s="43"/>
      <c r="E39" s="43"/>
      <c r="F39" s="43"/>
      <c r="G39" s="31"/>
      <c r="H39" s="34"/>
      <c r="I39" s="34"/>
      <c r="J39" s="42">
        <f t="shared" si="0"/>
        <v>0</v>
      </c>
    </row>
    <row r="40" spans="2:10" x14ac:dyDescent="0.2">
      <c r="B40" s="43"/>
      <c r="C40" s="43"/>
      <c r="D40" s="43"/>
      <c r="E40" s="43"/>
      <c r="F40" s="43"/>
      <c r="G40" s="31"/>
      <c r="H40" s="34"/>
      <c r="I40" s="34"/>
      <c r="J40" s="42">
        <f t="shared" si="0"/>
        <v>0</v>
      </c>
    </row>
    <row r="41" spans="2:10" x14ac:dyDescent="0.2">
      <c r="B41" s="43"/>
      <c r="C41" s="43"/>
      <c r="D41" s="43"/>
      <c r="E41" s="43"/>
      <c r="F41" s="43"/>
      <c r="G41" s="31"/>
      <c r="H41" s="34"/>
      <c r="I41" s="34"/>
      <c r="J41" s="42">
        <f t="shared" si="0"/>
        <v>0</v>
      </c>
    </row>
    <row r="42" spans="2:10" x14ac:dyDescent="0.2">
      <c r="B42" s="43"/>
      <c r="C42" s="43"/>
      <c r="D42" s="43"/>
      <c r="E42" s="43"/>
      <c r="F42" s="43"/>
      <c r="G42" s="31"/>
      <c r="H42" s="34"/>
      <c r="I42" s="34"/>
      <c r="J42" s="42">
        <f t="shared" si="0"/>
        <v>0</v>
      </c>
    </row>
    <row r="43" spans="2:10" x14ac:dyDescent="0.2">
      <c r="B43" s="43"/>
      <c r="C43" s="43"/>
      <c r="D43" s="43"/>
      <c r="E43" s="43"/>
      <c r="F43" s="43"/>
      <c r="G43" s="31"/>
      <c r="H43" s="34"/>
      <c r="I43" s="34"/>
      <c r="J43" s="42">
        <f t="shared" si="0"/>
        <v>0</v>
      </c>
    </row>
    <row r="44" spans="2:10" x14ac:dyDescent="0.2">
      <c r="B44" s="43"/>
      <c r="C44" s="43"/>
      <c r="D44" s="43"/>
      <c r="E44" s="43"/>
      <c r="F44" s="43"/>
      <c r="G44" s="31"/>
      <c r="H44" s="34"/>
      <c r="I44" s="34"/>
      <c r="J44" s="42">
        <f t="shared" si="0"/>
        <v>0</v>
      </c>
    </row>
    <row r="45" spans="2:10" x14ac:dyDescent="0.2">
      <c r="B45" s="43"/>
      <c r="C45" s="43"/>
      <c r="D45" s="43"/>
      <c r="E45" s="43"/>
      <c r="F45" s="43"/>
      <c r="G45" s="31"/>
      <c r="H45" s="34"/>
      <c r="I45" s="34"/>
      <c r="J45" s="42">
        <f t="shared" si="0"/>
        <v>0</v>
      </c>
    </row>
    <row r="46" spans="2:10" x14ac:dyDescent="0.2">
      <c r="B46" s="43"/>
      <c r="C46" s="43"/>
      <c r="D46" s="43"/>
      <c r="E46" s="43"/>
      <c r="F46" s="43"/>
      <c r="G46" s="31"/>
      <c r="H46" s="34"/>
      <c r="I46" s="34"/>
      <c r="J46" s="42">
        <f t="shared" si="0"/>
        <v>0</v>
      </c>
    </row>
    <row r="47" spans="2:10" x14ac:dyDescent="0.2">
      <c r="B47" s="43"/>
      <c r="C47" s="43"/>
      <c r="D47" s="43"/>
      <c r="E47" s="43"/>
      <c r="F47" s="43"/>
      <c r="G47" s="31"/>
      <c r="H47" s="34"/>
      <c r="I47" s="34"/>
      <c r="J47" s="42">
        <f t="shared" si="0"/>
        <v>0</v>
      </c>
    </row>
    <row r="48" spans="2:10" x14ac:dyDescent="0.2">
      <c r="B48" s="43"/>
      <c r="C48" s="43"/>
      <c r="D48" s="43"/>
      <c r="E48" s="43"/>
      <c r="F48" s="43"/>
      <c r="G48" s="31"/>
      <c r="H48" s="34"/>
      <c r="I48" s="34"/>
      <c r="J48" s="42">
        <f t="shared" si="0"/>
        <v>0</v>
      </c>
    </row>
    <row r="49" spans="2:10" x14ac:dyDescent="0.2">
      <c r="B49" s="43"/>
      <c r="C49" s="43"/>
      <c r="D49" s="43"/>
      <c r="E49" s="43"/>
      <c r="F49" s="43"/>
      <c r="G49" s="31"/>
      <c r="H49" s="34"/>
      <c r="I49" s="34"/>
      <c r="J49" s="42">
        <f t="shared" si="0"/>
        <v>0</v>
      </c>
    </row>
    <row r="50" spans="2:10" x14ac:dyDescent="0.2">
      <c r="B50" s="43"/>
      <c r="C50" s="43"/>
      <c r="D50" s="43"/>
      <c r="E50" s="43"/>
      <c r="F50" s="43"/>
      <c r="G50" s="31"/>
      <c r="H50" s="34"/>
      <c r="I50" s="34"/>
      <c r="J50" s="42">
        <f t="shared" si="0"/>
        <v>0</v>
      </c>
    </row>
    <row r="51" spans="2:10" x14ac:dyDescent="0.2">
      <c r="B51" s="43"/>
      <c r="C51" s="43"/>
      <c r="D51" s="43"/>
      <c r="E51" s="43"/>
      <c r="F51" s="43"/>
      <c r="G51" s="31"/>
      <c r="H51" s="34"/>
      <c r="I51" s="34"/>
      <c r="J51" s="42">
        <f t="shared" si="0"/>
        <v>0</v>
      </c>
    </row>
    <row r="52" spans="2:10" x14ac:dyDescent="0.2">
      <c r="B52" s="43"/>
      <c r="C52" s="43"/>
      <c r="D52" s="43"/>
      <c r="E52" s="43"/>
      <c r="F52" s="43"/>
      <c r="G52" s="31"/>
      <c r="H52" s="34"/>
      <c r="I52" s="34"/>
      <c r="J52" s="42">
        <f t="shared" si="0"/>
        <v>0</v>
      </c>
    </row>
    <row r="53" spans="2:10" x14ac:dyDescent="0.2">
      <c r="B53" s="43"/>
      <c r="C53" s="43"/>
      <c r="D53" s="43"/>
      <c r="E53" s="43"/>
      <c r="F53" s="43"/>
      <c r="G53" s="31"/>
      <c r="H53" s="34"/>
      <c r="I53" s="34"/>
      <c r="J53" s="42">
        <f t="shared" si="0"/>
        <v>0</v>
      </c>
    </row>
    <row r="54" spans="2:10" x14ac:dyDescent="0.2">
      <c r="B54" s="43"/>
      <c r="C54" s="43"/>
      <c r="D54" s="43"/>
      <c r="E54" s="43"/>
      <c r="F54" s="43"/>
      <c r="G54" s="31"/>
      <c r="H54" s="34"/>
      <c r="I54" s="34"/>
      <c r="J54" s="42">
        <f t="shared" si="0"/>
        <v>0</v>
      </c>
    </row>
    <row r="55" spans="2:10" x14ac:dyDescent="0.2">
      <c r="B55" s="43"/>
      <c r="C55" s="43"/>
      <c r="D55" s="43"/>
      <c r="E55" s="43"/>
      <c r="F55" s="43"/>
      <c r="G55" s="31"/>
      <c r="H55" s="34"/>
      <c r="I55" s="34"/>
      <c r="J55" s="42">
        <f t="shared" si="0"/>
        <v>0</v>
      </c>
    </row>
    <row r="56" spans="2:10" x14ac:dyDescent="0.2">
      <c r="B56" s="43"/>
      <c r="C56" s="43"/>
      <c r="D56" s="43"/>
      <c r="E56" s="43"/>
      <c r="F56" s="43"/>
      <c r="G56" s="31"/>
      <c r="H56" s="34"/>
      <c r="I56" s="34"/>
      <c r="J56" s="42">
        <f t="shared" si="0"/>
        <v>0</v>
      </c>
    </row>
    <row r="57" spans="2:10" x14ac:dyDescent="0.2">
      <c r="B57" s="43"/>
      <c r="C57" s="43"/>
      <c r="D57" s="43"/>
      <c r="E57" s="43"/>
      <c r="F57" s="43"/>
      <c r="G57" s="31"/>
      <c r="H57" s="34"/>
      <c r="I57" s="34"/>
      <c r="J57" s="42">
        <f t="shared" si="0"/>
        <v>0</v>
      </c>
    </row>
    <row r="58" spans="2:10" x14ac:dyDescent="0.2">
      <c r="B58" s="43"/>
      <c r="C58" s="43"/>
      <c r="D58" s="43"/>
      <c r="E58" s="43"/>
      <c r="F58" s="43"/>
      <c r="G58" s="31"/>
      <c r="H58" s="34"/>
      <c r="I58" s="34"/>
      <c r="J58" s="42">
        <f t="shared" si="0"/>
        <v>0</v>
      </c>
    </row>
    <row r="59" spans="2:10" x14ac:dyDescent="0.2">
      <c r="B59" s="43"/>
      <c r="C59" s="43"/>
      <c r="D59" s="43"/>
      <c r="E59" s="43"/>
      <c r="F59" s="43"/>
      <c r="G59" s="31"/>
      <c r="H59" s="34"/>
      <c r="I59" s="34"/>
      <c r="J59" s="42">
        <f t="shared" si="0"/>
        <v>0</v>
      </c>
    </row>
    <row r="60" spans="2:10" x14ac:dyDescent="0.2">
      <c r="B60" s="43"/>
      <c r="C60" s="43"/>
      <c r="D60" s="43"/>
      <c r="E60" s="43"/>
      <c r="F60" s="43"/>
      <c r="G60" s="31"/>
      <c r="H60" s="34"/>
      <c r="I60" s="34"/>
      <c r="J60" s="42">
        <f t="shared" si="0"/>
        <v>0</v>
      </c>
    </row>
    <row r="61" spans="2:10" x14ac:dyDescent="0.2">
      <c r="B61" s="43"/>
      <c r="C61" s="43"/>
      <c r="D61" s="43"/>
      <c r="E61" s="43"/>
      <c r="F61" s="43"/>
      <c r="G61" s="31"/>
      <c r="H61" s="34"/>
      <c r="I61" s="34"/>
      <c r="J61" s="42">
        <f t="shared" si="0"/>
        <v>0</v>
      </c>
    </row>
    <row r="62" spans="2:10" x14ac:dyDescent="0.2">
      <c r="B62" s="43"/>
      <c r="C62" s="43"/>
      <c r="D62" s="43"/>
      <c r="E62" s="43"/>
      <c r="F62" s="43"/>
      <c r="G62" s="31"/>
      <c r="H62" s="34"/>
      <c r="I62" s="34"/>
      <c r="J62" s="42">
        <f t="shared" si="0"/>
        <v>0</v>
      </c>
    </row>
    <row r="63" spans="2:10" x14ac:dyDescent="0.2">
      <c r="B63" s="43"/>
      <c r="C63" s="43"/>
      <c r="D63" s="43"/>
      <c r="E63" s="43"/>
      <c r="F63" s="43"/>
      <c r="G63" s="31"/>
      <c r="H63" s="34"/>
      <c r="I63" s="34"/>
      <c r="J63" s="42">
        <f t="shared" si="0"/>
        <v>0</v>
      </c>
    </row>
    <row r="64" spans="2:10" x14ac:dyDescent="0.2">
      <c r="B64" s="43"/>
      <c r="C64" s="43"/>
      <c r="D64" s="43"/>
      <c r="E64" s="43"/>
      <c r="F64" s="43"/>
      <c r="G64" s="31"/>
      <c r="H64" s="34"/>
      <c r="I64" s="34"/>
      <c r="J64" s="42">
        <f t="shared" si="0"/>
        <v>0</v>
      </c>
    </row>
    <row r="65" spans="2:10" x14ac:dyDescent="0.2">
      <c r="B65" s="43"/>
      <c r="C65" s="43"/>
      <c r="D65" s="43"/>
      <c r="E65" s="43"/>
      <c r="F65" s="43"/>
      <c r="G65" s="31"/>
      <c r="H65" s="34"/>
      <c r="I65" s="34"/>
      <c r="J65" s="42">
        <f t="shared" si="0"/>
        <v>0</v>
      </c>
    </row>
    <row r="66" spans="2:10" x14ac:dyDescent="0.2">
      <c r="B66" s="43"/>
      <c r="C66" s="43"/>
      <c r="D66" s="43"/>
      <c r="E66" s="43"/>
      <c r="F66" s="43"/>
      <c r="G66" s="31"/>
      <c r="H66" s="34"/>
      <c r="I66" s="34"/>
      <c r="J66" s="42">
        <f t="shared" si="0"/>
        <v>0</v>
      </c>
    </row>
    <row r="67" spans="2:10" x14ac:dyDescent="0.2">
      <c r="B67" s="43"/>
      <c r="C67" s="43"/>
      <c r="D67" s="43"/>
      <c r="E67" s="43"/>
      <c r="F67" s="43"/>
      <c r="G67" s="31"/>
      <c r="H67" s="34"/>
      <c r="I67" s="34"/>
      <c r="J67" s="42">
        <f t="shared" ref="J67:J130" si="2">I67-H67</f>
        <v>0</v>
      </c>
    </row>
    <row r="68" spans="2:10" x14ac:dyDescent="0.2">
      <c r="B68" s="43"/>
      <c r="C68" s="43"/>
      <c r="D68" s="43"/>
      <c r="E68" s="43"/>
      <c r="F68" s="43"/>
      <c r="G68" s="31"/>
      <c r="H68" s="34"/>
      <c r="I68" s="34"/>
      <c r="J68" s="42">
        <f t="shared" si="2"/>
        <v>0</v>
      </c>
    </row>
    <row r="69" spans="2:10" x14ac:dyDescent="0.2">
      <c r="B69" s="43"/>
      <c r="C69" s="43"/>
      <c r="D69" s="43"/>
      <c r="E69" s="43"/>
      <c r="F69" s="43"/>
      <c r="G69" s="31"/>
      <c r="H69" s="34"/>
      <c r="I69" s="34"/>
      <c r="J69" s="42">
        <f t="shared" si="2"/>
        <v>0</v>
      </c>
    </row>
    <row r="70" spans="2:10" x14ac:dyDescent="0.2">
      <c r="B70" s="43"/>
      <c r="C70" s="43"/>
      <c r="D70" s="43"/>
      <c r="E70" s="43"/>
      <c r="F70" s="43"/>
      <c r="G70" s="31"/>
      <c r="H70" s="34"/>
      <c r="I70" s="34"/>
      <c r="J70" s="42">
        <f t="shared" si="2"/>
        <v>0</v>
      </c>
    </row>
    <row r="71" spans="2:10" x14ac:dyDescent="0.2">
      <c r="B71" s="43"/>
      <c r="C71" s="43"/>
      <c r="D71" s="43"/>
      <c r="E71" s="43"/>
      <c r="F71" s="43"/>
      <c r="G71" s="31"/>
      <c r="H71" s="34"/>
      <c r="I71" s="34"/>
      <c r="J71" s="42">
        <f t="shared" si="2"/>
        <v>0</v>
      </c>
    </row>
    <row r="72" spans="2:10" x14ac:dyDescent="0.2">
      <c r="B72" s="43"/>
      <c r="C72" s="43"/>
      <c r="D72" s="43"/>
      <c r="E72" s="43"/>
      <c r="F72" s="43"/>
      <c r="G72" s="31"/>
      <c r="H72" s="34"/>
      <c r="I72" s="34"/>
      <c r="J72" s="42">
        <f t="shared" si="2"/>
        <v>0</v>
      </c>
    </row>
    <row r="73" spans="2:10" x14ac:dyDescent="0.2">
      <c r="B73" s="43"/>
      <c r="C73" s="43"/>
      <c r="D73" s="43"/>
      <c r="E73" s="43"/>
      <c r="F73" s="43"/>
      <c r="G73" s="31"/>
      <c r="H73" s="34"/>
      <c r="I73" s="34"/>
      <c r="J73" s="42">
        <f t="shared" si="2"/>
        <v>0</v>
      </c>
    </row>
    <row r="74" spans="2:10" x14ac:dyDescent="0.2">
      <c r="B74" s="43"/>
      <c r="C74" s="43"/>
      <c r="D74" s="43"/>
      <c r="E74" s="43"/>
      <c r="F74" s="43"/>
      <c r="G74" s="31"/>
      <c r="H74" s="34"/>
      <c r="I74" s="34"/>
      <c r="J74" s="42">
        <f t="shared" si="2"/>
        <v>0</v>
      </c>
    </row>
    <row r="75" spans="2:10" x14ac:dyDescent="0.2">
      <c r="B75" s="43"/>
      <c r="C75" s="43"/>
      <c r="D75" s="43"/>
      <c r="E75" s="43"/>
      <c r="F75" s="43"/>
      <c r="G75" s="31"/>
      <c r="H75" s="34"/>
      <c r="I75" s="34"/>
      <c r="J75" s="42">
        <f t="shared" si="2"/>
        <v>0</v>
      </c>
    </row>
    <row r="76" spans="2:10" x14ac:dyDescent="0.2">
      <c r="B76" s="43"/>
      <c r="C76" s="43"/>
      <c r="D76" s="43"/>
      <c r="E76" s="43"/>
      <c r="F76" s="43"/>
      <c r="G76" s="31"/>
      <c r="H76" s="34"/>
      <c r="I76" s="34"/>
      <c r="J76" s="42">
        <f t="shared" si="2"/>
        <v>0</v>
      </c>
    </row>
    <row r="77" spans="2:10" x14ac:dyDescent="0.2">
      <c r="B77" s="43"/>
      <c r="C77" s="43"/>
      <c r="D77" s="43"/>
      <c r="E77" s="43"/>
      <c r="F77" s="43"/>
      <c r="G77" s="31"/>
      <c r="H77" s="34"/>
      <c r="I77" s="34"/>
      <c r="J77" s="42">
        <f t="shared" si="2"/>
        <v>0</v>
      </c>
    </row>
    <row r="78" spans="2:10" x14ac:dyDescent="0.2">
      <c r="B78" s="43"/>
      <c r="C78" s="43"/>
      <c r="D78" s="43"/>
      <c r="E78" s="43"/>
      <c r="F78" s="43"/>
      <c r="G78" s="31"/>
      <c r="H78" s="34"/>
      <c r="I78" s="34"/>
      <c r="J78" s="42">
        <f t="shared" si="2"/>
        <v>0</v>
      </c>
    </row>
    <row r="79" spans="2:10" x14ac:dyDescent="0.2">
      <c r="B79" s="43"/>
      <c r="C79" s="43"/>
      <c r="D79" s="43"/>
      <c r="E79" s="43"/>
      <c r="F79" s="43"/>
      <c r="G79" s="31"/>
      <c r="H79" s="34"/>
      <c r="I79" s="34"/>
      <c r="J79" s="42">
        <f t="shared" si="2"/>
        <v>0</v>
      </c>
    </row>
    <row r="80" spans="2:10" x14ac:dyDescent="0.2">
      <c r="B80" s="43"/>
      <c r="C80" s="43"/>
      <c r="D80" s="43"/>
      <c r="E80" s="43"/>
      <c r="F80" s="43"/>
      <c r="G80" s="31"/>
      <c r="H80" s="34"/>
      <c r="I80" s="34"/>
      <c r="J80" s="42">
        <f t="shared" si="2"/>
        <v>0</v>
      </c>
    </row>
    <row r="81" spans="2:10" x14ac:dyDescent="0.2">
      <c r="B81" s="43"/>
      <c r="C81" s="43"/>
      <c r="D81" s="43"/>
      <c r="E81" s="43"/>
      <c r="F81" s="43"/>
      <c r="G81" s="31"/>
      <c r="H81" s="34"/>
      <c r="I81" s="34"/>
      <c r="J81" s="42">
        <f t="shared" si="2"/>
        <v>0</v>
      </c>
    </row>
    <row r="82" spans="2:10" x14ac:dyDescent="0.2">
      <c r="B82" s="43"/>
      <c r="C82" s="43"/>
      <c r="D82" s="43"/>
      <c r="E82" s="43"/>
      <c r="F82" s="43"/>
      <c r="G82" s="31"/>
      <c r="H82" s="34"/>
      <c r="I82" s="34"/>
      <c r="J82" s="42">
        <f t="shared" si="2"/>
        <v>0</v>
      </c>
    </row>
    <row r="83" spans="2:10" x14ac:dyDescent="0.2">
      <c r="B83" s="43"/>
      <c r="C83" s="43"/>
      <c r="D83" s="43"/>
      <c r="E83" s="43"/>
      <c r="F83" s="43"/>
      <c r="G83" s="31"/>
      <c r="H83" s="34"/>
      <c r="I83" s="34"/>
      <c r="J83" s="42">
        <f t="shared" si="2"/>
        <v>0</v>
      </c>
    </row>
    <row r="84" spans="2:10" x14ac:dyDescent="0.2">
      <c r="B84" s="43"/>
      <c r="C84" s="43"/>
      <c r="D84" s="43"/>
      <c r="E84" s="43"/>
      <c r="F84" s="43"/>
      <c r="G84" s="31"/>
      <c r="H84" s="34"/>
      <c r="I84" s="34"/>
      <c r="J84" s="42">
        <f t="shared" si="2"/>
        <v>0</v>
      </c>
    </row>
    <row r="85" spans="2:10" x14ac:dyDescent="0.2">
      <c r="B85" s="43"/>
      <c r="C85" s="43"/>
      <c r="D85" s="43"/>
      <c r="E85" s="43"/>
      <c r="F85" s="43"/>
      <c r="G85" s="31"/>
      <c r="H85" s="34"/>
      <c r="I85" s="34"/>
      <c r="J85" s="42">
        <f t="shared" si="2"/>
        <v>0</v>
      </c>
    </row>
    <row r="86" spans="2:10" x14ac:dyDescent="0.2">
      <c r="B86" s="43"/>
      <c r="C86" s="43"/>
      <c r="D86" s="43"/>
      <c r="E86" s="43"/>
      <c r="F86" s="43"/>
      <c r="G86" s="31"/>
      <c r="H86" s="34"/>
      <c r="I86" s="34"/>
      <c r="J86" s="42">
        <f t="shared" si="2"/>
        <v>0</v>
      </c>
    </row>
    <row r="87" spans="2:10" x14ac:dyDescent="0.2">
      <c r="B87" s="43"/>
      <c r="C87" s="43"/>
      <c r="D87" s="43"/>
      <c r="E87" s="43"/>
      <c r="F87" s="43"/>
      <c r="G87" s="31"/>
      <c r="H87" s="34"/>
      <c r="I87" s="34"/>
      <c r="J87" s="42">
        <f t="shared" si="2"/>
        <v>0</v>
      </c>
    </row>
    <row r="88" spans="2:10" x14ac:dyDescent="0.2">
      <c r="B88" s="43"/>
      <c r="C88" s="43"/>
      <c r="D88" s="43"/>
      <c r="E88" s="43"/>
      <c r="F88" s="43"/>
      <c r="G88" s="31"/>
      <c r="H88" s="34"/>
      <c r="I88" s="34"/>
      <c r="J88" s="42">
        <f t="shared" si="2"/>
        <v>0</v>
      </c>
    </row>
    <row r="89" spans="2:10" x14ac:dyDescent="0.2">
      <c r="B89" s="43"/>
      <c r="C89" s="43"/>
      <c r="D89" s="43"/>
      <c r="E89" s="43"/>
      <c r="F89" s="43"/>
      <c r="G89" s="31"/>
      <c r="H89" s="34"/>
      <c r="I89" s="34"/>
      <c r="J89" s="42">
        <f t="shared" si="2"/>
        <v>0</v>
      </c>
    </row>
    <row r="90" spans="2:10" x14ac:dyDescent="0.2">
      <c r="B90" s="43"/>
      <c r="C90" s="43"/>
      <c r="D90" s="43"/>
      <c r="E90" s="43"/>
      <c r="F90" s="43"/>
      <c r="G90" s="31"/>
      <c r="H90" s="34"/>
      <c r="I90" s="34"/>
      <c r="J90" s="42">
        <f t="shared" si="2"/>
        <v>0</v>
      </c>
    </row>
    <row r="91" spans="2:10" x14ac:dyDescent="0.2">
      <c r="B91" s="43"/>
      <c r="C91" s="43"/>
      <c r="D91" s="43"/>
      <c r="E91" s="43"/>
      <c r="F91" s="43"/>
      <c r="G91" s="31"/>
      <c r="H91" s="34"/>
      <c r="I91" s="34"/>
      <c r="J91" s="42">
        <f t="shared" si="2"/>
        <v>0</v>
      </c>
    </row>
    <row r="92" spans="2:10" x14ac:dyDescent="0.2">
      <c r="B92" s="43"/>
      <c r="C92" s="43"/>
      <c r="D92" s="43"/>
      <c r="E92" s="43"/>
      <c r="F92" s="43"/>
      <c r="G92" s="31"/>
      <c r="H92" s="34"/>
      <c r="I92" s="34"/>
      <c r="J92" s="42">
        <f t="shared" si="2"/>
        <v>0</v>
      </c>
    </row>
    <row r="93" spans="2:10" x14ac:dyDescent="0.2">
      <c r="B93" s="43"/>
      <c r="C93" s="43"/>
      <c r="D93" s="43"/>
      <c r="E93" s="43"/>
      <c r="F93" s="43"/>
      <c r="G93" s="31"/>
      <c r="H93" s="34"/>
      <c r="I93" s="34"/>
      <c r="J93" s="42">
        <f t="shared" si="2"/>
        <v>0</v>
      </c>
    </row>
    <row r="94" spans="2:10" x14ac:dyDescent="0.2">
      <c r="B94" s="43"/>
      <c r="C94" s="43"/>
      <c r="D94" s="43"/>
      <c r="E94" s="43"/>
      <c r="F94" s="43"/>
      <c r="G94" s="31"/>
      <c r="H94" s="34"/>
      <c r="I94" s="34"/>
      <c r="J94" s="42">
        <f t="shared" si="2"/>
        <v>0</v>
      </c>
    </row>
    <row r="95" spans="2:10" x14ac:dyDescent="0.2">
      <c r="B95" s="43"/>
      <c r="C95" s="43"/>
      <c r="D95" s="43"/>
      <c r="E95" s="43"/>
      <c r="F95" s="43"/>
      <c r="G95" s="31"/>
      <c r="H95" s="34"/>
      <c r="I95" s="34"/>
      <c r="J95" s="42">
        <f t="shared" si="2"/>
        <v>0</v>
      </c>
    </row>
    <row r="96" spans="2:10" x14ac:dyDescent="0.2">
      <c r="B96" s="43"/>
      <c r="C96" s="43"/>
      <c r="D96" s="43"/>
      <c r="E96" s="43"/>
      <c r="F96" s="43"/>
      <c r="G96" s="31"/>
      <c r="H96" s="34"/>
      <c r="I96" s="34"/>
      <c r="J96" s="42">
        <f t="shared" si="2"/>
        <v>0</v>
      </c>
    </row>
    <row r="97" spans="2:10" x14ac:dyDescent="0.2">
      <c r="B97" s="43"/>
      <c r="C97" s="43"/>
      <c r="D97" s="43"/>
      <c r="E97" s="43"/>
      <c r="F97" s="43"/>
      <c r="G97" s="31"/>
      <c r="H97" s="34"/>
      <c r="I97" s="34"/>
      <c r="J97" s="42">
        <f t="shared" si="2"/>
        <v>0</v>
      </c>
    </row>
    <row r="98" spans="2:10" x14ac:dyDescent="0.2">
      <c r="B98" s="43"/>
      <c r="C98" s="43"/>
      <c r="D98" s="43"/>
      <c r="E98" s="43"/>
      <c r="F98" s="43"/>
      <c r="G98" s="31"/>
      <c r="H98" s="34"/>
      <c r="I98" s="34"/>
      <c r="J98" s="42">
        <f t="shared" si="2"/>
        <v>0</v>
      </c>
    </row>
    <row r="99" spans="2:10" x14ac:dyDescent="0.2">
      <c r="B99" s="43"/>
      <c r="C99" s="43"/>
      <c r="D99" s="43"/>
      <c r="E99" s="43"/>
      <c r="F99" s="43"/>
      <c r="G99" s="31"/>
      <c r="H99" s="34"/>
      <c r="I99" s="34"/>
      <c r="J99" s="42">
        <f t="shared" si="2"/>
        <v>0</v>
      </c>
    </row>
    <row r="100" spans="2:10" x14ac:dyDescent="0.2">
      <c r="B100" s="43"/>
      <c r="C100" s="43"/>
      <c r="D100" s="43"/>
      <c r="E100" s="43"/>
      <c r="F100" s="43"/>
      <c r="G100" s="31"/>
      <c r="H100" s="34"/>
      <c r="I100" s="34"/>
      <c r="J100" s="42">
        <f t="shared" si="2"/>
        <v>0</v>
      </c>
    </row>
    <row r="101" spans="2:10" x14ac:dyDescent="0.2">
      <c r="B101" s="43"/>
      <c r="C101" s="43"/>
      <c r="D101" s="43"/>
      <c r="E101" s="43"/>
      <c r="F101" s="43"/>
      <c r="G101" s="31"/>
      <c r="H101" s="34"/>
      <c r="I101" s="34"/>
      <c r="J101" s="42">
        <f t="shared" si="2"/>
        <v>0</v>
      </c>
    </row>
    <row r="102" spans="2:10" x14ac:dyDescent="0.2">
      <c r="B102" s="43"/>
      <c r="C102" s="43"/>
      <c r="D102" s="43"/>
      <c r="E102" s="43"/>
      <c r="F102" s="43"/>
      <c r="G102" s="31"/>
      <c r="H102" s="34"/>
      <c r="I102" s="34"/>
      <c r="J102" s="42">
        <f t="shared" si="2"/>
        <v>0</v>
      </c>
    </row>
    <row r="103" spans="2:10" x14ac:dyDescent="0.2">
      <c r="B103" s="43"/>
      <c r="C103" s="43"/>
      <c r="D103" s="43"/>
      <c r="E103" s="43"/>
      <c r="F103" s="43"/>
      <c r="G103" s="31"/>
      <c r="H103" s="34"/>
      <c r="I103" s="34"/>
      <c r="J103" s="42">
        <f t="shared" si="2"/>
        <v>0</v>
      </c>
    </row>
    <row r="104" spans="2:10" x14ac:dyDescent="0.2">
      <c r="B104" s="43"/>
      <c r="C104" s="43"/>
      <c r="D104" s="43"/>
      <c r="E104" s="43"/>
      <c r="F104" s="43"/>
      <c r="G104" s="31"/>
      <c r="H104" s="34"/>
      <c r="I104" s="34"/>
      <c r="J104" s="42">
        <f t="shared" si="2"/>
        <v>0</v>
      </c>
    </row>
    <row r="105" spans="2:10" x14ac:dyDescent="0.2">
      <c r="B105" s="43"/>
      <c r="C105" s="43"/>
      <c r="D105" s="43"/>
      <c r="E105" s="43"/>
      <c r="F105" s="43"/>
      <c r="G105" s="31"/>
      <c r="H105" s="34"/>
      <c r="I105" s="34"/>
      <c r="J105" s="42">
        <f t="shared" si="2"/>
        <v>0</v>
      </c>
    </row>
    <row r="106" spans="2:10" x14ac:dyDescent="0.2">
      <c r="B106" s="43"/>
      <c r="C106" s="43"/>
      <c r="D106" s="43"/>
      <c r="E106" s="43"/>
      <c r="F106" s="43"/>
      <c r="G106" s="31"/>
      <c r="H106" s="34"/>
      <c r="I106" s="34"/>
      <c r="J106" s="42">
        <f t="shared" si="2"/>
        <v>0</v>
      </c>
    </row>
    <row r="107" spans="2:10" x14ac:dyDescent="0.2">
      <c r="B107" s="43"/>
      <c r="C107" s="43"/>
      <c r="D107" s="43"/>
      <c r="E107" s="43"/>
      <c r="F107" s="43"/>
      <c r="G107" s="31"/>
      <c r="H107" s="34"/>
      <c r="I107" s="34"/>
      <c r="J107" s="42">
        <f t="shared" si="2"/>
        <v>0</v>
      </c>
    </row>
    <row r="108" spans="2:10" x14ac:dyDescent="0.2">
      <c r="B108" s="43"/>
      <c r="C108" s="43"/>
      <c r="D108" s="43"/>
      <c r="E108" s="43"/>
      <c r="F108" s="43"/>
      <c r="G108" s="31"/>
      <c r="H108" s="34"/>
      <c r="I108" s="34"/>
      <c r="J108" s="42">
        <f t="shared" si="2"/>
        <v>0</v>
      </c>
    </row>
    <row r="109" spans="2:10" x14ac:dyDescent="0.2">
      <c r="B109" s="43"/>
      <c r="C109" s="43"/>
      <c r="D109" s="43"/>
      <c r="E109" s="43"/>
      <c r="F109" s="43"/>
      <c r="G109" s="31"/>
      <c r="H109" s="34"/>
      <c r="I109" s="34"/>
      <c r="J109" s="42">
        <f t="shared" si="2"/>
        <v>0</v>
      </c>
    </row>
    <row r="110" spans="2:10" x14ac:dyDescent="0.2">
      <c r="B110" s="43"/>
      <c r="C110" s="43"/>
      <c r="D110" s="43"/>
      <c r="E110" s="43"/>
      <c r="F110" s="43"/>
      <c r="G110" s="31"/>
      <c r="H110" s="34"/>
      <c r="I110" s="34"/>
      <c r="J110" s="42">
        <f t="shared" si="2"/>
        <v>0</v>
      </c>
    </row>
    <row r="111" spans="2:10" x14ac:dyDescent="0.2">
      <c r="B111" s="43"/>
      <c r="C111" s="43"/>
      <c r="D111" s="43"/>
      <c r="E111" s="43"/>
      <c r="F111" s="43"/>
      <c r="G111" s="31"/>
      <c r="H111" s="34"/>
      <c r="I111" s="34"/>
      <c r="J111" s="42">
        <f t="shared" si="2"/>
        <v>0</v>
      </c>
    </row>
    <row r="112" spans="2:10" x14ac:dyDescent="0.2">
      <c r="B112" s="43"/>
      <c r="C112" s="43"/>
      <c r="D112" s="43"/>
      <c r="E112" s="43"/>
      <c r="F112" s="43"/>
      <c r="G112" s="31"/>
      <c r="H112" s="34"/>
      <c r="I112" s="34"/>
      <c r="J112" s="42">
        <f t="shared" si="2"/>
        <v>0</v>
      </c>
    </row>
    <row r="113" spans="2:10" x14ac:dyDescent="0.2">
      <c r="B113" s="43"/>
      <c r="C113" s="43"/>
      <c r="D113" s="43"/>
      <c r="E113" s="43"/>
      <c r="F113" s="43"/>
      <c r="G113" s="31"/>
      <c r="H113" s="34"/>
      <c r="I113" s="34"/>
      <c r="J113" s="42">
        <f t="shared" si="2"/>
        <v>0</v>
      </c>
    </row>
    <row r="114" spans="2:10" x14ac:dyDescent="0.2">
      <c r="B114" s="43"/>
      <c r="C114" s="43"/>
      <c r="D114" s="43"/>
      <c r="E114" s="43"/>
      <c r="F114" s="43"/>
      <c r="G114" s="31"/>
      <c r="H114" s="34"/>
      <c r="I114" s="34"/>
      <c r="J114" s="42">
        <f t="shared" si="2"/>
        <v>0</v>
      </c>
    </row>
    <row r="115" spans="2:10" x14ac:dyDescent="0.2">
      <c r="B115" s="43"/>
      <c r="C115" s="43"/>
      <c r="D115" s="43"/>
      <c r="E115" s="43"/>
      <c r="F115" s="43"/>
      <c r="G115" s="31"/>
      <c r="H115" s="34"/>
      <c r="I115" s="34"/>
      <c r="J115" s="42">
        <f t="shared" si="2"/>
        <v>0</v>
      </c>
    </row>
    <row r="116" spans="2:10" x14ac:dyDescent="0.2">
      <c r="B116" s="43"/>
      <c r="C116" s="43"/>
      <c r="D116" s="43"/>
      <c r="E116" s="43"/>
      <c r="F116" s="43"/>
      <c r="G116" s="31"/>
      <c r="H116" s="34"/>
      <c r="I116" s="34"/>
      <c r="J116" s="42">
        <f t="shared" si="2"/>
        <v>0</v>
      </c>
    </row>
    <row r="117" spans="2:10" x14ac:dyDescent="0.2">
      <c r="B117" s="43"/>
      <c r="C117" s="43"/>
      <c r="D117" s="43"/>
      <c r="E117" s="43"/>
      <c r="F117" s="43"/>
      <c r="G117" s="31"/>
      <c r="H117" s="34"/>
      <c r="I117" s="34"/>
      <c r="J117" s="42">
        <f t="shared" si="2"/>
        <v>0</v>
      </c>
    </row>
    <row r="118" spans="2:10" x14ac:dyDescent="0.2">
      <c r="B118" s="43"/>
      <c r="C118" s="43"/>
      <c r="D118" s="43"/>
      <c r="E118" s="43"/>
      <c r="F118" s="43"/>
      <c r="G118" s="31"/>
      <c r="H118" s="34"/>
      <c r="I118" s="34"/>
      <c r="J118" s="42">
        <f t="shared" si="2"/>
        <v>0</v>
      </c>
    </row>
    <row r="119" spans="2:10" x14ac:dyDescent="0.2">
      <c r="B119" s="43"/>
      <c r="C119" s="43"/>
      <c r="D119" s="43"/>
      <c r="E119" s="43"/>
      <c r="F119" s="43"/>
      <c r="G119" s="31"/>
      <c r="H119" s="34"/>
      <c r="I119" s="34"/>
      <c r="J119" s="42">
        <f t="shared" si="2"/>
        <v>0</v>
      </c>
    </row>
    <row r="120" spans="2:10" x14ac:dyDescent="0.2">
      <c r="B120" s="43"/>
      <c r="C120" s="43"/>
      <c r="D120" s="43"/>
      <c r="E120" s="43"/>
      <c r="F120" s="43"/>
      <c r="G120" s="31"/>
      <c r="H120" s="34"/>
      <c r="I120" s="34"/>
      <c r="J120" s="42">
        <f t="shared" si="2"/>
        <v>0</v>
      </c>
    </row>
    <row r="121" spans="2:10" x14ac:dyDescent="0.2">
      <c r="B121" s="43"/>
      <c r="C121" s="43"/>
      <c r="D121" s="43"/>
      <c r="E121" s="43"/>
      <c r="F121" s="43"/>
      <c r="G121" s="31"/>
      <c r="H121" s="34"/>
      <c r="I121" s="34"/>
      <c r="J121" s="42">
        <f t="shared" si="2"/>
        <v>0</v>
      </c>
    </row>
    <row r="122" spans="2:10" x14ac:dyDescent="0.2">
      <c r="B122" s="43"/>
      <c r="C122" s="43"/>
      <c r="D122" s="43"/>
      <c r="E122" s="43"/>
      <c r="F122" s="43"/>
      <c r="G122" s="31"/>
      <c r="H122" s="34"/>
      <c r="I122" s="34"/>
      <c r="J122" s="42">
        <f t="shared" si="2"/>
        <v>0</v>
      </c>
    </row>
    <row r="123" spans="2:10" x14ac:dyDescent="0.2">
      <c r="B123" s="43"/>
      <c r="C123" s="43"/>
      <c r="D123" s="43"/>
      <c r="E123" s="43"/>
      <c r="F123" s="43"/>
      <c r="G123" s="31"/>
      <c r="H123" s="34"/>
      <c r="I123" s="34"/>
      <c r="J123" s="42">
        <f t="shared" si="2"/>
        <v>0</v>
      </c>
    </row>
    <row r="124" spans="2:10" x14ac:dyDescent="0.2">
      <c r="B124" s="43"/>
      <c r="C124" s="43"/>
      <c r="D124" s="43"/>
      <c r="E124" s="43"/>
      <c r="F124" s="43"/>
      <c r="G124" s="31"/>
      <c r="H124" s="34"/>
      <c r="I124" s="34"/>
      <c r="J124" s="42">
        <f t="shared" si="2"/>
        <v>0</v>
      </c>
    </row>
    <row r="125" spans="2:10" x14ac:dyDescent="0.2">
      <c r="B125" s="43"/>
      <c r="C125" s="43"/>
      <c r="D125" s="43"/>
      <c r="E125" s="43"/>
      <c r="F125" s="43"/>
      <c r="G125" s="31"/>
      <c r="H125" s="34"/>
      <c r="I125" s="34"/>
      <c r="J125" s="42">
        <f t="shared" si="2"/>
        <v>0</v>
      </c>
    </row>
    <row r="126" spans="2:10" x14ac:dyDescent="0.2">
      <c r="B126" s="43"/>
      <c r="C126" s="43"/>
      <c r="D126" s="43"/>
      <c r="E126" s="43"/>
      <c r="F126" s="43"/>
      <c r="G126" s="31"/>
      <c r="H126" s="34"/>
      <c r="I126" s="34"/>
      <c r="J126" s="42">
        <f t="shared" si="2"/>
        <v>0</v>
      </c>
    </row>
    <row r="127" spans="2:10" x14ac:dyDescent="0.2">
      <c r="B127" s="43"/>
      <c r="C127" s="43"/>
      <c r="D127" s="43"/>
      <c r="E127" s="43"/>
      <c r="F127" s="43"/>
      <c r="G127" s="31"/>
      <c r="H127" s="34"/>
      <c r="I127" s="34"/>
      <c r="J127" s="42">
        <f t="shared" si="2"/>
        <v>0</v>
      </c>
    </row>
    <row r="128" spans="2:10" x14ac:dyDescent="0.2">
      <c r="B128" s="43"/>
      <c r="C128" s="43"/>
      <c r="D128" s="43"/>
      <c r="E128" s="43"/>
      <c r="F128" s="43"/>
      <c r="G128" s="31"/>
      <c r="H128" s="34"/>
      <c r="I128" s="34"/>
      <c r="J128" s="42">
        <f t="shared" si="2"/>
        <v>0</v>
      </c>
    </row>
    <row r="129" spans="2:10" x14ac:dyDescent="0.2">
      <c r="B129" s="43"/>
      <c r="C129" s="43"/>
      <c r="D129" s="43"/>
      <c r="E129" s="43"/>
      <c r="F129" s="43"/>
      <c r="G129" s="31"/>
      <c r="H129" s="34"/>
      <c r="I129" s="34"/>
      <c r="J129" s="42">
        <f t="shared" si="2"/>
        <v>0</v>
      </c>
    </row>
    <row r="130" spans="2:10" x14ac:dyDescent="0.2">
      <c r="B130" s="43"/>
      <c r="C130" s="43"/>
      <c r="D130" s="43"/>
      <c r="E130" s="43"/>
      <c r="F130" s="43"/>
      <c r="G130" s="31"/>
      <c r="H130" s="34"/>
      <c r="I130" s="34"/>
      <c r="J130" s="42">
        <f t="shared" si="2"/>
        <v>0</v>
      </c>
    </row>
    <row r="131" spans="2:10" x14ac:dyDescent="0.2">
      <c r="B131" s="43"/>
      <c r="C131" s="43"/>
      <c r="D131" s="43"/>
      <c r="E131" s="43"/>
      <c r="F131" s="43"/>
      <c r="G131" s="31"/>
      <c r="H131" s="34"/>
      <c r="I131" s="34"/>
      <c r="J131" s="42">
        <f t="shared" ref="J131:J194" si="3">I131-H131</f>
        <v>0</v>
      </c>
    </row>
    <row r="132" spans="2:10" x14ac:dyDescent="0.2">
      <c r="B132" s="43"/>
      <c r="C132" s="43"/>
      <c r="D132" s="43"/>
      <c r="E132" s="43"/>
      <c r="F132" s="43"/>
      <c r="G132" s="31"/>
      <c r="H132" s="34"/>
      <c r="I132" s="34"/>
      <c r="J132" s="42">
        <f t="shared" si="3"/>
        <v>0</v>
      </c>
    </row>
    <row r="133" spans="2:10" x14ac:dyDescent="0.2">
      <c r="B133" s="43"/>
      <c r="C133" s="43"/>
      <c r="D133" s="43"/>
      <c r="E133" s="43"/>
      <c r="F133" s="43"/>
      <c r="G133" s="31"/>
      <c r="H133" s="34"/>
      <c r="I133" s="34"/>
      <c r="J133" s="42">
        <f t="shared" si="3"/>
        <v>0</v>
      </c>
    </row>
    <row r="134" spans="2:10" x14ac:dyDescent="0.2">
      <c r="B134" s="43"/>
      <c r="C134" s="43"/>
      <c r="D134" s="43"/>
      <c r="E134" s="43"/>
      <c r="F134" s="43"/>
      <c r="G134" s="31"/>
      <c r="H134" s="34"/>
      <c r="I134" s="34"/>
      <c r="J134" s="42">
        <f t="shared" si="3"/>
        <v>0</v>
      </c>
    </row>
    <row r="135" spans="2:10" x14ac:dyDescent="0.2">
      <c r="B135" s="43"/>
      <c r="C135" s="43"/>
      <c r="D135" s="43"/>
      <c r="E135" s="43"/>
      <c r="F135" s="43"/>
      <c r="G135" s="31"/>
      <c r="H135" s="34"/>
      <c r="I135" s="34"/>
      <c r="J135" s="42">
        <f t="shared" si="3"/>
        <v>0</v>
      </c>
    </row>
    <row r="136" spans="2:10" x14ac:dyDescent="0.2">
      <c r="B136" s="43"/>
      <c r="C136" s="43"/>
      <c r="D136" s="43"/>
      <c r="E136" s="43"/>
      <c r="F136" s="43"/>
      <c r="G136" s="31"/>
      <c r="H136" s="34"/>
      <c r="I136" s="34"/>
      <c r="J136" s="42">
        <f t="shared" si="3"/>
        <v>0</v>
      </c>
    </row>
    <row r="137" spans="2:10" x14ac:dyDescent="0.2">
      <c r="B137" s="43"/>
      <c r="C137" s="43"/>
      <c r="D137" s="43"/>
      <c r="E137" s="43"/>
      <c r="F137" s="43"/>
      <c r="G137" s="31"/>
      <c r="H137" s="34"/>
      <c r="I137" s="34"/>
      <c r="J137" s="42">
        <f t="shared" si="3"/>
        <v>0</v>
      </c>
    </row>
    <row r="138" spans="2:10" x14ac:dyDescent="0.2">
      <c r="B138" s="43"/>
      <c r="C138" s="43"/>
      <c r="D138" s="43"/>
      <c r="E138" s="43"/>
      <c r="F138" s="43"/>
      <c r="G138" s="31"/>
      <c r="H138" s="34"/>
      <c r="I138" s="34"/>
      <c r="J138" s="42">
        <f t="shared" si="3"/>
        <v>0</v>
      </c>
    </row>
    <row r="139" spans="2:10" x14ac:dyDescent="0.2">
      <c r="B139" s="43"/>
      <c r="C139" s="43"/>
      <c r="D139" s="43"/>
      <c r="E139" s="43"/>
      <c r="F139" s="43"/>
      <c r="G139" s="31"/>
      <c r="H139" s="34"/>
      <c r="I139" s="34"/>
      <c r="J139" s="42">
        <f t="shared" si="3"/>
        <v>0</v>
      </c>
    </row>
    <row r="140" spans="2:10" x14ac:dyDescent="0.2">
      <c r="B140" s="43"/>
      <c r="C140" s="43"/>
      <c r="D140" s="43"/>
      <c r="E140" s="43"/>
      <c r="F140" s="43"/>
      <c r="G140" s="31"/>
      <c r="H140" s="34"/>
      <c r="I140" s="34"/>
      <c r="J140" s="42">
        <f t="shared" si="3"/>
        <v>0</v>
      </c>
    </row>
    <row r="141" spans="2:10" x14ac:dyDescent="0.2">
      <c r="B141" s="43"/>
      <c r="C141" s="43"/>
      <c r="D141" s="43"/>
      <c r="E141" s="43"/>
      <c r="F141" s="43"/>
      <c r="G141" s="31"/>
      <c r="H141" s="34"/>
      <c r="I141" s="34"/>
      <c r="J141" s="42">
        <f t="shared" si="3"/>
        <v>0</v>
      </c>
    </row>
    <row r="142" spans="2:10" x14ac:dyDescent="0.2">
      <c r="B142" s="43"/>
      <c r="C142" s="43"/>
      <c r="D142" s="43"/>
      <c r="E142" s="43"/>
      <c r="F142" s="43"/>
      <c r="G142" s="31"/>
      <c r="H142" s="34"/>
      <c r="I142" s="34"/>
      <c r="J142" s="42">
        <f t="shared" si="3"/>
        <v>0</v>
      </c>
    </row>
    <row r="143" spans="2:10" x14ac:dyDescent="0.2">
      <c r="B143" s="43"/>
      <c r="C143" s="43"/>
      <c r="D143" s="43"/>
      <c r="E143" s="43"/>
      <c r="F143" s="43"/>
      <c r="G143" s="31"/>
      <c r="H143" s="34"/>
      <c r="I143" s="34"/>
      <c r="J143" s="42">
        <f t="shared" si="3"/>
        <v>0</v>
      </c>
    </row>
    <row r="144" spans="2:10" x14ac:dyDescent="0.2">
      <c r="B144" s="43"/>
      <c r="C144" s="43"/>
      <c r="D144" s="43"/>
      <c r="E144" s="43"/>
      <c r="F144" s="43"/>
      <c r="G144" s="31"/>
      <c r="H144" s="34"/>
      <c r="I144" s="34"/>
      <c r="J144" s="42">
        <f t="shared" si="3"/>
        <v>0</v>
      </c>
    </row>
    <row r="145" spans="2:10" x14ac:dyDescent="0.2">
      <c r="B145" s="43"/>
      <c r="C145" s="43"/>
      <c r="D145" s="43"/>
      <c r="E145" s="43"/>
      <c r="F145" s="43"/>
      <c r="G145" s="31"/>
      <c r="H145" s="34"/>
      <c r="I145" s="34"/>
      <c r="J145" s="42">
        <f t="shared" si="3"/>
        <v>0</v>
      </c>
    </row>
    <row r="146" spans="2:10" x14ac:dyDescent="0.2">
      <c r="B146" s="43"/>
      <c r="C146" s="43"/>
      <c r="D146" s="43"/>
      <c r="E146" s="43"/>
      <c r="F146" s="43"/>
      <c r="G146" s="31"/>
      <c r="H146" s="34"/>
      <c r="I146" s="34"/>
      <c r="J146" s="42">
        <f t="shared" si="3"/>
        <v>0</v>
      </c>
    </row>
    <row r="147" spans="2:10" x14ac:dyDescent="0.2">
      <c r="B147" s="43"/>
      <c r="C147" s="43"/>
      <c r="D147" s="43"/>
      <c r="E147" s="43"/>
      <c r="F147" s="43"/>
      <c r="G147" s="31"/>
      <c r="H147" s="34"/>
      <c r="I147" s="34"/>
      <c r="J147" s="42">
        <f t="shared" si="3"/>
        <v>0</v>
      </c>
    </row>
    <row r="148" spans="2:10" x14ac:dyDescent="0.2">
      <c r="B148" s="43"/>
      <c r="C148" s="43"/>
      <c r="D148" s="43"/>
      <c r="E148" s="43"/>
      <c r="F148" s="43"/>
      <c r="G148" s="31"/>
      <c r="H148" s="34"/>
      <c r="I148" s="34"/>
      <c r="J148" s="42">
        <f t="shared" si="3"/>
        <v>0</v>
      </c>
    </row>
    <row r="149" spans="2:10" x14ac:dyDescent="0.2">
      <c r="B149" s="43"/>
      <c r="C149" s="43"/>
      <c r="D149" s="43"/>
      <c r="E149" s="43"/>
      <c r="F149" s="43"/>
      <c r="G149" s="31"/>
      <c r="H149" s="34"/>
      <c r="I149" s="34"/>
      <c r="J149" s="42">
        <f t="shared" si="3"/>
        <v>0</v>
      </c>
    </row>
    <row r="150" spans="2:10" x14ac:dyDescent="0.2">
      <c r="B150" s="43"/>
      <c r="C150" s="43"/>
      <c r="D150" s="43"/>
      <c r="E150" s="43"/>
      <c r="F150" s="43"/>
      <c r="G150" s="31"/>
      <c r="H150" s="34"/>
      <c r="I150" s="34"/>
      <c r="J150" s="42">
        <f t="shared" si="3"/>
        <v>0</v>
      </c>
    </row>
    <row r="151" spans="2:10" x14ac:dyDescent="0.2">
      <c r="B151" s="43"/>
      <c r="C151" s="43"/>
      <c r="D151" s="43"/>
      <c r="E151" s="43"/>
      <c r="F151" s="43"/>
      <c r="G151" s="31"/>
      <c r="H151" s="34"/>
      <c r="I151" s="34"/>
      <c r="J151" s="42">
        <f t="shared" si="3"/>
        <v>0</v>
      </c>
    </row>
    <row r="152" spans="2:10" x14ac:dyDescent="0.2">
      <c r="B152" s="43"/>
      <c r="C152" s="43"/>
      <c r="D152" s="43"/>
      <c r="E152" s="43"/>
      <c r="F152" s="43"/>
      <c r="G152" s="31"/>
      <c r="H152" s="34"/>
      <c r="I152" s="34"/>
      <c r="J152" s="42">
        <f t="shared" si="3"/>
        <v>0</v>
      </c>
    </row>
    <row r="153" spans="2:10" x14ac:dyDescent="0.2">
      <c r="B153" s="43"/>
      <c r="C153" s="43"/>
      <c r="D153" s="43"/>
      <c r="E153" s="43"/>
      <c r="F153" s="43"/>
      <c r="G153" s="31"/>
      <c r="H153" s="34"/>
      <c r="I153" s="34"/>
      <c r="J153" s="42">
        <f t="shared" si="3"/>
        <v>0</v>
      </c>
    </row>
    <row r="154" spans="2:10" x14ac:dyDescent="0.2">
      <c r="B154" s="43"/>
      <c r="C154" s="43"/>
      <c r="D154" s="43"/>
      <c r="E154" s="43"/>
      <c r="F154" s="43"/>
      <c r="G154" s="31"/>
      <c r="H154" s="34"/>
      <c r="I154" s="34"/>
      <c r="J154" s="42">
        <f t="shared" si="3"/>
        <v>0</v>
      </c>
    </row>
    <row r="155" spans="2:10" x14ac:dyDescent="0.2">
      <c r="B155" s="43"/>
      <c r="C155" s="43"/>
      <c r="D155" s="43"/>
      <c r="E155" s="43"/>
      <c r="F155" s="43"/>
      <c r="G155" s="31"/>
      <c r="H155" s="34"/>
      <c r="I155" s="34"/>
      <c r="J155" s="42">
        <f t="shared" si="3"/>
        <v>0</v>
      </c>
    </row>
    <row r="156" spans="2:10" x14ac:dyDescent="0.2">
      <c r="B156" s="43"/>
      <c r="C156" s="43"/>
      <c r="D156" s="43"/>
      <c r="E156" s="43"/>
      <c r="F156" s="43"/>
      <c r="G156" s="31"/>
      <c r="H156" s="34"/>
      <c r="I156" s="34"/>
      <c r="J156" s="42">
        <f t="shared" si="3"/>
        <v>0</v>
      </c>
    </row>
    <row r="157" spans="2:10" x14ac:dyDescent="0.2">
      <c r="B157" s="43"/>
      <c r="C157" s="43"/>
      <c r="D157" s="43"/>
      <c r="E157" s="43"/>
      <c r="F157" s="43"/>
      <c r="G157" s="31"/>
      <c r="H157" s="34"/>
      <c r="I157" s="34"/>
      <c r="J157" s="42">
        <f t="shared" si="3"/>
        <v>0</v>
      </c>
    </row>
    <row r="158" spans="2:10" x14ac:dyDescent="0.2">
      <c r="B158" s="43"/>
      <c r="C158" s="43"/>
      <c r="D158" s="43"/>
      <c r="E158" s="43"/>
      <c r="F158" s="43"/>
      <c r="G158" s="31"/>
      <c r="H158" s="34"/>
      <c r="I158" s="34"/>
      <c r="J158" s="42">
        <f t="shared" si="3"/>
        <v>0</v>
      </c>
    </row>
    <row r="159" spans="2:10" x14ac:dyDescent="0.2">
      <c r="B159" s="43"/>
      <c r="C159" s="43"/>
      <c r="D159" s="43"/>
      <c r="E159" s="43"/>
      <c r="F159" s="43"/>
      <c r="G159" s="31"/>
      <c r="H159" s="34"/>
      <c r="I159" s="34"/>
      <c r="J159" s="42">
        <f t="shared" si="3"/>
        <v>0</v>
      </c>
    </row>
    <row r="160" spans="2:10" x14ac:dyDescent="0.2">
      <c r="B160" s="43"/>
      <c r="C160" s="43"/>
      <c r="D160" s="43"/>
      <c r="E160" s="43"/>
      <c r="F160" s="43"/>
      <c r="G160" s="31"/>
      <c r="H160" s="34"/>
      <c r="I160" s="34"/>
      <c r="J160" s="42">
        <f t="shared" si="3"/>
        <v>0</v>
      </c>
    </row>
    <row r="161" spans="2:10" x14ac:dyDescent="0.2">
      <c r="B161" s="43"/>
      <c r="C161" s="43"/>
      <c r="D161" s="43"/>
      <c r="E161" s="43"/>
      <c r="F161" s="43"/>
      <c r="G161" s="31"/>
      <c r="H161" s="34"/>
      <c r="I161" s="34"/>
      <c r="J161" s="42">
        <f t="shared" si="3"/>
        <v>0</v>
      </c>
    </row>
    <row r="162" spans="2:10" x14ac:dyDescent="0.2">
      <c r="B162" s="43"/>
      <c r="C162" s="43"/>
      <c r="D162" s="43"/>
      <c r="E162" s="43"/>
      <c r="F162" s="43"/>
      <c r="G162" s="31"/>
      <c r="H162" s="34"/>
      <c r="I162" s="34"/>
      <c r="J162" s="42">
        <f t="shared" si="3"/>
        <v>0</v>
      </c>
    </row>
    <row r="163" spans="2:10" x14ac:dyDescent="0.2">
      <c r="B163" s="43"/>
      <c r="C163" s="43"/>
      <c r="D163" s="43"/>
      <c r="E163" s="43"/>
      <c r="F163" s="43"/>
      <c r="G163" s="31"/>
      <c r="H163" s="34"/>
      <c r="I163" s="34"/>
      <c r="J163" s="42">
        <f t="shared" si="3"/>
        <v>0</v>
      </c>
    </row>
    <row r="164" spans="2:10" x14ac:dyDescent="0.2">
      <c r="B164" s="43"/>
      <c r="C164" s="43"/>
      <c r="D164" s="43"/>
      <c r="E164" s="43"/>
      <c r="F164" s="43"/>
      <c r="G164" s="31"/>
      <c r="H164" s="34"/>
      <c r="I164" s="34"/>
      <c r="J164" s="42">
        <f t="shared" si="3"/>
        <v>0</v>
      </c>
    </row>
    <row r="165" spans="2:10" x14ac:dyDescent="0.2">
      <c r="B165" s="43"/>
      <c r="C165" s="43"/>
      <c r="D165" s="43"/>
      <c r="E165" s="43"/>
      <c r="F165" s="43"/>
      <c r="G165" s="31"/>
      <c r="H165" s="34"/>
      <c r="I165" s="34"/>
      <c r="J165" s="42">
        <f t="shared" si="3"/>
        <v>0</v>
      </c>
    </row>
    <row r="166" spans="2:10" x14ac:dyDescent="0.2">
      <c r="B166" s="43"/>
      <c r="C166" s="43"/>
      <c r="D166" s="43"/>
      <c r="E166" s="43"/>
      <c r="F166" s="43"/>
      <c r="G166" s="31"/>
      <c r="H166" s="34"/>
      <c r="I166" s="34"/>
      <c r="J166" s="42">
        <f t="shared" si="3"/>
        <v>0</v>
      </c>
    </row>
    <row r="167" spans="2:10" x14ac:dyDescent="0.2">
      <c r="B167" s="43"/>
      <c r="C167" s="43"/>
      <c r="D167" s="43"/>
      <c r="E167" s="43"/>
      <c r="F167" s="43"/>
      <c r="G167" s="31"/>
      <c r="H167" s="34"/>
      <c r="I167" s="34"/>
      <c r="J167" s="42">
        <f t="shared" si="3"/>
        <v>0</v>
      </c>
    </row>
    <row r="168" spans="2:10" x14ac:dyDescent="0.2">
      <c r="B168" s="43"/>
      <c r="C168" s="43"/>
      <c r="D168" s="43"/>
      <c r="E168" s="43"/>
      <c r="F168" s="43"/>
      <c r="G168" s="31"/>
      <c r="H168" s="34"/>
      <c r="I168" s="34"/>
      <c r="J168" s="42">
        <f t="shared" si="3"/>
        <v>0</v>
      </c>
    </row>
    <row r="169" spans="2:10" x14ac:dyDescent="0.2">
      <c r="B169" s="43"/>
      <c r="C169" s="43"/>
      <c r="D169" s="43"/>
      <c r="E169" s="43"/>
      <c r="F169" s="43"/>
      <c r="G169" s="31"/>
      <c r="H169" s="34"/>
      <c r="I169" s="34"/>
      <c r="J169" s="42">
        <f t="shared" si="3"/>
        <v>0</v>
      </c>
    </row>
    <row r="170" spans="2:10" x14ac:dyDescent="0.2">
      <c r="B170" s="43"/>
      <c r="C170" s="43"/>
      <c r="D170" s="43"/>
      <c r="E170" s="43"/>
      <c r="F170" s="43"/>
      <c r="G170" s="31"/>
      <c r="H170" s="34"/>
      <c r="I170" s="34"/>
      <c r="J170" s="42">
        <f t="shared" si="3"/>
        <v>0</v>
      </c>
    </row>
    <row r="171" spans="2:10" x14ac:dyDescent="0.2">
      <c r="B171" s="43"/>
      <c r="C171" s="43"/>
      <c r="D171" s="43"/>
      <c r="E171" s="43"/>
      <c r="F171" s="43"/>
      <c r="G171" s="31"/>
      <c r="H171" s="34"/>
      <c r="I171" s="34"/>
      <c r="J171" s="42">
        <f t="shared" si="3"/>
        <v>0</v>
      </c>
    </row>
    <row r="172" spans="2:10" x14ac:dyDescent="0.2">
      <c r="B172" s="43"/>
      <c r="C172" s="43"/>
      <c r="D172" s="43"/>
      <c r="E172" s="43"/>
      <c r="F172" s="43"/>
      <c r="G172" s="31"/>
      <c r="H172" s="34"/>
      <c r="I172" s="34"/>
      <c r="J172" s="42">
        <f t="shared" si="3"/>
        <v>0</v>
      </c>
    </row>
    <row r="173" spans="2:10" x14ac:dyDescent="0.2">
      <c r="B173" s="43"/>
      <c r="C173" s="43"/>
      <c r="D173" s="43"/>
      <c r="E173" s="43"/>
      <c r="F173" s="43"/>
      <c r="G173" s="31"/>
      <c r="H173" s="34"/>
      <c r="I173" s="34"/>
      <c r="J173" s="42">
        <f t="shared" si="3"/>
        <v>0</v>
      </c>
    </row>
    <row r="174" spans="2:10" x14ac:dyDescent="0.2">
      <c r="B174" s="43"/>
      <c r="C174" s="43"/>
      <c r="D174" s="43"/>
      <c r="E174" s="43"/>
      <c r="F174" s="43"/>
      <c r="G174" s="31"/>
      <c r="H174" s="34"/>
      <c r="I174" s="34"/>
      <c r="J174" s="42">
        <f t="shared" si="3"/>
        <v>0</v>
      </c>
    </row>
    <row r="175" spans="2:10" x14ac:dyDescent="0.2">
      <c r="B175" s="43"/>
      <c r="C175" s="43"/>
      <c r="D175" s="43"/>
      <c r="E175" s="43"/>
      <c r="F175" s="43"/>
      <c r="G175" s="31"/>
      <c r="H175" s="34"/>
      <c r="I175" s="34"/>
      <c r="J175" s="42">
        <f t="shared" si="3"/>
        <v>0</v>
      </c>
    </row>
    <row r="176" spans="2:10" x14ac:dyDescent="0.2">
      <c r="B176" s="43"/>
      <c r="C176" s="43"/>
      <c r="D176" s="43"/>
      <c r="E176" s="43"/>
      <c r="F176" s="43"/>
      <c r="G176" s="31"/>
      <c r="H176" s="34"/>
      <c r="I176" s="34"/>
      <c r="J176" s="42">
        <f t="shared" si="3"/>
        <v>0</v>
      </c>
    </row>
    <row r="177" spans="2:10" x14ac:dyDescent="0.2">
      <c r="B177" s="43"/>
      <c r="C177" s="43"/>
      <c r="D177" s="43"/>
      <c r="E177" s="43"/>
      <c r="F177" s="43"/>
      <c r="G177" s="31"/>
      <c r="H177" s="34"/>
      <c r="I177" s="34"/>
      <c r="J177" s="42">
        <f t="shared" si="3"/>
        <v>0</v>
      </c>
    </row>
    <row r="178" spans="2:10" x14ac:dyDescent="0.2">
      <c r="B178" s="43"/>
      <c r="C178" s="43"/>
      <c r="D178" s="43"/>
      <c r="E178" s="43"/>
      <c r="F178" s="43"/>
      <c r="G178" s="31"/>
      <c r="H178" s="34"/>
      <c r="I178" s="34"/>
      <c r="J178" s="42">
        <f t="shared" si="3"/>
        <v>0</v>
      </c>
    </row>
    <row r="179" spans="2:10" x14ac:dyDescent="0.2">
      <c r="B179" s="43"/>
      <c r="C179" s="43"/>
      <c r="D179" s="43"/>
      <c r="E179" s="43"/>
      <c r="F179" s="43"/>
      <c r="G179" s="31"/>
      <c r="H179" s="34"/>
      <c r="I179" s="34"/>
      <c r="J179" s="42">
        <f t="shared" si="3"/>
        <v>0</v>
      </c>
    </row>
    <row r="180" spans="2:10" x14ac:dyDescent="0.2">
      <c r="B180" s="43"/>
      <c r="C180" s="43"/>
      <c r="D180" s="43"/>
      <c r="E180" s="43"/>
      <c r="F180" s="43"/>
      <c r="G180" s="31"/>
      <c r="H180" s="34"/>
      <c r="I180" s="34"/>
      <c r="J180" s="42">
        <f t="shared" si="3"/>
        <v>0</v>
      </c>
    </row>
    <row r="181" spans="2:10" x14ac:dyDescent="0.2">
      <c r="B181" s="43"/>
      <c r="C181" s="43"/>
      <c r="D181" s="43"/>
      <c r="E181" s="43"/>
      <c r="F181" s="43"/>
      <c r="G181" s="31"/>
      <c r="H181" s="34"/>
      <c r="I181" s="34"/>
      <c r="J181" s="42">
        <f t="shared" si="3"/>
        <v>0</v>
      </c>
    </row>
    <row r="182" spans="2:10" x14ac:dyDescent="0.2">
      <c r="B182" s="43"/>
      <c r="C182" s="43"/>
      <c r="D182" s="43"/>
      <c r="E182" s="43"/>
      <c r="F182" s="43"/>
      <c r="G182" s="31"/>
      <c r="H182" s="34"/>
      <c r="I182" s="34"/>
      <c r="J182" s="42">
        <f t="shared" si="3"/>
        <v>0</v>
      </c>
    </row>
    <row r="183" spans="2:10" x14ac:dyDescent="0.2">
      <c r="B183" s="43"/>
      <c r="C183" s="43"/>
      <c r="D183" s="43"/>
      <c r="E183" s="43"/>
      <c r="F183" s="43"/>
      <c r="G183" s="31"/>
      <c r="H183" s="34"/>
      <c r="I183" s="34"/>
      <c r="J183" s="42">
        <f t="shared" si="3"/>
        <v>0</v>
      </c>
    </row>
    <row r="184" spans="2:10" x14ac:dyDescent="0.2">
      <c r="B184" s="43"/>
      <c r="C184" s="43"/>
      <c r="D184" s="43"/>
      <c r="E184" s="43"/>
      <c r="F184" s="43"/>
      <c r="G184" s="31"/>
      <c r="H184" s="34"/>
      <c r="I184" s="34"/>
      <c r="J184" s="42">
        <f t="shared" si="3"/>
        <v>0</v>
      </c>
    </row>
    <row r="185" spans="2:10" x14ac:dyDescent="0.2">
      <c r="B185" s="43"/>
      <c r="C185" s="43"/>
      <c r="D185" s="43"/>
      <c r="E185" s="43"/>
      <c r="F185" s="43"/>
      <c r="G185" s="31"/>
      <c r="H185" s="34"/>
      <c r="I185" s="34"/>
      <c r="J185" s="42">
        <f t="shared" si="3"/>
        <v>0</v>
      </c>
    </row>
    <row r="186" spans="2:10" x14ac:dyDescent="0.2">
      <c r="B186" s="43"/>
      <c r="C186" s="43"/>
      <c r="D186" s="43"/>
      <c r="E186" s="43"/>
      <c r="F186" s="43"/>
      <c r="G186" s="31"/>
      <c r="H186" s="34"/>
      <c r="I186" s="34"/>
      <c r="J186" s="42">
        <f t="shared" si="3"/>
        <v>0</v>
      </c>
    </row>
    <row r="187" spans="2:10" x14ac:dyDescent="0.2">
      <c r="B187" s="43"/>
      <c r="C187" s="43"/>
      <c r="D187" s="43"/>
      <c r="E187" s="43"/>
      <c r="F187" s="43"/>
      <c r="G187" s="31"/>
      <c r="H187" s="34"/>
      <c r="I187" s="34"/>
      <c r="J187" s="42">
        <f t="shared" si="3"/>
        <v>0</v>
      </c>
    </row>
    <row r="188" spans="2:10" x14ac:dyDescent="0.2">
      <c r="B188" s="43"/>
      <c r="C188" s="43"/>
      <c r="D188" s="43"/>
      <c r="E188" s="43"/>
      <c r="F188" s="43"/>
      <c r="G188" s="31"/>
      <c r="H188" s="34"/>
      <c r="I188" s="34"/>
      <c r="J188" s="42">
        <f t="shared" si="3"/>
        <v>0</v>
      </c>
    </row>
    <row r="189" spans="2:10" x14ac:dyDescent="0.2">
      <c r="B189" s="43"/>
      <c r="C189" s="43"/>
      <c r="D189" s="43"/>
      <c r="E189" s="43"/>
      <c r="F189" s="43"/>
      <c r="G189" s="31"/>
      <c r="H189" s="34"/>
      <c r="I189" s="34"/>
      <c r="J189" s="42">
        <f t="shared" si="3"/>
        <v>0</v>
      </c>
    </row>
    <row r="190" spans="2:10" x14ac:dyDescent="0.2">
      <c r="B190" s="43"/>
      <c r="C190" s="43"/>
      <c r="D190" s="43"/>
      <c r="E190" s="43"/>
      <c r="F190" s="43"/>
      <c r="G190" s="31"/>
      <c r="H190" s="34"/>
      <c r="I190" s="34"/>
      <c r="J190" s="42">
        <f t="shared" si="3"/>
        <v>0</v>
      </c>
    </row>
    <row r="191" spans="2:10" x14ac:dyDescent="0.2">
      <c r="B191" s="43"/>
      <c r="C191" s="43"/>
      <c r="D191" s="43"/>
      <c r="E191" s="43"/>
      <c r="F191" s="43"/>
      <c r="G191" s="31"/>
      <c r="H191" s="34"/>
      <c r="I191" s="34"/>
      <c r="J191" s="42">
        <f t="shared" si="3"/>
        <v>0</v>
      </c>
    </row>
    <row r="192" spans="2:10" x14ac:dyDescent="0.2">
      <c r="B192" s="43"/>
      <c r="C192" s="43"/>
      <c r="D192" s="43"/>
      <c r="E192" s="43"/>
      <c r="F192" s="43"/>
      <c r="G192" s="31"/>
      <c r="H192" s="34"/>
      <c r="I192" s="34"/>
      <c r="J192" s="42">
        <f t="shared" si="3"/>
        <v>0</v>
      </c>
    </row>
    <row r="193" spans="2:10" x14ac:dyDescent="0.2">
      <c r="B193" s="43"/>
      <c r="C193" s="43"/>
      <c r="D193" s="43"/>
      <c r="E193" s="43"/>
      <c r="F193" s="43"/>
      <c r="G193" s="31"/>
      <c r="H193" s="34"/>
      <c r="I193" s="34"/>
      <c r="J193" s="42">
        <f t="shared" si="3"/>
        <v>0</v>
      </c>
    </row>
    <row r="194" spans="2:10" x14ac:dyDescent="0.2">
      <c r="B194" s="43"/>
      <c r="C194" s="43"/>
      <c r="D194" s="43"/>
      <c r="E194" s="43"/>
      <c r="F194" s="43"/>
      <c r="G194" s="31"/>
      <c r="H194" s="34"/>
      <c r="I194" s="34"/>
      <c r="J194" s="42">
        <f t="shared" si="3"/>
        <v>0</v>
      </c>
    </row>
    <row r="195" spans="2:10" x14ac:dyDescent="0.2">
      <c r="B195" s="43"/>
      <c r="C195" s="43"/>
      <c r="D195" s="43"/>
      <c r="E195" s="43"/>
      <c r="F195" s="43"/>
      <c r="G195" s="31"/>
      <c r="H195" s="34"/>
      <c r="I195" s="34"/>
      <c r="J195" s="42">
        <f t="shared" ref="J195:J234" si="4">I195-H195</f>
        <v>0</v>
      </c>
    </row>
    <row r="196" spans="2:10" x14ac:dyDescent="0.2">
      <c r="B196" s="43"/>
      <c r="C196" s="43"/>
      <c r="D196" s="43"/>
      <c r="E196" s="43"/>
      <c r="F196" s="43"/>
      <c r="G196" s="31"/>
      <c r="H196" s="34"/>
      <c r="I196" s="34"/>
      <c r="J196" s="42">
        <f t="shared" si="4"/>
        <v>0</v>
      </c>
    </row>
    <row r="197" spans="2:10" x14ac:dyDescent="0.2">
      <c r="B197" s="43"/>
      <c r="C197" s="43"/>
      <c r="D197" s="43"/>
      <c r="E197" s="43"/>
      <c r="F197" s="43"/>
      <c r="G197" s="31"/>
      <c r="H197" s="34"/>
      <c r="I197" s="34"/>
      <c r="J197" s="42">
        <f t="shared" si="4"/>
        <v>0</v>
      </c>
    </row>
    <row r="198" spans="2:10" x14ac:dyDescent="0.2">
      <c r="B198" s="43"/>
      <c r="C198" s="43"/>
      <c r="D198" s="43"/>
      <c r="E198" s="43"/>
      <c r="F198" s="43"/>
      <c r="G198" s="31"/>
      <c r="H198" s="34"/>
      <c r="I198" s="34"/>
      <c r="J198" s="42">
        <f t="shared" si="4"/>
        <v>0</v>
      </c>
    </row>
    <row r="199" spans="2:10" x14ac:dyDescent="0.2">
      <c r="B199" s="43"/>
      <c r="C199" s="43"/>
      <c r="D199" s="43"/>
      <c r="E199" s="43"/>
      <c r="F199" s="43"/>
      <c r="G199" s="31"/>
      <c r="H199" s="34"/>
      <c r="I199" s="34"/>
      <c r="J199" s="42">
        <f t="shared" si="4"/>
        <v>0</v>
      </c>
    </row>
    <row r="200" spans="2:10" x14ac:dyDescent="0.2">
      <c r="B200" s="43"/>
      <c r="C200" s="43"/>
      <c r="D200" s="43"/>
      <c r="E200" s="43"/>
      <c r="F200" s="43"/>
      <c r="G200" s="31"/>
      <c r="H200" s="34"/>
      <c r="I200" s="34"/>
      <c r="J200" s="42">
        <f t="shared" si="4"/>
        <v>0</v>
      </c>
    </row>
    <row r="201" spans="2:10" x14ac:dyDescent="0.2">
      <c r="B201" s="43"/>
      <c r="C201" s="43"/>
      <c r="D201" s="43"/>
      <c r="E201" s="43"/>
      <c r="F201" s="43"/>
      <c r="G201" s="31"/>
      <c r="H201" s="34"/>
      <c r="I201" s="34"/>
      <c r="J201" s="42">
        <f t="shared" si="4"/>
        <v>0</v>
      </c>
    </row>
    <row r="202" spans="2:10" x14ac:dyDescent="0.2">
      <c r="B202" s="43"/>
      <c r="C202" s="43"/>
      <c r="D202" s="43"/>
      <c r="E202" s="43"/>
      <c r="F202" s="43"/>
      <c r="G202" s="31"/>
      <c r="H202" s="34"/>
      <c r="I202" s="34"/>
      <c r="J202" s="42">
        <f t="shared" si="4"/>
        <v>0</v>
      </c>
    </row>
    <row r="203" spans="2:10" x14ac:dyDescent="0.2">
      <c r="B203" s="43"/>
      <c r="C203" s="43"/>
      <c r="D203" s="43"/>
      <c r="E203" s="43"/>
      <c r="F203" s="43"/>
      <c r="G203" s="31"/>
      <c r="H203" s="34"/>
      <c r="I203" s="34"/>
      <c r="J203" s="42">
        <f t="shared" si="4"/>
        <v>0</v>
      </c>
    </row>
    <row r="204" spans="2:10" x14ac:dyDescent="0.2">
      <c r="B204" s="43"/>
      <c r="C204" s="43"/>
      <c r="D204" s="43"/>
      <c r="E204" s="43"/>
      <c r="F204" s="43"/>
      <c r="G204" s="31"/>
      <c r="H204" s="34"/>
      <c r="I204" s="34"/>
      <c r="J204" s="42">
        <f t="shared" si="4"/>
        <v>0</v>
      </c>
    </row>
    <row r="205" spans="2:10" x14ac:dyDescent="0.2">
      <c r="B205" s="43"/>
      <c r="C205" s="43"/>
      <c r="D205" s="43"/>
      <c r="E205" s="43"/>
      <c r="F205" s="43"/>
      <c r="G205" s="31"/>
      <c r="H205" s="34"/>
      <c r="I205" s="34"/>
      <c r="J205" s="42">
        <f t="shared" si="4"/>
        <v>0</v>
      </c>
    </row>
    <row r="206" spans="2:10" x14ac:dyDescent="0.2">
      <c r="B206" s="43"/>
      <c r="C206" s="43"/>
      <c r="D206" s="43"/>
      <c r="E206" s="43"/>
      <c r="F206" s="43"/>
      <c r="G206" s="31"/>
      <c r="H206" s="34"/>
      <c r="I206" s="34"/>
      <c r="J206" s="42">
        <f t="shared" si="4"/>
        <v>0</v>
      </c>
    </row>
    <row r="207" spans="2:10" x14ac:dyDescent="0.2">
      <c r="B207" s="43"/>
      <c r="C207" s="43"/>
      <c r="D207" s="43"/>
      <c r="E207" s="43"/>
      <c r="F207" s="43"/>
      <c r="G207" s="31"/>
      <c r="H207" s="34"/>
      <c r="I207" s="34"/>
      <c r="J207" s="42">
        <f t="shared" si="4"/>
        <v>0</v>
      </c>
    </row>
    <row r="208" spans="2:10" x14ac:dyDescent="0.2">
      <c r="B208" s="43"/>
      <c r="C208" s="43"/>
      <c r="D208" s="43"/>
      <c r="E208" s="43"/>
      <c r="F208" s="43"/>
      <c r="G208" s="31"/>
      <c r="H208" s="34"/>
      <c r="I208" s="34"/>
      <c r="J208" s="42">
        <f t="shared" si="4"/>
        <v>0</v>
      </c>
    </row>
    <row r="209" spans="2:10" x14ac:dyDescent="0.2">
      <c r="B209" s="43"/>
      <c r="C209" s="43"/>
      <c r="D209" s="43"/>
      <c r="E209" s="43"/>
      <c r="F209" s="43"/>
      <c r="G209" s="31"/>
      <c r="H209" s="34"/>
      <c r="I209" s="34"/>
      <c r="J209" s="42">
        <f t="shared" si="4"/>
        <v>0</v>
      </c>
    </row>
    <row r="210" spans="2:10" x14ac:dyDescent="0.2">
      <c r="B210" s="43"/>
      <c r="C210" s="43"/>
      <c r="D210" s="43"/>
      <c r="E210" s="43"/>
      <c r="F210" s="43"/>
      <c r="G210" s="31"/>
      <c r="H210" s="34"/>
      <c r="I210" s="34"/>
      <c r="J210" s="42">
        <f t="shared" si="4"/>
        <v>0</v>
      </c>
    </row>
    <row r="211" spans="2:10" x14ac:dyDescent="0.2">
      <c r="B211" s="43"/>
      <c r="C211" s="43"/>
      <c r="D211" s="43"/>
      <c r="E211" s="43"/>
      <c r="F211" s="43"/>
      <c r="G211" s="31"/>
      <c r="H211" s="34"/>
      <c r="I211" s="34"/>
      <c r="J211" s="42">
        <f t="shared" si="4"/>
        <v>0</v>
      </c>
    </row>
    <row r="212" spans="2:10" x14ac:dyDescent="0.2">
      <c r="B212" s="43"/>
      <c r="C212" s="43"/>
      <c r="D212" s="43"/>
      <c r="E212" s="43"/>
      <c r="F212" s="43"/>
      <c r="G212" s="31"/>
      <c r="H212" s="34"/>
      <c r="I212" s="34"/>
      <c r="J212" s="42">
        <f t="shared" si="4"/>
        <v>0</v>
      </c>
    </row>
    <row r="213" spans="2:10" x14ac:dyDescent="0.2">
      <c r="B213" s="43"/>
      <c r="C213" s="43"/>
      <c r="D213" s="43"/>
      <c r="E213" s="43"/>
      <c r="F213" s="43"/>
      <c r="G213" s="31"/>
      <c r="H213" s="34"/>
      <c r="I213" s="34"/>
      <c r="J213" s="42">
        <f t="shared" si="4"/>
        <v>0</v>
      </c>
    </row>
    <row r="214" spans="2:10" x14ac:dyDescent="0.2">
      <c r="B214" s="43"/>
      <c r="C214" s="43"/>
      <c r="D214" s="43"/>
      <c r="E214" s="43"/>
      <c r="F214" s="43"/>
      <c r="G214" s="31"/>
      <c r="H214" s="34"/>
      <c r="I214" s="34"/>
      <c r="J214" s="42">
        <f t="shared" si="4"/>
        <v>0</v>
      </c>
    </row>
    <row r="215" spans="2:10" x14ac:dyDescent="0.2">
      <c r="B215" s="43"/>
      <c r="C215" s="43"/>
      <c r="D215" s="43"/>
      <c r="E215" s="43"/>
      <c r="F215" s="43"/>
      <c r="G215" s="31"/>
      <c r="H215" s="34"/>
      <c r="I215" s="34"/>
      <c r="J215" s="42">
        <f t="shared" si="4"/>
        <v>0</v>
      </c>
    </row>
    <row r="216" spans="2:10" x14ac:dyDescent="0.2">
      <c r="B216" s="43"/>
      <c r="C216" s="43"/>
      <c r="D216" s="43"/>
      <c r="E216" s="43"/>
      <c r="F216" s="43"/>
      <c r="G216" s="31"/>
      <c r="H216" s="34"/>
      <c r="I216" s="34"/>
      <c r="J216" s="42">
        <f t="shared" si="4"/>
        <v>0</v>
      </c>
    </row>
    <row r="217" spans="2:10" x14ac:dyDescent="0.2">
      <c r="B217" s="43"/>
      <c r="C217" s="43"/>
      <c r="D217" s="43"/>
      <c r="E217" s="43"/>
      <c r="F217" s="43"/>
      <c r="G217" s="31"/>
      <c r="H217" s="34"/>
      <c r="I217" s="34"/>
      <c r="J217" s="42">
        <f t="shared" si="4"/>
        <v>0</v>
      </c>
    </row>
    <row r="218" spans="2:10" x14ac:dyDescent="0.2">
      <c r="B218" s="43"/>
      <c r="C218" s="43"/>
      <c r="D218" s="43"/>
      <c r="E218" s="43"/>
      <c r="F218" s="43"/>
      <c r="G218" s="31"/>
      <c r="H218" s="34"/>
      <c r="I218" s="34"/>
      <c r="J218" s="42">
        <f t="shared" si="4"/>
        <v>0</v>
      </c>
    </row>
    <row r="219" spans="2:10" x14ac:dyDescent="0.2">
      <c r="B219" s="43"/>
      <c r="C219" s="43"/>
      <c r="D219" s="43"/>
      <c r="E219" s="43"/>
      <c r="F219" s="43"/>
      <c r="G219" s="31"/>
      <c r="H219" s="34"/>
      <c r="I219" s="34"/>
      <c r="J219" s="42">
        <f t="shared" si="4"/>
        <v>0</v>
      </c>
    </row>
    <row r="220" spans="2:10" x14ac:dyDescent="0.2">
      <c r="B220" s="43"/>
      <c r="C220" s="43"/>
      <c r="D220" s="43"/>
      <c r="E220" s="43"/>
      <c r="F220" s="43"/>
      <c r="G220" s="31"/>
      <c r="H220" s="34"/>
      <c r="I220" s="34"/>
      <c r="J220" s="42">
        <f t="shared" si="4"/>
        <v>0</v>
      </c>
    </row>
    <row r="221" spans="2:10" x14ac:dyDescent="0.2">
      <c r="B221" s="43"/>
      <c r="C221" s="43"/>
      <c r="D221" s="43"/>
      <c r="E221" s="43"/>
      <c r="F221" s="43"/>
      <c r="G221" s="31"/>
      <c r="H221" s="34"/>
      <c r="I221" s="34"/>
      <c r="J221" s="42">
        <f t="shared" si="4"/>
        <v>0</v>
      </c>
    </row>
    <row r="222" spans="2:10" x14ac:dyDescent="0.2">
      <c r="B222" s="43"/>
      <c r="C222" s="43"/>
      <c r="D222" s="43"/>
      <c r="E222" s="43"/>
      <c r="F222" s="43"/>
      <c r="G222" s="31"/>
      <c r="H222" s="34"/>
      <c r="I222" s="34"/>
      <c r="J222" s="42">
        <f t="shared" si="4"/>
        <v>0</v>
      </c>
    </row>
    <row r="223" spans="2:10" x14ac:dyDescent="0.2">
      <c r="B223" s="43"/>
      <c r="C223" s="43"/>
      <c r="D223" s="43"/>
      <c r="E223" s="43"/>
      <c r="F223" s="43"/>
      <c r="G223" s="31"/>
      <c r="H223" s="34"/>
      <c r="I223" s="34"/>
      <c r="J223" s="42">
        <f t="shared" si="4"/>
        <v>0</v>
      </c>
    </row>
    <row r="224" spans="2:10" x14ac:dyDescent="0.2">
      <c r="B224" s="43"/>
      <c r="C224" s="43"/>
      <c r="D224" s="43"/>
      <c r="E224" s="43"/>
      <c r="F224" s="43"/>
      <c r="G224" s="31"/>
      <c r="H224" s="34"/>
      <c r="I224" s="34"/>
      <c r="J224" s="42">
        <f t="shared" si="4"/>
        <v>0</v>
      </c>
    </row>
    <row r="225" spans="2:10" x14ac:dyDescent="0.2">
      <c r="B225" s="43"/>
      <c r="C225" s="43"/>
      <c r="D225" s="43"/>
      <c r="E225" s="43"/>
      <c r="F225" s="43"/>
      <c r="G225" s="31"/>
      <c r="H225" s="34"/>
      <c r="I225" s="34"/>
      <c r="J225" s="42">
        <f t="shared" si="4"/>
        <v>0</v>
      </c>
    </row>
    <row r="226" spans="2:10" x14ac:dyDescent="0.2">
      <c r="B226" s="43"/>
      <c r="C226" s="43"/>
      <c r="D226" s="43"/>
      <c r="E226" s="43"/>
      <c r="F226" s="43"/>
      <c r="G226" s="31"/>
      <c r="H226" s="34"/>
      <c r="I226" s="34"/>
      <c r="J226" s="42">
        <f t="shared" si="4"/>
        <v>0</v>
      </c>
    </row>
    <row r="227" spans="2:10" x14ac:dyDescent="0.2">
      <c r="B227" s="43"/>
      <c r="C227" s="43"/>
      <c r="D227" s="43"/>
      <c r="E227" s="43"/>
      <c r="F227" s="43"/>
      <c r="G227" s="31"/>
      <c r="H227" s="34"/>
      <c r="I227" s="34"/>
      <c r="J227" s="42">
        <f t="shared" si="4"/>
        <v>0</v>
      </c>
    </row>
    <row r="228" spans="2:10" x14ac:dyDescent="0.2">
      <c r="B228" s="43"/>
      <c r="C228" s="43"/>
      <c r="D228" s="43"/>
      <c r="E228" s="43"/>
      <c r="F228" s="43"/>
      <c r="G228" s="31"/>
      <c r="H228" s="34"/>
      <c r="I228" s="34"/>
      <c r="J228" s="42">
        <f t="shared" si="4"/>
        <v>0</v>
      </c>
    </row>
    <row r="229" spans="2:10" x14ac:dyDescent="0.2">
      <c r="B229" s="43"/>
      <c r="C229" s="43"/>
      <c r="D229" s="43"/>
      <c r="E229" s="43"/>
      <c r="F229" s="43"/>
      <c r="G229" s="31"/>
      <c r="H229" s="34"/>
      <c r="I229" s="34"/>
      <c r="J229" s="42">
        <f t="shared" si="4"/>
        <v>0</v>
      </c>
    </row>
    <row r="230" spans="2:10" x14ac:dyDescent="0.2">
      <c r="B230" s="43"/>
      <c r="C230" s="43"/>
      <c r="D230" s="43"/>
      <c r="E230" s="43"/>
      <c r="F230" s="43"/>
      <c r="G230" s="31"/>
      <c r="H230" s="34"/>
      <c r="I230" s="34"/>
      <c r="J230" s="42">
        <f t="shared" si="4"/>
        <v>0</v>
      </c>
    </row>
    <row r="231" spans="2:10" x14ac:dyDescent="0.2">
      <c r="B231" s="43"/>
      <c r="C231" s="43"/>
      <c r="D231" s="43"/>
      <c r="E231" s="43"/>
      <c r="F231" s="43"/>
      <c r="G231" s="31"/>
      <c r="H231" s="34"/>
      <c r="I231" s="34"/>
      <c r="J231" s="42">
        <f t="shared" si="4"/>
        <v>0</v>
      </c>
    </row>
    <row r="232" spans="2:10" x14ac:dyDescent="0.2">
      <c r="B232" s="43"/>
      <c r="C232" s="43"/>
      <c r="D232" s="43"/>
      <c r="E232" s="43"/>
      <c r="F232" s="43"/>
      <c r="G232" s="31"/>
      <c r="H232" s="34"/>
      <c r="I232" s="34"/>
      <c r="J232" s="42">
        <f t="shared" si="4"/>
        <v>0</v>
      </c>
    </row>
    <row r="233" spans="2:10" x14ac:dyDescent="0.2">
      <c r="B233" s="43"/>
      <c r="C233" s="43"/>
      <c r="D233" s="43"/>
      <c r="E233" s="43"/>
      <c r="F233" s="43"/>
      <c r="G233" s="43"/>
      <c r="H233" s="34"/>
      <c r="I233" s="34"/>
      <c r="J233" s="42">
        <f t="shared" si="4"/>
        <v>0</v>
      </c>
    </row>
    <row r="234" spans="2:10" x14ac:dyDescent="0.2">
      <c r="B234" s="43"/>
      <c r="C234" s="43"/>
      <c r="D234" s="43"/>
      <c r="E234" s="43"/>
      <c r="F234" s="43"/>
      <c r="G234" s="43"/>
      <c r="H234" s="34"/>
      <c r="I234" s="34"/>
      <c r="J234" s="42">
        <f t="shared" si="4"/>
        <v>0</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194E131-B2A9-4332-898C-1925D215F26D}">
          <x14:formula1>
            <xm:f>Sheet2!$A$1:$A$3</xm:f>
          </x14:formula1>
          <xm:sqref>G4:G232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FFDFB-352E-4F13-8487-39570776C147}">
  <dimension ref="A1:M234"/>
  <sheetViews>
    <sheetView rightToLeft="1" workbookViewId="0">
      <selection activeCell="B5" sqref="B5"/>
    </sheetView>
  </sheetViews>
  <sheetFormatPr defaultColWidth="6.375" defaultRowHeight="15" x14ac:dyDescent="0.2"/>
  <cols>
    <col min="1" max="1" width="8.125" style="1" customWidth="1"/>
    <col min="2" max="2" width="5.5" bestFit="1" customWidth="1"/>
    <col min="3" max="3" width="11.625" customWidth="1"/>
    <col min="4" max="5" width="13.375" customWidth="1"/>
    <col min="6" max="6" width="5.5" bestFit="1" customWidth="1"/>
    <col min="7" max="7" width="8.125" customWidth="1"/>
    <col min="8" max="8" width="10.5" style="33" bestFit="1" customWidth="1"/>
    <col min="9" max="9" width="9.875" style="33" bestFit="1" customWidth="1"/>
    <col min="10" max="10" width="14.875" style="37" bestFit="1" customWidth="1"/>
    <col min="13" max="13" width="11.375" bestFit="1" customWidth="1"/>
  </cols>
  <sheetData>
    <row r="1" spans="1:13" s="1" customFormat="1" ht="53.1" customHeight="1" x14ac:dyDescent="0.2">
      <c r="A1" s="5" t="s">
        <v>69</v>
      </c>
      <c r="B1" s="5" t="s">
        <v>3</v>
      </c>
      <c r="C1" s="5" t="s">
        <v>4</v>
      </c>
      <c r="D1" s="25" t="s">
        <v>6</v>
      </c>
      <c r="E1" s="25" t="s">
        <v>291</v>
      </c>
      <c r="F1" s="25" t="s">
        <v>127</v>
      </c>
      <c r="G1" s="28" t="s">
        <v>144</v>
      </c>
      <c r="H1" s="32" t="s">
        <v>0</v>
      </c>
      <c r="I1" s="32" t="s">
        <v>1</v>
      </c>
      <c r="J1" s="32" t="s">
        <v>2</v>
      </c>
      <c r="L1" s="9" t="s">
        <v>67</v>
      </c>
      <c r="M1" s="9" t="s">
        <v>68</v>
      </c>
    </row>
    <row r="2" spans="1:13" x14ac:dyDescent="0.2">
      <c r="B2" s="43"/>
      <c r="C2" s="43"/>
      <c r="D2" s="43"/>
      <c r="E2" s="43"/>
      <c r="F2" s="43"/>
      <c r="G2" s="31"/>
      <c r="H2" s="34"/>
      <c r="I2" s="34"/>
      <c r="J2" s="42">
        <f>I2-H2</f>
        <v>0</v>
      </c>
      <c r="L2" s="10">
        <v>12</v>
      </c>
      <c r="M2" s="11">
        <f t="shared" ref="M2:M12" si="0">SUMIF(A:A,L2,J:J)</f>
        <v>0</v>
      </c>
    </row>
    <row r="3" spans="1:13" x14ac:dyDescent="0.2">
      <c r="B3" s="43"/>
      <c r="C3" s="43"/>
      <c r="D3" s="43"/>
      <c r="E3" s="43"/>
      <c r="F3" s="43"/>
      <c r="G3" s="31"/>
      <c r="H3" s="34"/>
      <c r="I3" s="34"/>
      <c r="J3" s="42">
        <f t="shared" ref="J3:J66" si="1">I3-H3</f>
        <v>0</v>
      </c>
      <c r="L3" s="10">
        <v>1</v>
      </c>
      <c r="M3" s="11">
        <f t="shared" si="0"/>
        <v>0</v>
      </c>
    </row>
    <row r="4" spans="1:13" x14ac:dyDescent="0.2">
      <c r="B4" s="43"/>
      <c r="C4" s="43"/>
      <c r="D4" s="43"/>
      <c r="E4" s="43"/>
      <c r="F4" s="43"/>
      <c r="G4" s="31"/>
      <c r="H4" s="34"/>
      <c r="I4" s="34"/>
      <c r="J4" s="42">
        <f t="shared" si="1"/>
        <v>0</v>
      </c>
      <c r="L4" s="10">
        <v>2</v>
      </c>
      <c r="M4" s="11">
        <f t="shared" si="0"/>
        <v>0</v>
      </c>
    </row>
    <row r="5" spans="1:13" x14ac:dyDescent="0.2">
      <c r="B5" s="43"/>
      <c r="C5" s="43"/>
      <c r="D5" s="43"/>
      <c r="E5" s="43"/>
      <c r="F5" s="43"/>
      <c r="G5" s="31"/>
      <c r="H5" s="34"/>
      <c r="I5" s="34"/>
      <c r="J5" s="42">
        <f t="shared" si="1"/>
        <v>0</v>
      </c>
      <c r="L5" s="10">
        <v>3</v>
      </c>
      <c r="M5" s="11">
        <f t="shared" si="0"/>
        <v>0</v>
      </c>
    </row>
    <row r="6" spans="1:13" x14ac:dyDescent="0.2">
      <c r="B6" s="43"/>
      <c r="C6" s="43"/>
      <c r="D6" s="43"/>
      <c r="E6" s="43"/>
      <c r="F6" s="43"/>
      <c r="G6" s="31"/>
      <c r="H6" s="34"/>
      <c r="I6" s="34"/>
      <c r="J6" s="42">
        <f t="shared" si="1"/>
        <v>0</v>
      </c>
      <c r="L6" s="10">
        <v>4</v>
      </c>
      <c r="M6" s="11">
        <f t="shared" si="0"/>
        <v>0</v>
      </c>
    </row>
    <row r="7" spans="1:13" x14ac:dyDescent="0.2">
      <c r="B7" s="43"/>
      <c r="C7" s="43"/>
      <c r="D7" s="43"/>
      <c r="E7" s="43"/>
      <c r="F7" s="43"/>
      <c r="G7" s="31"/>
      <c r="H7" s="34"/>
      <c r="I7" s="34"/>
      <c r="J7" s="42">
        <f t="shared" si="1"/>
        <v>0</v>
      </c>
      <c r="L7" s="10">
        <v>5</v>
      </c>
      <c r="M7" s="11">
        <f t="shared" si="0"/>
        <v>0</v>
      </c>
    </row>
    <row r="8" spans="1:13" x14ac:dyDescent="0.2">
      <c r="B8" s="43"/>
      <c r="C8" s="43"/>
      <c r="D8" s="43"/>
      <c r="E8" s="43"/>
      <c r="F8" s="43"/>
      <c r="G8" s="31"/>
      <c r="H8" s="34"/>
      <c r="I8" s="34"/>
      <c r="J8" s="42">
        <f t="shared" si="1"/>
        <v>0</v>
      </c>
      <c r="L8" s="10">
        <v>6</v>
      </c>
      <c r="M8" s="11">
        <f>SUMIF(A:A,L8,J:J)</f>
        <v>0</v>
      </c>
    </row>
    <row r="9" spans="1:13" x14ac:dyDescent="0.2">
      <c r="B9" s="43"/>
      <c r="C9" s="43"/>
      <c r="D9" s="43"/>
      <c r="E9" s="43"/>
      <c r="F9" s="43"/>
      <c r="G9" s="31"/>
      <c r="H9" s="34"/>
      <c r="I9" s="34"/>
      <c r="J9" s="42">
        <f t="shared" si="1"/>
        <v>0</v>
      </c>
      <c r="L9" s="10">
        <v>7</v>
      </c>
      <c r="M9" s="11">
        <f t="shared" si="0"/>
        <v>0</v>
      </c>
    </row>
    <row r="10" spans="1:13" x14ac:dyDescent="0.2">
      <c r="B10" s="43"/>
      <c r="C10" s="43"/>
      <c r="D10" s="43"/>
      <c r="E10" s="43"/>
      <c r="F10" s="43"/>
      <c r="G10" s="31"/>
      <c r="H10" s="34"/>
      <c r="I10" s="34"/>
      <c r="J10" s="42">
        <f t="shared" si="1"/>
        <v>0</v>
      </c>
      <c r="L10" s="10">
        <v>8</v>
      </c>
      <c r="M10" s="11">
        <f t="shared" si="0"/>
        <v>0</v>
      </c>
    </row>
    <row r="11" spans="1:13" x14ac:dyDescent="0.2">
      <c r="B11" s="43"/>
      <c r="C11" s="43"/>
      <c r="D11" s="43"/>
      <c r="E11" s="43"/>
      <c r="F11" s="43"/>
      <c r="G11" s="31"/>
      <c r="H11" s="34"/>
      <c r="I11" s="34"/>
      <c r="J11" s="42">
        <f t="shared" si="1"/>
        <v>0</v>
      </c>
      <c r="L11" s="10">
        <v>9</v>
      </c>
      <c r="M11" s="11">
        <f t="shared" si="0"/>
        <v>0</v>
      </c>
    </row>
    <row r="12" spans="1:13" x14ac:dyDescent="0.2">
      <c r="B12" s="43"/>
      <c r="C12" s="43"/>
      <c r="D12" s="43"/>
      <c r="E12" s="43"/>
      <c r="F12" s="43"/>
      <c r="G12" s="31"/>
      <c r="H12" s="34"/>
      <c r="I12" s="34"/>
      <c r="J12" s="42">
        <f t="shared" si="1"/>
        <v>0</v>
      </c>
      <c r="L12" s="10">
        <v>10</v>
      </c>
      <c r="M12" s="11">
        <f t="shared" si="0"/>
        <v>0</v>
      </c>
    </row>
    <row r="13" spans="1:13" x14ac:dyDescent="0.2">
      <c r="B13" s="43"/>
      <c r="C13" s="43"/>
      <c r="D13" s="43"/>
      <c r="E13" s="43"/>
      <c r="F13" s="43"/>
      <c r="G13" s="31"/>
      <c r="H13" s="34"/>
      <c r="I13" s="34"/>
      <c r="J13" s="42">
        <f t="shared" si="1"/>
        <v>0</v>
      </c>
      <c r="L13" s="16" t="s">
        <v>121</v>
      </c>
      <c r="M13" s="17">
        <f>SUM(M2:M12)</f>
        <v>0</v>
      </c>
    </row>
    <row r="14" spans="1:13" x14ac:dyDescent="0.2">
      <c r="B14" s="43"/>
      <c r="C14" s="43"/>
      <c r="D14" s="43"/>
      <c r="E14" s="43"/>
      <c r="F14" s="43"/>
      <c r="G14" s="31"/>
      <c r="H14" s="34"/>
      <c r="I14" s="34"/>
      <c r="J14" s="42">
        <f t="shared" si="1"/>
        <v>0</v>
      </c>
    </row>
    <row r="15" spans="1:13" x14ac:dyDescent="0.2">
      <c r="B15" s="43"/>
      <c r="C15" s="43"/>
      <c r="D15" s="43"/>
      <c r="E15" s="43"/>
      <c r="F15" s="43"/>
      <c r="G15" s="31"/>
      <c r="H15" s="34"/>
      <c r="I15" s="34"/>
      <c r="J15" s="42">
        <f t="shared" si="1"/>
        <v>0</v>
      </c>
    </row>
    <row r="16" spans="1:13" x14ac:dyDescent="0.2">
      <c r="B16" s="43"/>
      <c r="C16" s="43"/>
      <c r="D16" s="43"/>
      <c r="E16" s="43"/>
      <c r="F16" s="43"/>
      <c r="G16" s="31"/>
      <c r="H16" s="34"/>
      <c r="I16" s="34"/>
      <c r="J16" s="42">
        <f t="shared" si="1"/>
        <v>0</v>
      </c>
    </row>
    <row r="17" spans="2:10" x14ac:dyDescent="0.2">
      <c r="B17" s="43"/>
      <c r="C17" s="43"/>
      <c r="D17" s="43"/>
      <c r="E17" s="43"/>
      <c r="F17" s="43"/>
      <c r="G17" s="31"/>
      <c r="H17" s="34"/>
      <c r="I17" s="34"/>
      <c r="J17" s="42">
        <f t="shared" si="1"/>
        <v>0</v>
      </c>
    </row>
    <row r="18" spans="2:10" x14ac:dyDescent="0.2">
      <c r="B18" s="43"/>
      <c r="C18" s="43"/>
      <c r="D18" s="43"/>
      <c r="E18" s="43"/>
      <c r="F18" s="43"/>
      <c r="G18" s="31"/>
      <c r="H18" s="34"/>
      <c r="I18" s="34"/>
      <c r="J18" s="42">
        <f t="shared" si="1"/>
        <v>0</v>
      </c>
    </row>
    <row r="19" spans="2:10" x14ac:dyDescent="0.2">
      <c r="B19" s="43"/>
      <c r="C19" s="43"/>
      <c r="D19" s="43"/>
      <c r="E19" s="43"/>
      <c r="F19" s="43"/>
      <c r="G19" s="31"/>
      <c r="H19" s="34"/>
      <c r="I19" s="34"/>
      <c r="J19" s="42">
        <f t="shared" si="1"/>
        <v>0</v>
      </c>
    </row>
    <row r="20" spans="2:10" x14ac:dyDescent="0.2">
      <c r="B20" s="43"/>
      <c r="C20" s="43"/>
      <c r="D20" s="43"/>
      <c r="E20" s="43"/>
      <c r="F20" s="43"/>
      <c r="G20" s="31"/>
      <c r="H20" s="34"/>
      <c r="I20" s="34"/>
      <c r="J20" s="42">
        <f t="shared" si="1"/>
        <v>0</v>
      </c>
    </row>
    <row r="21" spans="2:10" x14ac:dyDescent="0.2">
      <c r="B21" s="43"/>
      <c r="C21" s="43"/>
      <c r="D21" s="43"/>
      <c r="E21" s="43"/>
      <c r="F21" s="43"/>
      <c r="G21" s="31"/>
      <c r="H21" s="34"/>
      <c r="I21" s="34"/>
      <c r="J21" s="42">
        <f t="shared" si="1"/>
        <v>0</v>
      </c>
    </row>
    <row r="22" spans="2:10" x14ac:dyDescent="0.2">
      <c r="B22" s="43"/>
      <c r="C22" s="43"/>
      <c r="D22" s="43"/>
      <c r="E22" s="43"/>
      <c r="F22" s="43"/>
      <c r="G22" s="31"/>
      <c r="H22" s="34"/>
      <c r="I22" s="34"/>
      <c r="J22" s="42">
        <f t="shared" si="1"/>
        <v>0</v>
      </c>
    </row>
    <row r="23" spans="2:10" x14ac:dyDescent="0.2">
      <c r="B23" s="43"/>
      <c r="C23" s="43"/>
      <c r="D23" s="43"/>
      <c r="E23" s="43"/>
      <c r="F23" s="43"/>
      <c r="G23" s="31"/>
      <c r="H23" s="34"/>
      <c r="I23" s="34"/>
      <c r="J23" s="42">
        <f t="shared" si="1"/>
        <v>0</v>
      </c>
    </row>
    <row r="24" spans="2:10" x14ac:dyDescent="0.2">
      <c r="B24" s="43"/>
      <c r="C24" s="43"/>
      <c r="D24" s="43"/>
      <c r="E24" s="43"/>
      <c r="F24" s="43"/>
      <c r="G24" s="31"/>
      <c r="H24" s="34"/>
      <c r="I24" s="34"/>
      <c r="J24" s="42">
        <f t="shared" si="1"/>
        <v>0</v>
      </c>
    </row>
    <row r="25" spans="2:10" x14ac:dyDescent="0.2">
      <c r="B25" s="43"/>
      <c r="C25" s="43"/>
      <c r="D25" s="43"/>
      <c r="E25" s="43"/>
      <c r="F25" s="43"/>
      <c r="G25" s="31"/>
      <c r="H25" s="34"/>
      <c r="I25" s="34"/>
      <c r="J25" s="42">
        <f t="shared" si="1"/>
        <v>0</v>
      </c>
    </row>
    <row r="26" spans="2:10" x14ac:dyDescent="0.2">
      <c r="B26" s="43"/>
      <c r="C26" s="43"/>
      <c r="D26" s="43"/>
      <c r="E26" s="43"/>
      <c r="F26" s="43"/>
      <c r="G26" s="31"/>
      <c r="H26" s="34"/>
      <c r="I26" s="34"/>
      <c r="J26" s="42">
        <f t="shared" si="1"/>
        <v>0</v>
      </c>
    </row>
    <row r="27" spans="2:10" x14ac:dyDescent="0.2">
      <c r="B27" s="43"/>
      <c r="C27" s="43"/>
      <c r="D27" s="43"/>
      <c r="E27" s="43"/>
      <c r="F27" s="43"/>
      <c r="G27" s="31"/>
      <c r="H27" s="34"/>
      <c r="I27" s="34"/>
      <c r="J27" s="42">
        <f t="shared" si="1"/>
        <v>0</v>
      </c>
    </row>
    <row r="28" spans="2:10" x14ac:dyDescent="0.2">
      <c r="B28" s="43"/>
      <c r="C28" s="43"/>
      <c r="D28" s="43"/>
      <c r="E28" s="43"/>
      <c r="F28" s="43"/>
      <c r="G28" s="31"/>
      <c r="H28" s="34"/>
      <c r="I28" s="34"/>
      <c r="J28" s="42">
        <f t="shared" si="1"/>
        <v>0</v>
      </c>
    </row>
    <row r="29" spans="2:10" x14ac:dyDescent="0.2">
      <c r="B29" s="43"/>
      <c r="C29" s="43"/>
      <c r="D29" s="43"/>
      <c r="E29" s="43"/>
      <c r="F29" s="43"/>
      <c r="G29" s="31"/>
      <c r="H29" s="34"/>
      <c r="I29" s="34"/>
      <c r="J29" s="42">
        <f t="shared" si="1"/>
        <v>0</v>
      </c>
    </row>
    <row r="30" spans="2:10" x14ac:dyDescent="0.2">
      <c r="B30" s="43"/>
      <c r="C30" s="43"/>
      <c r="D30" s="43"/>
      <c r="E30" s="43"/>
      <c r="F30" s="43"/>
      <c r="G30" s="31"/>
      <c r="H30" s="34"/>
      <c r="I30" s="34"/>
      <c r="J30" s="42">
        <f t="shared" si="1"/>
        <v>0</v>
      </c>
    </row>
    <row r="31" spans="2:10" x14ac:dyDescent="0.2">
      <c r="B31" s="43"/>
      <c r="C31" s="43"/>
      <c r="D31" s="43"/>
      <c r="E31" s="43"/>
      <c r="F31" s="43"/>
      <c r="G31" s="31"/>
      <c r="H31" s="34"/>
      <c r="I31" s="34"/>
      <c r="J31" s="42">
        <f t="shared" si="1"/>
        <v>0</v>
      </c>
    </row>
    <row r="32" spans="2:10" x14ac:dyDescent="0.2">
      <c r="B32" s="43"/>
      <c r="C32" s="43"/>
      <c r="D32" s="43"/>
      <c r="E32" s="43"/>
      <c r="F32" s="43"/>
      <c r="G32" s="31"/>
      <c r="H32" s="34"/>
      <c r="I32" s="34"/>
      <c r="J32" s="42">
        <f t="shared" si="1"/>
        <v>0</v>
      </c>
    </row>
    <row r="33" spans="2:10" x14ac:dyDescent="0.2">
      <c r="B33" s="43"/>
      <c r="C33" s="43"/>
      <c r="D33" s="43"/>
      <c r="E33" s="43"/>
      <c r="F33" s="43"/>
      <c r="G33" s="31"/>
      <c r="H33" s="34"/>
      <c r="I33" s="34"/>
      <c r="J33" s="42">
        <f t="shared" si="1"/>
        <v>0</v>
      </c>
    </row>
    <row r="34" spans="2:10" x14ac:dyDescent="0.2">
      <c r="B34" s="43"/>
      <c r="C34" s="43"/>
      <c r="D34" s="43"/>
      <c r="E34" s="43"/>
      <c r="F34" s="43"/>
      <c r="G34" s="31"/>
      <c r="H34" s="34"/>
      <c r="I34" s="34"/>
      <c r="J34" s="42">
        <f t="shared" si="1"/>
        <v>0</v>
      </c>
    </row>
    <row r="35" spans="2:10" x14ac:dyDescent="0.2">
      <c r="B35" s="43"/>
      <c r="C35" s="43"/>
      <c r="D35" s="43"/>
      <c r="E35" s="43"/>
      <c r="F35" s="43"/>
      <c r="G35" s="31"/>
      <c r="H35" s="34"/>
      <c r="I35" s="34"/>
      <c r="J35" s="42">
        <f t="shared" si="1"/>
        <v>0</v>
      </c>
    </row>
    <row r="36" spans="2:10" x14ac:dyDescent="0.2">
      <c r="B36" s="43"/>
      <c r="C36" s="43"/>
      <c r="D36" s="43"/>
      <c r="E36" s="43"/>
      <c r="F36" s="43"/>
      <c r="G36" s="31"/>
      <c r="H36" s="34"/>
      <c r="I36" s="34"/>
      <c r="J36" s="42">
        <f t="shared" si="1"/>
        <v>0</v>
      </c>
    </row>
    <row r="37" spans="2:10" x14ac:dyDescent="0.2">
      <c r="B37" s="43"/>
      <c r="C37" s="43"/>
      <c r="D37" s="43"/>
      <c r="E37" s="43"/>
      <c r="F37" s="43"/>
      <c r="G37" s="31"/>
      <c r="H37" s="34"/>
      <c r="I37" s="34"/>
      <c r="J37" s="42">
        <f t="shared" si="1"/>
        <v>0</v>
      </c>
    </row>
    <row r="38" spans="2:10" x14ac:dyDescent="0.2">
      <c r="B38" s="43"/>
      <c r="C38" s="43"/>
      <c r="D38" s="43"/>
      <c r="E38" s="43"/>
      <c r="F38" s="43"/>
      <c r="G38" s="31"/>
      <c r="H38" s="34"/>
      <c r="I38" s="34"/>
      <c r="J38" s="42">
        <f t="shared" si="1"/>
        <v>0</v>
      </c>
    </row>
    <row r="39" spans="2:10" x14ac:dyDescent="0.2">
      <c r="B39" s="43"/>
      <c r="C39" s="43"/>
      <c r="D39" s="43"/>
      <c r="E39" s="43"/>
      <c r="F39" s="43"/>
      <c r="G39" s="31"/>
      <c r="H39" s="34"/>
      <c r="I39" s="34"/>
      <c r="J39" s="42">
        <f t="shared" si="1"/>
        <v>0</v>
      </c>
    </row>
    <row r="40" spans="2:10" x14ac:dyDescent="0.2">
      <c r="B40" s="43"/>
      <c r="C40" s="43"/>
      <c r="D40" s="43"/>
      <c r="E40" s="43"/>
      <c r="F40" s="43"/>
      <c r="G40" s="31"/>
      <c r="H40" s="34"/>
      <c r="I40" s="34"/>
      <c r="J40" s="42">
        <f t="shared" si="1"/>
        <v>0</v>
      </c>
    </row>
    <row r="41" spans="2:10" x14ac:dyDescent="0.2">
      <c r="B41" s="43"/>
      <c r="C41" s="43"/>
      <c r="D41" s="43"/>
      <c r="E41" s="43"/>
      <c r="F41" s="43"/>
      <c r="G41" s="31"/>
      <c r="H41" s="34"/>
      <c r="I41" s="34"/>
      <c r="J41" s="42">
        <f t="shared" si="1"/>
        <v>0</v>
      </c>
    </row>
    <row r="42" spans="2:10" x14ac:dyDescent="0.2">
      <c r="B42" s="43"/>
      <c r="C42" s="43"/>
      <c r="D42" s="43"/>
      <c r="E42" s="43"/>
      <c r="F42" s="43"/>
      <c r="G42" s="31"/>
      <c r="H42" s="34"/>
      <c r="I42" s="34"/>
      <c r="J42" s="42">
        <f t="shared" si="1"/>
        <v>0</v>
      </c>
    </row>
    <row r="43" spans="2:10" x14ac:dyDescent="0.2">
      <c r="B43" s="43"/>
      <c r="C43" s="43"/>
      <c r="D43" s="43"/>
      <c r="E43" s="43"/>
      <c r="F43" s="43"/>
      <c r="G43" s="31"/>
      <c r="H43" s="34"/>
      <c r="I43" s="34"/>
      <c r="J43" s="42">
        <f t="shared" si="1"/>
        <v>0</v>
      </c>
    </row>
    <row r="44" spans="2:10" x14ac:dyDescent="0.2">
      <c r="B44" s="43"/>
      <c r="C44" s="43"/>
      <c r="D44" s="43"/>
      <c r="E44" s="43"/>
      <c r="F44" s="43"/>
      <c r="G44" s="31"/>
      <c r="H44" s="34"/>
      <c r="I44" s="34"/>
      <c r="J44" s="42">
        <f t="shared" si="1"/>
        <v>0</v>
      </c>
    </row>
    <row r="45" spans="2:10" x14ac:dyDescent="0.2">
      <c r="B45" s="43"/>
      <c r="C45" s="43"/>
      <c r="D45" s="43"/>
      <c r="E45" s="43"/>
      <c r="F45" s="43"/>
      <c r="G45" s="31"/>
      <c r="H45" s="34"/>
      <c r="I45" s="34"/>
      <c r="J45" s="42">
        <f t="shared" si="1"/>
        <v>0</v>
      </c>
    </row>
    <row r="46" spans="2:10" x14ac:dyDescent="0.2">
      <c r="B46" s="43"/>
      <c r="C46" s="43"/>
      <c r="D46" s="43"/>
      <c r="E46" s="43"/>
      <c r="F46" s="43"/>
      <c r="G46" s="31"/>
      <c r="H46" s="34"/>
      <c r="I46" s="34"/>
      <c r="J46" s="42">
        <f t="shared" si="1"/>
        <v>0</v>
      </c>
    </row>
    <row r="47" spans="2:10" x14ac:dyDescent="0.2">
      <c r="B47" s="43"/>
      <c r="C47" s="43"/>
      <c r="D47" s="43"/>
      <c r="E47" s="43"/>
      <c r="F47" s="43"/>
      <c r="G47" s="31"/>
      <c r="H47" s="34"/>
      <c r="I47" s="34"/>
      <c r="J47" s="42">
        <f t="shared" si="1"/>
        <v>0</v>
      </c>
    </row>
    <row r="48" spans="2:10" x14ac:dyDescent="0.2">
      <c r="B48" s="43"/>
      <c r="C48" s="43"/>
      <c r="D48" s="43"/>
      <c r="E48" s="43"/>
      <c r="F48" s="43"/>
      <c r="G48" s="31"/>
      <c r="H48" s="34"/>
      <c r="I48" s="34"/>
      <c r="J48" s="42">
        <f t="shared" si="1"/>
        <v>0</v>
      </c>
    </row>
    <row r="49" spans="2:10" x14ac:dyDescent="0.2">
      <c r="B49" s="43"/>
      <c r="C49" s="43"/>
      <c r="D49" s="43"/>
      <c r="E49" s="43"/>
      <c r="F49" s="43"/>
      <c r="G49" s="31"/>
      <c r="H49" s="34"/>
      <c r="I49" s="34"/>
      <c r="J49" s="42">
        <f t="shared" si="1"/>
        <v>0</v>
      </c>
    </row>
    <row r="50" spans="2:10" x14ac:dyDescent="0.2">
      <c r="B50" s="43"/>
      <c r="C50" s="43"/>
      <c r="D50" s="43"/>
      <c r="E50" s="43"/>
      <c r="F50" s="43"/>
      <c r="G50" s="31"/>
      <c r="H50" s="34"/>
      <c r="I50" s="34"/>
      <c r="J50" s="42">
        <f t="shared" si="1"/>
        <v>0</v>
      </c>
    </row>
    <row r="51" spans="2:10" x14ac:dyDescent="0.2">
      <c r="B51" s="43"/>
      <c r="C51" s="43"/>
      <c r="D51" s="43"/>
      <c r="E51" s="43"/>
      <c r="F51" s="43"/>
      <c r="G51" s="31"/>
      <c r="H51" s="34"/>
      <c r="I51" s="34"/>
      <c r="J51" s="42">
        <f t="shared" si="1"/>
        <v>0</v>
      </c>
    </row>
    <row r="52" spans="2:10" x14ac:dyDescent="0.2">
      <c r="B52" s="43"/>
      <c r="C52" s="43"/>
      <c r="D52" s="43"/>
      <c r="E52" s="43"/>
      <c r="F52" s="43"/>
      <c r="G52" s="31"/>
      <c r="H52" s="34"/>
      <c r="I52" s="34"/>
      <c r="J52" s="42">
        <f t="shared" si="1"/>
        <v>0</v>
      </c>
    </row>
    <row r="53" spans="2:10" x14ac:dyDescent="0.2">
      <c r="B53" s="43"/>
      <c r="C53" s="43"/>
      <c r="D53" s="43"/>
      <c r="E53" s="43"/>
      <c r="F53" s="43"/>
      <c r="G53" s="31"/>
      <c r="H53" s="34"/>
      <c r="I53" s="34"/>
      <c r="J53" s="42">
        <f t="shared" si="1"/>
        <v>0</v>
      </c>
    </row>
    <row r="54" spans="2:10" x14ac:dyDescent="0.2">
      <c r="B54" s="43"/>
      <c r="C54" s="43"/>
      <c r="D54" s="43"/>
      <c r="E54" s="43"/>
      <c r="F54" s="43"/>
      <c r="G54" s="31"/>
      <c r="H54" s="34"/>
      <c r="I54" s="34"/>
      <c r="J54" s="42">
        <f t="shared" si="1"/>
        <v>0</v>
      </c>
    </row>
    <row r="55" spans="2:10" x14ac:dyDescent="0.2">
      <c r="B55" s="43"/>
      <c r="C55" s="43"/>
      <c r="D55" s="43"/>
      <c r="E55" s="43"/>
      <c r="F55" s="43"/>
      <c r="G55" s="31"/>
      <c r="H55" s="34"/>
      <c r="I55" s="34"/>
      <c r="J55" s="42">
        <f t="shared" si="1"/>
        <v>0</v>
      </c>
    </row>
    <row r="56" spans="2:10" x14ac:dyDescent="0.2">
      <c r="B56" s="43"/>
      <c r="C56" s="43"/>
      <c r="D56" s="43"/>
      <c r="E56" s="43"/>
      <c r="F56" s="43"/>
      <c r="G56" s="31"/>
      <c r="H56" s="34"/>
      <c r="I56" s="34"/>
      <c r="J56" s="42">
        <f t="shared" si="1"/>
        <v>0</v>
      </c>
    </row>
    <row r="57" spans="2:10" x14ac:dyDescent="0.2">
      <c r="B57" s="43"/>
      <c r="C57" s="43"/>
      <c r="D57" s="43"/>
      <c r="E57" s="43"/>
      <c r="F57" s="43"/>
      <c r="G57" s="31"/>
      <c r="H57" s="34"/>
      <c r="I57" s="34"/>
      <c r="J57" s="42">
        <f t="shared" si="1"/>
        <v>0</v>
      </c>
    </row>
    <row r="58" spans="2:10" x14ac:dyDescent="0.2">
      <c r="B58" s="43"/>
      <c r="C58" s="43"/>
      <c r="D58" s="43"/>
      <c r="E58" s="43"/>
      <c r="F58" s="43"/>
      <c r="G58" s="31"/>
      <c r="H58" s="34"/>
      <c r="I58" s="34"/>
      <c r="J58" s="42">
        <f t="shared" si="1"/>
        <v>0</v>
      </c>
    </row>
    <row r="59" spans="2:10" x14ac:dyDescent="0.2">
      <c r="B59" s="43"/>
      <c r="C59" s="43"/>
      <c r="D59" s="43"/>
      <c r="E59" s="43"/>
      <c r="F59" s="43"/>
      <c r="G59" s="31"/>
      <c r="H59" s="34"/>
      <c r="I59" s="34"/>
      <c r="J59" s="42">
        <f t="shared" si="1"/>
        <v>0</v>
      </c>
    </row>
    <row r="60" spans="2:10" x14ac:dyDescent="0.2">
      <c r="B60" s="43"/>
      <c r="C60" s="43"/>
      <c r="D60" s="43"/>
      <c r="E60" s="43"/>
      <c r="F60" s="43"/>
      <c r="G60" s="31"/>
      <c r="H60" s="34"/>
      <c r="I60" s="34"/>
      <c r="J60" s="42">
        <f t="shared" si="1"/>
        <v>0</v>
      </c>
    </row>
    <row r="61" spans="2:10" x14ac:dyDescent="0.2">
      <c r="B61" s="43"/>
      <c r="C61" s="43"/>
      <c r="D61" s="43"/>
      <c r="E61" s="43"/>
      <c r="F61" s="43"/>
      <c r="G61" s="31"/>
      <c r="H61" s="34"/>
      <c r="I61" s="34"/>
      <c r="J61" s="42">
        <f t="shared" si="1"/>
        <v>0</v>
      </c>
    </row>
    <row r="62" spans="2:10" x14ac:dyDescent="0.2">
      <c r="B62" s="43"/>
      <c r="C62" s="43"/>
      <c r="D62" s="43"/>
      <c r="E62" s="43"/>
      <c r="F62" s="43"/>
      <c r="G62" s="31"/>
      <c r="H62" s="34"/>
      <c r="I62" s="34"/>
      <c r="J62" s="42">
        <f t="shared" si="1"/>
        <v>0</v>
      </c>
    </row>
    <row r="63" spans="2:10" x14ac:dyDescent="0.2">
      <c r="B63" s="43"/>
      <c r="C63" s="43"/>
      <c r="D63" s="43"/>
      <c r="E63" s="43"/>
      <c r="F63" s="43"/>
      <c r="G63" s="31"/>
      <c r="H63" s="34"/>
      <c r="I63" s="34"/>
      <c r="J63" s="42">
        <f t="shared" si="1"/>
        <v>0</v>
      </c>
    </row>
    <row r="64" spans="2:10" x14ac:dyDescent="0.2">
      <c r="B64" s="43"/>
      <c r="C64" s="43"/>
      <c r="D64" s="43"/>
      <c r="E64" s="43"/>
      <c r="F64" s="43"/>
      <c r="G64" s="31"/>
      <c r="H64" s="34"/>
      <c r="I64" s="34"/>
      <c r="J64" s="42">
        <f t="shared" si="1"/>
        <v>0</v>
      </c>
    </row>
    <row r="65" spans="2:10" x14ac:dyDescent="0.2">
      <c r="B65" s="43"/>
      <c r="C65" s="43"/>
      <c r="D65" s="43"/>
      <c r="E65" s="43"/>
      <c r="F65" s="43"/>
      <c r="G65" s="31"/>
      <c r="H65" s="34"/>
      <c r="I65" s="34"/>
      <c r="J65" s="42">
        <f t="shared" si="1"/>
        <v>0</v>
      </c>
    </row>
    <row r="66" spans="2:10" x14ac:dyDescent="0.2">
      <c r="B66" s="43"/>
      <c r="C66" s="43"/>
      <c r="D66" s="43"/>
      <c r="E66" s="43"/>
      <c r="F66" s="43"/>
      <c r="G66" s="31"/>
      <c r="H66" s="34"/>
      <c r="I66" s="34"/>
      <c r="J66" s="42">
        <f t="shared" si="1"/>
        <v>0</v>
      </c>
    </row>
    <row r="67" spans="2:10" x14ac:dyDescent="0.2">
      <c r="B67" s="43"/>
      <c r="C67" s="43"/>
      <c r="D67" s="43"/>
      <c r="E67" s="43"/>
      <c r="F67" s="43"/>
      <c r="G67" s="31"/>
      <c r="H67" s="34"/>
      <c r="I67" s="34"/>
      <c r="J67" s="42">
        <f t="shared" ref="J67:J130" si="2">I67-H67</f>
        <v>0</v>
      </c>
    </row>
    <row r="68" spans="2:10" x14ac:dyDescent="0.2">
      <c r="B68" s="43"/>
      <c r="C68" s="43"/>
      <c r="D68" s="43"/>
      <c r="E68" s="43"/>
      <c r="F68" s="43"/>
      <c r="G68" s="31"/>
      <c r="H68" s="34"/>
      <c r="I68" s="34"/>
      <c r="J68" s="42">
        <f t="shared" si="2"/>
        <v>0</v>
      </c>
    </row>
    <row r="69" spans="2:10" x14ac:dyDescent="0.2">
      <c r="B69" s="43"/>
      <c r="C69" s="43"/>
      <c r="D69" s="43"/>
      <c r="E69" s="43"/>
      <c r="F69" s="43"/>
      <c r="G69" s="31"/>
      <c r="H69" s="34"/>
      <c r="I69" s="34"/>
      <c r="J69" s="42">
        <f t="shared" si="2"/>
        <v>0</v>
      </c>
    </row>
    <row r="70" spans="2:10" x14ac:dyDescent="0.2">
      <c r="B70" s="43"/>
      <c r="C70" s="43"/>
      <c r="D70" s="43"/>
      <c r="E70" s="43"/>
      <c r="F70" s="43"/>
      <c r="G70" s="31"/>
      <c r="H70" s="34"/>
      <c r="I70" s="34"/>
      <c r="J70" s="42">
        <f t="shared" si="2"/>
        <v>0</v>
      </c>
    </row>
    <row r="71" spans="2:10" x14ac:dyDescent="0.2">
      <c r="B71" s="43"/>
      <c r="C71" s="43"/>
      <c r="D71" s="43"/>
      <c r="E71" s="43"/>
      <c r="F71" s="43"/>
      <c r="G71" s="31"/>
      <c r="H71" s="34"/>
      <c r="I71" s="34"/>
      <c r="J71" s="42">
        <f t="shared" si="2"/>
        <v>0</v>
      </c>
    </row>
    <row r="72" spans="2:10" x14ac:dyDescent="0.2">
      <c r="B72" s="43"/>
      <c r="C72" s="43"/>
      <c r="D72" s="43"/>
      <c r="E72" s="43"/>
      <c r="F72" s="43"/>
      <c r="G72" s="31"/>
      <c r="H72" s="34"/>
      <c r="I72" s="34"/>
      <c r="J72" s="42">
        <f t="shared" si="2"/>
        <v>0</v>
      </c>
    </row>
    <row r="73" spans="2:10" x14ac:dyDescent="0.2">
      <c r="B73" s="43"/>
      <c r="C73" s="43"/>
      <c r="D73" s="43"/>
      <c r="E73" s="43"/>
      <c r="F73" s="43"/>
      <c r="G73" s="31"/>
      <c r="H73" s="34"/>
      <c r="I73" s="34"/>
      <c r="J73" s="42">
        <f t="shared" si="2"/>
        <v>0</v>
      </c>
    </row>
    <row r="74" spans="2:10" x14ac:dyDescent="0.2">
      <c r="B74" s="43"/>
      <c r="C74" s="43"/>
      <c r="D74" s="43"/>
      <c r="E74" s="43"/>
      <c r="F74" s="43"/>
      <c r="G74" s="31"/>
      <c r="H74" s="34"/>
      <c r="I74" s="34"/>
      <c r="J74" s="42">
        <f t="shared" si="2"/>
        <v>0</v>
      </c>
    </row>
    <row r="75" spans="2:10" x14ac:dyDescent="0.2">
      <c r="B75" s="43"/>
      <c r="C75" s="43"/>
      <c r="D75" s="43"/>
      <c r="E75" s="43"/>
      <c r="F75" s="43"/>
      <c r="G75" s="31"/>
      <c r="H75" s="34"/>
      <c r="I75" s="34"/>
      <c r="J75" s="42">
        <f t="shared" si="2"/>
        <v>0</v>
      </c>
    </row>
    <row r="76" spans="2:10" x14ac:dyDescent="0.2">
      <c r="B76" s="43"/>
      <c r="C76" s="43"/>
      <c r="D76" s="43"/>
      <c r="E76" s="43"/>
      <c r="F76" s="43"/>
      <c r="G76" s="31"/>
      <c r="H76" s="34"/>
      <c r="I76" s="34"/>
      <c r="J76" s="42">
        <f t="shared" si="2"/>
        <v>0</v>
      </c>
    </row>
    <row r="77" spans="2:10" x14ac:dyDescent="0.2">
      <c r="B77" s="43"/>
      <c r="C77" s="43"/>
      <c r="D77" s="43"/>
      <c r="E77" s="43"/>
      <c r="F77" s="43"/>
      <c r="G77" s="31"/>
      <c r="H77" s="34"/>
      <c r="I77" s="34"/>
      <c r="J77" s="42">
        <f t="shared" si="2"/>
        <v>0</v>
      </c>
    </row>
    <row r="78" spans="2:10" x14ac:dyDescent="0.2">
      <c r="B78" s="43"/>
      <c r="C78" s="43"/>
      <c r="D78" s="43"/>
      <c r="E78" s="43"/>
      <c r="F78" s="43"/>
      <c r="G78" s="31"/>
      <c r="H78" s="34"/>
      <c r="I78" s="34"/>
      <c r="J78" s="42">
        <f t="shared" si="2"/>
        <v>0</v>
      </c>
    </row>
    <row r="79" spans="2:10" x14ac:dyDescent="0.2">
      <c r="B79" s="43"/>
      <c r="C79" s="43"/>
      <c r="D79" s="43"/>
      <c r="E79" s="43"/>
      <c r="F79" s="43"/>
      <c r="G79" s="31"/>
      <c r="H79" s="34"/>
      <c r="I79" s="34"/>
      <c r="J79" s="42">
        <f t="shared" si="2"/>
        <v>0</v>
      </c>
    </row>
    <row r="80" spans="2:10" x14ac:dyDescent="0.2">
      <c r="B80" s="43"/>
      <c r="C80" s="43"/>
      <c r="D80" s="43"/>
      <c r="E80" s="43"/>
      <c r="F80" s="43"/>
      <c r="G80" s="31"/>
      <c r="H80" s="34"/>
      <c r="I80" s="34"/>
      <c r="J80" s="42">
        <f t="shared" si="2"/>
        <v>0</v>
      </c>
    </row>
    <row r="81" spans="2:10" x14ac:dyDescent="0.2">
      <c r="B81" s="43"/>
      <c r="C81" s="43"/>
      <c r="D81" s="43"/>
      <c r="E81" s="43"/>
      <c r="F81" s="43"/>
      <c r="G81" s="31"/>
      <c r="H81" s="34"/>
      <c r="I81" s="34"/>
      <c r="J81" s="42">
        <f t="shared" si="2"/>
        <v>0</v>
      </c>
    </row>
    <row r="82" spans="2:10" x14ac:dyDescent="0.2">
      <c r="B82" s="43"/>
      <c r="C82" s="43"/>
      <c r="D82" s="43"/>
      <c r="E82" s="43"/>
      <c r="F82" s="43"/>
      <c r="G82" s="31"/>
      <c r="H82" s="34"/>
      <c r="I82" s="34"/>
      <c r="J82" s="42">
        <f t="shared" si="2"/>
        <v>0</v>
      </c>
    </row>
    <row r="83" spans="2:10" x14ac:dyDescent="0.2">
      <c r="B83" s="43"/>
      <c r="C83" s="43"/>
      <c r="D83" s="43"/>
      <c r="E83" s="43"/>
      <c r="F83" s="43"/>
      <c r="G83" s="31"/>
      <c r="H83" s="34"/>
      <c r="I83" s="34"/>
      <c r="J83" s="42">
        <f t="shared" si="2"/>
        <v>0</v>
      </c>
    </row>
    <row r="84" spans="2:10" x14ac:dyDescent="0.2">
      <c r="B84" s="43"/>
      <c r="C84" s="43"/>
      <c r="D84" s="43"/>
      <c r="E84" s="43"/>
      <c r="F84" s="43"/>
      <c r="G84" s="31"/>
      <c r="H84" s="34"/>
      <c r="I84" s="34"/>
      <c r="J84" s="42">
        <f t="shared" si="2"/>
        <v>0</v>
      </c>
    </row>
    <row r="85" spans="2:10" x14ac:dyDescent="0.2">
      <c r="B85" s="43"/>
      <c r="C85" s="43"/>
      <c r="D85" s="43"/>
      <c r="E85" s="43"/>
      <c r="F85" s="43"/>
      <c r="G85" s="31"/>
      <c r="H85" s="34"/>
      <c r="I85" s="34"/>
      <c r="J85" s="42">
        <f t="shared" si="2"/>
        <v>0</v>
      </c>
    </row>
    <row r="86" spans="2:10" x14ac:dyDescent="0.2">
      <c r="B86" s="43"/>
      <c r="C86" s="43"/>
      <c r="D86" s="43"/>
      <c r="E86" s="43"/>
      <c r="F86" s="43"/>
      <c r="G86" s="31"/>
      <c r="H86" s="34"/>
      <c r="I86" s="34"/>
      <c r="J86" s="42">
        <f t="shared" si="2"/>
        <v>0</v>
      </c>
    </row>
    <row r="87" spans="2:10" x14ac:dyDescent="0.2">
      <c r="B87" s="43"/>
      <c r="C87" s="43"/>
      <c r="D87" s="43"/>
      <c r="E87" s="43"/>
      <c r="F87" s="43"/>
      <c r="G87" s="31"/>
      <c r="H87" s="34"/>
      <c r="I87" s="34"/>
      <c r="J87" s="42">
        <f t="shared" si="2"/>
        <v>0</v>
      </c>
    </row>
    <row r="88" spans="2:10" x14ac:dyDescent="0.2">
      <c r="B88" s="43"/>
      <c r="C88" s="43"/>
      <c r="D88" s="43"/>
      <c r="E88" s="43"/>
      <c r="F88" s="43"/>
      <c r="G88" s="31"/>
      <c r="H88" s="34"/>
      <c r="I88" s="34"/>
      <c r="J88" s="42">
        <f t="shared" si="2"/>
        <v>0</v>
      </c>
    </row>
    <row r="89" spans="2:10" x14ac:dyDescent="0.2">
      <c r="B89" s="43"/>
      <c r="C89" s="43"/>
      <c r="D89" s="43"/>
      <c r="E89" s="43"/>
      <c r="F89" s="43"/>
      <c r="G89" s="31"/>
      <c r="H89" s="34"/>
      <c r="I89" s="34"/>
      <c r="J89" s="42">
        <f t="shared" si="2"/>
        <v>0</v>
      </c>
    </row>
    <row r="90" spans="2:10" x14ac:dyDescent="0.2">
      <c r="B90" s="43"/>
      <c r="C90" s="43"/>
      <c r="D90" s="43"/>
      <c r="E90" s="43"/>
      <c r="F90" s="43"/>
      <c r="G90" s="31"/>
      <c r="H90" s="34"/>
      <c r="I90" s="34"/>
      <c r="J90" s="42">
        <f t="shared" si="2"/>
        <v>0</v>
      </c>
    </row>
    <row r="91" spans="2:10" x14ac:dyDescent="0.2">
      <c r="B91" s="43"/>
      <c r="C91" s="43"/>
      <c r="D91" s="43"/>
      <c r="E91" s="43"/>
      <c r="F91" s="43"/>
      <c r="G91" s="31"/>
      <c r="H91" s="34"/>
      <c r="I91" s="34"/>
      <c r="J91" s="42">
        <f t="shared" si="2"/>
        <v>0</v>
      </c>
    </row>
    <row r="92" spans="2:10" x14ac:dyDescent="0.2">
      <c r="B92" s="43"/>
      <c r="C92" s="43"/>
      <c r="D92" s="43"/>
      <c r="E92" s="43"/>
      <c r="F92" s="43"/>
      <c r="G92" s="31"/>
      <c r="H92" s="34"/>
      <c r="I92" s="34"/>
      <c r="J92" s="42">
        <f t="shared" si="2"/>
        <v>0</v>
      </c>
    </row>
    <row r="93" spans="2:10" x14ac:dyDescent="0.2">
      <c r="B93" s="43"/>
      <c r="C93" s="43"/>
      <c r="D93" s="43"/>
      <c r="E93" s="43"/>
      <c r="F93" s="43"/>
      <c r="G93" s="31"/>
      <c r="H93" s="34"/>
      <c r="I93" s="34"/>
      <c r="J93" s="42">
        <f t="shared" si="2"/>
        <v>0</v>
      </c>
    </row>
    <row r="94" spans="2:10" x14ac:dyDescent="0.2">
      <c r="B94" s="43"/>
      <c r="C94" s="43"/>
      <c r="D94" s="43"/>
      <c r="E94" s="43"/>
      <c r="F94" s="43"/>
      <c r="G94" s="31"/>
      <c r="H94" s="34"/>
      <c r="I94" s="34"/>
      <c r="J94" s="42">
        <f t="shared" si="2"/>
        <v>0</v>
      </c>
    </row>
    <row r="95" spans="2:10" x14ac:dyDescent="0.2">
      <c r="B95" s="43"/>
      <c r="C95" s="43"/>
      <c r="D95" s="43"/>
      <c r="E95" s="43"/>
      <c r="F95" s="43"/>
      <c r="G95" s="31"/>
      <c r="H95" s="34"/>
      <c r="I95" s="34"/>
      <c r="J95" s="42">
        <f t="shared" si="2"/>
        <v>0</v>
      </c>
    </row>
    <row r="96" spans="2:10" x14ac:dyDescent="0.2">
      <c r="B96" s="43"/>
      <c r="C96" s="43"/>
      <c r="D96" s="43"/>
      <c r="E96" s="43"/>
      <c r="F96" s="43"/>
      <c r="G96" s="31"/>
      <c r="H96" s="34"/>
      <c r="I96" s="34"/>
      <c r="J96" s="42">
        <f t="shared" si="2"/>
        <v>0</v>
      </c>
    </row>
    <row r="97" spans="2:10" x14ac:dyDescent="0.2">
      <c r="B97" s="43"/>
      <c r="C97" s="43"/>
      <c r="D97" s="43"/>
      <c r="E97" s="43"/>
      <c r="F97" s="43"/>
      <c r="G97" s="31"/>
      <c r="H97" s="34"/>
      <c r="I97" s="34"/>
      <c r="J97" s="42">
        <f t="shared" si="2"/>
        <v>0</v>
      </c>
    </row>
    <row r="98" spans="2:10" x14ac:dyDescent="0.2">
      <c r="B98" s="43"/>
      <c r="C98" s="43"/>
      <c r="D98" s="43"/>
      <c r="E98" s="43"/>
      <c r="F98" s="43"/>
      <c r="G98" s="31"/>
      <c r="H98" s="34"/>
      <c r="I98" s="34"/>
      <c r="J98" s="42">
        <f t="shared" si="2"/>
        <v>0</v>
      </c>
    </row>
    <row r="99" spans="2:10" x14ac:dyDescent="0.2">
      <c r="B99" s="43"/>
      <c r="C99" s="43"/>
      <c r="D99" s="43"/>
      <c r="E99" s="43"/>
      <c r="F99" s="43"/>
      <c r="G99" s="31"/>
      <c r="H99" s="34"/>
      <c r="I99" s="34"/>
      <c r="J99" s="42">
        <f t="shared" si="2"/>
        <v>0</v>
      </c>
    </row>
    <row r="100" spans="2:10" x14ac:dyDescent="0.2">
      <c r="B100" s="43"/>
      <c r="C100" s="43"/>
      <c r="D100" s="43"/>
      <c r="E100" s="43"/>
      <c r="F100" s="43"/>
      <c r="G100" s="31"/>
      <c r="H100" s="34"/>
      <c r="I100" s="34"/>
      <c r="J100" s="42">
        <f t="shared" si="2"/>
        <v>0</v>
      </c>
    </row>
    <row r="101" spans="2:10" x14ac:dyDescent="0.2">
      <c r="B101" s="43"/>
      <c r="C101" s="43"/>
      <c r="D101" s="43"/>
      <c r="E101" s="43"/>
      <c r="F101" s="43"/>
      <c r="G101" s="31"/>
      <c r="H101" s="34"/>
      <c r="I101" s="34"/>
      <c r="J101" s="42">
        <f t="shared" si="2"/>
        <v>0</v>
      </c>
    </row>
    <row r="102" spans="2:10" x14ac:dyDescent="0.2">
      <c r="B102" s="43"/>
      <c r="C102" s="43"/>
      <c r="D102" s="43"/>
      <c r="E102" s="43"/>
      <c r="F102" s="43"/>
      <c r="G102" s="31"/>
      <c r="H102" s="34"/>
      <c r="I102" s="34"/>
      <c r="J102" s="42">
        <f t="shared" si="2"/>
        <v>0</v>
      </c>
    </row>
    <row r="103" spans="2:10" x14ac:dyDescent="0.2">
      <c r="B103" s="43"/>
      <c r="C103" s="43"/>
      <c r="D103" s="43"/>
      <c r="E103" s="43"/>
      <c r="F103" s="43"/>
      <c r="G103" s="31"/>
      <c r="H103" s="34"/>
      <c r="I103" s="34"/>
      <c r="J103" s="42">
        <f t="shared" si="2"/>
        <v>0</v>
      </c>
    </row>
    <row r="104" spans="2:10" x14ac:dyDescent="0.2">
      <c r="B104" s="43"/>
      <c r="C104" s="43"/>
      <c r="D104" s="43"/>
      <c r="E104" s="43"/>
      <c r="F104" s="43"/>
      <c r="G104" s="31"/>
      <c r="H104" s="34"/>
      <c r="I104" s="34"/>
      <c r="J104" s="42">
        <f t="shared" si="2"/>
        <v>0</v>
      </c>
    </row>
    <row r="105" spans="2:10" x14ac:dyDescent="0.2">
      <c r="B105" s="43"/>
      <c r="C105" s="43"/>
      <c r="D105" s="43"/>
      <c r="E105" s="43"/>
      <c r="F105" s="43"/>
      <c r="G105" s="31"/>
      <c r="H105" s="34"/>
      <c r="I105" s="34"/>
      <c r="J105" s="42">
        <f t="shared" si="2"/>
        <v>0</v>
      </c>
    </row>
    <row r="106" spans="2:10" x14ac:dyDescent="0.2">
      <c r="B106" s="43"/>
      <c r="C106" s="43"/>
      <c r="D106" s="43"/>
      <c r="E106" s="43"/>
      <c r="F106" s="43"/>
      <c r="G106" s="31"/>
      <c r="H106" s="34"/>
      <c r="I106" s="34"/>
      <c r="J106" s="42">
        <f t="shared" si="2"/>
        <v>0</v>
      </c>
    </row>
    <row r="107" spans="2:10" x14ac:dyDescent="0.2">
      <c r="B107" s="43"/>
      <c r="C107" s="43"/>
      <c r="D107" s="43"/>
      <c r="E107" s="43"/>
      <c r="F107" s="43"/>
      <c r="G107" s="31"/>
      <c r="H107" s="34"/>
      <c r="I107" s="34"/>
      <c r="J107" s="42">
        <f t="shared" si="2"/>
        <v>0</v>
      </c>
    </row>
    <row r="108" spans="2:10" x14ac:dyDescent="0.2">
      <c r="B108" s="43"/>
      <c r="C108" s="43"/>
      <c r="D108" s="43"/>
      <c r="E108" s="43"/>
      <c r="F108" s="43"/>
      <c r="G108" s="31"/>
      <c r="H108" s="34"/>
      <c r="I108" s="34"/>
      <c r="J108" s="42">
        <f t="shared" si="2"/>
        <v>0</v>
      </c>
    </row>
    <row r="109" spans="2:10" x14ac:dyDescent="0.2">
      <c r="B109" s="43"/>
      <c r="C109" s="43"/>
      <c r="D109" s="43"/>
      <c r="E109" s="43"/>
      <c r="F109" s="43"/>
      <c r="G109" s="31"/>
      <c r="H109" s="34"/>
      <c r="I109" s="34"/>
      <c r="J109" s="42">
        <f t="shared" si="2"/>
        <v>0</v>
      </c>
    </row>
    <row r="110" spans="2:10" x14ac:dyDescent="0.2">
      <c r="B110" s="43"/>
      <c r="C110" s="43"/>
      <c r="D110" s="43"/>
      <c r="E110" s="43"/>
      <c r="F110" s="43"/>
      <c r="G110" s="31"/>
      <c r="H110" s="34"/>
      <c r="I110" s="34"/>
      <c r="J110" s="42">
        <f t="shared" si="2"/>
        <v>0</v>
      </c>
    </row>
    <row r="111" spans="2:10" x14ac:dyDescent="0.2">
      <c r="B111" s="43"/>
      <c r="C111" s="43"/>
      <c r="D111" s="43"/>
      <c r="E111" s="43"/>
      <c r="F111" s="43"/>
      <c r="G111" s="31"/>
      <c r="H111" s="34"/>
      <c r="I111" s="34"/>
      <c r="J111" s="42">
        <f t="shared" si="2"/>
        <v>0</v>
      </c>
    </row>
    <row r="112" spans="2:10" x14ac:dyDescent="0.2">
      <c r="B112" s="43"/>
      <c r="C112" s="43"/>
      <c r="D112" s="43"/>
      <c r="E112" s="43"/>
      <c r="F112" s="43"/>
      <c r="G112" s="31"/>
      <c r="H112" s="34"/>
      <c r="I112" s="34"/>
      <c r="J112" s="42">
        <f t="shared" si="2"/>
        <v>0</v>
      </c>
    </row>
    <row r="113" spans="2:10" x14ac:dyDescent="0.2">
      <c r="B113" s="43"/>
      <c r="C113" s="43"/>
      <c r="D113" s="43"/>
      <c r="E113" s="43"/>
      <c r="F113" s="43"/>
      <c r="G113" s="31"/>
      <c r="H113" s="34"/>
      <c r="I113" s="34"/>
      <c r="J113" s="42">
        <f t="shared" si="2"/>
        <v>0</v>
      </c>
    </row>
    <row r="114" spans="2:10" x14ac:dyDescent="0.2">
      <c r="B114" s="43"/>
      <c r="C114" s="43"/>
      <c r="D114" s="43"/>
      <c r="E114" s="43"/>
      <c r="F114" s="43"/>
      <c r="G114" s="31"/>
      <c r="H114" s="34"/>
      <c r="I114" s="34"/>
      <c r="J114" s="42">
        <f t="shared" si="2"/>
        <v>0</v>
      </c>
    </row>
    <row r="115" spans="2:10" x14ac:dyDescent="0.2">
      <c r="B115" s="43"/>
      <c r="C115" s="43"/>
      <c r="D115" s="43"/>
      <c r="E115" s="43"/>
      <c r="F115" s="43"/>
      <c r="G115" s="31"/>
      <c r="H115" s="34"/>
      <c r="I115" s="34"/>
      <c r="J115" s="42">
        <f t="shared" si="2"/>
        <v>0</v>
      </c>
    </row>
    <row r="116" spans="2:10" x14ac:dyDescent="0.2">
      <c r="B116" s="43"/>
      <c r="C116" s="43"/>
      <c r="D116" s="43"/>
      <c r="E116" s="43"/>
      <c r="F116" s="43"/>
      <c r="G116" s="31"/>
      <c r="H116" s="34"/>
      <c r="I116" s="34"/>
      <c r="J116" s="42">
        <f t="shared" si="2"/>
        <v>0</v>
      </c>
    </row>
    <row r="117" spans="2:10" x14ac:dyDescent="0.2">
      <c r="B117" s="43"/>
      <c r="C117" s="43"/>
      <c r="D117" s="43"/>
      <c r="E117" s="43"/>
      <c r="F117" s="43"/>
      <c r="G117" s="31"/>
      <c r="H117" s="34"/>
      <c r="I117" s="34"/>
      <c r="J117" s="42">
        <f t="shared" si="2"/>
        <v>0</v>
      </c>
    </row>
    <row r="118" spans="2:10" x14ac:dyDescent="0.2">
      <c r="B118" s="43"/>
      <c r="C118" s="43"/>
      <c r="D118" s="43"/>
      <c r="E118" s="43"/>
      <c r="F118" s="43"/>
      <c r="G118" s="31"/>
      <c r="H118" s="34"/>
      <c r="I118" s="34"/>
      <c r="J118" s="42">
        <f t="shared" si="2"/>
        <v>0</v>
      </c>
    </row>
    <row r="119" spans="2:10" x14ac:dyDescent="0.2">
      <c r="B119" s="43"/>
      <c r="C119" s="43"/>
      <c r="D119" s="43"/>
      <c r="E119" s="43"/>
      <c r="F119" s="43"/>
      <c r="G119" s="31"/>
      <c r="H119" s="34"/>
      <c r="I119" s="34"/>
      <c r="J119" s="42">
        <f t="shared" si="2"/>
        <v>0</v>
      </c>
    </row>
    <row r="120" spans="2:10" x14ac:dyDescent="0.2">
      <c r="B120" s="43"/>
      <c r="C120" s="43"/>
      <c r="D120" s="43"/>
      <c r="E120" s="43"/>
      <c r="F120" s="43"/>
      <c r="G120" s="31"/>
      <c r="H120" s="34"/>
      <c r="I120" s="34"/>
      <c r="J120" s="42">
        <f t="shared" si="2"/>
        <v>0</v>
      </c>
    </row>
    <row r="121" spans="2:10" x14ac:dyDescent="0.2">
      <c r="B121" s="43"/>
      <c r="C121" s="43"/>
      <c r="D121" s="43"/>
      <c r="E121" s="43"/>
      <c r="F121" s="43"/>
      <c r="G121" s="31"/>
      <c r="H121" s="34"/>
      <c r="I121" s="34"/>
      <c r="J121" s="42">
        <f t="shared" si="2"/>
        <v>0</v>
      </c>
    </row>
    <row r="122" spans="2:10" x14ac:dyDescent="0.2">
      <c r="B122" s="43"/>
      <c r="C122" s="43"/>
      <c r="D122" s="43"/>
      <c r="E122" s="43"/>
      <c r="F122" s="43"/>
      <c r="G122" s="31"/>
      <c r="H122" s="34"/>
      <c r="I122" s="34"/>
      <c r="J122" s="42">
        <f t="shared" si="2"/>
        <v>0</v>
      </c>
    </row>
    <row r="123" spans="2:10" x14ac:dyDescent="0.2">
      <c r="B123" s="43"/>
      <c r="C123" s="43"/>
      <c r="D123" s="43"/>
      <c r="E123" s="43"/>
      <c r="F123" s="43"/>
      <c r="G123" s="31"/>
      <c r="H123" s="34"/>
      <c r="I123" s="34"/>
      <c r="J123" s="42">
        <f t="shared" si="2"/>
        <v>0</v>
      </c>
    </row>
    <row r="124" spans="2:10" x14ac:dyDescent="0.2">
      <c r="B124" s="43"/>
      <c r="C124" s="43"/>
      <c r="D124" s="43"/>
      <c r="E124" s="43"/>
      <c r="F124" s="43"/>
      <c r="G124" s="31"/>
      <c r="H124" s="34"/>
      <c r="I124" s="34"/>
      <c r="J124" s="42">
        <f t="shared" si="2"/>
        <v>0</v>
      </c>
    </row>
    <row r="125" spans="2:10" x14ac:dyDescent="0.2">
      <c r="B125" s="43"/>
      <c r="C125" s="43"/>
      <c r="D125" s="43"/>
      <c r="E125" s="43"/>
      <c r="F125" s="43"/>
      <c r="G125" s="31"/>
      <c r="H125" s="34"/>
      <c r="I125" s="34"/>
      <c r="J125" s="42">
        <f t="shared" si="2"/>
        <v>0</v>
      </c>
    </row>
    <row r="126" spans="2:10" x14ac:dyDescent="0.2">
      <c r="B126" s="43"/>
      <c r="C126" s="43"/>
      <c r="D126" s="43"/>
      <c r="E126" s="43"/>
      <c r="F126" s="43"/>
      <c r="G126" s="31"/>
      <c r="H126" s="34"/>
      <c r="I126" s="34"/>
      <c r="J126" s="42">
        <f t="shared" si="2"/>
        <v>0</v>
      </c>
    </row>
    <row r="127" spans="2:10" x14ac:dyDescent="0.2">
      <c r="B127" s="43"/>
      <c r="C127" s="43"/>
      <c r="D127" s="43"/>
      <c r="E127" s="43"/>
      <c r="F127" s="43"/>
      <c r="G127" s="31"/>
      <c r="H127" s="34"/>
      <c r="I127" s="34"/>
      <c r="J127" s="42">
        <f t="shared" si="2"/>
        <v>0</v>
      </c>
    </row>
    <row r="128" spans="2:10" x14ac:dyDescent="0.2">
      <c r="B128" s="43"/>
      <c r="C128" s="43"/>
      <c r="D128" s="43"/>
      <c r="E128" s="43"/>
      <c r="F128" s="43"/>
      <c r="G128" s="31"/>
      <c r="H128" s="34"/>
      <c r="I128" s="34"/>
      <c r="J128" s="42">
        <f t="shared" si="2"/>
        <v>0</v>
      </c>
    </row>
    <row r="129" spans="2:10" x14ac:dyDescent="0.2">
      <c r="B129" s="43"/>
      <c r="C129" s="43"/>
      <c r="D129" s="43"/>
      <c r="E129" s="43"/>
      <c r="F129" s="43"/>
      <c r="G129" s="31"/>
      <c r="H129" s="34"/>
      <c r="I129" s="34"/>
      <c r="J129" s="42">
        <f t="shared" si="2"/>
        <v>0</v>
      </c>
    </row>
    <row r="130" spans="2:10" x14ac:dyDescent="0.2">
      <c r="B130" s="43"/>
      <c r="C130" s="43"/>
      <c r="D130" s="43"/>
      <c r="E130" s="43"/>
      <c r="F130" s="43"/>
      <c r="G130" s="31"/>
      <c r="H130" s="34"/>
      <c r="I130" s="34"/>
      <c r="J130" s="42">
        <f t="shared" si="2"/>
        <v>0</v>
      </c>
    </row>
    <row r="131" spans="2:10" x14ac:dyDescent="0.2">
      <c r="B131" s="43"/>
      <c r="C131" s="43"/>
      <c r="D131" s="43"/>
      <c r="E131" s="43"/>
      <c r="F131" s="43"/>
      <c r="G131" s="31"/>
      <c r="H131" s="34"/>
      <c r="I131" s="34"/>
      <c r="J131" s="42">
        <f t="shared" ref="J131:J194" si="3">I131-H131</f>
        <v>0</v>
      </c>
    </row>
    <row r="132" spans="2:10" x14ac:dyDescent="0.2">
      <c r="B132" s="43"/>
      <c r="C132" s="43"/>
      <c r="D132" s="43"/>
      <c r="E132" s="43"/>
      <c r="F132" s="43"/>
      <c r="G132" s="31"/>
      <c r="H132" s="34"/>
      <c r="I132" s="34"/>
      <c r="J132" s="42">
        <f t="shared" si="3"/>
        <v>0</v>
      </c>
    </row>
    <row r="133" spans="2:10" x14ac:dyDescent="0.2">
      <c r="B133" s="43"/>
      <c r="C133" s="43"/>
      <c r="D133" s="43"/>
      <c r="E133" s="43"/>
      <c r="F133" s="43"/>
      <c r="G133" s="31"/>
      <c r="H133" s="34"/>
      <c r="I133" s="34"/>
      <c r="J133" s="42">
        <f t="shared" si="3"/>
        <v>0</v>
      </c>
    </row>
    <row r="134" spans="2:10" x14ac:dyDescent="0.2">
      <c r="B134" s="43"/>
      <c r="C134" s="43"/>
      <c r="D134" s="43"/>
      <c r="E134" s="43"/>
      <c r="F134" s="43"/>
      <c r="G134" s="31"/>
      <c r="H134" s="34"/>
      <c r="I134" s="34"/>
      <c r="J134" s="42">
        <f t="shared" si="3"/>
        <v>0</v>
      </c>
    </row>
    <row r="135" spans="2:10" x14ac:dyDescent="0.2">
      <c r="B135" s="43"/>
      <c r="C135" s="43"/>
      <c r="D135" s="43"/>
      <c r="E135" s="43"/>
      <c r="F135" s="43"/>
      <c r="G135" s="31"/>
      <c r="H135" s="34"/>
      <c r="I135" s="34"/>
      <c r="J135" s="42">
        <f t="shared" si="3"/>
        <v>0</v>
      </c>
    </row>
    <row r="136" spans="2:10" x14ac:dyDescent="0.2">
      <c r="B136" s="43"/>
      <c r="C136" s="43"/>
      <c r="D136" s="43"/>
      <c r="E136" s="43"/>
      <c r="F136" s="43"/>
      <c r="G136" s="31"/>
      <c r="H136" s="34"/>
      <c r="I136" s="34"/>
      <c r="J136" s="42">
        <f t="shared" si="3"/>
        <v>0</v>
      </c>
    </row>
    <row r="137" spans="2:10" x14ac:dyDescent="0.2">
      <c r="B137" s="43"/>
      <c r="C137" s="43"/>
      <c r="D137" s="43"/>
      <c r="E137" s="43"/>
      <c r="F137" s="43"/>
      <c r="G137" s="31"/>
      <c r="H137" s="34"/>
      <c r="I137" s="34"/>
      <c r="J137" s="42">
        <f t="shared" si="3"/>
        <v>0</v>
      </c>
    </row>
    <row r="138" spans="2:10" x14ac:dyDescent="0.2">
      <c r="B138" s="43"/>
      <c r="C138" s="43"/>
      <c r="D138" s="43"/>
      <c r="E138" s="43"/>
      <c r="F138" s="43"/>
      <c r="G138" s="31"/>
      <c r="H138" s="34"/>
      <c r="I138" s="34"/>
      <c r="J138" s="42">
        <f t="shared" si="3"/>
        <v>0</v>
      </c>
    </row>
    <row r="139" spans="2:10" x14ac:dyDescent="0.2">
      <c r="B139" s="43"/>
      <c r="C139" s="43"/>
      <c r="D139" s="43"/>
      <c r="E139" s="43"/>
      <c r="F139" s="43"/>
      <c r="G139" s="31"/>
      <c r="H139" s="34"/>
      <c r="I139" s="34"/>
      <c r="J139" s="42">
        <f t="shared" si="3"/>
        <v>0</v>
      </c>
    </row>
    <row r="140" spans="2:10" x14ac:dyDescent="0.2">
      <c r="B140" s="43"/>
      <c r="C140" s="43"/>
      <c r="D140" s="43"/>
      <c r="E140" s="43"/>
      <c r="F140" s="43"/>
      <c r="G140" s="31"/>
      <c r="H140" s="34"/>
      <c r="I140" s="34"/>
      <c r="J140" s="42">
        <f t="shared" si="3"/>
        <v>0</v>
      </c>
    </row>
    <row r="141" spans="2:10" x14ac:dyDescent="0.2">
      <c r="B141" s="43"/>
      <c r="C141" s="43"/>
      <c r="D141" s="43"/>
      <c r="E141" s="43"/>
      <c r="F141" s="43"/>
      <c r="G141" s="31"/>
      <c r="H141" s="34"/>
      <c r="I141" s="34"/>
      <c r="J141" s="42">
        <f t="shared" si="3"/>
        <v>0</v>
      </c>
    </row>
    <row r="142" spans="2:10" x14ac:dyDescent="0.2">
      <c r="B142" s="43"/>
      <c r="C142" s="43"/>
      <c r="D142" s="43"/>
      <c r="E142" s="43"/>
      <c r="F142" s="43"/>
      <c r="G142" s="31"/>
      <c r="H142" s="34"/>
      <c r="I142" s="34"/>
      <c r="J142" s="42">
        <f t="shared" si="3"/>
        <v>0</v>
      </c>
    </row>
    <row r="143" spans="2:10" x14ac:dyDescent="0.2">
      <c r="B143" s="43"/>
      <c r="C143" s="43"/>
      <c r="D143" s="43"/>
      <c r="E143" s="43"/>
      <c r="F143" s="43"/>
      <c r="G143" s="31"/>
      <c r="H143" s="34"/>
      <c r="I143" s="34"/>
      <c r="J143" s="42">
        <f t="shared" si="3"/>
        <v>0</v>
      </c>
    </row>
    <row r="144" spans="2:10" x14ac:dyDescent="0.2">
      <c r="B144" s="43"/>
      <c r="C144" s="43"/>
      <c r="D144" s="43"/>
      <c r="E144" s="43"/>
      <c r="F144" s="43"/>
      <c r="G144" s="31"/>
      <c r="H144" s="34"/>
      <c r="I144" s="34"/>
      <c r="J144" s="42">
        <f t="shared" si="3"/>
        <v>0</v>
      </c>
    </row>
    <row r="145" spans="2:10" x14ac:dyDescent="0.2">
      <c r="B145" s="43"/>
      <c r="C145" s="43"/>
      <c r="D145" s="43"/>
      <c r="E145" s="43"/>
      <c r="F145" s="43"/>
      <c r="G145" s="31"/>
      <c r="H145" s="34"/>
      <c r="I145" s="34"/>
      <c r="J145" s="42">
        <f t="shared" si="3"/>
        <v>0</v>
      </c>
    </row>
    <row r="146" spans="2:10" x14ac:dyDescent="0.2">
      <c r="B146" s="43"/>
      <c r="C146" s="43"/>
      <c r="D146" s="43"/>
      <c r="E146" s="43"/>
      <c r="F146" s="43"/>
      <c r="G146" s="31"/>
      <c r="H146" s="34"/>
      <c r="I146" s="34"/>
      <c r="J146" s="42">
        <f t="shared" si="3"/>
        <v>0</v>
      </c>
    </row>
    <row r="147" spans="2:10" x14ac:dyDescent="0.2">
      <c r="B147" s="43"/>
      <c r="C147" s="43"/>
      <c r="D147" s="43"/>
      <c r="E147" s="43"/>
      <c r="F147" s="43"/>
      <c r="G147" s="31"/>
      <c r="H147" s="34"/>
      <c r="I147" s="34"/>
      <c r="J147" s="42">
        <f t="shared" si="3"/>
        <v>0</v>
      </c>
    </row>
    <row r="148" spans="2:10" x14ac:dyDescent="0.2">
      <c r="B148" s="43"/>
      <c r="C148" s="43"/>
      <c r="D148" s="43"/>
      <c r="E148" s="43"/>
      <c r="F148" s="43"/>
      <c r="G148" s="31"/>
      <c r="H148" s="34"/>
      <c r="I148" s="34"/>
      <c r="J148" s="42">
        <f t="shared" si="3"/>
        <v>0</v>
      </c>
    </row>
    <row r="149" spans="2:10" x14ac:dyDescent="0.2">
      <c r="B149" s="43"/>
      <c r="C149" s="43"/>
      <c r="D149" s="43"/>
      <c r="E149" s="43"/>
      <c r="F149" s="43"/>
      <c r="G149" s="31"/>
      <c r="H149" s="34"/>
      <c r="I149" s="34"/>
      <c r="J149" s="42">
        <f t="shared" si="3"/>
        <v>0</v>
      </c>
    </row>
    <row r="150" spans="2:10" x14ac:dyDescent="0.2">
      <c r="B150" s="43"/>
      <c r="C150" s="43"/>
      <c r="D150" s="43"/>
      <c r="E150" s="43"/>
      <c r="F150" s="43"/>
      <c r="G150" s="31"/>
      <c r="H150" s="34"/>
      <c r="I150" s="34"/>
      <c r="J150" s="42">
        <f t="shared" si="3"/>
        <v>0</v>
      </c>
    </row>
    <row r="151" spans="2:10" x14ac:dyDescent="0.2">
      <c r="B151" s="43"/>
      <c r="C151" s="43"/>
      <c r="D151" s="43"/>
      <c r="E151" s="43"/>
      <c r="F151" s="43"/>
      <c r="G151" s="31"/>
      <c r="H151" s="34"/>
      <c r="I151" s="34"/>
      <c r="J151" s="42">
        <f t="shared" si="3"/>
        <v>0</v>
      </c>
    </row>
    <row r="152" spans="2:10" x14ac:dyDescent="0.2">
      <c r="B152" s="43"/>
      <c r="C152" s="43"/>
      <c r="D152" s="43"/>
      <c r="E152" s="43"/>
      <c r="F152" s="43"/>
      <c r="G152" s="31"/>
      <c r="H152" s="34"/>
      <c r="I152" s="34"/>
      <c r="J152" s="42">
        <f t="shared" si="3"/>
        <v>0</v>
      </c>
    </row>
    <row r="153" spans="2:10" x14ac:dyDescent="0.2">
      <c r="B153" s="43"/>
      <c r="C153" s="43"/>
      <c r="D153" s="43"/>
      <c r="E153" s="43"/>
      <c r="F153" s="43"/>
      <c r="G153" s="31"/>
      <c r="H153" s="34"/>
      <c r="I153" s="34"/>
      <c r="J153" s="42">
        <f t="shared" si="3"/>
        <v>0</v>
      </c>
    </row>
    <row r="154" spans="2:10" x14ac:dyDescent="0.2">
      <c r="B154" s="43"/>
      <c r="C154" s="43"/>
      <c r="D154" s="43"/>
      <c r="E154" s="43"/>
      <c r="F154" s="43"/>
      <c r="G154" s="31"/>
      <c r="H154" s="34"/>
      <c r="I154" s="34"/>
      <c r="J154" s="42">
        <f t="shared" si="3"/>
        <v>0</v>
      </c>
    </row>
    <row r="155" spans="2:10" x14ac:dyDescent="0.2">
      <c r="B155" s="43"/>
      <c r="C155" s="43"/>
      <c r="D155" s="43"/>
      <c r="E155" s="43"/>
      <c r="F155" s="43"/>
      <c r="G155" s="31"/>
      <c r="H155" s="34"/>
      <c r="I155" s="34"/>
      <c r="J155" s="42">
        <f t="shared" si="3"/>
        <v>0</v>
      </c>
    </row>
    <row r="156" spans="2:10" x14ac:dyDescent="0.2">
      <c r="B156" s="43"/>
      <c r="C156" s="43"/>
      <c r="D156" s="43"/>
      <c r="E156" s="43"/>
      <c r="F156" s="43"/>
      <c r="G156" s="31"/>
      <c r="H156" s="34"/>
      <c r="I156" s="34"/>
      <c r="J156" s="42">
        <f t="shared" si="3"/>
        <v>0</v>
      </c>
    </row>
    <row r="157" spans="2:10" x14ac:dyDescent="0.2">
      <c r="B157" s="43"/>
      <c r="C157" s="43"/>
      <c r="D157" s="43"/>
      <c r="E157" s="43"/>
      <c r="F157" s="43"/>
      <c r="G157" s="31"/>
      <c r="H157" s="34"/>
      <c r="I157" s="34"/>
      <c r="J157" s="42">
        <f t="shared" si="3"/>
        <v>0</v>
      </c>
    </row>
    <row r="158" spans="2:10" x14ac:dyDescent="0.2">
      <c r="B158" s="43"/>
      <c r="C158" s="43"/>
      <c r="D158" s="43"/>
      <c r="E158" s="43"/>
      <c r="F158" s="43"/>
      <c r="G158" s="31"/>
      <c r="H158" s="34"/>
      <c r="I158" s="34"/>
      <c r="J158" s="42">
        <f t="shared" si="3"/>
        <v>0</v>
      </c>
    </row>
    <row r="159" spans="2:10" x14ac:dyDescent="0.2">
      <c r="B159" s="43"/>
      <c r="C159" s="43"/>
      <c r="D159" s="43"/>
      <c r="E159" s="43"/>
      <c r="F159" s="43"/>
      <c r="G159" s="31"/>
      <c r="H159" s="34"/>
      <c r="I159" s="34"/>
      <c r="J159" s="42">
        <f t="shared" si="3"/>
        <v>0</v>
      </c>
    </row>
    <row r="160" spans="2:10" x14ac:dyDescent="0.2">
      <c r="B160" s="43"/>
      <c r="C160" s="43"/>
      <c r="D160" s="43"/>
      <c r="E160" s="43"/>
      <c r="F160" s="43"/>
      <c r="G160" s="31"/>
      <c r="H160" s="34"/>
      <c r="I160" s="34"/>
      <c r="J160" s="42">
        <f t="shared" si="3"/>
        <v>0</v>
      </c>
    </row>
    <row r="161" spans="2:10" x14ac:dyDescent="0.2">
      <c r="B161" s="43"/>
      <c r="C161" s="43"/>
      <c r="D161" s="43"/>
      <c r="E161" s="43"/>
      <c r="F161" s="43"/>
      <c r="G161" s="31"/>
      <c r="H161" s="34"/>
      <c r="I161" s="34"/>
      <c r="J161" s="42">
        <f t="shared" si="3"/>
        <v>0</v>
      </c>
    </row>
    <row r="162" spans="2:10" x14ac:dyDescent="0.2">
      <c r="B162" s="43"/>
      <c r="C162" s="43"/>
      <c r="D162" s="43"/>
      <c r="E162" s="43"/>
      <c r="F162" s="43"/>
      <c r="G162" s="31"/>
      <c r="H162" s="34"/>
      <c r="I162" s="34"/>
      <c r="J162" s="42">
        <f t="shared" si="3"/>
        <v>0</v>
      </c>
    </row>
    <row r="163" spans="2:10" x14ac:dyDescent="0.2">
      <c r="B163" s="43"/>
      <c r="C163" s="43"/>
      <c r="D163" s="43"/>
      <c r="E163" s="43"/>
      <c r="F163" s="43"/>
      <c r="G163" s="31"/>
      <c r="H163" s="34"/>
      <c r="I163" s="34"/>
      <c r="J163" s="42">
        <f t="shared" si="3"/>
        <v>0</v>
      </c>
    </row>
    <row r="164" spans="2:10" x14ac:dyDescent="0.2">
      <c r="B164" s="43"/>
      <c r="C164" s="43"/>
      <c r="D164" s="43"/>
      <c r="E164" s="43"/>
      <c r="F164" s="43"/>
      <c r="G164" s="31"/>
      <c r="H164" s="34"/>
      <c r="I164" s="34"/>
      <c r="J164" s="42">
        <f t="shared" si="3"/>
        <v>0</v>
      </c>
    </row>
    <row r="165" spans="2:10" x14ac:dyDescent="0.2">
      <c r="B165" s="43"/>
      <c r="C165" s="43"/>
      <c r="D165" s="43"/>
      <c r="E165" s="43"/>
      <c r="F165" s="43"/>
      <c r="G165" s="31"/>
      <c r="H165" s="34"/>
      <c r="I165" s="34"/>
      <c r="J165" s="42">
        <f t="shared" si="3"/>
        <v>0</v>
      </c>
    </row>
    <row r="166" spans="2:10" x14ac:dyDescent="0.2">
      <c r="B166" s="43"/>
      <c r="C166" s="43"/>
      <c r="D166" s="43"/>
      <c r="E166" s="43"/>
      <c r="F166" s="43"/>
      <c r="G166" s="31"/>
      <c r="H166" s="34"/>
      <c r="I166" s="34"/>
      <c r="J166" s="42">
        <f t="shared" si="3"/>
        <v>0</v>
      </c>
    </row>
    <row r="167" spans="2:10" x14ac:dyDescent="0.2">
      <c r="B167" s="43"/>
      <c r="C167" s="43"/>
      <c r="D167" s="43"/>
      <c r="E167" s="43"/>
      <c r="F167" s="43"/>
      <c r="G167" s="31"/>
      <c r="H167" s="34"/>
      <c r="I167" s="34"/>
      <c r="J167" s="42">
        <f t="shared" si="3"/>
        <v>0</v>
      </c>
    </row>
    <row r="168" spans="2:10" x14ac:dyDescent="0.2">
      <c r="B168" s="43"/>
      <c r="C168" s="43"/>
      <c r="D168" s="43"/>
      <c r="E168" s="43"/>
      <c r="F168" s="43"/>
      <c r="G168" s="31"/>
      <c r="H168" s="34"/>
      <c r="I168" s="34"/>
      <c r="J168" s="42">
        <f t="shared" si="3"/>
        <v>0</v>
      </c>
    </row>
    <row r="169" spans="2:10" x14ac:dyDescent="0.2">
      <c r="B169" s="43"/>
      <c r="C169" s="43"/>
      <c r="D169" s="43"/>
      <c r="E169" s="43"/>
      <c r="F169" s="43"/>
      <c r="G169" s="31"/>
      <c r="H169" s="34"/>
      <c r="I169" s="34"/>
      <c r="J169" s="42">
        <f t="shared" si="3"/>
        <v>0</v>
      </c>
    </row>
    <row r="170" spans="2:10" x14ac:dyDescent="0.2">
      <c r="B170" s="43"/>
      <c r="C170" s="43"/>
      <c r="D170" s="43"/>
      <c r="E170" s="43"/>
      <c r="F170" s="43"/>
      <c r="G170" s="31"/>
      <c r="H170" s="34"/>
      <c r="I170" s="34"/>
      <c r="J170" s="42">
        <f t="shared" si="3"/>
        <v>0</v>
      </c>
    </row>
    <row r="171" spans="2:10" x14ac:dyDescent="0.2">
      <c r="B171" s="43"/>
      <c r="C171" s="43"/>
      <c r="D171" s="43"/>
      <c r="E171" s="43"/>
      <c r="F171" s="43"/>
      <c r="G171" s="31"/>
      <c r="H171" s="34"/>
      <c r="I171" s="34"/>
      <c r="J171" s="42">
        <f t="shared" si="3"/>
        <v>0</v>
      </c>
    </row>
    <row r="172" spans="2:10" x14ac:dyDescent="0.2">
      <c r="B172" s="43"/>
      <c r="C172" s="43"/>
      <c r="D172" s="43"/>
      <c r="E172" s="43"/>
      <c r="F172" s="43"/>
      <c r="G172" s="31"/>
      <c r="H172" s="34"/>
      <c r="I172" s="34"/>
      <c r="J172" s="42">
        <f t="shared" si="3"/>
        <v>0</v>
      </c>
    </row>
    <row r="173" spans="2:10" x14ac:dyDescent="0.2">
      <c r="B173" s="43"/>
      <c r="C173" s="43"/>
      <c r="D173" s="43"/>
      <c r="E173" s="43"/>
      <c r="F173" s="43"/>
      <c r="G173" s="31"/>
      <c r="H173" s="34"/>
      <c r="I173" s="34"/>
      <c r="J173" s="42">
        <f t="shared" si="3"/>
        <v>0</v>
      </c>
    </row>
    <row r="174" spans="2:10" x14ac:dyDescent="0.2">
      <c r="B174" s="43"/>
      <c r="C174" s="43"/>
      <c r="D174" s="43"/>
      <c r="E174" s="43"/>
      <c r="F174" s="43"/>
      <c r="G174" s="31"/>
      <c r="H174" s="34"/>
      <c r="I174" s="34"/>
      <c r="J174" s="42">
        <f t="shared" si="3"/>
        <v>0</v>
      </c>
    </row>
    <row r="175" spans="2:10" x14ac:dyDescent="0.2">
      <c r="B175" s="43"/>
      <c r="C175" s="43"/>
      <c r="D175" s="43"/>
      <c r="E175" s="43"/>
      <c r="F175" s="43"/>
      <c r="G175" s="31"/>
      <c r="H175" s="34"/>
      <c r="I175" s="34"/>
      <c r="J175" s="42">
        <f t="shared" si="3"/>
        <v>0</v>
      </c>
    </row>
    <row r="176" spans="2:10" x14ac:dyDescent="0.2">
      <c r="B176" s="43"/>
      <c r="C176" s="43"/>
      <c r="D176" s="43"/>
      <c r="E176" s="43"/>
      <c r="F176" s="43"/>
      <c r="G176" s="31"/>
      <c r="H176" s="34"/>
      <c r="I176" s="34"/>
      <c r="J176" s="42">
        <f t="shared" si="3"/>
        <v>0</v>
      </c>
    </row>
    <row r="177" spans="2:10" x14ac:dyDescent="0.2">
      <c r="B177" s="43"/>
      <c r="C177" s="43"/>
      <c r="D177" s="43"/>
      <c r="E177" s="43"/>
      <c r="F177" s="43"/>
      <c r="G177" s="31"/>
      <c r="H177" s="34"/>
      <c r="I177" s="34"/>
      <c r="J177" s="42">
        <f t="shared" si="3"/>
        <v>0</v>
      </c>
    </row>
    <row r="178" spans="2:10" x14ac:dyDescent="0.2">
      <c r="B178" s="43"/>
      <c r="C178" s="43"/>
      <c r="D178" s="43"/>
      <c r="E178" s="43"/>
      <c r="F178" s="43"/>
      <c r="G178" s="31"/>
      <c r="H178" s="34"/>
      <c r="I178" s="34"/>
      <c r="J178" s="42">
        <f t="shared" si="3"/>
        <v>0</v>
      </c>
    </row>
    <row r="179" spans="2:10" x14ac:dyDescent="0.2">
      <c r="B179" s="43"/>
      <c r="C179" s="43"/>
      <c r="D179" s="43"/>
      <c r="E179" s="43"/>
      <c r="F179" s="43"/>
      <c r="G179" s="31"/>
      <c r="H179" s="34"/>
      <c r="I179" s="34"/>
      <c r="J179" s="42">
        <f t="shared" si="3"/>
        <v>0</v>
      </c>
    </row>
    <row r="180" spans="2:10" x14ac:dyDescent="0.2">
      <c r="B180" s="43"/>
      <c r="C180" s="43"/>
      <c r="D180" s="43"/>
      <c r="E180" s="43"/>
      <c r="F180" s="43"/>
      <c r="G180" s="31"/>
      <c r="H180" s="34"/>
      <c r="I180" s="34"/>
      <c r="J180" s="42">
        <f t="shared" si="3"/>
        <v>0</v>
      </c>
    </row>
    <row r="181" spans="2:10" x14ac:dyDescent="0.2">
      <c r="B181" s="43"/>
      <c r="C181" s="43"/>
      <c r="D181" s="43"/>
      <c r="E181" s="43"/>
      <c r="F181" s="43"/>
      <c r="G181" s="31"/>
      <c r="H181" s="34"/>
      <c r="I181" s="34"/>
      <c r="J181" s="42">
        <f t="shared" si="3"/>
        <v>0</v>
      </c>
    </row>
    <row r="182" spans="2:10" x14ac:dyDescent="0.2">
      <c r="B182" s="43"/>
      <c r="C182" s="43"/>
      <c r="D182" s="43"/>
      <c r="E182" s="43"/>
      <c r="F182" s="43"/>
      <c r="G182" s="31"/>
      <c r="H182" s="34"/>
      <c r="I182" s="34"/>
      <c r="J182" s="42">
        <f t="shared" si="3"/>
        <v>0</v>
      </c>
    </row>
    <row r="183" spans="2:10" x14ac:dyDescent="0.2">
      <c r="B183" s="43"/>
      <c r="C183" s="43"/>
      <c r="D183" s="43"/>
      <c r="E183" s="43"/>
      <c r="F183" s="43"/>
      <c r="G183" s="31"/>
      <c r="H183" s="34"/>
      <c r="I183" s="34"/>
      <c r="J183" s="42">
        <f t="shared" si="3"/>
        <v>0</v>
      </c>
    </row>
    <row r="184" spans="2:10" x14ac:dyDescent="0.2">
      <c r="B184" s="43"/>
      <c r="C184" s="43"/>
      <c r="D184" s="43"/>
      <c r="E184" s="43"/>
      <c r="F184" s="43"/>
      <c r="G184" s="31"/>
      <c r="H184" s="34"/>
      <c r="I184" s="34"/>
      <c r="J184" s="42">
        <f t="shared" si="3"/>
        <v>0</v>
      </c>
    </row>
    <row r="185" spans="2:10" x14ac:dyDescent="0.2">
      <c r="B185" s="43"/>
      <c r="C185" s="43"/>
      <c r="D185" s="43"/>
      <c r="E185" s="43"/>
      <c r="F185" s="43"/>
      <c r="G185" s="31"/>
      <c r="H185" s="34"/>
      <c r="I185" s="34"/>
      <c r="J185" s="42">
        <f t="shared" si="3"/>
        <v>0</v>
      </c>
    </row>
    <row r="186" spans="2:10" x14ac:dyDescent="0.2">
      <c r="B186" s="43"/>
      <c r="C186" s="43"/>
      <c r="D186" s="43"/>
      <c r="E186" s="43"/>
      <c r="F186" s="43"/>
      <c r="G186" s="31"/>
      <c r="H186" s="34"/>
      <c r="I186" s="34"/>
      <c r="J186" s="42">
        <f t="shared" si="3"/>
        <v>0</v>
      </c>
    </row>
    <row r="187" spans="2:10" x14ac:dyDescent="0.2">
      <c r="B187" s="43"/>
      <c r="C187" s="43"/>
      <c r="D187" s="43"/>
      <c r="E187" s="43"/>
      <c r="F187" s="43"/>
      <c r="G187" s="31"/>
      <c r="H187" s="34"/>
      <c r="I187" s="34"/>
      <c r="J187" s="42">
        <f t="shared" si="3"/>
        <v>0</v>
      </c>
    </row>
    <row r="188" spans="2:10" x14ac:dyDescent="0.2">
      <c r="B188" s="43"/>
      <c r="C188" s="43"/>
      <c r="D188" s="43"/>
      <c r="E188" s="43"/>
      <c r="F188" s="43"/>
      <c r="G188" s="31"/>
      <c r="H188" s="34"/>
      <c r="I188" s="34"/>
      <c r="J188" s="42">
        <f t="shared" si="3"/>
        <v>0</v>
      </c>
    </row>
    <row r="189" spans="2:10" x14ac:dyDescent="0.2">
      <c r="B189" s="43"/>
      <c r="C189" s="43"/>
      <c r="D189" s="43"/>
      <c r="E189" s="43"/>
      <c r="F189" s="43"/>
      <c r="G189" s="31"/>
      <c r="H189" s="34"/>
      <c r="I189" s="34"/>
      <c r="J189" s="42">
        <f t="shared" si="3"/>
        <v>0</v>
      </c>
    </row>
    <row r="190" spans="2:10" x14ac:dyDescent="0.2">
      <c r="B190" s="43"/>
      <c r="C190" s="43"/>
      <c r="D190" s="43"/>
      <c r="E190" s="43"/>
      <c r="F190" s="43"/>
      <c r="G190" s="31"/>
      <c r="H190" s="34"/>
      <c r="I190" s="34"/>
      <c r="J190" s="42">
        <f t="shared" si="3"/>
        <v>0</v>
      </c>
    </row>
    <row r="191" spans="2:10" x14ac:dyDescent="0.2">
      <c r="B191" s="43"/>
      <c r="C191" s="43"/>
      <c r="D191" s="43"/>
      <c r="E191" s="43"/>
      <c r="F191" s="43"/>
      <c r="G191" s="31"/>
      <c r="H191" s="34"/>
      <c r="I191" s="34"/>
      <c r="J191" s="42">
        <f t="shared" si="3"/>
        <v>0</v>
      </c>
    </row>
    <row r="192" spans="2:10" x14ac:dyDescent="0.2">
      <c r="B192" s="43"/>
      <c r="C192" s="43"/>
      <c r="D192" s="43"/>
      <c r="E192" s="43"/>
      <c r="F192" s="43"/>
      <c r="G192" s="31"/>
      <c r="H192" s="34"/>
      <c r="I192" s="34"/>
      <c r="J192" s="42">
        <f t="shared" si="3"/>
        <v>0</v>
      </c>
    </row>
    <row r="193" spans="2:10" x14ac:dyDescent="0.2">
      <c r="B193" s="43"/>
      <c r="C193" s="43"/>
      <c r="D193" s="43"/>
      <c r="E193" s="43"/>
      <c r="F193" s="43"/>
      <c r="G193" s="31"/>
      <c r="H193" s="34"/>
      <c r="I193" s="34"/>
      <c r="J193" s="42">
        <f t="shared" si="3"/>
        <v>0</v>
      </c>
    </row>
    <row r="194" spans="2:10" x14ac:dyDescent="0.2">
      <c r="B194" s="43"/>
      <c r="C194" s="43"/>
      <c r="D194" s="43"/>
      <c r="E194" s="43"/>
      <c r="F194" s="43"/>
      <c r="G194" s="31"/>
      <c r="H194" s="34"/>
      <c r="I194" s="34"/>
      <c r="J194" s="42">
        <f t="shared" si="3"/>
        <v>0</v>
      </c>
    </row>
    <row r="195" spans="2:10" x14ac:dyDescent="0.2">
      <c r="B195" s="43"/>
      <c r="C195" s="43"/>
      <c r="D195" s="43"/>
      <c r="E195" s="43"/>
      <c r="F195" s="43"/>
      <c r="G195" s="31"/>
      <c r="H195" s="34"/>
      <c r="I195" s="34"/>
      <c r="J195" s="42">
        <f t="shared" ref="J195:J234" si="4">I195-H195</f>
        <v>0</v>
      </c>
    </row>
    <row r="196" spans="2:10" x14ac:dyDescent="0.2">
      <c r="B196" s="43"/>
      <c r="C196" s="43"/>
      <c r="D196" s="43"/>
      <c r="E196" s="43"/>
      <c r="F196" s="43"/>
      <c r="G196" s="31"/>
      <c r="H196" s="34"/>
      <c r="I196" s="34"/>
      <c r="J196" s="42">
        <f t="shared" si="4"/>
        <v>0</v>
      </c>
    </row>
    <row r="197" spans="2:10" x14ac:dyDescent="0.2">
      <c r="B197" s="43"/>
      <c r="C197" s="43"/>
      <c r="D197" s="43"/>
      <c r="E197" s="43"/>
      <c r="F197" s="43"/>
      <c r="G197" s="31"/>
      <c r="H197" s="34"/>
      <c r="I197" s="34"/>
      <c r="J197" s="42">
        <f t="shared" si="4"/>
        <v>0</v>
      </c>
    </row>
    <row r="198" spans="2:10" x14ac:dyDescent="0.2">
      <c r="B198" s="43"/>
      <c r="C198" s="43"/>
      <c r="D198" s="43"/>
      <c r="E198" s="43"/>
      <c r="F198" s="43"/>
      <c r="G198" s="31"/>
      <c r="H198" s="34"/>
      <c r="I198" s="34"/>
      <c r="J198" s="42">
        <f t="shared" si="4"/>
        <v>0</v>
      </c>
    </row>
    <row r="199" spans="2:10" x14ac:dyDescent="0.2">
      <c r="B199" s="43"/>
      <c r="C199" s="43"/>
      <c r="D199" s="43"/>
      <c r="E199" s="43"/>
      <c r="F199" s="43"/>
      <c r="G199" s="31"/>
      <c r="H199" s="34"/>
      <c r="I199" s="34"/>
      <c r="J199" s="42">
        <f t="shared" si="4"/>
        <v>0</v>
      </c>
    </row>
    <row r="200" spans="2:10" x14ac:dyDescent="0.2">
      <c r="B200" s="43"/>
      <c r="C200" s="43"/>
      <c r="D200" s="43"/>
      <c r="E200" s="43"/>
      <c r="F200" s="43"/>
      <c r="G200" s="31"/>
      <c r="H200" s="34"/>
      <c r="I200" s="34"/>
      <c r="J200" s="42">
        <f t="shared" si="4"/>
        <v>0</v>
      </c>
    </row>
    <row r="201" spans="2:10" x14ac:dyDescent="0.2">
      <c r="B201" s="43"/>
      <c r="C201" s="43"/>
      <c r="D201" s="43"/>
      <c r="E201" s="43"/>
      <c r="F201" s="43"/>
      <c r="G201" s="31"/>
      <c r="H201" s="34"/>
      <c r="I201" s="34"/>
      <c r="J201" s="42">
        <f t="shared" si="4"/>
        <v>0</v>
      </c>
    </row>
    <row r="202" spans="2:10" x14ac:dyDescent="0.2">
      <c r="B202" s="43"/>
      <c r="C202" s="43"/>
      <c r="D202" s="43"/>
      <c r="E202" s="43"/>
      <c r="F202" s="43"/>
      <c r="G202" s="31"/>
      <c r="H202" s="34"/>
      <c r="I202" s="34"/>
      <c r="J202" s="42">
        <f t="shared" si="4"/>
        <v>0</v>
      </c>
    </row>
    <row r="203" spans="2:10" x14ac:dyDescent="0.2">
      <c r="B203" s="43"/>
      <c r="C203" s="43"/>
      <c r="D203" s="43"/>
      <c r="E203" s="43"/>
      <c r="F203" s="43"/>
      <c r="G203" s="31"/>
      <c r="H203" s="34"/>
      <c r="I203" s="34"/>
      <c r="J203" s="42">
        <f t="shared" si="4"/>
        <v>0</v>
      </c>
    </row>
    <row r="204" spans="2:10" x14ac:dyDescent="0.2">
      <c r="B204" s="43"/>
      <c r="C204" s="43"/>
      <c r="D204" s="43"/>
      <c r="E204" s="43"/>
      <c r="F204" s="43"/>
      <c r="G204" s="31"/>
      <c r="H204" s="34"/>
      <c r="I204" s="34"/>
      <c r="J204" s="42">
        <f t="shared" si="4"/>
        <v>0</v>
      </c>
    </row>
    <row r="205" spans="2:10" x14ac:dyDescent="0.2">
      <c r="B205" s="43"/>
      <c r="C205" s="43"/>
      <c r="D205" s="43"/>
      <c r="E205" s="43"/>
      <c r="F205" s="43"/>
      <c r="G205" s="31"/>
      <c r="H205" s="34"/>
      <c r="I205" s="34"/>
      <c r="J205" s="42">
        <f t="shared" si="4"/>
        <v>0</v>
      </c>
    </row>
    <row r="206" spans="2:10" x14ac:dyDescent="0.2">
      <c r="B206" s="43"/>
      <c r="C206" s="43"/>
      <c r="D206" s="43"/>
      <c r="E206" s="43"/>
      <c r="F206" s="43"/>
      <c r="G206" s="31"/>
      <c r="H206" s="34"/>
      <c r="I206" s="34"/>
      <c r="J206" s="42">
        <f t="shared" si="4"/>
        <v>0</v>
      </c>
    </row>
    <row r="207" spans="2:10" x14ac:dyDescent="0.2">
      <c r="B207" s="43"/>
      <c r="C207" s="43"/>
      <c r="D207" s="43"/>
      <c r="E207" s="43"/>
      <c r="F207" s="43"/>
      <c r="G207" s="31"/>
      <c r="H207" s="34"/>
      <c r="I207" s="34"/>
      <c r="J207" s="42">
        <f t="shared" si="4"/>
        <v>0</v>
      </c>
    </row>
    <row r="208" spans="2:10" x14ac:dyDescent="0.2">
      <c r="B208" s="43"/>
      <c r="C208" s="43"/>
      <c r="D208" s="43"/>
      <c r="E208" s="43"/>
      <c r="F208" s="43"/>
      <c r="G208" s="31"/>
      <c r="H208" s="34"/>
      <c r="I208" s="34"/>
      <c r="J208" s="42">
        <f t="shared" si="4"/>
        <v>0</v>
      </c>
    </row>
    <row r="209" spans="2:10" x14ac:dyDescent="0.2">
      <c r="B209" s="43"/>
      <c r="C209" s="43"/>
      <c r="D209" s="43"/>
      <c r="E209" s="43"/>
      <c r="F209" s="43"/>
      <c r="G209" s="31"/>
      <c r="H209" s="34"/>
      <c r="I209" s="34"/>
      <c r="J209" s="42">
        <f t="shared" si="4"/>
        <v>0</v>
      </c>
    </row>
    <row r="210" spans="2:10" x14ac:dyDescent="0.2">
      <c r="B210" s="43"/>
      <c r="C210" s="43"/>
      <c r="D210" s="43"/>
      <c r="E210" s="43"/>
      <c r="F210" s="43"/>
      <c r="G210" s="31"/>
      <c r="H210" s="34"/>
      <c r="I210" s="34"/>
      <c r="J210" s="42">
        <f t="shared" si="4"/>
        <v>0</v>
      </c>
    </row>
    <row r="211" spans="2:10" x14ac:dyDescent="0.2">
      <c r="B211" s="43"/>
      <c r="C211" s="43"/>
      <c r="D211" s="43"/>
      <c r="E211" s="43"/>
      <c r="F211" s="43"/>
      <c r="G211" s="31"/>
      <c r="H211" s="34"/>
      <c r="I211" s="34"/>
      <c r="J211" s="42">
        <f t="shared" si="4"/>
        <v>0</v>
      </c>
    </row>
    <row r="212" spans="2:10" x14ac:dyDescent="0.2">
      <c r="B212" s="43"/>
      <c r="C212" s="43"/>
      <c r="D212" s="43"/>
      <c r="E212" s="43"/>
      <c r="F212" s="43"/>
      <c r="G212" s="31"/>
      <c r="H212" s="34"/>
      <c r="I212" s="34"/>
      <c r="J212" s="42">
        <f t="shared" si="4"/>
        <v>0</v>
      </c>
    </row>
    <row r="213" spans="2:10" x14ac:dyDescent="0.2">
      <c r="B213" s="43"/>
      <c r="C213" s="43"/>
      <c r="D213" s="43"/>
      <c r="E213" s="43"/>
      <c r="F213" s="43"/>
      <c r="G213" s="31"/>
      <c r="H213" s="34"/>
      <c r="I213" s="34"/>
      <c r="J213" s="42">
        <f t="shared" si="4"/>
        <v>0</v>
      </c>
    </row>
    <row r="214" spans="2:10" x14ac:dyDescent="0.2">
      <c r="B214" s="43"/>
      <c r="C214" s="43"/>
      <c r="D214" s="43"/>
      <c r="E214" s="43"/>
      <c r="F214" s="43"/>
      <c r="G214" s="31"/>
      <c r="H214" s="34"/>
      <c r="I214" s="34"/>
      <c r="J214" s="42">
        <f t="shared" si="4"/>
        <v>0</v>
      </c>
    </row>
    <row r="215" spans="2:10" x14ac:dyDescent="0.2">
      <c r="B215" s="43"/>
      <c r="C215" s="43"/>
      <c r="D215" s="43"/>
      <c r="E215" s="43"/>
      <c r="F215" s="43"/>
      <c r="G215" s="31"/>
      <c r="H215" s="34"/>
      <c r="I215" s="34"/>
      <c r="J215" s="42">
        <f t="shared" si="4"/>
        <v>0</v>
      </c>
    </row>
    <row r="216" spans="2:10" x14ac:dyDescent="0.2">
      <c r="B216" s="43"/>
      <c r="C216" s="43"/>
      <c r="D216" s="43"/>
      <c r="E216" s="43"/>
      <c r="F216" s="43"/>
      <c r="G216" s="31"/>
      <c r="H216" s="34"/>
      <c r="I216" s="34"/>
      <c r="J216" s="42">
        <f t="shared" si="4"/>
        <v>0</v>
      </c>
    </row>
    <row r="217" spans="2:10" x14ac:dyDescent="0.2">
      <c r="B217" s="43"/>
      <c r="C217" s="43"/>
      <c r="D217" s="43"/>
      <c r="E217" s="43"/>
      <c r="F217" s="43"/>
      <c r="G217" s="31"/>
      <c r="H217" s="34"/>
      <c r="I217" s="34"/>
      <c r="J217" s="42">
        <f t="shared" si="4"/>
        <v>0</v>
      </c>
    </row>
    <row r="218" spans="2:10" x14ac:dyDescent="0.2">
      <c r="B218" s="43"/>
      <c r="C218" s="43"/>
      <c r="D218" s="43"/>
      <c r="E218" s="43"/>
      <c r="F218" s="43"/>
      <c r="G218" s="31"/>
      <c r="H218" s="34"/>
      <c r="I218" s="34"/>
      <c r="J218" s="42">
        <f t="shared" si="4"/>
        <v>0</v>
      </c>
    </row>
    <row r="219" spans="2:10" x14ac:dyDescent="0.2">
      <c r="B219" s="43"/>
      <c r="C219" s="43"/>
      <c r="D219" s="43"/>
      <c r="E219" s="43"/>
      <c r="F219" s="43"/>
      <c r="G219" s="31"/>
      <c r="H219" s="34"/>
      <c r="I219" s="34"/>
      <c r="J219" s="42">
        <f t="shared" si="4"/>
        <v>0</v>
      </c>
    </row>
    <row r="220" spans="2:10" x14ac:dyDescent="0.2">
      <c r="B220" s="43"/>
      <c r="C220" s="43"/>
      <c r="D220" s="43"/>
      <c r="E220" s="43"/>
      <c r="F220" s="43"/>
      <c r="G220" s="31"/>
      <c r="H220" s="34"/>
      <c r="I220" s="34"/>
      <c r="J220" s="42">
        <f t="shared" si="4"/>
        <v>0</v>
      </c>
    </row>
    <row r="221" spans="2:10" x14ac:dyDescent="0.2">
      <c r="B221" s="43"/>
      <c r="C221" s="43"/>
      <c r="D221" s="43"/>
      <c r="E221" s="43"/>
      <c r="F221" s="43"/>
      <c r="G221" s="31"/>
      <c r="H221" s="34"/>
      <c r="I221" s="34"/>
      <c r="J221" s="42">
        <f t="shared" si="4"/>
        <v>0</v>
      </c>
    </row>
    <row r="222" spans="2:10" x14ac:dyDescent="0.2">
      <c r="B222" s="43"/>
      <c r="C222" s="43"/>
      <c r="D222" s="43"/>
      <c r="E222" s="43"/>
      <c r="F222" s="43"/>
      <c r="G222" s="31"/>
      <c r="H222" s="34"/>
      <c r="I222" s="34"/>
      <c r="J222" s="42">
        <f t="shared" si="4"/>
        <v>0</v>
      </c>
    </row>
    <row r="223" spans="2:10" x14ac:dyDescent="0.2">
      <c r="B223" s="43"/>
      <c r="C223" s="43"/>
      <c r="D223" s="43"/>
      <c r="E223" s="43"/>
      <c r="F223" s="43"/>
      <c r="G223" s="31"/>
      <c r="H223" s="34"/>
      <c r="I223" s="34"/>
      <c r="J223" s="42">
        <f t="shared" si="4"/>
        <v>0</v>
      </c>
    </row>
    <row r="224" spans="2:10" x14ac:dyDescent="0.2">
      <c r="B224" s="43"/>
      <c r="C224" s="43"/>
      <c r="D224" s="43"/>
      <c r="E224" s="43"/>
      <c r="F224" s="43"/>
      <c r="G224" s="31"/>
      <c r="H224" s="34"/>
      <c r="I224" s="34"/>
      <c r="J224" s="42">
        <f t="shared" si="4"/>
        <v>0</v>
      </c>
    </row>
    <row r="225" spans="2:10" x14ac:dyDescent="0.2">
      <c r="B225" s="43"/>
      <c r="C225" s="43"/>
      <c r="D225" s="43"/>
      <c r="E225" s="43"/>
      <c r="F225" s="43"/>
      <c r="G225" s="31"/>
      <c r="H225" s="34"/>
      <c r="I225" s="34"/>
      <c r="J225" s="42">
        <f t="shared" si="4"/>
        <v>0</v>
      </c>
    </row>
    <row r="226" spans="2:10" x14ac:dyDescent="0.2">
      <c r="B226" s="43"/>
      <c r="C226" s="43"/>
      <c r="D226" s="43"/>
      <c r="E226" s="43"/>
      <c r="F226" s="43"/>
      <c r="G226" s="31"/>
      <c r="H226" s="34"/>
      <c r="I226" s="34"/>
      <c r="J226" s="42">
        <f t="shared" si="4"/>
        <v>0</v>
      </c>
    </row>
    <row r="227" spans="2:10" x14ac:dyDescent="0.2">
      <c r="B227" s="43"/>
      <c r="C227" s="43"/>
      <c r="D227" s="43"/>
      <c r="E227" s="43"/>
      <c r="F227" s="43"/>
      <c r="G227" s="31"/>
      <c r="H227" s="34"/>
      <c r="I227" s="34"/>
      <c r="J227" s="42">
        <f t="shared" si="4"/>
        <v>0</v>
      </c>
    </row>
    <row r="228" spans="2:10" x14ac:dyDescent="0.2">
      <c r="B228" s="43"/>
      <c r="C228" s="43"/>
      <c r="D228" s="43"/>
      <c r="E228" s="43"/>
      <c r="F228" s="43"/>
      <c r="G228" s="31"/>
      <c r="H228" s="34"/>
      <c r="I228" s="34"/>
      <c r="J228" s="42">
        <f t="shared" si="4"/>
        <v>0</v>
      </c>
    </row>
    <row r="229" spans="2:10" x14ac:dyDescent="0.2">
      <c r="B229" s="43"/>
      <c r="C229" s="43"/>
      <c r="D229" s="43"/>
      <c r="E229" s="43"/>
      <c r="F229" s="43"/>
      <c r="G229" s="31"/>
      <c r="H229" s="34"/>
      <c r="I229" s="34"/>
      <c r="J229" s="42">
        <f t="shared" si="4"/>
        <v>0</v>
      </c>
    </row>
    <row r="230" spans="2:10" x14ac:dyDescent="0.2">
      <c r="B230" s="43"/>
      <c r="C230" s="43"/>
      <c r="D230" s="43"/>
      <c r="E230" s="43"/>
      <c r="F230" s="43"/>
      <c r="G230" s="31"/>
      <c r="H230" s="34"/>
      <c r="I230" s="34"/>
      <c r="J230" s="42">
        <f t="shared" si="4"/>
        <v>0</v>
      </c>
    </row>
    <row r="231" spans="2:10" x14ac:dyDescent="0.2">
      <c r="B231" s="43"/>
      <c r="C231" s="43"/>
      <c r="D231" s="43"/>
      <c r="E231" s="43"/>
      <c r="F231" s="43"/>
      <c r="G231" s="31"/>
      <c r="H231" s="34"/>
      <c r="I231" s="34"/>
      <c r="J231" s="42">
        <f t="shared" si="4"/>
        <v>0</v>
      </c>
    </row>
    <row r="232" spans="2:10" x14ac:dyDescent="0.2">
      <c r="B232" s="43"/>
      <c r="C232" s="43"/>
      <c r="D232" s="43"/>
      <c r="E232" s="43"/>
      <c r="F232" s="43"/>
      <c r="G232" s="31"/>
      <c r="H232" s="34"/>
      <c r="I232" s="34"/>
      <c r="J232" s="42">
        <f t="shared" si="4"/>
        <v>0</v>
      </c>
    </row>
    <row r="233" spans="2:10" x14ac:dyDescent="0.2">
      <c r="B233" s="43"/>
      <c r="C233" s="43"/>
      <c r="D233" s="43"/>
      <c r="E233" s="43"/>
      <c r="F233" s="43"/>
      <c r="G233" s="43"/>
      <c r="H233" s="34"/>
      <c r="I233" s="34"/>
      <c r="J233" s="42">
        <f t="shared" si="4"/>
        <v>0</v>
      </c>
    </row>
    <row r="234" spans="2:10" x14ac:dyDescent="0.2">
      <c r="B234" s="43"/>
      <c r="C234" s="43"/>
      <c r="D234" s="43"/>
      <c r="E234" s="43"/>
      <c r="F234" s="43"/>
      <c r="G234" s="43"/>
      <c r="H234" s="34"/>
      <c r="I234" s="34"/>
      <c r="J234" s="42">
        <f t="shared" si="4"/>
        <v>0</v>
      </c>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8B7137C7-CB98-4197-A42F-95832B2A1F65}">
          <x14:formula1>
            <xm:f>Sheet2!$A$1:$A$3</xm:f>
          </x14:formula1>
          <xm:sqref>G2:G232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9DDAE-2B93-458F-BD74-83991B39AFA1}">
  <dimension ref="A1:O234"/>
  <sheetViews>
    <sheetView rightToLeft="1" zoomScale="152" zoomScaleNormal="152" workbookViewId="0">
      <pane ySplit="1" topLeftCell="A2" activePane="bottomLeft" state="frozen"/>
      <selection activeCell="B5" sqref="B5"/>
      <selection pane="bottomLeft" activeCell="B5" sqref="B5"/>
    </sheetView>
  </sheetViews>
  <sheetFormatPr defaultRowHeight="15" x14ac:dyDescent="0.2"/>
  <cols>
    <col min="1" max="1" width="4.625" bestFit="1" customWidth="1"/>
    <col min="2" max="2" width="10.625" bestFit="1" customWidth="1"/>
    <col min="3" max="3" width="6.875" customWidth="1"/>
    <col min="4" max="5" width="12.5" customWidth="1"/>
    <col min="6" max="6" width="17.5" customWidth="1"/>
    <col min="7" max="7" width="9.375" style="21" customWidth="1"/>
    <col min="8" max="8" width="10.5" style="33" bestFit="1" customWidth="1"/>
    <col min="9" max="9" width="9.625" style="33" bestFit="1" customWidth="1"/>
    <col min="10" max="10" width="14.5" style="37" bestFit="1" customWidth="1"/>
  </cols>
  <sheetData>
    <row r="1" spans="1:15" ht="35.1" customHeight="1" x14ac:dyDescent="0.2">
      <c r="A1" s="4" t="s">
        <v>69</v>
      </c>
      <c r="B1" s="4" t="s">
        <v>3</v>
      </c>
      <c r="C1" s="4" t="s">
        <v>4</v>
      </c>
      <c r="D1" s="4" t="s">
        <v>6</v>
      </c>
      <c r="E1" s="4" t="s">
        <v>291</v>
      </c>
      <c r="F1" s="4" t="s">
        <v>127</v>
      </c>
      <c r="G1" s="20" t="s">
        <v>144</v>
      </c>
      <c r="H1" s="32" t="s">
        <v>0</v>
      </c>
      <c r="I1" s="32" t="s">
        <v>1</v>
      </c>
      <c r="J1" s="32" t="s">
        <v>2</v>
      </c>
      <c r="N1" s="9" t="s">
        <v>67</v>
      </c>
      <c r="O1" s="9" t="s">
        <v>68</v>
      </c>
    </row>
    <row r="2" spans="1:15" x14ac:dyDescent="0.2">
      <c r="A2">
        <v>12</v>
      </c>
      <c r="B2" s="3">
        <v>44907</v>
      </c>
      <c r="C2" t="s">
        <v>45</v>
      </c>
      <c r="D2" s="2" t="s">
        <v>46</v>
      </c>
      <c r="E2" s="2"/>
      <c r="F2" s="2" t="s">
        <v>202</v>
      </c>
      <c r="G2" s="21" t="s">
        <v>142</v>
      </c>
      <c r="H2" s="34">
        <v>0.41666666666666669</v>
      </c>
      <c r="I2" s="34">
        <v>0.72916666666666663</v>
      </c>
      <c r="J2" s="36">
        <f>I2-H2</f>
        <v>0.31249999999999994</v>
      </c>
      <c r="N2" s="10">
        <v>12</v>
      </c>
      <c r="O2" s="11">
        <f>SUMIF(A:A,N2,J:J)</f>
        <v>0.31249999999999994</v>
      </c>
    </row>
    <row r="3" spans="1:15" x14ac:dyDescent="0.2">
      <c r="A3">
        <v>1</v>
      </c>
      <c r="B3" s="3" t="s">
        <v>48</v>
      </c>
      <c r="C3" t="s">
        <v>11</v>
      </c>
      <c r="D3" t="s">
        <v>49</v>
      </c>
      <c r="F3" t="s">
        <v>201</v>
      </c>
      <c r="G3" s="21" t="s">
        <v>142</v>
      </c>
      <c r="H3" s="34">
        <v>0.625</v>
      </c>
      <c r="I3" s="34">
        <v>0.66666666666666663</v>
      </c>
      <c r="J3" s="36">
        <f t="shared" ref="J3:J66" si="0">I3-H3</f>
        <v>4.166666666666663E-2</v>
      </c>
      <c r="N3" s="10">
        <v>1</v>
      </c>
      <c r="O3" s="11">
        <f>SUMIF(A:A,N3,J:J)</f>
        <v>4.166666666666663E-2</v>
      </c>
    </row>
    <row r="4" spans="1:15" x14ac:dyDescent="0.2">
      <c r="A4">
        <v>6</v>
      </c>
      <c r="B4" s="3" t="s">
        <v>104</v>
      </c>
      <c r="C4" t="s">
        <v>12</v>
      </c>
      <c r="D4" t="s">
        <v>49</v>
      </c>
      <c r="F4" t="s">
        <v>158</v>
      </c>
      <c r="G4" s="21" t="s">
        <v>142</v>
      </c>
      <c r="H4" s="34">
        <v>0.45833333333333331</v>
      </c>
      <c r="I4" s="34">
        <v>0.47916666666666669</v>
      </c>
      <c r="J4" s="36">
        <f t="shared" ref="J4" si="1">I4-H4</f>
        <v>2.083333333333337E-2</v>
      </c>
      <c r="N4" s="10">
        <v>2</v>
      </c>
      <c r="O4" s="11">
        <f>SUMIF(A:A,N4,J:J)</f>
        <v>0</v>
      </c>
    </row>
    <row r="5" spans="1:15" x14ac:dyDescent="0.2">
      <c r="A5">
        <v>6</v>
      </c>
      <c r="B5" s="8" t="s">
        <v>107</v>
      </c>
      <c r="C5" t="s">
        <v>45</v>
      </c>
      <c r="D5" t="s">
        <v>49</v>
      </c>
      <c r="F5" t="s">
        <v>157</v>
      </c>
      <c r="G5" s="21" t="s">
        <v>142</v>
      </c>
      <c r="H5" s="34">
        <v>0.4375</v>
      </c>
      <c r="I5" s="34">
        <v>0.6875</v>
      </c>
      <c r="J5" s="36">
        <f t="shared" si="0"/>
        <v>0.25</v>
      </c>
      <c r="N5" s="10">
        <v>3</v>
      </c>
      <c r="O5" s="11">
        <v>6.25E-2</v>
      </c>
    </row>
    <row r="6" spans="1:15" x14ac:dyDescent="0.2">
      <c r="A6">
        <v>6</v>
      </c>
      <c r="B6" s="8" t="s">
        <v>100</v>
      </c>
      <c r="C6" t="s">
        <v>106</v>
      </c>
      <c r="D6" t="s">
        <v>49</v>
      </c>
      <c r="F6" t="s">
        <v>156</v>
      </c>
      <c r="G6" s="21" t="s">
        <v>142</v>
      </c>
      <c r="H6" s="34">
        <v>0.41666666666666669</v>
      </c>
      <c r="I6" s="34">
        <v>0.6875</v>
      </c>
      <c r="J6" s="36">
        <f t="shared" ref="J6" si="2">I6-H6</f>
        <v>0.27083333333333331</v>
      </c>
      <c r="N6" s="10">
        <v>4</v>
      </c>
      <c r="O6" s="11">
        <v>6.25E-2</v>
      </c>
    </row>
    <row r="7" spans="1:15" x14ac:dyDescent="0.2">
      <c r="A7">
        <v>6</v>
      </c>
      <c r="B7" s="8" t="s">
        <v>102</v>
      </c>
      <c r="C7" t="s">
        <v>10</v>
      </c>
      <c r="D7" t="s">
        <v>49</v>
      </c>
      <c r="F7" t="s">
        <v>155</v>
      </c>
      <c r="G7" s="21" t="s">
        <v>142</v>
      </c>
      <c r="H7" s="34">
        <v>0.45833333333333331</v>
      </c>
      <c r="I7" s="34">
        <v>0.47916666666666669</v>
      </c>
      <c r="J7" s="36">
        <f t="shared" ref="J7" si="3">I7-H7</f>
        <v>2.083333333333337E-2</v>
      </c>
      <c r="N7" s="10">
        <v>5</v>
      </c>
      <c r="O7" s="11">
        <v>6.25E-2</v>
      </c>
    </row>
    <row r="8" spans="1:15" x14ac:dyDescent="0.2">
      <c r="A8">
        <v>6</v>
      </c>
      <c r="H8" s="34"/>
      <c r="I8" s="34"/>
      <c r="J8" s="36">
        <f t="shared" si="0"/>
        <v>0</v>
      </c>
      <c r="N8" s="10">
        <v>6</v>
      </c>
      <c r="O8" s="11">
        <f>SUMIF(A:A,N8,J:J)</f>
        <v>0.56250000000000011</v>
      </c>
    </row>
    <row r="9" spans="1:15" x14ac:dyDescent="0.2">
      <c r="A9">
        <v>6</v>
      </c>
      <c r="H9" s="34"/>
      <c r="I9" s="34"/>
      <c r="J9" s="36">
        <f t="shared" si="0"/>
        <v>0</v>
      </c>
      <c r="N9" s="10">
        <v>7</v>
      </c>
      <c r="O9" s="11">
        <f>SUMIF(A:A,N9,J:J)</f>
        <v>0</v>
      </c>
    </row>
    <row r="10" spans="1:15" x14ac:dyDescent="0.2">
      <c r="A10">
        <v>6</v>
      </c>
      <c r="H10" s="34"/>
      <c r="I10" s="34"/>
      <c r="J10" s="36">
        <f t="shared" si="0"/>
        <v>0</v>
      </c>
      <c r="N10" s="10">
        <v>8</v>
      </c>
      <c r="O10" s="11">
        <f>SUMIF(A:A,N10,J:J)</f>
        <v>0</v>
      </c>
    </row>
    <row r="11" spans="1:15" x14ac:dyDescent="0.2">
      <c r="H11" s="34"/>
      <c r="I11" s="34"/>
      <c r="J11" s="36">
        <f t="shared" si="0"/>
        <v>0</v>
      </c>
      <c r="N11" s="10">
        <v>9</v>
      </c>
      <c r="O11" s="11">
        <f>SUMIF(A:A,N11,J:J)</f>
        <v>0</v>
      </c>
    </row>
    <row r="12" spans="1:15" x14ac:dyDescent="0.2">
      <c r="H12" s="34"/>
      <c r="I12" s="34"/>
      <c r="J12" s="36">
        <f t="shared" si="0"/>
        <v>0</v>
      </c>
      <c r="N12" s="10">
        <v>10</v>
      </c>
      <c r="O12" s="11">
        <f>SUMIF(A:A,N12,J:J)</f>
        <v>0</v>
      </c>
    </row>
    <row r="13" spans="1:15" x14ac:dyDescent="0.2">
      <c r="H13" s="34"/>
      <c r="I13" s="34"/>
      <c r="J13" s="36">
        <f t="shared" si="0"/>
        <v>0</v>
      </c>
      <c r="N13" s="12" t="s">
        <v>70</v>
      </c>
      <c r="O13" s="13">
        <f>SUM(O2:O12)</f>
        <v>1.1041666666666665</v>
      </c>
    </row>
    <row r="14" spans="1:15" x14ac:dyDescent="0.2">
      <c r="H14" s="34"/>
      <c r="I14" s="34"/>
      <c r="J14" s="36">
        <f t="shared" si="0"/>
        <v>0</v>
      </c>
    </row>
    <row r="15" spans="1:15" x14ac:dyDescent="0.2">
      <c r="H15" s="34"/>
      <c r="I15" s="34"/>
      <c r="J15" s="36">
        <f t="shared" si="0"/>
        <v>0</v>
      </c>
    </row>
    <row r="16" spans="1:15" x14ac:dyDescent="0.2">
      <c r="H16" s="34"/>
      <c r="I16" s="34"/>
      <c r="J16" s="36">
        <f t="shared" si="0"/>
        <v>0</v>
      </c>
    </row>
    <row r="17" spans="8:10" x14ac:dyDescent="0.2">
      <c r="H17" s="34"/>
      <c r="I17" s="34"/>
      <c r="J17" s="36">
        <f t="shared" si="0"/>
        <v>0</v>
      </c>
    </row>
    <row r="18" spans="8:10" x14ac:dyDescent="0.2">
      <c r="H18" s="34"/>
      <c r="I18" s="34"/>
      <c r="J18" s="36">
        <f t="shared" si="0"/>
        <v>0</v>
      </c>
    </row>
    <row r="19" spans="8:10" x14ac:dyDescent="0.2">
      <c r="H19" s="34"/>
      <c r="I19" s="34"/>
      <c r="J19" s="36">
        <f t="shared" si="0"/>
        <v>0</v>
      </c>
    </row>
    <row r="20" spans="8:10" x14ac:dyDescent="0.2">
      <c r="H20" s="34"/>
      <c r="I20" s="34"/>
      <c r="J20" s="36">
        <f t="shared" si="0"/>
        <v>0</v>
      </c>
    </row>
    <row r="21" spans="8:10" x14ac:dyDescent="0.2">
      <c r="H21" s="34"/>
      <c r="I21" s="34"/>
      <c r="J21" s="36">
        <f t="shared" si="0"/>
        <v>0</v>
      </c>
    </row>
    <row r="22" spans="8:10" x14ac:dyDescent="0.2">
      <c r="H22" s="34"/>
      <c r="I22" s="34"/>
      <c r="J22" s="36">
        <f t="shared" si="0"/>
        <v>0</v>
      </c>
    </row>
    <row r="23" spans="8:10" x14ac:dyDescent="0.2">
      <c r="H23" s="34"/>
      <c r="I23" s="34"/>
      <c r="J23" s="36">
        <f t="shared" si="0"/>
        <v>0</v>
      </c>
    </row>
    <row r="24" spans="8:10" x14ac:dyDescent="0.2">
      <c r="H24" s="34"/>
      <c r="I24" s="34"/>
      <c r="J24" s="36">
        <f t="shared" si="0"/>
        <v>0</v>
      </c>
    </row>
    <row r="25" spans="8:10" x14ac:dyDescent="0.2">
      <c r="H25" s="34"/>
      <c r="I25" s="34"/>
      <c r="J25" s="36">
        <f t="shared" si="0"/>
        <v>0</v>
      </c>
    </row>
    <row r="26" spans="8:10" x14ac:dyDescent="0.2">
      <c r="H26" s="34"/>
      <c r="I26" s="34"/>
      <c r="J26" s="36">
        <f t="shared" si="0"/>
        <v>0</v>
      </c>
    </row>
    <row r="27" spans="8:10" x14ac:dyDescent="0.2">
      <c r="H27" s="34"/>
      <c r="I27" s="34"/>
      <c r="J27" s="36">
        <f t="shared" si="0"/>
        <v>0</v>
      </c>
    </row>
    <row r="28" spans="8:10" x14ac:dyDescent="0.2">
      <c r="H28" s="34"/>
      <c r="I28" s="34"/>
      <c r="J28" s="36">
        <f t="shared" si="0"/>
        <v>0</v>
      </c>
    </row>
    <row r="29" spans="8:10" x14ac:dyDescent="0.2">
      <c r="H29" s="34"/>
      <c r="I29" s="34"/>
      <c r="J29" s="36">
        <f t="shared" si="0"/>
        <v>0</v>
      </c>
    </row>
    <row r="30" spans="8:10" x14ac:dyDescent="0.2">
      <c r="H30" s="34"/>
      <c r="I30" s="34"/>
      <c r="J30" s="36">
        <f t="shared" si="0"/>
        <v>0</v>
      </c>
    </row>
    <row r="31" spans="8:10" x14ac:dyDescent="0.2">
      <c r="H31" s="34"/>
      <c r="I31" s="34"/>
      <c r="J31" s="36">
        <f t="shared" si="0"/>
        <v>0</v>
      </c>
    </row>
    <row r="32" spans="8:10" x14ac:dyDescent="0.2">
      <c r="H32" s="34"/>
      <c r="I32" s="34"/>
      <c r="J32" s="36">
        <f t="shared" si="0"/>
        <v>0</v>
      </c>
    </row>
    <row r="33" spans="8:10" x14ac:dyDescent="0.2">
      <c r="H33" s="34"/>
      <c r="I33" s="34"/>
      <c r="J33" s="36">
        <f t="shared" si="0"/>
        <v>0</v>
      </c>
    </row>
    <row r="34" spans="8:10" x14ac:dyDescent="0.2">
      <c r="H34" s="34"/>
      <c r="I34" s="34"/>
      <c r="J34" s="36">
        <f t="shared" si="0"/>
        <v>0</v>
      </c>
    </row>
    <row r="35" spans="8:10" x14ac:dyDescent="0.2">
      <c r="H35" s="34"/>
      <c r="I35" s="34"/>
      <c r="J35" s="36">
        <f t="shared" si="0"/>
        <v>0</v>
      </c>
    </row>
    <row r="36" spans="8:10" x14ac:dyDescent="0.2">
      <c r="H36" s="34"/>
      <c r="I36" s="34"/>
      <c r="J36" s="36">
        <f t="shared" si="0"/>
        <v>0</v>
      </c>
    </row>
    <row r="37" spans="8:10" x14ac:dyDescent="0.2">
      <c r="H37" s="34"/>
      <c r="I37" s="34"/>
      <c r="J37" s="36">
        <f t="shared" si="0"/>
        <v>0</v>
      </c>
    </row>
    <row r="38" spans="8:10" x14ac:dyDescent="0.2">
      <c r="H38" s="34"/>
      <c r="I38" s="34"/>
      <c r="J38" s="36">
        <f t="shared" si="0"/>
        <v>0</v>
      </c>
    </row>
    <row r="39" spans="8:10" x14ac:dyDescent="0.2">
      <c r="H39" s="34"/>
      <c r="I39" s="34"/>
      <c r="J39" s="36">
        <f t="shared" si="0"/>
        <v>0</v>
      </c>
    </row>
    <row r="40" spans="8:10" x14ac:dyDescent="0.2">
      <c r="H40" s="34"/>
      <c r="I40" s="34"/>
      <c r="J40" s="36">
        <f t="shared" si="0"/>
        <v>0</v>
      </c>
    </row>
    <row r="41" spans="8:10" x14ac:dyDescent="0.2">
      <c r="H41" s="34"/>
      <c r="I41" s="34"/>
      <c r="J41" s="36">
        <f t="shared" si="0"/>
        <v>0</v>
      </c>
    </row>
    <row r="42" spans="8:10" x14ac:dyDescent="0.2">
      <c r="H42" s="34"/>
      <c r="I42" s="34"/>
      <c r="J42" s="36">
        <f t="shared" si="0"/>
        <v>0</v>
      </c>
    </row>
    <row r="43" spans="8:10" x14ac:dyDescent="0.2">
      <c r="H43" s="34"/>
      <c r="I43" s="34"/>
      <c r="J43" s="36">
        <f t="shared" si="0"/>
        <v>0</v>
      </c>
    </row>
    <row r="44" spans="8:10" x14ac:dyDescent="0.2">
      <c r="H44" s="34"/>
      <c r="I44" s="34"/>
      <c r="J44" s="36">
        <f t="shared" si="0"/>
        <v>0</v>
      </c>
    </row>
    <row r="45" spans="8:10" x14ac:dyDescent="0.2">
      <c r="H45" s="34"/>
      <c r="I45" s="34"/>
      <c r="J45" s="36">
        <f t="shared" si="0"/>
        <v>0</v>
      </c>
    </row>
    <row r="46" spans="8:10" x14ac:dyDescent="0.2">
      <c r="H46" s="34"/>
      <c r="I46" s="34"/>
      <c r="J46" s="36">
        <f t="shared" si="0"/>
        <v>0</v>
      </c>
    </row>
    <row r="47" spans="8:10" x14ac:dyDescent="0.2">
      <c r="H47" s="34"/>
      <c r="I47" s="34"/>
      <c r="J47" s="36">
        <f t="shared" si="0"/>
        <v>0</v>
      </c>
    </row>
    <row r="48" spans="8:10" x14ac:dyDescent="0.2">
      <c r="H48" s="34"/>
      <c r="I48" s="34"/>
      <c r="J48" s="36">
        <f t="shared" si="0"/>
        <v>0</v>
      </c>
    </row>
    <row r="49" spans="8:10" x14ac:dyDescent="0.2">
      <c r="H49" s="34"/>
      <c r="I49" s="34"/>
      <c r="J49" s="36">
        <f t="shared" si="0"/>
        <v>0</v>
      </c>
    </row>
    <row r="50" spans="8:10" x14ac:dyDescent="0.2">
      <c r="H50" s="34"/>
      <c r="I50" s="34"/>
      <c r="J50" s="36">
        <f t="shared" si="0"/>
        <v>0</v>
      </c>
    </row>
    <row r="51" spans="8:10" x14ac:dyDescent="0.2">
      <c r="H51" s="34"/>
      <c r="I51" s="34"/>
      <c r="J51" s="36">
        <f t="shared" si="0"/>
        <v>0</v>
      </c>
    </row>
    <row r="52" spans="8:10" x14ac:dyDescent="0.2">
      <c r="H52" s="34"/>
      <c r="I52" s="34"/>
      <c r="J52" s="36">
        <f t="shared" si="0"/>
        <v>0</v>
      </c>
    </row>
    <row r="53" spans="8:10" x14ac:dyDescent="0.2">
      <c r="H53" s="34"/>
      <c r="I53" s="34"/>
      <c r="J53" s="36">
        <f t="shared" si="0"/>
        <v>0</v>
      </c>
    </row>
    <row r="54" spans="8:10" x14ac:dyDescent="0.2">
      <c r="H54" s="34"/>
      <c r="I54" s="34"/>
      <c r="J54" s="36">
        <f t="shared" si="0"/>
        <v>0</v>
      </c>
    </row>
    <row r="55" spans="8:10" x14ac:dyDescent="0.2">
      <c r="H55" s="34"/>
      <c r="I55" s="34"/>
      <c r="J55" s="36">
        <f t="shared" si="0"/>
        <v>0</v>
      </c>
    </row>
    <row r="56" spans="8:10" x14ac:dyDescent="0.2">
      <c r="H56" s="34"/>
      <c r="I56" s="34"/>
      <c r="J56" s="36">
        <f t="shared" si="0"/>
        <v>0</v>
      </c>
    </row>
    <row r="57" spans="8:10" x14ac:dyDescent="0.2">
      <c r="H57" s="34"/>
      <c r="I57" s="34"/>
      <c r="J57" s="36">
        <f t="shared" si="0"/>
        <v>0</v>
      </c>
    </row>
    <row r="58" spans="8:10" x14ac:dyDescent="0.2">
      <c r="H58" s="34"/>
      <c r="I58" s="34"/>
      <c r="J58" s="36">
        <f t="shared" si="0"/>
        <v>0</v>
      </c>
    </row>
    <row r="59" spans="8:10" x14ac:dyDescent="0.2">
      <c r="H59" s="34"/>
      <c r="I59" s="34"/>
      <c r="J59" s="36">
        <f t="shared" si="0"/>
        <v>0</v>
      </c>
    </row>
    <row r="60" spans="8:10" x14ac:dyDescent="0.2">
      <c r="H60" s="34"/>
      <c r="I60" s="34"/>
      <c r="J60" s="36">
        <f t="shared" si="0"/>
        <v>0</v>
      </c>
    </row>
    <row r="61" spans="8:10" x14ac:dyDescent="0.2">
      <c r="H61" s="34"/>
      <c r="I61" s="34"/>
      <c r="J61" s="36">
        <f t="shared" si="0"/>
        <v>0</v>
      </c>
    </row>
    <row r="62" spans="8:10" x14ac:dyDescent="0.2">
      <c r="H62" s="34"/>
      <c r="I62" s="34"/>
      <c r="J62" s="36">
        <f t="shared" si="0"/>
        <v>0</v>
      </c>
    </row>
    <row r="63" spans="8:10" x14ac:dyDescent="0.2">
      <c r="H63" s="34"/>
      <c r="I63" s="34"/>
      <c r="J63" s="36">
        <f t="shared" si="0"/>
        <v>0</v>
      </c>
    </row>
    <row r="64" spans="8:10" x14ac:dyDescent="0.2">
      <c r="H64" s="34"/>
      <c r="I64" s="34"/>
      <c r="J64" s="36">
        <f t="shared" si="0"/>
        <v>0</v>
      </c>
    </row>
    <row r="65" spans="8:10" x14ac:dyDescent="0.2">
      <c r="H65" s="34"/>
      <c r="I65" s="34"/>
      <c r="J65" s="36">
        <f t="shared" si="0"/>
        <v>0</v>
      </c>
    </row>
    <row r="66" spans="8:10" x14ac:dyDescent="0.2">
      <c r="H66" s="34"/>
      <c r="I66" s="34"/>
      <c r="J66" s="36">
        <f t="shared" si="0"/>
        <v>0</v>
      </c>
    </row>
    <row r="67" spans="8:10" x14ac:dyDescent="0.2">
      <c r="H67" s="34"/>
      <c r="I67" s="34"/>
      <c r="J67" s="36">
        <f t="shared" ref="J67:J130" si="4">I67-H67</f>
        <v>0</v>
      </c>
    </row>
    <row r="68" spans="8:10" x14ac:dyDescent="0.2">
      <c r="H68" s="34"/>
      <c r="I68" s="34"/>
      <c r="J68" s="36">
        <f t="shared" si="4"/>
        <v>0</v>
      </c>
    </row>
    <row r="69" spans="8:10" x14ac:dyDescent="0.2">
      <c r="H69" s="34"/>
      <c r="I69" s="34"/>
      <c r="J69" s="36">
        <f t="shared" si="4"/>
        <v>0</v>
      </c>
    </row>
    <row r="70" spans="8:10" x14ac:dyDescent="0.2">
      <c r="H70" s="34"/>
      <c r="I70" s="34"/>
      <c r="J70" s="36">
        <f t="shared" si="4"/>
        <v>0</v>
      </c>
    </row>
    <row r="71" spans="8:10" x14ac:dyDescent="0.2">
      <c r="H71" s="34"/>
      <c r="I71" s="34"/>
      <c r="J71" s="36">
        <f t="shared" si="4"/>
        <v>0</v>
      </c>
    </row>
    <row r="72" spans="8:10" x14ac:dyDescent="0.2">
      <c r="H72" s="34"/>
      <c r="I72" s="34"/>
      <c r="J72" s="36">
        <f t="shared" si="4"/>
        <v>0</v>
      </c>
    </row>
    <row r="73" spans="8:10" x14ac:dyDescent="0.2">
      <c r="H73" s="34"/>
      <c r="I73" s="34"/>
      <c r="J73" s="36">
        <f t="shared" si="4"/>
        <v>0</v>
      </c>
    </row>
    <row r="74" spans="8:10" x14ac:dyDescent="0.2">
      <c r="H74" s="34"/>
      <c r="I74" s="34"/>
      <c r="J74" s="36">
        <f t="shared" si="4"/>
        <v>0</v>
      </c>
    </row>
    <row r="75" spans="8:10" x14ac:dyDescent="0.2">
      <c r="H75" s="34"/>
      <c r="I75" s="34"/>
      <c r="J75" s="36">
        <f t="shared" si="4"/>
        <v>0</v>
      </c>
    </row>
    <row r="76" spans="8:10" x14ac:dyDescent="0.2">
      <c r="H76" s="34"/>
      <c r="I76" s="34"/>
      <c r="J76" s="36">
        <f t="shared" si="4"/>
        <v>0</v>
      </c>
    </row>
    <row r="77" spans="8:10" x14ac:dyDescent="0.2">
      <c r="H77" s="34"/>
      <c r="I77" s="34"/>
      <c r="J77" s="36">
        <f t="shared" si="4"/>
        <v>0</v>
      </c>
    </row>
    <row r="78" spans="8:10" x14ac:dyDescent="0.2">
      <c r="H78" s="34"/>
      <c r="I78" s="34"/>
      <c r="J78" s="36">
        <f t="shared" si="4"/>
        <v>0</v>
      </c>
    </row>
    <row r="79" spans="8:10" x14ac:dyDescent="0.2">
      <c r="H79" s="34"/>
      <c r="I79" s="34"/>
      <c r="J79" s="36">
        <f t="shared" si="4"/>
        <v>0</v>
      </c>
    </row>
    <row r="80" spans="8:10" x14ac:dyDescent="0.2">
      <c r="H80" s="34"/>
      <c r="I80" s="34"/>
      <c r="J80" s="36">
        <f t="shared" si="4"/>
        <v>0</v>
      </c>
    </row>
    <row r="81" spans="8:10" x14ac:dyDescent="0.2">
      <c r="H81" s="34"/>
      <c r="I81" s="34"/>
      <c r="J81" s="36">
        <f t="shared" si="4"/>
        <v>0</v>
      </c>
    </row>
    <row r="82" spans="8:10" x14ac:dyDescent="0.2">
      <c r="H82" s="34"/>
      <c r="I82" s="34"/>
      <c r="J82" s="36">
        <f t="shared" si="4"/>
        <v>0</v>
      </c>
    </row>
    <row r="83" spans="8:10" x14ac:dyDescent="0.2">
      <c r="H83" s="34"/>
      <c r="I83" s="34"/>
      <c r="J83" s="36">
        <f t="shared" si="4"/>
        <v>0</v>
      </c>
    </row>
    <row r="84" spans="8:10" x14ac:dyDescent="0.2">
      <c r="H84" s="34"/>
      <c r="I84" s="34"/>
      <c r="J84" s="36">
        <f t="shared" si="4"/>
        <v>0</v>
      </c>
    </row>
    <row r="85" spans="8:10" x14ac:dyDescent="0.2">
      <c r="H85" s="34"/>
      <c r="I85" s="34"/>
      <c r="J85" s="36">
        <f t="shared" si="4"/>
        <v>0</v>
      </c>
    </row>
    <row r="86" spans="8:10" x14ac:dyDescent="0.2">
      <c r="H86" s="34"/>
      <c r="I86" s="34"/>
      <c r="J86" s="36">
        <f t="shared" si="4"/>
        <v>0</v>
      </c>
    </row>
    <row r="87" spans="8:10" x14ac:dyDescent="0.2">
      <c r="H87" s="34"/>
      <c r="I87" s="34"/>
      <c r="J87" s="36">
        <f t="shared" si="4"/>
        <v>0</v>
      </c>
    </row>
    <row r="88" spans="8:10" x14ac:dyDescent="0.2">
      <c r="H88" s="34"/>
      <c r="I88" s="34"/>
      <c r="J88" s="36">
        <f t="shared" si="4"/>
        <v>0</v>
      </c>
    </row>
    <row r="89" spans="8:10" x14ac:dyDescent="0.2">
      <c r="H89" s="34"/>
      <c r="I89" s="34"/>
      <c r="J89" s="36">
        <f t="shared" si="4"/>
        <v>0</v>
      </c>
    </row>
    <row r="90" spans="8:10" x14ac:dyDescent="0.2">
      <c r="H90" s="34"/>
      <c r="I90" s="34"/>
      <c r="J90" s="36">
        <f t="shared" si="4"/>
        <v>0</v>
      </c>
    </row>
    <row r="91" spans="8:10" x14ac:dyDescent="0.2">
      <c r="H91" s="34"/>
      <c r="I91" s="34"/>
      <c r="J91" s="36">
        <f t="shared" si="4"/>
        <v>0</v>
      </c>
    </row>
    <row r="92" spans="8:10" x14ac:dyDescent="0.2">
      <c r="H92" s="34"/>
      <c r="I92" s="34"/>
      <c r="J92" s="36">
        <f t="shared" si="4"/>
        <v>0</v>
      </c>
    </row>
    <row r="93" spans="8:10" x14ac:dyDescent="0.2">
      <c r="H93" s="34"/>
      <c r="I93" s="34"/>
      <c r="J93" s="36">
        <f t="shared" si="4"/>
        <v>0</v>
      </c>
    </row>
    <row r="94" spans="8:10" x14ac:dyDescent="0.2">
      <c r="H94" s="34"/>
      <c r="I94" s="34"/>
      <c r="J94" s="36">
        <f t="shared" si="4"/>
        <v>0</v>
      </c>
    </row>
    <row r="95" spans="8:10" x14ac:dyDescent="0.2">
      <c r="H95" s="34"/>
      <c r="I95" s="34"/>
      <c r="J95" s="36">
        <f t="shared" si="4"/>
        <v>0</v>
      </c>
    </row>
    <row r="96" spans="8:10" x14ac:dyDescent="0.2">
      <c r="H96" s="34"/>
      <c r="I96" s="34"/>
      <c r="J96" s="36">
        <f t="shared" si="4"/>
        <v>0</v>
      </c>
    </row>
    <row r="97" spans="8:10" x14ac:dyDescent="0.2">
      <c r="H97" s="34"/>
      <c r="I97" s="34"/>
      <c r="J97" s="36">
        <f t="shared" si="4"/>
        <v>0</v>
      </c>
    </row>
    <row r="98" spans="8:10" x14ac:dyDescent="0.2">
      <c r="H98" s="34"/>
      <c r="I98" s="34"/>
      <c r="J98" s="36">
        <f t="shared" si="4"/>
        <v>0</v>
      </c>
    </row>
    <row r="99" spans="8:10" x14ac:dyDescent="0.2">
      <c r="H99" s="34"/>
      <c r="I99" s="34"/>
      <c r="J99" s="36">
        <f t="shared" si="4"/>
        <v>0</v>
      </c>
    </row>
    <row r="100" spans="8:10" x14ac:dyDescent="0.2">
      <c r="H100" s="34"/>
      <c r="I100" s="34"/>
      <c r="J100" s="36">
        <f t="shared" si="4"/>
        <v>0</v>
      </c>
    </row>
    <row r="101" spans="8:10" x14ac:dyDescent="0.2">
      <c r="H101" s="34"/>
      <c r="I101" s="34"/>
      <c r="J101" s="36">
        <f t="shared" si="4"/>
        <v>0</v>
      </c>
    </row>
    <row r="102" spans="8:10" x14ac:dyDescent="0.2">
      <c r="H102" s="34"/>
      <c r="I102" s="34"/>
      <c r="J102" s="36">
        <f t="shared" si="4"/>
        <v>0</v>
      </c>
    </row>
    <row r="103" spans="8:10" x14ac:dyDescent="0.2">
      <c r="H103" s="34"/>
      <c r="I103" s="34"/>
      <c r="J103" s="36">
        <f t="shared" si="4"/>
        <v>0</v>
      </c>
    </row>
    <row r="104" spans="8:10" x14ac:dyDescent="0.2">
      <c r="H104" s="34"/>
      <c r="I104" s="34"/>
      <c r="J104" s="36">
        <f t="shared" si="4"/>
        <v>0</v>
      </c>
    </row>
    <row r="105" spans="8:10" x14ac:dyDescent="0.2">
      <c r="H105" s="34"/>
      <c r="I105" s="34"/>
      <c r="J105" s="36">
        <f t="shared" si="4"/>
        <v>0</v>
      </c>
    </row>
    <row r="106" spans="8:10" x14ac:dyDescent="0.2">
      <c r="H106" s="34"/>
      <c r="I106" s="34"/>
      <c r="J106" s="36">
        <f t="shared" si="4"/>
        <v>0</v>
      </c>
    </row>
    <row r="107" spans="8:10" x14ac:dyDescent="0.2">
      <c r="H107" s="34"/>
      <c r="I107" s="34"/>
      <c r="J107" s="36">
        <f t="shared" si="4"/>
        <v>0</v>
      </c>
    </row>
    <row r="108" spans="8:10" x14ac:dyDescent="0.2">
      <c r="H108" s="34"/>
      <c r="I108" s="34"/>
      <c r="J108" s="36">
        <f t="shared" si="4"/>
        <v>0</v>
      </c>
    </row>
    <row r="109" spans="8:10" x14ac:dyDescent="0.2">
      <c r="H109" s="34"/>
      <c r="I109" s="34"/>
      <c r="J109" s="36">
        <f t="shared" si="4"/>
        <v>0</v>
      </c>
    </row>
    <row r="110" spans="8:10" x14ac:dyDescent="0.2">
      <c r="H110" s="34"/>
      <c r="I110" s="34"/>
      <c r="J110" s="36">
        <f t="shared" si="4"/>
        <v>0</v>
      </c>
    </row>
    <row r="111" spans="8:10" x14ac:dyDescent="0.2">
      <c r="H111" s="34"/>
      <c r="I111" s="34"/>
      <c r="J111" s="36">
        <f t="shared" si="4"/>
        <v>0</v>
      </c>
    </row>
    <row r="112" spans="8:10" x14ac:dyDescent="0.2">
      <c r="H112" s="34"/>
      <c r="I112" s="34"/>
      <c r="J112" s="36">
        <f t="shared" si="4"/>
        <v>0</v>
      </c>
    </row>
    <row r="113" spans="8:10" x14ac:dyDescent="0.2">
      <c r="H113" s="34"/>
      <c r="I113" s="34"/>
      <c r="J113" s="36">
        <f t="shared" si="4"/>
        <v>0</v>
      </c>
    </row>
    <row r="114" spans="8:10" x14ac:dyDescent="0.2">
      <c r="H114" s="34"/>
      <c r="I114" s="34"/>
      <c r="J114" s="36">
        <f t="shared" si="4"/>
        <v>0</v>
      </c>
    </row>
    <row r="115" spans="8:10" x14ac:dyDescent="0.2">
      <c r="H115" s="34"/>
      <c r="I115" s="34"/>
      <c r="J115" s="36">
        <f t="shared" si="4"/>
        <v>0</v>
      </c>
    </row>
    <row r="116" spans="8:10" x14ac:dyDescent="0.2">
      <c r="H116" s="34"/>
      <c r="I116" s="34"/>
      <c r="J116" s="36">
        <f t="shared" si="4"/>
        <v>0</v>
      </c>
    </row>
    <row r="117" spans="8:10" x14ac:dyDescent="0.2">
      <c r="H117" s="34"/>
      <c r="I117" s="34"/>
      <c r="J117" s="36">
        <f t="shared" si="4"/>
        <v>0</v>
      </c>
    </row>
    <row r="118" spans="8:10" x14ac:dyDescent="0.2">
      <c r="H118" s="34"/>
      <c r="I118" s="34"/>
      <c r="J118" s="36">
        <f t="shared" si="4"/>
        <v>0</v>
      </c>
    </row>
    <row r="119" spans="8:10" x14ac:dyDescent="0.2">
      <c r="H119" s="34"/>
      <c r="I119" s="34"/>
      <c r="J119" s="36">
        <f t="shared" si="4"/>
        <v>0</v>
      </c>
    </row>
    <row r="120" spans="8:10" x14ac:dyDescent="0.2">
      <c r="H120" s="34"/>
      <c r="I120" s="34"/>
      <c r="J120" s="36">
        <f t="shared" si="4"/>
        <v>0</v>
      </c>
    </row>
    <row r="121" spans="8:10" x14ac:dyDescent="0.2">
      <c r="H121" s="34"/>
      <c r="I121" s="34"/>
      <c r="J121" s="36">
        <f t="shared" si="4"/>
        <v>0</v>
      </c>
    </row>
    <row r="122" spans="8:10" x14ac:dyDescent="0.2">
      <c r="H122" s="34"/>
      <c r="I122" s="34"/>
      <c r="J122" s="36">
        <f t="shared" si="4"/>
        <v>0</v>
      </c>
    </row>
    <row r="123" spans="8:10" x14ac:dyDescent="0.2">
      <c r="H123" s="34"/>
      <c r="I123" s="34"/>
      <c r="J123" s="36">
        <f t="shared" si="4"/>
        <v>0</v>
      </c>
    </row>
    <row r="124" spans="8:10" x14ac:dyDescent="0.2">
      <c r="H124" s="34"/>
      <c r="I124" s="34"/>
      <c r="J124" s="36">
        <f t="shared" si="4"/>
        <v>0</v>
      </c>
    </row>
    <row r="125" spans="8:10" x14ac:dyDescent="0.2">
      <c r="H125" s="34"/>
      <c r="I125" s="34"/>
      <c r="J125" s="36">
        <f t="shared" si="4"/>
        <v>0</v>
      </c>
    </row>
    <row r="126" spans="8:10" x14ac:dyDescent="0.2">
      <c r="H126" s="34"/>
      <c r="I126" s="34"/>
      <c r="J126" s="36">
        <f t="shared" si="4"/>
        <v>0</v>
      </c>
    </row>
    <row r="127" spans="8:10" x14ac:dyDescent="0.2">
      <c r="H127" s="34"/>
      <c r="I127" s="34"/>
      <c r="J127" s="36">
        <f t="shared" si="4"/>
        <v>0</v>
      </c>
    </row>
    <row r="128" spans="8:10" x14ac:dyDescent="0.2">
      <c r="H128" s="34"/>
      <c r="I128" s="34"/>
      <c r="J128" s="36">
        <f t="shared" si="4"/>
        <v>0</v>
      </c>
    </row>
    <row r="129" spans="8:10" x14ac:dyDescent="0.2">
      <c r="H129" s="34"/>
      <c r="I129" s="34"/>
      <c r="J129" s="36">
        <f t="shared" si="4"/>
        <v>0</v>
      </c>
    </row>
    <row r="130" spans="8:10" x14ac:dyDescent="0.2">
      <c r="H130" s="34"/>
      <c r="I130" s="34"/>
      <c r="J130" s="36">
        <f t="shared" si="4"/>
        <v>0</v>
      </c>
    </row>
    <row r="131" spans="8:10" x14ac:dyDescent="0.2">
      <c r="H131" s="34"/>
      <c r="I131" s="34"/>
      <c r="J131" s="36">
        <f t="shared" ref="J131:J194" si="5">I131-H131</f>
        <v>0</v>
      </c>
    </row>
    <row r="132" spans="8:10" x14ac:dyDescent="0.2">
      <c r="H132" s="34"/>
      <c r="I132" s="34"/>
      <c r="J132" s="36">
        <f t="shared" si="5"/>
        <v>0</v>
      </c>
    </row>
    <row r="133" spans="8:10" x14ac:dyDescent="0.2">
      <c r="H133" s="34"/>
      <c r="I133" s="34"/>
      <c r="J133" s="36">
        <f t="shared" si="5"/>
        <v>0</v>
      </c>
    </row>
    <row r="134" spans="8:10" x14ac:dyDescent="0.2">
      <c r="H134" s="34"/>
      <c r="I134" s="34"/>
      <c r="J134" s="36">
        <f t="shared" si="5"/>
        <v>0</v>
      </c>
    </row>
    <row r="135" spans="8:10" x14ac:dyDescent="0.2">
      <c r="H135" s="34"/>
      <c r="I135" s="34"/>
      <c r="J135" s="36">
        <f t="shared" si="5"/>
        <v>0</v>
      </c>
    </row>
    <row r="136" spans="8:10" x14ac:dyDescent="0.2">
      <c r="H136" s="34"/>
      <c r="I136" s="34"/>
      <c r="J136" s="36">
        <f t="shared" si="5"/>
        <v>0</v>
      </c>
    </row>
    <row r="137" spans="8:10" x14ac:dyDescent="0.2">
      <c r="H137" s="34"/>
      <c r="I137" s="34"/>
      <c r="J137" s="36">
        <f t="shared" si="5"/>
        <v>0</v>
      </c>
    </row>
    <row r="138" spans="8:10" x14ac:dyDescent="0.2">
      <c r="H138" s="34"/>
      <c r="I138" s="34"/>
      <c r="J138" s="36">
        <f t="shared" si="5"/>
        <v>0</v>
      </c>
    </row>
    <row r="139" spans="8:10" x14ac:dyDescent="0.2">
      <c r="H139" s="34"/>
      <c r="I139" s="34"/>
      <c r="J139" s="36">
        <f t="shared" si="5"/>
        <v>0</v>
      </c>
    </row>
    <row r="140" spans="8:10" x14ac:dyDescent="0.2">
      <c r="H140" s="34"/>
      <c r="I140" s="34"/>
      <c r="J140" s="36">
        <f t="shared" si="5"/>
        <v>0</v>
      </c>
    </row>
    <row r="141" spans="8:10" x14ac:dyDescent="0.2">
      <c r="H141" s="34"/>
      <c r="I141" s="34"/>
      <c r="J141" s="36">
        <f t="shared" si="5"/>
        <v>0</v>
      </c>
    </row>
    <row r="142" spans="8:10" x14ac:dyDescent="0.2">
      <c r="H142" s="34"/>
      <c r="I142" s="34"/>
      <c r="J142" s="36">
        <f t="shared" si="5"/>
        <v>0</v>
      </c>
    </row>
    <row r="143" spans="8:10" x14ac:dyDescent="0.2">
      <c r="H143" s="34"/>
      <c r="I143" s="34"/>
      <c r="J143" s="36">
        <f t="shared" si="5"/>
        <v>0</v>
      </c>
    </row>
    <row r="144" spans="8:10" x14ac:dyDescent="0.2">
      <c r="H144" s="35"/>
      <c r="I144" s="35"/>
      <c r="J144" s="37">
        <f t="shared" si="5"/>
        <v>0</v>
      </c>
    </row>
    <row r="145" spans="8:10" x14ac:dyDescent="0.2">
      <c r="H145" s="35"/>
      <c r="I145" s="35"/>
      <c r="J145" s="37">
        <f t="shared" si="5"/>
        <v>0</v>
      </c>
    </row>
    <row r="146" spans="8:10" x14ac:dyDescent="0.2">
      <c r="H146" s="35"/>
      <c r="I146" s="35"/>
      <c r="J146" s="37">
        <f t="shared" si="5"/>
        <v>0</v>
      </c>
    </row>
    <row r="147" spans="8:10" x14ac:dyDescent="0.2">
      <c r="H147" s="35"/>
      <c r="I147" s="35"/>
      <c r="J147" s="37">
        <f t="shared" si="5"/>
        <v>0</v>
      </c>
    </row>
    <row r="148" spans="8:10" x14ac:dyDescent="0.2">
      <c r="H148" s="35"/>
      <c r="I148" s="35"/>
      <c r="J148" s="37">
        <f t="shared" si="5"/>
        <v>0</v>
      </c>
    </row>
    <row r="149" spans="8:10" x14ac:dyDescent="0.2">
      <c r="H149" s="35"/>
      <c r="I149" s="35"/>
      <c r="J149" s="37">
        <f t="shared" si="5"/>
        <v>0</v>
      </c>
    </row>
    <row r="150" spans="8:10" x14ac:dyDescent="0.2">
      <c r="H150" s="35"/>
      <c r="I150" s="35"/>
      <c r="J150" s="37">
        <f t="shared" si="5"/>
        <v>0</v>
      </c>
    </row>
    <row r="151" spans="8:10" x14ac:dyDescent="0.2">
      <c r="H151" s="35"/>
      <c r="I151" s="35"/>
      <c r="J151" s="37">
        <f t="shared" si="5"/>
        <v>0</v>
      </c>
    </row>
    <row r="152" spans="8:10" x14ac:dyDescent="0.2">
      <c r="H152" s="35"/>
      <c r="I152" s="35"/>
      <c r="J152" s="37">
        <f t="shared" si="5"/>
        <v>0</v>
      </c>
    </row>
    <row r="153" spans="8:10" x14ac:dyDescent="0.2">
      <c r="H153" s="35"/>
      <c r="I153" s="35"/>
      <c r="J153" s="37">
        <f t="shared" si="5"/>
        <v>0</v>
      </c>
    </row>
    <row r="154" spans="8:10" x14ac:dyDescent="0.2">
      <c r="H154" s="35"/>
      <c r="I154" s="35"/>
      <c r="J154" s="37">
        <f t="shared" si="5"/>
        <v>0</v>
      </c>
    </row>
    <row r="155" spans="8:10" x14ac:dyDescent="0.2">
      <c r="H155" s="35"/>
      <c r="I155" s="35"/>
      <c r="J155" s="37">
        <f t="shared" si="5"/>
        <v>0</v>
      </c>
    </row>
    <row r="156" spans="8:10" x14ac:dyDescent="0.2">
      <c r="H156" s="35"/>
      <c r="I156" s="35"/>
      <c r="J156" s="37">
        <f t="shared" si="5"/>
        <v>0</v>
      </c>
    </row>
    <row r="157" spans="8:10" x14ac:dyDescent="0.2">
      <c r="H157" s="35"/>
      <c r="I157" s="35"/>
      <c r="J157" s="37">
        <f t="shared" si="5"/>
        <v>0</v>
      </c>
    </row>
    <row r="158" spans="8:10" x14ac:dyDescent="0.2">
      <c r="H158" s="35"/>
      <c r="I158" s="35"/>
      <c r="J158" s="37">
        <f t="shared" si="5"/>
        <v>0</v>
      </c>
    </row>
    <row r="159" spans="8:10" x14ac:dyDescent="0.2">
      <c r="H159" s="35"/>
      <c r="I159" s="35"/>
      <c r="J159" s="37">
        <f t="shared" si="5"/>
        <v>0</v>
      </c>
    </row>
    <row r="160" spans="8:10" x14ac:dyDescent="0.2">
      <c r="H160" s="35"/>
      <c r="I160" s="35"/>
      <c r="J160" s="37">
        <f t="shared" si="5"/>
        <v>0</v>
      </c>
    </row>
    <row r="161" spans="8:10" x14ac:dyDescent="0.2">
      <c r="H161" s="35"/>
      <c r="I161" s="35"/>
      <c r="J161" s="37">
        <f t="shared" si="5"/>
        <v>0</v>
      </c>
    </row>
    <row r="162" spans="8:10" x14ac:dyDescent="0.2">
      <c r="H162" s="35"/>
      <c r="I162" s="35"/>
      <c r="J162" s="37">
        <f t="shared" si="5"/>
        <v>0</v>
      </c>
    </row>
    <row r="163" spans="8:10" x14ac:dyDescent="0.2">
      <c r="H163" s="35"/>
      <c r="I163" s="35"/>
      <c r="J163" s="37">
        <f t="shared" si="5"/>
        <v>0</v>
      </c>
    </row>
    <row r="164" spans="8:10" x14ac:dyDescent="0.2">
      <c r="H164" s="35"/>
      <c r="I164" s="35"/>
      <c r="J164" s="37">
        <f t="shared" si="5"/>
        <v>0</v>
      </c>
    </row>
    <row r="165" spans="8:10" x14ac:dyDescent="0.2">
      <c r="H165" s="35"/>
      <c r="I165" s="35"/>
      <c r="J165" s="37">
        <f t="shared" si="5"/>
        <v>0</v>
      </c>
    </row>
    <row r="166" spans="8:10" x14ac:dyDescent="0.2">
      <c r="H166" s="35"/>
      <c r="I166" s="35"/>
      <c r="J166" s="37">
        <f t="shared" si="5"/>
        <v>0</v>
      </c>
    </row>
    <row r="167" spans="8:10" x14ac:dyDescent="0.2">
      <c r="H167" s="35"/>
      <c r="I167" s="35"/>
      <c r="J167" s="37">
        <f t="shared" si="5"/>
        <v>0</v>
      </c>
    </row>
    <row r="168" spans="8:10" x14ac:dyDescent="0.2">
      <c r="H168" s="35"/>
      <c r="I168" s="35"/>
      <c r="J168" s="37">
        <f t="shared" si="5"/>
        <v>0</v>
      </c>
    </row>
    <row r="169" spans="8:10" x14ac:dyDescent="0.2">
      <c r="H169" s="35"/>
      <c r="I169" s="35"/>
      <c r="J169" s="37">
        <f t="shared" si="5"/>
        <v>0</v>
      </c>
    </row>
    <row r="170" spans="8:10" x14ac:dyDescent="0.2">
      <c r="H170" s="35"/>
      <c r="I170" s="35"/>
      <c r="J170" s="37">
        <f t="shared" si="5"/>
        <v>0</v>
      </c>
    </row>
    <row r="171" spans="8:10" x14ac:dyDescent="0.2">
      <c r="H171" s="35"/>
      <c r="I171" s="35"/>
      <c r="J171" s="37">
        <f t="shared" si="5"/>
        <v>0</v>
      </c>
    </row>
    <row r="172" spans="8:10" x14ac:dyDescent="0.2">
      <c r="H172" s="35"/>
      <c r="I172" s="35"/>
      <c r="J172" s="37">
        <f t="shared" si="5"/>
        <v>0</v>
      </c>
    </row>
    <row r="173" spans="8:10" x14ac:dyDescent="0.2">
      <c r="H173" s="35"/>
      <c r="I173" s="35"/>
      <c r="J173" s="37">
        <f t="shared" si="5"/>
        <v>0</v>
      </c>
    </row>
    <row r="174" spans="8:10" x14ac:dyDescent="0.2">
      <c r="H174" s="35"/>
      <c r="I174" s="35"/>
      <c r="J174" s="37">
        <f t="shared" si="5"/>
        <v>0</v>
      </c>
    </row>
    <row r="175" spans="8:10" x14ac:dyDescent="0.2">
      <c r="H175" s="35"/>
      <c r="I175" s="35"/>
      <c r="J175" s="37">
        <f t="shared" si="5"/>
        <v>0</v>
      </c>
    </row>
    <row r="176" spans="8:10" x14ac:dyDescent="0.2">
      <c r="H176" s="35"/>
      <c r="I176" s="35"/>
      <c r="J176" s="37">
        <f t="shared" si="5"/>
        <v>0</v>
      </c>
    </row>
    <row r="177" spans="8:10" x14ac:dyDescent="0.2">
      <c r="H177" s="35"/>
      <c r="I177" s="35"/>
      <c r="J177" s="37">
        <f t="shared" si="5"/>
        <v>0</v>
      </c>
    </row>
    <row r="178" spans="8:10" x14ac:dyDescent="0.2">
      <c r="H178" s="35"/>
      <c r="I178" s="35"/>
      <c r="J178" s="37">
        <f t="shared" si="5"/>
        <v>0</v>
      </c>
    </row>
    <row r="179" spans="8:10" x14ac:dyDescent="0.2">
      <c r="H179" s="35"/>
      <c r="I179" s="35"/>
      <c r="J179" s="37">
        <f t="shared" si="5"/>
        <v>0</v>
      </c>
    </row>
    <row r="180" spans="8:10" x14ac:dyDescent="0.2">
      <c r="H180" s="35"/>
      <c r="I180" s="35"/>
      <c r="J180" s="37">
        <f t="shared" si="5"/>
        <v>0</v>
      </c>
    </row>
    <row r="181" spans="8:10" x14ac:dyDescent="0.2">
      <c r="H181" s="35"/>
      <c r="I181" s="35"/>
      <c r="J181" s="37">
        <f t="shared" si="5"/>
        <v>0</v>
      </c>
    </row>
    <row r="182" spans="8:10" x14ac:dyDescent="0.2">
      <c r="H182" s="35"/>
      <c r="I182" s="35"/>
      <c r="J182" s="37">
        <f t="shared" si="5"/>
        <v>0</v>
      </c>
    </row>
    <row r="183" spans="8:10" x14ac:dyDescent="0.2">
      <c r="H183" s="35"/>
      <c r="I183" s="35"/>
      <c r="J183" s="37">
        <f t="shared" si="5"/>
        <v>0</v>
      </c>
    </row>
    <row r="184" spans="8:10" x14ac:dyDescent="0.2">
      <c r="H184" s="35"/>
      <c r="I184" s="35"/>
      <c r="J184" s="37">
        <f t="shared" si="5"/>
        <v>0</v>
      </c>
    </row>
    <row r="185" spans="8:10" x14ac:dyDescent="0.2">
      <c r="H185" s="35"/>
      <c r="I185" s="35"/>
      <c r="J185" s="37">
        <f t="shared" si="5"/>
        <v>0</v>
      </c>
    </row>
    <row r="186" spans="8:10" x14ac:dyDescent="0.2">
      <c r="H186" s="35"/>
      <c r="I186" s="35"/>
      <c r="J186" s="37">
        <f t="shared" si="5"/>
        <v>0</v>
      </c>
    </row>
    <row r="187" spans="8:10" x14ac:dyDescent="0.2">
      <c r="H187" s="35"/>
      <c r="I187" s="35"/>
      <c r="J187" s="37">
        <f t="shared" si="5"/>
        <v>0</v>
      </c>
    </row>
    <row r="188" spans="8:10" x14ac:dyDescent="0.2">
      <c r="H188" s="35"/>
      <c r="I188" s="35"/>
      <c r="J188" s="37">
        <f t="shared" si="5"/>
        <v>0</v>
      </c>
    </row>
    <row r="189" spans="8:10" x14ac:dyDescent="0.2">
      <c r="H189" s="35"/>
      <c r="I189" s="35"/>
      <c r="J189" s="37">
        <f t="shared" si="5"/>
        <v>0</v>
      </c>
    </row>
    <row r="190" spans="8:10" x14ac:dyDescent="0.2">
      <c r="H190" s="35"/>
      <c r="I190" s="35"/>
      <c r="J190" s="37">
        <f t="shared" si="5"/>
        <v>0</v>
      </c>
    </row>
    <row r="191" spans="8:10" x14ac:dyDescent="0.2">
      <c r="H191" s="35"/>
      <c r="I191" s="35"/>
      <c r="J191" s="37">
        <f t="shared" si="5"/>
        <v>0</v>
      </c>
    </row>
    <row r="192" spans="8:10" x14ac:dyDescent="0.2">
      <c r="H192" s="35"/>
      <c r="I192" s="35"/>
      <c r="J192" s="37">
        <f t="shared" si="5"/>
        <v>0</v>
      </c>
    </row>
    <row r="193" spans="8:10" x14ac:dyDescent="0.2">
      <c r="H193" s="35"/>
      <c r="I193" s="35"/>
      <c r="J193" s="37">
        <f t="shared" si="5"/>
        <v>0</v>
      </c>
    </row>
    <row r="194" spans="8:10" x14ac:dyDescent="0.2">
      <c r="H194" s="35"/>
      <c r="I194" s="35"/>
      <c r="J194" s="37">
        <f t="shared" si="5"/>
        <v>0</v>
      </c>
    </row>
    <row r="195" spans="8:10" x14ac:dyDescent="0.2">
      <c r="H195" s="35"/>
      <c r="I195" s="35"/>
      <c r="J195" s="37">
        <f t="shared" ref="J195:J233" si="6">I195-H195</f>
        <v>0</v>
      </c>
    </row>
    <row r="196" spans="8:10" x14ac:dyDescent="0.2">
      <c r="H196" s="35"/>
      <c r="I196" s="35"/>
      <c r="J196" s="37">
        <f t="shared" si="6"/>
        <v>0</v>
      </c>
    </row>
    <row r="197" spans="8:10" x14ac:dyDescent="0.2">
      <c r="H197" s="35"/>
      <c r="I197" s="35"/>
      <c r="J197" s="37">
        <f t="shared" si="6"/>
        <v>0</v>
      </c>
    </row>
    <row r="198" spans="8:10" x14ac:dyDescent="0.2">
      <c r="H198" s="35"/>
      <c r="I198" s="35"/>
      <c r="J198" s="37">
        <f t="shared" si="6"/>
        <v>0</v>
      </c>
    </row>
    <row r="199" spans="8:10" x14ac:dyDescent="0.2">
      <c r="H199" s="35"/>
      <c r="I199" s="35"/>
      <c r="J199" s="37">
        <f t="shared" si="6"/>
        <v>0</v>
      </c>
    </row>
    <row r="200" spans="8:10" x14ac:dyDescent="0.2">
      <c r="H200" s="35"/>
      <c r="I200" s="35"/>
      <c r="J200" s="37">
        <f t="shared" si="6"/>
        <v>0</v>
      </c>
    </row>
    <row r="201" spans="8:10" x14ac:dyDescent="0.2">
      <c r="H201" s="35"/>
      <c r="I201" s="35"/>
      <c r="J201" s="37">
        <f t="shared" si="6"/>
        <v>0</v>
      </c>
    </row>
    <row r="202" spans="8:10" x14ac:dyDescent="0.2">
      <c r="H202" s="35"/>
      <c r="I202" s="35"/>
      <c r="J202" s="37">
        <f t="shared" si="6"/>
        <v>0</v>
      </c>
    </row>
    <row r="203" spans="8:10" x14ac:dyDescent="0.2">
      <c r="H203" s="35"/>
      <c r="I203" s="35"/>
      <c r="J203" s="37">
        <f t="shared" si="6"/>
        <v>0</v>
      </c>
    </row>
    <row r="204" spans="8:10" x14ac:dyDescent="0.2">
      <c r="H204" s="35"/>
      <c r="I204" s="35"/>
      <c r="J204" s="37">
        <f t="shared" si="6"/>
        <v>0</v>
      </c>
    </row>
    <row r="205" spans="8:10" x14ac:dyDescent="0.2">
      <c r="H205" s="35"/>
      <c r="I205" s="35"/>
      <c r="J205" s="37">
        <f t="shared" si="6"/>
        <v>0</v>
      </c>
    </row>
    <row r="206" spans="8:10" x14ac:dyDescent="0.2">
      <c r="H206" s="35"/>
      <c r="I206" s="35"/>
      <c r="J206" s="37">
        <f t="shared" si="6"/>
        <v>0</v>
      </c>
    </row>
    <row r="207" spans="8:10" x14ac:dyDescent="0.2">
      <c r="H207" s="35"/>
      <c r="I207" s="35"/>
      <c r="J207" s="37">
        <f t="shared" si="6"/>
        <v>0</v>
      </c>
    </row>
    <row r="208" spans="8:10" x14ac:dyDescent="0.2">
      <c r="H208" s="35"/>
      <c r="I208" s="35"/>
      <c r="J208" s="37">
        <f t="shared" si="6"/>
        <v>0</v>
      </c>
    </row>
    <row r="209" spans="8:10" x14ac:dyDescent="0.2">
      <c r="H209" s="35"/>
      <c r="I209" s="35"/>
      <c r="J209" s="37">
        <f t="shared" si="6"/>
        <v>0</v>
      </c>
    </row>
    <row r="210" spans="8:10" x14ac:dyDescent="0.2">
      <c r="H210" s="35"/>
      <c r="I210" s="35"/>
      <c r="J210" s="37">
        <f t="shared" si="6"/>
        <v>0</v>
      </c>
    </row>
    <row r="211" spans="8:10" x14ac:dyDescent="0.2">
      <c r="H211" s="35"/>
      <c r="I211" s="35"/>
      <c r="J211" s="37">
        <f t="shared" si="6"/>
        <v>0</v>
      </c>
    </row>
    <row r="212" spans="8:10" x14ac:dyDescent="0.2">
      <c r="H212" s="35"/>
      <c r="I212" s="35"/>
      <c r="J212" s="37">
        <f t="shared" si="6"/>
        <v>0</v>
      </c>
    </row>
    <row r="213" spans="8:10" x14ac:dyDescent="0.2">
      <c r="H213" s="35"/>
      <c r="I213" s="35"/>
      <c r="J213" s="37">
        <f t="shared" si="6"/>
        <v>0</v>
      </c>
    </row>
    <row r="214" spans="8:10" x14ac:dyDescent="0.2">
      <c r="H214" s="35"/>
      <c r="I214" s="35"/>
      <c r="J214" s="37">
        <f t="shared" si="6"/>
        <v>0</v>
      </c>
    </row>
    <row r="215" spans="8:10" x14ac:dyDescent="0.2">
      <c r="H215" s="35"/>
      <c r="I215" s="35"/>
      <c r="J215" s="37">
        <f t="shared" si="6"/>
        <v>0</v>
      </c>
    </row>
    <row r="216" spans="8:10" x14ac:dyDescent="0.2">
      <c r="H216" s="35"/>
      <c r="I216" s="35"/>
      <c r="J216" s="37">
        <f t="shared" si="6"/>
        <v>0</v>
      </c>
    </row>
    <row r="217" spans="8:10" x14ac:dyDescent="0.2">
      <c r="H217" s="35"/>
      <c r="I217" s="35"/>
      <c r="J217" s="37">
        <f t="shared" si="6"/>
        <v>0</v>
      </c>
    </row>
    <row r="218" spans="8:10" x14ac:dyDescent="0.2">
      <c r="H218" s="35"/>
      <c r="I218" s="35"/>
      <c r="J218" s="37">
        <f t="shared" si="6"/>
        <v>0</v>
      </c>
    </row>
    <row r="219" spans="8:10" x14ac:dyDescent="0.2">
      <c r="H219" s="35"/>
      <c r="I219" s="35"/>
      <c r="J219" s="37">
        <f t="shared" si="6"/>
        <v>0</v>
      </c>
    </row>
    <row r="220" spans="8:10" x14ac:dyDescent="0.2">
      <c r="H220" s="35"/>
      <c r="I220" s="35"/>
      <c r="J220" s="37">
        <f t="shared" si="6"/>
        <v>0</v>
      </c>
    </row>
    <row r="221" spans="8:10" x14ac:dyDescent="0.2">
      <c r="H221" s="35"/>
      <c r="I221" s="35"/>
      <c r="J221" s="37">
        <f t="shared" si="6"/>
        <v>0</v>
      </c>
    </row>
    <row r="222" spans="8:10" x14ac:dyDescent="0.2">
      <c r="H222" s="35"/>
      <c r="I222" s="35"/>
      <c r="J222" s="37">
        <f t="shared" si="6"/>
        <v>0</v>
      </c>
    </row>
    <row r="223" spans="8:10" x14ac:dyDescent="0.2">
      <c r="H223" s="35"/>
      <c r="I223" s="35"/>
      <c r="J223" s="37">
        <f t="shared" si="6"/>
        <v>0</v>
      </c>
    </row>
    <row r="224" spans="8:10" x14ac:dyDescent="0.2">
      <c r="H224" s="35"/>
      <c r="I224" s="35"/>
      <c r="J224" s="37">
        <f t="shared" si="6"/>
        <v>0</v>
      </c>
    </row>
    <row r="225" spans="8:10" x14ac:dyDescent="0.2">
      <c r="H225" s="35"/>
      <c r="I225" s="35"/>
      <c r="J225" s="37">
        <f t="shared" si="6"/>
        <v>0</v>
      </c>
    </row>
    <row r="226" spans="8:10" x14ac:dyDescent="0.2">
      <c r="H226" s="35"/>
      <c r="I226" s="35"/>
      <c r="J226" s="37">
        <f t="shared" si="6"/>
        <v>0</v>
      </c>
    </row>
    <row r="227" spans="8:10" x14ac:dyDescent="0.2">
      <c r="H227" s="35"/>
      <c r="I227" s="35"/>
      <c r="J227" s="37">
        <f t="shared" si="6"/>
        <v>0</v>
      </c>
    </row>
    <row r="228" spans="8:10" x14ac:dyDescent="0.2">
      <c r="H228" s="35"/>
      <c r="I228" s="35"/>
      <c r="J228" s="37">
        <f t="shared" si="6"/>
        <v>0</v>
      </c>
    </row>
    <row r="229" spans="8:10" x14ac:dyDescent="0.2">
      <c r="H229" s="35"/>
      <c r="I229" s="35"/>
      <c r="J229" s="37">
        <f t="shared" si="6"/>
        <v>0</v>
      </c>
    </row>
    <row r="230" spans="8:10" x14ac:dyDescent="0.2">
      <c r="H230" s="35"/>
      <c r="I230" s="35"/>
      <c r="J230" s="37">
        <f t="shared" si="6"/>
        <v>0</v>
      </c>
    </row>
    <row r="231" spans="8:10" x14ac:dyDescent="0.2">
      <c r="H231" s="35"/>
      <c r="I231" s="35"/>
      <c r="J231" s="37">
        <f t="shared" si="6"/>
        <v>0</v>
      </c>
    </row>
    <row r="232" spans="8:10" x14ac:dyDescent="0.2">
      <c r="H232" s="35"/>
      <c r="I232" s="35"/>
      <c r="J232" s="37">
        <f t="shared" si="6"/>
        <v>0</v>
      </c>
    </row>
    <row r="233" spans="8:10" x14ac:dyDescent="0.2">
      <c r="H233" s="35"/>
      <c r="I233" s="35"/>
      <c r="J233" s="37">
        <f t="shared" si="6"/>
        <v>0</v>
      </c>
    </row>
    <row r="234" spans="8:10" x14ac:dyDescent="0.2">
      <c r="H234" s="35"/>
      <c r="I234" s="35"/>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2999034-6C78-4750-B632-305C515C0683}">
          <x14:formula1>
            <xm:f>Sheet2!$A$1:$A$3</xm:f>
          </x14:formula1>
          <xm:sqref>G2:G143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E3DE3-EEFC-4217-B51F-94CABDC5ECA8}">
  <dimension ref="A1:O234"/>
  <sheetViews>
    <sheetView rightToLeft="1" zoomScale="148" zoomScaleNormal="148" workbookViewId="0">
      <pane ySplit="1" topLeftCell="A33" activePane="bottomLeft" state="frozen"/>
      <selection activeCell="B5" sqref="B5"/>
      <selection pane="bottomLeft" activeCell="B5" sqref="B5"/>
    </sheetView>
  </sheetViews>
  <sheetFormatPr defaultRowHeight="15" x14ac:dyDescent="0.2"/>
  <cols>
    <col min="1" max="1" width="4.625" style="1" bestFit="1" customWidth="1"/>
    <col min="2" max="2" width="9.625" style="2" bestFit="1" customWidth="1"/>
    <col min="3" max="3" width="6.5" style="2" bestFit="1" customWidth="1"/>
    <col min="4" max="4" width="12" style="21" customWidth="1"/>
    <col min="5" max="5" width="12.5" style="21" customWidth="1"/>
    <col min="6" max="6" width="19" style="2" customWidth="1"/>
    <col min="7" max="7" width="11.5" style="2" bestFit="1" customWidth="1"/>
    <col min="8" max="8" width="10.5" style="33" bestFit="1" customWidth="1"/>
    <col min="9" max="9" width="9.625" style="33" bestFit="1" customWidth="1"/>
    <col min="10" max="10" width="14.5" style="37" bestFit="1" customWidth="1"/>
    <col min="11" max="12" width="8.875" style="1"/>
    <col min="13" max="13" width="8.625" style="1" bestFit="1" customWidth="1"/>
    <col min="14" max="14" width="12.5" style="1" bestFit="1" customWidth="1"/>
  </cols>
  <sheetData>
    <row r="1" spans="1:15" x14ac:dyDescent="0.2">
      <c r="A1" s="5" t="s">
        <v>69</v>
      </c>
      <c r="B1" s="5" t="s">
        <v>3</v>
      </c>
      <c r="C1" s="5" t="s">
        <v>4</v>
      </c>
      <c r="D1" s="30" t="s">
        <v>6</v>
      </c>
      <c r="E1" s="30" t="s">
        <v>292</v>
      </c>
      <c r="F1" s="5" t="s">
        <v>127</v>
      </c>
      <c r="G1" s="19" t="s">
        <v>144</v>
      </c>
      <c r="H1" s="32" t="s">
        <v>0</v>
      </c>
      <c r="I1" s="32" t="s">
        <v>1</v>
      </c>
      <c r="J1" s="32" t="s">
        <v>2</v>
      </c>
      <c r="M1" s="9" t="s">
        <v>67</v>
      </c>
      <c r="N1" s="9" t="s">
        <v>68</v>
      </c>
      <c r="O1" s="1"/>
    </row>
    <row r="2" spans="1:15" x14ac:dyDescent="0.2">
      <c r="A2" s="1">
        <v>12</v>
      </c>
      <c r="B2" s="6">
        <v>44573</v>
      </c>
      <c r="C2" s="6" t="s">
        <v>10</v>
      </c>
      <c r="D2" s="31" t="s">
        <v>37</v>
      </c>
      <c r="E2" s="31"/>
      <c r="F2" s="7" t="s">
        <v>215</v>
      </c>
      <c r="G2" s="7" t="s">
        <v>142</v>
      </c>
      <c r="H2" s="34">
        <v>0.41666666666666669</v>
      </c>
      <c r="I2" s="34">
        <v>0.625</v>
      </c>
      <c r="J2" s="36">
        <f>I2-H2</f>
        <v>0.20833333333333331</v>
      </c>
      <c r="M2" s="10">
        <v>11</v>
      </c>
      <c r="N2" s="11">
        <f>SUMIF(A:A,M2,J:J)</f>
        <v>0</v>
      </c>
      <c r="O2" s="1"/>
    </row>
    <row r="3" spans="1:15" x14ac:dyDescent="0.2">
      <c r="A3" s="1">
        <v>12</v>
      </c>
      <c r="B3" s="6">
        <v>44663</v>
      </c>
      <c r="C3" s="7" t="s">
        <v>31</v>
      </c>
      <c r="D3" s="31" t="s">
        <v>37</v>
      </c>
      <c r="E3" s="31"/>
      <c r="F3" s="7" t="s">
        <v>215</v>
      </c>
      <c r="G3" s="7" t="s">
        <v>142</v>
      </c>
      <c r="H3" s="34">
        <v>0.41666666666666669</v>
      </c>
      <c r="I3" s="34">
        <v>0.64583333333333337</v>
      </c>
      <c r="J3" s="36">
        <f>I3-H3</f>
        <v>0.22916666666666669</v>
      </c>
      <c r="M3" s="10">
        <v>12</v>
      </c>
      <c r="N3" s="11">
        <f t="shared" ref="N3:N13" si="0">SUMIF(A:A,M3,J:J)</f>
        <v>0.66666666666666674</v>
      </c>
      <c r="O3" s="1"/>
    </row>
    <row r="4" spans="1:15" x14ac:dyDescent="0.2">
      <c r="A4" s="1">
        <v>12</v>
      </c>
      <c r="B4" s="6">
        <v>44724</v>
      </c>
      <c r="C4" s="7" t="s">
        <v>5</v>
      </c>
      <c r="D4" s="31" t="s">
        <v>37</v>
      </c>
      <c r="E4" s="31"/>
      <c r="F4" s="7" t="s">
        <v>215</v>
      </c>
      <c r="G4" s="7" t="s">
        <v>142</v>
      </c>
      <c r="H4" s="34">
        <v>0.41666666666666669</v>
      </c>
      <c r="I4" s="34">
        <v>0.64583333333333337</v>
      </c>
      <c r="J4" s="36">
        <f t="shared" ref="J4:J66" si="1">I4-H4</f>
        <v>0.22916666666666669</v>
      </c>
      <c r="M4" s="10">
        <v>1</v>
      </c>
      <c r="N4" s="11">
        <f t="shared" si="0"/>
        <v>0.10416666666666674</v>
      </c>
      <c r="O4" s="1"/>
    </row>
    <row r="5" spans="1:15" x14ac:dyDescent="0.2">
      <c r="A5" s="1">
        <v>1</v>
      </c>
      <c r="B5" s="6" t="s">
        <v>50</v>
      </c>
      <c r="C5" s="7" t="s">
        <v>45</v>
      </c>
      <c r="D5" s="31" t="s">
        <v>51</v>
      </c>
      <c r="E5" s="31"/>
      <c r="F5" s="7" t="s">
        <v>214</v>
      </c>
      <c r="G5" s="7" t="s">
        <v>142</v>
      </c>
      <c r="H5" s="34">
        <v>0.54166666666666663</v>
      </c>
      <c r="I5" s="34">
        <v>0.64583333333333337</v>
      </c>
      <c r="J5" s="36">
        <f t="shared" si="1"/>
        <v>0.10416666666666674</v>
      </c>
      <c r="M5" s="10">
        <v>2</v>
      </c>
      <c r="N5" s="11">
        <f t="shared" si="0"/>
        <v>2.5208333333333335</v>
      </c>
      <c r="O5" s="1"/>
    </row>
    <row r="6" spans="1:15" x14ac:dyDescent="0.2">
      <c r="A6" s="1">
        <v>2</v>
      </c>
      <c r="B6" s="6">
        <v>45140</v>
      </c>
      <c r="C6" s="7" t="s">
        <v>52</v>
      </c>
      <c r="D6" s="31" t="s">
        <v>46</v>
      </c>
      <c r="E6" s="31"/>
      <c r="F6" s="7" t="s">
        <v>213</v>
      </c>
      <c r="G6" s="7" t="s">
        <v>142</v>
      </c>
      <c r="H6" s="34">
        <v>0.45833333333333331</v>
      </c>
      <c r="I6" s="34">
        <v>0.64583333333333337</v>
      </c>
      <c r="J6" s="36">
        <f t="shared" si="1"/>
        <v>0.18750000000000006</v>
      </c>
      <c r="M6" s="10">
        <v>3</v>
      </c>
      <c r="N6" s="11">
        <f t="shared" si="0"/>
        <v>0.31250000000000006</v>
      </c>
    </row>
    <row r="7" spans="1:15" x14ac:dyDescent="0.2">
      <c r="A7" s="1">
        <v>2</v>
      </c>
      <c r="B7" s="6">
        <v>45171</v>
      </c>
      <c r="C7" s="7" t="s">
        <v>10</v>
      </c>
      <c r="D7" s="31" t="s">
        <v>46</v>
      </c>
      <c r="E7" s="31"/>
      <c r="F7" s="7" t="s">
        <v>212</v>
      </c>
      <c r="G7" s="7" t="s">
        <v>142</v>
      </c>
      <c r="H7" s="34">
        <v>0.39583333333333331</v>
      </c>
      <c r="I7" s="34">
        <v>0.72916666666666663</v>
      </c>
      <c r="J7" s="36">
        <f t="shared" si="1"/>
        <v>0.33333333333333331</v>
      </c>
      <c r="M7" s="10">
        <v>4</v>
      </c>
      <c r="N7" s="11">
        <f t="shared" si="0"/>
        <v>0</v>
      </c>
    </row>
    <row r="8" spans="1:15" x14ac:dyDescent="0.2">
      <c r="A8" s="1">
        <v>2</v>
      </c>
      <c r="B8" s="6">
        <v>45232</v>
      </c>
      <c r="C8" s="6" t="s">
        <v>34</v>
      </c>
      <c r="D8" s="31" t="s">
        <v>46</v>
      </c>
      <c r="E8" s="31"/>
      <c r="F8" s="7" t="s">
        <v>211</v>
      </c>
      <c r="G8" s="7" t="s">
        <v>142</v>
      </c>
      <c r="H8" s="34">
        <v>0.45833333333333331</v>
      </c>
      <c r="I8" s="34">
        <v>0.70833333333333337</v>
      </c>
      <c r="J8" s="36">
        <f t="shared" si="1"/>
        <v>0.25000000000000006</v>
      </c>
      <c r="M8" s="10">
        <v>5</v>
      </c>
      <c r="N8" s="11">
        <f t="shared" si="0"/>
        <v>2.1458333333333335</v>
      </c>
    </row>
    <row r="9" spans="1:15" x14ac:dyDescent="0.2">
      <c r="A9" s="1">
        <v>2</v>
      </c>
      <c r="B9" s="6" t="s">
        <v>54</v>
      </c>
      <c r="C9" s="6" t="s">
        <v>5</v>
      </c>
      <c r="D9" s="31" t="s">
        <v>46</v>
      </c>
      <c r="E9" s="31"/>
      <c r="F9" s="7" t="s">
        <v>210</v>
      </c>
      <c r="G9" s="7" t="s">
        <v>142</v>
      </c>
      <c r="H9" s="34">
        <v>0.45833333333333331</v>
      </c>
      <c r="I9" s="34">
        <v>0.70833333333333337</v>
      </c>
      <c r="J9" s="36">
        <f t="shared" si="1"/>
        <v>0.25000000000000006</v>
      </c>
      <c r="M9" s="10">
        <v>6</v>
      </c>
      <c r="N9" s="11">
        <f t="shared" si="0"/>
        <v>1.7291666666666665</v>
      </c>
    </row>
    <row r="10" spans="1:15" x14ac:dyDescent="0.2">
      <c r="A10" s="1">
        <v>2</v>
      </c>
      <c r="B10" s="6" t="s">
        <v>55</v>
      </c>
      <c r="C10" s="7" t="s">
        <v>52</v>
      </c>
      <c r="D10" s="31" t="s">
        <v>46</v>
      </c>
      <c r="E10" s="31"/>
      <c r="F10" s="7" t="s">
        <v>210</v>
      </c>
      <c r="G10" s="7" t="s">
        <v>142</v>
      </c>
      <c r="H10" s="34">
        <v>0.41666666666666669</v>
      </c>
      <c r="I10" s="34">
        <v>0.70833333333333337</v>
      </c>
      <c r="J10" s="36">
        <f t="shared" si="1"/>
        <v>0.29166666666666669</v>
      </c>
      <c r="M10" s="10">
        <v>7</v>
      </c>
      <c r="N10" s="11">
        <f t="shared" si="0"/>
        <v>2.270833333333333</v>
      </c>
    </row>
    <row r="11" spans="1:15" x14ac:dyDescent="0.2">
      <c r="A11" s="1">
        <v>2</v>
      </c>
      <c r="B11" s="6" t="s">
        <v>56</v>
      </c>
      <c r="C11" s="7" t="s">
        <v>10</v>
      </c>
      <c r="D11" s="31" t="s">
        <v>46</v>
      </c>
      <c r="E11" s="31"/>
      <c r="F11" s="7" t="s">
        <v>209</v>
      </c>
      <c r="G11" s="7" t="s">
        <v>142</v>
      </c>
      <c r="H11" s="34">
        <v>0.45833333333333331</v>
      </c>
      <c r="I11" s="34">
        <v>0.6875</v>
      </c>
      <c r="J11" s="36">
        <f t="shared" si="1"/>
        <v>0.22916666666666669</v>
      </c>
      <c r="M11" s="10">
        <v>8</v>
      </c>
      <c r="N11" s="11">
        <f>SUMIF(A:A,M11,J:J)</f>
        <v>0.85416666666666674</v>
      </c>
    </row>
    <row r="12" spans="1:15" x14ac:dyDescent="0.2">
      <c r="A12" s="1">
        <v>2</v>
      </c>
      <c r="B12" s="6" t="s">
        <v>57</v>
      </c>
      <c r="C12" s="7" t="s">
        <v>34</v>
      </c>
      <c r="D12" s="31" t="s">
        <v>46</v>
      </c>
      <c r="E12" s="31"/>
      <c r="F12" s="7" t="s">
        <v>208</v>
      </c>
      <c r="G12" s="7" t="s">
        <v>142</v>
      </c>
      <c r="H12" s="34">
        <v>0.5</v>
      </c>
      <c r="I12" s="34">
        <v>0.6875</v>
      </c>
      <c r="J12" s="36">
        <f t="shared" si="1"/>
        <v>0.1875</v>
      </c>
      <c r="M12" s="10">
        <v>9</v>
      </c>
      <c r="N12" s="11">
        <f t="shared" si="0"/>
        <v>0</v>
      </c>
    </row>
    <row r="13" spans="1:15" x14ac:dyDescent="0.2">
      <c r="A13" s="1">
        <v>2</v>
      </c>
      <c r="B13" s="6" t="s">
        <v>58</v>
      </c>
      <c r="C13" s="7" t="s">
        <v>45</v>
      </c>
      <c r="D13" s="31" t="s">
        <v>46</v>
      </c>
      <c r="E13" s="31"/>
      <c r="F13" s="7" t="s">
        <v>207</v>
      </c>
      <c r="G13" s="7" t="s">
        <v>142</v>
      </c>
      <c r="H13" s="34">
        <v>0.4375</v>
      </c>
      <c r="I13" s="34">
        <v>0.72916666666666663</v>
      </c>
      <c r="J13" s="36">
        <f t="shared" si="1"/>
        <v>0.29166666666666663</v>
      </c>
      <c r="M13" s="10">
        <v>10</v>
      </c>
      <c r="N13" s="11">
        <f t="shared" si="0"/>
        <v>0</v>
      </c>
    </row>
    <row r="14" spans="1:15" x14ac:dyDescent="0.2">
      <c r="A14" s="1">
        <v>2</v>
      </c>
      <c r="B14" s="6" t="s">
        <v>59</v>
      </c>
      <c r="C14" s="7" t="s">
        <v>5</v>
      </c>
      <c r="D14" s="31" t="s">
        <v>46</v>
      </c>
      <c r="E14" s="31"/>
      <c r="F14" s="7" t="s">
        <v>206</v>
      </c>
      <c r="G14" s="7" t="s">
        <v>142</v>
      </c>
      <c r="H14" s="34">
        <v>0.41666666666666669</v>
      </c>
      <c r="I14" s="34">
        <v>0.66666666666666663</v>
      </c>
      <c r="J14" s="36">
        <f t="shared" si="1"/>
        <v>0.24999999999999994</v>
      </c>
      <c r="M14" s="16" t="s">
        <v>121</v>
      </c>
      <c r="N14" s="17">
        <f>SUM(N2:N13)</f>
        <v>10.604166666666666</v>
      </c>
    </row>
    <row r="15" spans="1:15" x14ac:dyDescent="0.2">
      <c r="A15" s="1">
        <v>2</v>
      </c>
      <c r="B15" s="6" t="s">
        <v>60</v>
      </c>
      <c r="C15" s="6" t="s">
        <v>52</v>
      </c>
      <c r="D15" s="31" t="s">
        <v>46</v>
      </c>
      <c r="E15" s="31"/>
      <c r="F15" s="7" t="s">
        <v>205</v>
      </c>
      <c r="G15" s="7" t="s">
        <v>142</v>
      </c>
      <c r="H15" s="34">
        <v>0.45833333333333331</v>
      </c>
      <c r="I15" s="34">
        <v>0.70833333333333337</v>
      </c>
      <c r="J15" s="36">
        <f t="shared" si="1"/>
        <v>0.25000000000000006</v>
      </c>
      <c r="M15" s="10"/>
      <c r="N15" s="11"/>
    </row>
    <row r="16" spans="1:15" x14ac:dyDescent="0.2">
      <c r="A16" s="1">
        <v>3</v>
      </c>
      <c r="B16" s="6" t="s">
        <v>80</v>
      </c>
      <c r="C16" s="7" t="s">
        <v>5</v>
      </c>
      <c r="D16" s="31" t="s">
        <v>37</v>
      </c>
      <c r="E16" s="31"/>
      <c r="F16" s="7" t="s">
        <v>204</v>
      </c>
      <c r="G16" s="7" t="s">
        <v>142</v>
      </c>
      <c r="H16" s="34">
        <v>0.39583333333333331</v>
      </c>
      <c r="I16" s="34">
        <v>0.70833333333333337</v>
      </c>
      <c r="J16" s="36">
        <f t="shared" si="1"/>
        <v>0.31250000000000006</v>
      </c>
    </row>
    <row r="17" spans="1:15" x14ac:dyDescent="0.2">
      <c r="A17" s="1">
        <v>5</v>
      </c>
      <c r="B17" s="6">
        <v>45174</v>
      </c>
      <c r="C17" s="7" t="s">
        <v>5</v>
      </c>
      <c r="D17" s="31" t="s">
        <v>37</v>
      </c>
      <c r="E17" s="31"/>
      <c r="F17" s="7" t="s">
        <v>183</v>
      </c>
      <c r="G17" s="7" t="s">
        <v>142</v>
      </c>
      <c r="H17" s="34">
        <v>0.47916666666666669</v>
      </c>
      <c r="I17" s="34">
        <v>0.70833333333333337</v>
      </c>
      <c r="J17" s="36">
        <f t="shared" si="1"/>
        <v>0.22916666666666669</v>
      </c>
      <c r="O17" s="1"/>
    </row>
    <row r="18" spans="1:15" x14ac:dyDescent="0.2">
      <c r="A18" s="1">
        <v>5</v>
      </c>
      <c r="B18" s="6" t="s">
        <v>96</v>
      </c>
      <c r="C18" s="7" t="s">
        <v>5</v>
      </c>
      <c r="D18" s="31" t="s">
        <v>85</v>
      </c>
      <c r="E18" s="31"/>
      <c r="F18" s="7" t="s">
        <v>183</v>
      </c>
      <c r="G18" s="7" t="s">
        <v>142</v>
      </c>
      <c r="H18" s="34">
        <v>0.52083333333333337</v>
      </c>
      <c r="I18" s="34">
        <v>0.72916666666666663</v>
      </c>
      <c r="J18" s="36">
        <f t="shared" ref="J18" si="2">I18-H18</f>
        <v>0.20833333333333326</v>
      </c>
      <c r="O18" s="1"/>
    </row>
    <row r="19" spans="1:15" x14ac:dyDescent="0.2">
      <c r="A19" s="1">
        <v>5</v>
      </c>
      <c r="B19" s="6" t="s">
        <v>96</v>
      </c>
      <c r="C19" s="7" t="s">
        <v>5</v>
      </c>
      <c r="D19" s="31" t="s">
        <v>37</v>
      </c>
      <c r="E19" s="31"/>
      <c r="F19" s="7" t="s">
        <v>184</v>
      </c>
      <c r="G19" s="7" t="s">
        <v>142</v>
      </c>
      <c r="H19" s="34">
        <v>0.39583333333333331</v>
      </c>
      <c r="I19" s="34">
        <v>0.6875</v>
      </c>
      <c r="J19" s="36">
        <f t="shared" ref="J19" si="3">I19-H19</f>
        <v>0.29166666666666669</v>
      </c>
      <c r="O19" s="1"/>
    </row>
    <row r="20" spans="1:15" x14ac:dyDescent="0.2">
      <c r="A20" s="1">
        <v>5</v>
      </c>
      <c r="B20" s="6" t="s">
        <v>97</v>
      </c>
      <c r="C20" s="7" t="s">
        <v>10</v>
      </c>
      <c r="D20" s="31" t="s">
        <v>98</v>
      </c>
      <c r="E20" s="31"/>
      <c r="F20" s="7" t="s">
        <v>185</v>
      </c>
      <c r="G20" s="7" t="s">
        <v>142</v>
      </c>
      <c r="H20" s="34">
        <v>0.45833333333333331</v>
      </c>
      <c r="I20" s="34">
        <v>0.75</v>
      </c>
      <c r="J20" s="36">
        <f t="shared" ref="J20" si="4">I20-H20</f>
        <v>0.29166666666666669</v>
      </c>
      <c r="O20" s="1"/>
    </row>
    <row r="21" spans="1:15" x14ac:dyDescent="0.2">
      <c r="A21" s="1">
        <v>5</v>
      </c>
      <c r="B21" s="6" t="s">
        <v>186</v>
      </c>
      <c r="C21" s="7" t="s">
        <v>33</v>
      </c>
      <c r="D21" s="31" t="s">
        <v>98</v>
      </c>
      <c r="E21" s="31"/>
      <c r="F21" s="7" t="s">
        <v>185</v>
      </c>
      <c r="G21" s="7" t="s">
        <v>142</v>
      </c>
      <c r="H21" s="34">
        <v>0.45833333333333331</v>
      </c>
      <c r="I21" s="34">
        <v>0.75</v>
      </c>
      <c r="J21" s="36">
        <f t="shared" ref="J21" si="5">I21-H21</f>
        <v>0.29166666666666669</v>
      </c>
      <c r="O21" s="1"/>
    </row>
    <row r="22" spans="1:15" x14ac:dyDescent="0.2">
      <c r="A22" s="1">
        <v>5</v>
      </c>
      <c r="B22" s="6" t="s">
        <v>99</v>
      </c>
      <c r="C22" s="7" t="s">
        <v>34</v>
      </c>
      <c r="D22" s="31" t="s">
        <v>98</v>
      </c>
      <c r="E22" s="31"/>
      <c r="F22" s="7" t="s">
        <v>187</v>
      </c>
      <c r="G22" s="7" t="s">
        <v>142</v>
      </c>
      <c r="H22" s="34">
        <v>0.5</v>
      </c>
      <c r="I22" s="34">
        <v>0.70833333333333337</v>
      </c>
      <c r="J22" s="36">
        <f t="shared" ref="J22" si="6">I22-H22</f>
        <v>0.20833333333333337</v>
      </c>
      <c r="O22" s="1"/>
    </row>
    <row r="23" spans="1:15" x14ac:dyDescent="0.2">
      <c r="A23" s="1">
        <v>5</v>
      </c>
      <c r="B23" s="2" t="s">
        <v>95</v>
      </c>
      <c r="C23" s="7" t="s">
        <v>5</v>
      </c>
      <c r="D23" s="21" t="s">
        <v>98</v>
      </c>
      <c r="F23" s="7" t="s">
        <v>165</v>
      </c>
      <c r="G23" s="7" t="s">
        <v>142</v>
      </c>
      <c r="H23" s="34">
        <v>0.45833333333333331</v>
      </c>
      <c r="I23" s="34">
        <v>0.77083333333333337</v>
      </c>
      <c r="J23" s="36">
        <f t="shared" si="1"/>
        <v>0.31250000000000006</v>
      </c>
    </row>
    <row r="24" spans="1:15" x14ac:dyDescent="0.2">
      <c r="A24" s="1">
        <v>5</v>
      </c>
      <c r="B24" s="2" t="s">
        <v>105</v>
      </c>
      <c r="C24" s="7" t="s">
        <v>52</v>
      </c>
      <c r="D24" s="21" t="s">
        <v>98</v>
      </c>
      <c r="F24" s="7" t="s">
        <v>165</v>
      </c>
      <c r="G24" s="7" t="s">
        <v>142</v>
      </c>
      <c r="H24" s="34">
        <v>0.45833333333333331</v>
      </c>
      <c r="I24" s="34">
        <v>0.77083333333333337</v>
      </c>
      <c r="J24" s="36">
        <f t="shared" si="1"/>
        <v>0.31250000000000006</v>
      </c>
    </row>
    <row r="25" spans="1:15" x14ac:dyDescent="0.2">
      <c r="A25" s="1">
        <v>6</v>
      </c>
      <c r="B25" s="6">
        <v>44932</v>
      </c>
      <c r="C25" s="7" t="s">
        <v>10</v>
      </c>
      <c r="D25" s="31" t="s">
        <v>37</v>
      </c>
      <c r="E25" s="31"/>
      <c r="F25" s="7" t="s">
        <v>161</v>
      </c>
      <c r="G25" s="7" t="s">
        <v>142</v>
      </c>
      <c r="H25" s="34">
        <v>0.4375</v>
      </c>
      <c r="I25" s="34">
        <v>0.47916666666666669</v>
      </c>
      <c r="J25" s="36">
        <f t="shared" si="1"/>
        <v>4.1666666666666685E-2</v>
      </c>
    </row>
    <row r="26" spans="1:15" x14ac:dyDescent="0.2">
      <c r="A26" s="1">
        <v>6</v>
      </c>
      <c r="B26" s="6">
        <v>45022</v>
      </c>
      <c r="C26" s="7" t="s">
        <v>31</v>
      </c>
      <c r="D26" s="31" t="s">
        <v>98</v>
      </c>
      <c r="E26" s="31"/>
      <c r="F26" s="7" t="s">
        <v>162</v>
      </c>
      <c r="G26" s="7" t="s">
        <v>142</v>
      </c>
      <c r="H26" s="34">
        <v>0.125</v>
      </c>
      <c r="I26" s="34">
        <v>0.77083333333333337</v>
      </c>
      <c r="J26" s="36">
        <f t="shared" si="1"/>
        <v>0.64583333333333337</v>
      </c>
      <c r="O26" s="1"/>
    </row>
    <row r="27" spans="1:15" x14ac:dyDescent="0.2">
      <c r="A27" s="1">
        <v>6</v>
      </c>
      <c r="B27" s="6" t="s">
        <v>164</v>
      </c>
      <c r="C27" s="7" t="s">
        <v>33</v>
      </c>
      <c r="D27" s="31" t="s">
        <v>98</v>
      </c>
      <c r="E27" s="31"/>
      <c r="F27" s="7" t="s">
        <v>165</v>
      </c>
      <c r="G27" s="7" t="s">
        <v>142</v>
      </c>
      <c r="H27" s="34">
        <v>0.4375</v>
      </c>
      <c r="I27" s="34">
        <v>0.64583333333333337</v>
      </c>
      <c r="J27" s="36">
        <f>I27-H27</f>
        <v>0.20833333333333337</v>
      </c>
      <c r="O27" s="1"/>
    </row>
    <row r="28" spans="1:15" x14ac:dyDescent="0.2">
      <c r="A28" s="1">
        <v>6</v>
      </c>
      <c r="B28" s="6" t="s">
        <v>119</v>
      </c>
      <c r="C28" s="7" t="s">
        <v>34</v>
      </c>
      <c r="D28" s="31" t="s">
        <v>98</v>
      </c>
      <c r="E28" s="31"/>
      <c r="F28" s="7" t="s">
        <v>163</v>
      </c>
      <c r="G28" s="7" t="s">
        <v>142</v>
      </c>
      <c r="H28" s="34">
        <v>0.41666666666666669</v>
      </c>
      <c r="I28" s="34">
        <v>0.79166666666666663</v>
      </c>
      <c r="J28" s="36">
        <f>I28-H28</f>
        <v>0.37499999999999994</v>
      </c>
      <c r="O28" s="1"/>
    </row>
    <row r="29" spans="1:15" x14ac:dyDescent="0.2">
      <c r="A29" s="1">
        <v>6</v>
      </c>
      <c r="B29" s="6" t="s">
        <v>120</v>
      </c>
      <c r="C29" s="7" t="s">
        <v>31</v>
      </c>
      <c r="D29" s="31" t="s">
        <v>98</v>
      </c>
      <c r="E29" s="31"/>
      <c r="F29" s="7" t="s">
        <v>163</v>
      </c>
      <c r="G29" s="7" t="s">
        <v>142</v>
      </c>
      <c r="H29" s="34">
        <v>0.39583333333333331</v>
      </c>
      <c r="I29" s="34">
        <v>0.85416666666666663</v>
      </c>
      <c r="J29" s="36">
        <f>I29-H29</f>
        <v>0.45833333333333331</v>
      </c>
      <c r="O29" s="1"/>
    </row>
    <row r="30" spans="1:15" x14ac:dyDescent="0.2">
      <c r="A30" s="1">
        <v>7</v>
      </c>
      <c r="B30" s="6">
        <v>44964</v>
      </c>
      <c r="C30" s="7" t="s">
        <v>31</v>
      </c>
      <c r="D30" s="31" t="s">
        <v>85</v>
      </c>
      <c r="E30" s="31"/>
      <c r="F30" s="7" t="s">
        <v>153</v>
      </c>
      <c r="G30" s="7" t="s">
        <v>142</v>
      </c>
      <c r="H30" s="34">
        <v>0.4375</v>
      </c>
      <c r="I30" s="34">
        <v>0.85416666666666663</v>
      </c>
      <c r="J30" s="36">
        <f>I30-H30</f>
        <v>0.41666666666666663</v>
      </c>
    </row>
    <row r="31" spans="1:15" x14ac:dyDescent="0.2">
      <c r="A31" s="1">
        <v>7</v>
      </c>
      <c r="B31" s="6">
        <v>44992</v>
      </c>
      <c r="C31" s="7" t="s">
        <v>45</v>
      </c>
      <c r="D31" s="31" t="s">
        <v>85</v>
      </c>
      <c r="E31" s="31"/>
      <c r="F31" s="7" t="s">
        <v>154</v>
      </c>
      <c r="G31" s="7" t="s">
        <v>142</v>
      </c>
      <c r="H31" s="34">
        <v>0.4375</v>
      </c>
      <c r="I31" s="34">
        <v>0.85416666666666663</v>
      </c>
      <c r="J31" s="36">
        <f t="shared" ref="J31" si="7">I31-H31</f>
        <v>0.41666666666666663</v>
      </c>
    </row>
    <row r="32" spans="1:15" x14ac:dyDescent="0.2">
      <c r="A32" s="1">
        <v>7</v>
      </c>
      <c r="B32" s="6">
        <v>45023</v>
      </c>
      <c r="C32" s="7" t="s">
        <v>5</v>
      </c>
      <c r="D32" s="31" t="s">
        <v>85</v>
      </c>
      <c r="E32" s="31"/>
      <c r="F32" s="7" t="s">
        <v>153</v>
      </c>
      <c r="G32" s="7" t="s">
        <v>142</v>
      </c>
      <c r="H32" s="34">
        <v>0.41666666666666669</v>
      </c>
      <c r="I32" s="34">
        <v>0.85416666666666663</v>
      </c>
      <c r="J32" s="36">
        <f>I32-H32</f>
        <v>0.43749999999999994</v>
      </c>
    </row>
    <row r="33" spans="1:10" x14ac:dyDescent="0.2">
      <c r="A33" s="1">
        <v>7</v>
      </c>
      <c r="B33" s="6">
        <v>45114</v>
      </c>
      <c r="C33" s="7" t="s">
        <v>33</v>
      </c>
      <c r="D33" s="31" t="s">
        <v>85</v>
      </c>
      <c r="E33" s="31"/>
      <c r="F33" s="7" t="s">
        <v>153</v>
      </c>
      <c r="G33" s="7" t="s">
        <v>142</v>
      </c>
      <c r="H33" s="34">
        <v>0.6875</v>
      </c>
      <c r="I33" s="34">
        <v>0.75</v>
      </c>
      <c r="J33" s="36">
        <f>I33-H33</f>
        <v>6.25E-2</v>
      </c>
    </row>
    <row r="34" spans="1:10" x14ac:dyDescent="0.2">
      <c r="A34" s="1">
        <v>7</v>
      </c>
      <c r="B34" s="6">
        <v>45237</v>
      </c>
      <c r="C34" s="7" t="s">
        <v>5</v>
      </c>
      <c r="D34" s="31" t="s">
        <v>98</v>
      </c>
      <c r="E34" s="31"/>
      <c r="F34" s="7" t="s">
        <v>152</v>
      </c>
      <c r="G34" s="7" t="s">
        <v>142</v>
      </c>
      <c r="H34" s="34">
        <v>0.58333333333333337</v>
      </c>
      <c r="I34" s="34">
        <v>0.70833333333333337</v>
      </c>
      <c r="J34" s="36">
        <f>I34-H34</f>
        <v>0.125</v>
      </c>
    </row>
    <row r="35" spans="1:10" x14ac:dyDescent="0.2">
      <c r="A35" s="1">
        <v>7</v>
      </c>
      <c r="B35" s="6">
        <v>45267</v>
      </c>
      <c r="C35" s="7" t="s">
        <v>52</v>
      </c>
      <c r="D35" s="31" t="s">
        <v>98</v>
      </c>
      <c r="E35" s="31"/>
      <c r="F35" s="7" t="s">
        <v>131</v>
      </c>
      <c r="G35" s="38" t="s">
        <v>203</v>
      </c>
      <c r="H35" s="34">
        <v>0.47916666666666669</v>
      </c>
      <c r="I35" s="34">
        <v>0.5</v>
      </c>
      <c r="J35" s="36">
        <f>I35-H35</f>
        <v>2.0833333333333315E-2</v>
      </c>
    </row>
    <row r="36" spans="1:10" x14ac:dyDescent="0.2">
      <c r="A36" s="1">
        <v>7</v>
      </c>
      <c r="B36" s="6" t="s">
        <v>130</v>
      </c>
      <c r="C36" s="7" t="s">
        <v>10</v>
      </c>
      <c r="D36" s="31" t="s">
        <v>98</v>
      </c>
      <c r="E36" s="31"/>
      <c r="F36" s="7" t="s">
        <v>131</v>
      </c>
      <c r="G36" s="7" t="s">
        <v>142</v>
      </c>
      <c r="H36" s="34">
        <v>0.45833333333333331</v>
      </c>
      <c r="I36" s="34">
        <v>0.58333333333333337</v>
      </c>
      <c r="J36" s="36">
        <f t="shared" ref="J36" si="8">I36-H36</f>
        <v>0.12500000000000006</v>
      </c>
    </row>
    <row r="37" spans="1:10" x14ac:dyDescent="0.2">
      <c r="A37" s="1">
        <v>7</v>
      </c>
      <c r="B37" s="6" t="s">
        <v>149</v>
      </c>
      <c r="C37" s="7" t="s">
        <v>34</v>
      </c>
      <c r="D37" s="31" t="s">
        <v>150</v>
      </c>
      <c r="E37" s="31"/>
      <c r="F37" s="39" t="s">
        <v>151</v>
      </c>
      <c r="G37" s="7" t="s">
        <v>142</v>
      </c>
      <c r="H37" s="34">
        <v>0.4375</v>
      </c>
      <c r="I37" s="34">
        <v>0.60416666666666663</v>
      </c>
      <c r="J37" s="36">
        <f>I37-H37</f>
        <v>0.16666666666666663</v>
      </c>
    </row>
    <row r="38" spans="1:10" x14ac:dyDescent="0.2">
      <c r="A38" s="1">
        <v>7</v>
      </c>
      <c r="B38" s="6" t="s">
        <v>258</v>
      </c>
      <c r="C38" s="7" t="s">
        <v>52</v>
      </c>
      <c r="D38" s="31" t="s">
        <v>37</v>
      </c>
      <c r="E38" s="31"/>
      <c r="F38" s="39" t="s">
        <v>261</v>
      </c>
      <c r="G38" s="7" t="s">
        <v>142</v>
      </c>
      <c r="H38" s="34">
        <v>0.41666666666666669</v>
      </c>
      <c r="I38" s="34">
        <v>0.66666666666666663</v>
      </c>
      <c r="J38" s="36">
        <f>I38-H38</f>
        <v>0.24999999999999994</v>
      </c>
    </row>
    <row r="39" spans="1:10" x14ac:dyDescent="0.2">
      <c r="A39" s="1">
        <v>7</v>
      </c>
      <c r="B39" s="6" t="s">
        <v>258</v>
      </c>
      <c r="C39" s="7" t="s">
        <v>10</v>
      </c>
      <c r="D39" s="31" t="s">
        <v>37</v>
      </c>
      <c r="E39" s="31"/>
      <c r="F39" s="7" t="s">
        <v>263</v>
      </c>
      <c r="G39" s="7" t="s">
        <v>142</v>
      </c>
      <c r="H39" s="34">
        <v>0.39583333333333331</v>
      </c>
      <c r="I39" s="34">
        <v>0.6875</v>
      </c>
      <c r="J39" s="36">
        <v>0.24999999999999994</v>
      </c>
    </row>
    <row r="40" spans="1:10" x14ac:dyDescent="0.2">
      <c r="A40" s="1">
        <v>8</v>
      </c>
      <c r="B40" s="6">
        <v>44934</v>
      </c>
      <c r="C40" s="7" t="s">
        <v>5</v>
      </c>
      <c r="D40" s="31" t="s">
        <v>85</v>
      </c>
      <c r="E40" s="31"/>
      <c r="F40" s="7" t="s">
        <v>269</v>
      </c>
      <c r="G40" s="7" t="s">
        <v>142</v>
      </c>
      <c r="H40" s="34">
        <v>0.45833333333333331</v>
      </c>
      <c r="I40" s="34">
        <v>0.72916666666666663</v>
      </c>
      <c r="J40" s="36">
        <f>I40-H40</f>
        <v>0.27083333333333331</v>
      </c>
    </row>
    <row r="41" spans="1:10" x14ac:dyDescent="0.2">
      <c r="A41" s="1">
        <v>8</v>
      </c>
      <c r="B41" s="6">
        <v>45115</v>
      </c>
      <c r="C41" s="7" t="s">
        <v>45</v>
      </c>
      <c r="D41" s="31" t="s">
        <v>85</v>
      </c>
      <c r="E41" s="31"/>
      <c r="F41" s="7" t="s">
        <v>269</v>
      </c>
      <c r="G41" s="7" t="s">
        <v>142</v>
      </c>
      <c r="H41" s="34">
        <v>0.375</v>
      </c>
      <c r="I41" s="34">
        <v>0.66666666666666663</v>
      </c>
      <c r="J41" s="36">
        <f>I41-H41</f>
        <v>0.29166666666666663</v>
      </c>
    </row>
    <row r="42" spans="1:10" x14ac:dyDescent="0.2">
      <c r="A42" s="1">
        <v>8</v>
      </c>
      <c r="B42" s="6">
        <v>45238</v>
      </c>
      <c r="C42" s="7" t="s">
        <v>33</v>
      </c>
      <c r="D42" s="31" t="s">
        <v>288</v>
      </c>
      <c r="E42" s="31"/>
      <c r="F42" s="7" t="s">
        <v>289</v>
      </c>
      <c r="G42" s="7" t="s">
        <v>142</v>
      </c>
      <c r="H42" s="34">
        <v>0.41666666666666669</v>
      </c>
      <c r="I42" s="34">
        <v>0.70833333333333337</v>
      </c>
      <c r="J42" s="36">
        <f>I42-H42</f>
        <v>0.29166666666666669</v>
      </c>
    </row>
    <row r="43" spans="1:10" x14ac:dyDescent="0.2">
      <c r="A43" s="1">
        <v>8</v>
      </c>
      <c r="B43" s="6"/>
      <c r="C43" s="7"/>
      <c r="D43" s="31"/>
      <c r="E43" s="31"/>
      <c r="F43" s="7"/>
      <c r="G43" s="7"/>
      <c r="H43" s="34"/>
      <c r="I43" s="34"/>
      <c r="J43" s="36">
        <f t="shared" si="1"/>
        <v>0</v>
      </c>
    </row>
    <row r="44" spans="1:10" x14ac:dyDescent="0.2">
      <c r="A44" s="1">
        <v>8</v>
      </c>
      <c r="B44" s="6"/>
      <c r="C44" s="7"/>
      <c r="D44" s="31"/>
      <c r="E44" s="31"/>
      <c r="F44" s="7"/>
      <c r="G44" s="7"/>
      <c r="H44" s="34"/>
      <c r="I44" s="34"/>
      <c r="J44" s="36">
        <f t="shared" si="1"/>
        <v>0</v>
      </c>
    </row>
    <row r="45" spans="1:10" x14ac:dyDescent="0.2">
      <c r="A45" s="1">
        <v>8</v>
      </c>
      <c r="B45" s="6"/>
      <c r="C45" s="6"/>
      <c r="D45" s="31"/>
      <c r="E45" s="31"/>
      <c r="F45" s="7"/>
      <c r="G45" s="7"/>
      <c r="H45" s="34"/>
      <c r="I45" s="34"/>
      <c r="J45" s="36">
        <f t="shared" si="1"/>
        <v>0</v>
      </c>
    </row>
    <row r="46" spans="1:10" x14ac:dyDescent="0.2">
      <c r="A46" s="1">
        <v>8</v>
      </c>
      <c r="B46" s="6"/>
      <c r="C46" s="7"/>
      <c r="D46" s="31"/>
      <c r="E46" s="31"/>
      <c r="F46" s="7"/>
      <c r="G46" s="7"/>
      <c r="H46" s="34"/>
      <c r="I46" s="34"/>
      <c r="J46" s="36">
        <f t="shared" si="1"/>
        <v>0</v>
      </c>
    </row>
    <row r="47" spans="1:10" x14ac:dyDescent="0.2">
      <c r="A47" s="1">
        <v>8</v>
      </c>
      <c r="B47" s="6"/>
      <c r="C47" s="7"/>
      <c r="D47" s="31"/>
      <c r="E47" s="31"/>
      <c r="F47" s="7"/>
      <c r="G47" s="7"/>
      <c r="H47" s="34"/>
      <c r="I47" s="34"/>
      <c r="J47" s="36">
        <f t="shared" si="1"/>
        <v>0</v>
      </c>
    </row>
    <row r="48" spans="1:10" x14ac:dyDescent="0.2">
      <c r="A48" s="1">
        <v>8</v>
      </c>
      <c r="B48" s="6"/>
      <c r="C48" s="7"/>
      <c r="D48" s="31"/>
      <c r="E48" s="31"/>
      <c r="F48" s="7"/>
      <c r="G48" s="7"/>
      <c r="H48" s="34"/>
      <c r="I48" s="34"/>
      <c r="J48" s="36">
        <f t="shared" si="1"/>
        <v>0</v>
      </c>
    </row>
    <row r="49" spans="1:10" x14ac:dyDescent="0.2">
      <c r="A49" s="1">
        <v>8</v>
      </c>
      <c r="B49" s="6"/>
      <c r="C49" s="6"/>
      <c r="D49" s="31"/>
      <c r="E49" s="31"/>
      <c r="F49" s="7"/>
      <c r="G49" s="7"/>
      <c r="H49" s="34"/>
      <c r="I49" s="34"/>
      <c r="J49" s="36">
        <f t="shared" si="1"/>
        <v>0</v>
      </c>
    </row>
    <row r="50" spans="1:10" x14ac:dyDescent="0.2">
      <c r="B50" s="6"/>
      <c r="C50" s="7"/>
      <c r="D50" s="31"/>
      <c r="E50" s="31"/>
      <c r="F50" s="7"/>
      <c r="G50" s="7"/>
      <c r="H50" s="34"/>
      <c r="I50" s="34"/>
      <c r="J50" s="36">
        <f t="shared" si="1"/>
        <v>0</v>
      </c>
    </row>
    <row r="51" spans="1:10" x14ac:dyDescent="0.2">
      <c r="B51" s="6"/>
      <c r="C51" s="7"/>
      <c r="D51" s="31"/>
      <c r="E51" s="31"/>
      <c r="F51" s="7"/>
      <c r="G51" s="7"/>
      <c r="H51" s="34"/>
      <c r="I51" s="34"/>
      <c r="J51" s="36">
        <f t="shared" si="1"/>
        <v>0</v>
      </c>
    </row>
    <row r="52" spans="1:10" x14ac:dyDescent="0.2">
      <c r="B52" s="6"/>
      <c r="C52" s="7"/>
      <c r="D52" s="31"/>
      <c r="E52" s="31"/>
      <c r="F52" s="7"/>
      <c r="G52" s="7"/>
      <c r="H52" s="34"/>
      <c r="I52" s="34"/>
      <c r="J52" s="36">
        <f t="shared" si="1"/>
        <v>0</v>
      </c>
    </row>
    <row r="53" spans="1:10" x14ac:dyDescent="0.2">
      <c r="B53" s="6"/>
      <c r="C53" s="7"/>
      <c r="D53" s="31"/>
      <c r="E53" s="31"/>
      <c r="F53" s="7"/>
      <c r="G53" s="7"/>
      <c r="H53" s="34"/>
      <c r="I53" s="34"/>
      <c r="J53" s="36">
        <f t="shared" si="1"/>
        <v>0</v>
      </c>
    </row>
    <row r="54" spans="1:10" x14ac:dyDescent="0.2">
      <c r="B54" s="6"/>
      <c r="C54" s="7"/>
      <c r="D54" s="31"/>
      <c r="E54" s="31"/>
      <c r="F54" s="7"/>
      <c r="G54" s="7"/>
      <c r="H54" s="34"/>
      <c r="I54" s="34"/>
      <c r="J54" s="36">
        <f t="shared" si="1"/>
        <v>0</v>
      </c>
    </row>
    <row r="55" spans="1:10" x14ac:dyDescent="0.2">
      <c r="B55" s="6"/>
      <c r="C55" s="6"/>
      <c r="D55" s="31"/>
      <c r="E55" s="31"/>
      <c r="F55" s="7"/>
      <c r="G55" s="7"/>
      <c r="H55" s="34"/>
      <c r="I55" s="34"/>
      <c r="J55" s="36">
        <f t="shared" si="1"/>
        <v>0</v>
      </c>
    </row>
    <row r="56" spans="1:10" x14ac:dyDescent="0.2">
      <c r="B56" s="6"/>
      <c r="C56" s="7"/>
      <c r="D56" s="31"/>
      <c r="E56" s="31"/>
      <c r="F56" s="7"/>
      <c r="G56" s="7"/>
      <c r="H56" s="34"/>
      <c r="I56" s="34"/>
      <c r="J56" s="36">
        <f t="shared" si="1"/>
        <v>0</v>
      </c>
    </row>
    <row r="57" spans="1:10" x14ac:dyDescent="0.2">
      <c r="B57" s="6"/>
      <c r="C57" s="7"/>
      <c r="D57" s="31"/>
      <c r="E57" s="31"/>
      <c r="F57" s="7"/>
      <c r="G57" s="7"/>
      <c r="H57" s="34"/>
      <c r="I57" s="34"/>
      <c r="J57" s="36">
        <f t="shared" si="1"/>
        <v>0</v>
      </c>
    </row>
    <row r="58" spans="1:10" x14ac:dyDescent="0.2">
      <c r="B58" s="6"/>
      <c r="C58" s="7"/>
      <c r="D58" s="31"/>
      <c r="E58" s="31"/>
      <c r="F58" s="7"/>
      <c r="G58" s="7"/>
      <c r="H58" s="34"/>
      <c r="I58" s="34"/>
      <c r="J58" s="36">
        <f t="shared" si="1"/>
        <v>0</v>
      </c>
    </row>
    <row r="59" spans="1:10" x14ac:dyDescent="0.2">
      <c r="B59" s="6"/>
      <c r="C59" s="7"/>
      <c r="D59" s="31"/>
      <c r="E59" s="31"/>
      <c r="F59" s="7"/>
      <c r="G59" s="7"/>
      <c r="H59" s="34"/>
      <c r="I59" s="34"/>
      <c r="J59" s="36">
        <f t="shared" si="1"/>
        <v>0</v>
      </c>
    </row>
    <row r="60" spans="1:10" x14ac:dyDescent="0.2">
      <c r="B60" s="6"/>
      <c r="C60" s="7"/>
      <c r="D60" s="31"/>
      <c r="E60" s="31"/>
      <c r="F60" s="7"/>
      <c r="G60" s="7"/>
      <c r="H60" s="34"/>
      <c r="I60" s="34"/>
      <c r="J60" s="36">
        <f t="shared" si="1"/>
        <v>0</v>
      </c>
    </row>
    <row r="61" spans="1:10" x14ac:dyDescent="0.2">
      <c r="B61" s="6"/>
      <c r="C61" s="7"/>
      <c r="D61" s="31"/>
      <c r="E61" s="31"/>
      <c r="F61" s="7"/>
      <c r="G61" s="7"/>
      <c r="H61" s="34"/>
      <c r="I61" s="34"/>
      <c r="J61" s="36">
        <f t="shared" si="1"/>
        <v>0</v>
      </c>
    </row>
    <row r="62" spans="1:10" x14ac:dyDescent="0.2">
      <c r="B62" s="6"/>
      <c r="C62" s="7"/>
      <c r="D62" s="31"/>
      <c r="E62" s="31"/>
      <c r="F62" s="7"/>
      <c r="G62" s="7"/>
      <c r="H62" s="34"/>
      <c r="I62" s="34"/>
      <c r="J62" s="36">
        <f t="shared" si="1"/>
        <v>0</v>
      </c>
    </row>
    <row r="63" spans="1:10" x14ac:dyDescent="0.2">
      <c r="B63" s="6"/>
      <c r="C63" s="7"/>
      <c r="D63" s="31"/>
      <c r="E63" s="31"/>
      <c r="F63" s="7"/>
      <c r="G63" s="7"/>
      <c r="H63" s="34"/>
      <c r="I63" s="34"/>
      <c r="J63" s="36">
        <f t="shared" si="1"/>
        <v>0</v>
      </c>
    </row>
    <row r="64" spans="1:10" x14ac:dyDescent="0.2">
      <c r="B64" s="6"/>
      <c r="C64" s="7"/>
      <c r="D64" s="31"/>
      <c r="E64" s="31"/>
      <c r="F64" s="7"/>
      <c r="G64" s="7"/>
      <c r="H64" s="34"/>
      <c r="I64" s="34"/>
      <c r="J64" s="36">
        <f t="shared" si="1"/>
        <v>0</v>
      </c>
    </row>
    <row r="65" spans="2:10" x14ac:dyDescent="0.2">
      <c r="B65" s="6"/>
      <c r="C65" s="7"/>
      <c r="D65" s="31"/>
      <c r="E65" s="31"/>
      <c r="F65" s="7"/>
      <c r="G65" s="7"/>
      <c r="H65" s="34"/>
      <c r="I65" s="34"/>
      <c r="J65" s="36">
        <f t="shared" si="1"/>
        <v>0</v>
      </c>
    </row>
    <row r="66" spans="2:10" x14ac:dyDescent="0.2">
      <c r="B66" s="6"/>
      <c r="C66" s="7"/>
      <c r="D66" s="31"/>
      <c r="E66" s="31"/>
      <c r="F66" s="7"/>
      <c r="G66" s="7"/>
      <c r="H66" s="34"/>
      <c r="I66" s="34"/>
      <c r="J66" s="36">
        <f t="shared" si="1"/>
        <v>0</v>
      </c>
    </row>
    <row r="67" spans="2:10" x14ac:dyDescent="0.2">
      <c r="B67" s="6"/>
      <c r="C67" s="7"/>
      <c r="D67" s="31"/>
      <c r="E67" s="31"/>
      <c r="F67" s="7"/>
      <c r="G67" s="7"/>
      <c r="H67" s="34"/>
      <c r="I67" s="34"/>
      <c r="J67" s="36">
        <f t="shared" ref="J67:J130" si="9">I67-H67</f>
        <v>0</v>
      </c>
    </row>
    <row r="68" spans="2:10" x14ac:dyDescent="0.2">
      <c r="B68" s="6"/>
      <c r="C68" s="7"/>
      <c r="D68" s="31"/>
      <c r="E68" s="31"/>
      <c r="F68" s="7"/>
      <c r="G68" s="7"/>
      <c r="H68" s="34"/>
      <c r="I68" s="34"/>
      <c r="J68" s="36">
        <f t="shared" si="9"/>
        <v>0</v>
      </c>
    </row>
    <row r="69" spans="2:10" x14ac:dyDescent="0.2">
      <c r="B69" s="6"/>
      <c r="C69" s="7"/>
      <c r="D69" s="31"/>
      <c r="E69" s="31"/>
      <c r="F69" s="7"/>
      <c r="G69" s="7"/>
      <c r="H69" s="34"/>
      <c r="I69" s="34"/>
      <c r="J69" s="36">
        <f t="shared" si="9"/>
        <v>0</v>
      </c>
    </row>
    <row r="70" spans="2:10" x14ac:dyDescent="0.2">
      <c r="B70" s="6"/>
      <c r="C70" s="7"/>
      <c r="D70" s="31"/>
      <c r="E70" s="31"/>
      <c r="F70" s="7"/>
      <c r="G70" s="7"/>
      <c r="H70" s="34"/>
      <c r="I70" s="34"/>
      <c r="J70" s="36">
        <f t="shared" si="9"/>
        <v>0</v>
      </c>
    </row>
    <row r="71" spans="2:10" x14ac:dyDescent="0.2">
      <c r="B71" s="6"/>
      <c r="C71" s="7"/>
      <c r="D71" s="31"/>
      <c r="E71" s="31"/>
      <c r="F71" s="7"/>
      <c r="G71" s="7"/>
      <c r="H71" s="34"/>
      <c r="I71" s="34"/>
      <c r="J71" s="36">
        <f t="shared" si="9"/>
        <v>0</v>
      </c>
    </row>
    <row r="72" spans="2:10" x14ac:dyDescent="0.2">
      <c r="B72" s="6"/>
      <c r="C72" s="7"/>
      <c r="D72" s="31"/>
      <c r="E72" s="31"/>
      <c r="F72" s="7"/>
      <c r="G72" s="7"/>
      <c r="H72" s="34"/>
      <c r="I72" s="34"/>
      <c r="J72" s="36">
        <f t="shared" si="9"/>
        <v>0</v>
      </c>
    </row>
    <row r="73" spans="2:10" x14ac:dyDescent="0.2">
      <c r="B73" s="6"/>
      <c r="C73" s="7"/>
      <c r="D73" s="31"/>
      <c r="E73" s="31"/>
      <c r="F73" s="7"/>
      <c r="G73" s="7"/>
      <c r="H73" s="34"/>
      <c r="I73" s="34"/>
      <c r="J73" s="36">
        <f t="shared" si="9"/>
        <v>0</v>
      </c>
    </row>
    <row r="74" spans="2:10" x14ac:dyDescent="0.2">
      <c r="B74" s="6"/>
      <c r="C74" s="6"/>
      <c r="D74" s="31"/>
      <c r="E74" s="31"/>
      <c r="F74" s="7"/>
      <c r="G74" s="7"/>
      <c r="H74" s="34"/>
      <c r="I74" s="34"/>
      <c r="J74" s="36">
        <f t="shared" si="9"/>
        <v>0</v>
      </c>
    </row>
    <row r="75" spans="2:10" x14ac:dyDescent="0.2">
      <c r="B75" s="6"/>
      <c r="C75" s="6"/>
      <c r="D75" s="31"/>
      <c r="E75" s="31"/>
      <c r="F75" s="7"/>
      <c r="G75" s="7"/>
      <c r="H75" s="34"/>
      <c r="I75" s="34"/>
      <c r="J75" s="36">
        <f t="shared" si="9"/>
        <v>0</v>
      </c>
    </row>
    <row r="76" spans="2:10" x14ac:dyDescent="0.2">
      <c r="B76" s="6"/>
      <c r="C76" s="7"/>
      <c r="D76" s="31"/>
      <c r="E76" s="31"/>
      <c r="F76" s="7"/>
      <c r="G76" s="7"/>
      <c r="H76" s="34"/>
      <c r="I76" s="34"/>
      <c r="J76" s="36">
        <f t="shared" si="9"/>
        <v>0</v>
      </c>
    </row>
    <row r="77" spans="2:10" x14ac:dyDescent="0.2">
      <c r="B77" s="6"/>
      <c r="C77" s="7"/>
      <c r="D77" s="31"/>
      <c r="E77" s="31"/>
      <c r="F77" s="7"/>
      <c r="G77" s="7"/>
      <c r="H77" s="34"/>
      <c r="I77" s="34"/>
      <c r="J77" s="36">
        <f t="shared" si="9"/>
        <v>0</v>
      </c>
    </row>
    <row r="78" spans="2:10" x14ac:dyDescent="0.2">
      <c r="B78" s="6"/>
      <c r="C78" s="7"/>
      <c r="D78" s="31"/>
      <c r="E78" s="31"/>
      <c r="F78" s="7"/>
      <c r="G78" s="7"/>
      <c r="H78" s="34"/>
      <c r="I78" s="34"/>
      <c r="J78" s="36">
        <f t="shared" si="9"/>
        <v>0</v>
      </c>
    </row>
    <row r="79" spans="2:10" x14ac:dyDescent="0.2">
      <c r="B79" s="6"/>
      <c r="C79" s="7"/>
      <c r="D79" s="31"/>
      <c r="E79" s="31"/>
      <c r="F79" s="7"/>
      <c r="G79" s="7"/>
      <c r="H79" s="34"/>
      <c r="I79" s="34"/>
      <c r="J79" s="36">
        <f t="shared" si="9"/>
        <v>0</v>
      </c>
    </row>
    <row r="80" spans="2:10" x14ac:dyDescent="0.2">
      <c r="B80" s="6"/>
      <c r="C80" s="6"/>
      <c r="D80" s="31"/>
      <c r="E80" s="31"/>
      <c r="F80" s="7"/>
      <c r="G80" s="7"/>
      <c r="H80" s="34"/>
      <c r="I80" s="34"/>
      <c r="J80" s="36">
        <f t="shared" si="9"/>
        <v>0</v>
      </c>
    </row>
    <row r="81" spans="2:10" x14ac:dyDescent="0.2">
      <c r="B81" s="6"/>
      <c r="C81" s="7"/>
      <c r="D81" s="31"/>
      <c r="E81" s="31"/>
      <c r="F81" s="7"/>
      <c r="G81" s="7"/>
      <c r="H81" s="34"/>
      <c r="I81" s="34"/>
      <c r="J81" s="36">
        <f t="shared" si="9"/>
        <v>0</v>
      </c>
    </row>
    <row r="82" spans="2:10" x14ac:dyDescent="0.2">
      <c r="B82" s="6"/>
      <c r="C82" s="7"/>
      <c r="D82" s="31"/>
      <c r="E82" s="31"/>
      <c r="F82" s="7"/>
      <c r="G82" s="7"/>
      <c r="H82" s="34"/>
      <c r="I82" s="34"/>
      <c r="J82" s="36">
        <f t="shared" si="9"/>
        <v>0</v>
      </c>
    </row>
    <row r="83" spans="2:10" x14ac:dyDescent="0.2">
      <c r="B83" s="6"/>
      <c r="C83" s="7"/>
      <c r="D83" s="31"/>
      <c r="E83" s="31"/>
      <c r="F83" s="7"/>
      <c r="G83" s="7"/>
      <c r="H83" s="34"/>
      <c r="I83" s="34"/>
      <c r="J83" s="36">
        <f t="shared" si="9"/>
        <v>0</v>
      </c>
    </row>
    <row r="84" spans="2:10" x14ac:dyDescent="0.2">
      <c r="B84" s="6"/>
      <c r="C84" s="7"/>
      <c r="D84" s="31"/>
      <c r="E84" s="31"/>
      <c r="F84" s="7"/>
      <c r="G84" s="7"/>
      <c r="H84" s="34"/>
      <c r="I84" s="34"/>
      <c r="J84" s="36">
        <f t="shared" si="9"/>
        <v>0</v>
      </c>
    </row>
    <row r="85" spans="2:10" x14ac:dyDescent="0.2">
      <c r="B85" s="6"/>
      <c r="C85" s="7"/>
      <c r="D85" s="31"/>
      <c r="E85" s="31"/>
      <c r="F85" s="7"/>
      <c r="G85" s="7"/>
      <c r="H85" s="34"/>
      <c r="I85" s="34"/>
      <c r="J85" s="36">
        <f t="shared" si="9"/>
        <v>0</v>
      </c>
    </row>
    <row r="86" spans="2:10" x14ac:dyDescent="0.2">
      <c r="B86" s="6"/>
      <c r="C86" s="7"/>
      <c r="D86" s="31"/>
      <c r="E86" s="31"/>
      <c r="F86" s="7"/>
      <c r="G86" s="7"/>
      <c r="H86" s="34"/>
      <c r="I86" s="34"/>
      <c r="J86" s="36">
        <f t="shared" si="9"/>
        <v>0</v>
      </c>
    </row>
    <row r="87" spans="2:10" x14ac:dyDescent="0.2">
      <c r="B87" s="6"/>
      <c r="C87" s="7"/>
      <c r="D87" s="31"/>
      <c r="E87" s="31"/>
      <c r="F87" s="7"/>
      <c r="G87" s="7"/>
      <c r="H87" s="34"/>
      <c r="I87" s="34"/>
      <c r="J87" s="36">
        <f t="shared" si="9"/>
        <v>0</v>
      </c>
    </row>
    <row r="88" spans="2:10" x14ac:dyDescent="0.2">
      <c r="B88" s="6"/>
      <c r="C88" s="7"/>
      <c r="D88" s="31"/>
      <c r="E88" s="31"/>
      <c r="F88" s="7"/>
      <c r="G88" s="7"/>
      <c r="H88" s="34"/>
      <c r="I88" s="34"/>
      <c r="J88" s="36">
        <f t="shared" si="9"/>
        <v>0</v>
      </c>
    </row>
    <row r="89" spans="2:10" x14ac:dyDescent="0.2">
      <c r="B89" s="6"/>
      <c r="C89" s="6"/>
      <c r="D89" s="31"/>
      <c r="E89" s="31"/>
      <c r="F89" s="7"/>
      <c r="G89" s="7"/>
      <c r="H89" s="34"/>
      <c r="I89" s="34"/>
      <c r="J89" s="36">
        <f t="shared" si="9"/>
        <v>0</v>
      </c>
    </row>
    <row r="90" spans="2:10" x14ac:dyDescent="0.2">
      <c r="B90" s="6"/>
      <c r="C90" s="7"/>
      <c r="D90" s="31"/>
      <c r="E90" s="31"/>
      <c r="F90" s="7"/>
      <c r="G90" s="7"/>
      <c r="H90" s="34"/>
      <c r="I90" s="34"/>
      <c r="J90" s="36">
        <f t="shared" si="9"/>
        <v>0</v>
      </c>
    </row>
    <row r="91" spans="2:10" x14ac:dyDescent="0.2">
      <c r="B91" s="6"/>
      <c r="C91" s="7"/>
      <c r="D91" s="31"/>
      <c r="E91" s="31"/>
      <c r="F91" s="7"/>
      <c r="G91" s="7"/>
      <c r="H91" s="34"/>
      <c r="I91" s="34"/>
      <c r="J91" s="36">
        <f t="shared" si="9"/>
        <v>0</v>
      </c>
    </row>
    <row r="92" spans="2:10" x14ac:dyDescent="0.2">
      <c r="B92" s="6"/>
      <c r="C92" s="7"/>
      <c r="D92" s="31"/>
      <c r="E92" s="31"/>
      <c r="F92" s="7"/>
      <c r="G92" s="7"/>
      <c r="H92" s="34"/>
      <c r="I92" s="34"/>
      <c r="J92" s="36">
        <f t="shared" si="9"/>
        <v>0</v>
      </c>
    </row>
    <row r="93" spans="2:10" x14ac:dyDescent="0.2">
      <c r="B93" s="6"/>
      <c r="C93" s="7"/>
      <c r="D93" s="31"/>
      <c r="E93" s="31"/>
      <c r="F93" s="7"/>
      <c r="G93" s="7"/>
      <c r="H93" s="34"/>
      <c r="I93" s="34"/>
      <c r="J93" s="36">
        <f t="shared" si="9"/>
        <v>0</v>
      </c>
    </row>
    <row r="94" spans="2:10" x14ac:dyDescent="0.2">
      <c r="B94" s="6"/>
      <c r="C94" s="7"/>
      <c r="D94" s="31"/>
      <c r="E94" s="31"/>
      <c r="F94" s="7"/>
      <c r="G94" s="7"/>
      <c r="H94" s="34"/>
      <c r="I94" s="34"/>
      <c r="J94" s="36">
        <f t="shared" si="9"/>
        <v>0</v>
      </c>
    </row>
    <row r="95" spans="2:10" x14ac:dyDescent="0.2">
      <c r="B95" s="6"/>
      <c r="C95" s="7"/>
      <c r="D95" s="31"/>
      <c r="E95" s="31"/>
      <c r="F95" s="7"/>
      <c r="G95" s="7"/>
      <c r="H95" s="34"/>
      <c r="I95" s="34"/>
      <c r="J95" s="36">
        <f t="shared" si="9"/>
        <v>0</v>
      </c>
    </row>
    <row r="96" spans="2:10" x14ac:dyDescent="0.2">
      <c r="B96" s="6"/>
      <c r="C96" s="7"/>
      <c r="D96" s="31"/>
      <c r="E96" s="31"/>
      <c r="F96" s="7"/>
      <c r="G96" s="7"/>
      <c r="H96" s="34"/>
      <c r="I96" s="34"/>
      <c r="J96" s="36">
        <f t="shared" si="9"/>
        <v>0</v>
      </c>
    </row>
    <row r="97" spans="2:10" x14ac:dyDescent="0.2">
      <c r="B97" s="6"/>
      <c r="C97" s="7"/>
      <c r="D97" s="31"/>
      <c r="E97" s="31"/>
      <c r="F97" s="7"/>
      <c r="G97" s="7"/>
      <c r="H97" s="34"/>
      <c r="I97" s="34"/>
      <c r="J97" s="36">
        <f t="shared" si="9"/>
        <v>0</v>
      </c>
    </row>
    <row r="98" spans="2:10" x14ac:dyDescent="0.2">
      <c r="B98" s="6"/>
      <c r="C98" s="7"/>
      <c r="D98" s="31"/>
      <c r="E98" s="31"/>
      <c r="F98" s="7"/>
      <c r="G98" s="7"/>
      <c r="H98" s="34"/>
      <c r="I98" s="34"/>
      <c r="J98" s="36">
        <f t="shared" si="9"/>
        <v>0</v>
      </c>
    </row>
    <row r="99" spans="2:10" x14ac:dyDescent="0.2">
      <c r="B99" s="6"/>
      <c r="C99" s="7"/>
      <c r="D99" s="31"/>
      <c r="E99" s="31"/>
      <c r="F99" s="7"/>
      <c r="G99" s="7"/>
      <c r="H99" s="34"/>
      <c r="I99" s="34"/>
      <c r="J99" s="36">
        <f t="shared" si="9"/>
        <v>0</v>
      </c>
    </row>
    <row r="100" spans="2:10" x14ac:dyDescent="0.2">
      <c r="B100" s="6"/>
      <c r="C100" s="7"/>
      <c r="D100" s="31"/>
      <c r="E100" s="31"/>
      <c r="F100" s="7"/>
      <c r="G100" s="7"/>
      <c r="H100" s="34"/>
      <c r="I100" s="34"/>
      <c r="J100" s="36">
        <f t="shared" si="9"/>
        <v>0</v>
      </c>
    </row>
    <row r="101" spans="2:10" x14ac:dyDescent="0.2">
      <c r="B101" s="6"/>
      <c r="C101" s="7"/>
      <c r="D101" s="31"/>
      <c r="E101" s="31"/>
      <c r="F101" s="7"/>
      <c r="G101" s="7"/>
      <c r="H101" s="34"/>
      <c r="I101" s="34"/>
      <c r="J101" s="36">
        <f t="shared" si="9"/>
        <v>0</v>
      </c>
    </row>
    <row r="102" spans="2:10" x14ac:dyDescent="0.2">
      <c r="B102" s="6"/>
      <c r="C102" s="7"/>
      <c r="D102" s="31"/>
      <c r="E102" s="31"/>
      <c r="F102" s="7"/>
      <c r="G102" s="7"/>
      <c r="H102" s="34"/>
      <c r="I102" s="34"/>
      <c r="J102" s="36">
        <f t="shared" si="9"/>
        <v>0</v>
      </c>
    </row>
    <row r="103" spans="2:10" x14ac:dyDescent="0.2">
      <c r="B103" s="6"/>
      <c r="C103" s="7"/>
      <c r="D103" s="31"/>
      <c r="E103" s="31"/>
      <c r="F103" s="7"/>
      <c r="G103" s="7"/>
      <c r="H103" s="34"/>
      <c r="I103" s="34"/>
      <c r="J103" s="36">
        <f t="shared" si="9"/>
        <v>0</v>
      </c>
    </row>
    <row r="104" spans="2:10" x14ac:dyDescent="0.2">
      <c r="B104" s="6"/>
      <c r="C104" s="7"/>
      <c r="D104" s="31"/>
      <c r="E104" s="31"/>
      <c r="F104" s="7"/>
      <c r="G104" s="7"/>
      <c r="H104" s="34"/>
      <c r="I104" s="34"/>
      <c r="J104" s="36">
        <f t="shared" si="9"/>
        <v>0</v>
      </c>
    </row>
    <row r="105" spans="2:10" x14ac:dyDescent="0.2">
      <c r="B105" s="6"/>
      <c r="C105" s="7"/>
      <c r="D105" s="31"/>
      <c r="E105" s="31"/>
      <c r="F105" s="7"/>
      <c r="G105" s="7"/>
      <c r="H105" s="34"/>
      <c r="I105" s="34"/>
      <c r="J105" s="36">
        <f t="shared" si="9"/>
        <v>0</v>
      </c>
    </row>
    <row r="106" spans="2:10" x14ac:dyDescent="0.2">
      <c r="B106" s="6"/>
      <c r="C106" s="7"/>
      <c r="D106" s="31"/>
      <c r="E106" s="31"/>
      <c r="F106" s="7"/>
      <c r="G106" s="7"/>
      <c r="H106" s="34"/>
      <c r="I106" s="34"/>
      <c r="J106" s="36">
        <f t="shared" si="9"/>
        <v>0</v>
      </c>
    </row>
    <row r="107" spans="2:10" x14ac:dyDescent="0.2">
      <c r="B107" s="6"/>
      <c r="C107" s="7"/>
      <c r="D107" s="31"/>
      <c r="E107" s="31"/>
      <c r="F107" s="7"/>
      <c r="G107" s="7"/>
      <c r="H107" s="34"/>
      <c r="I107" s="34"/>
      <c r="J107" s="36">
        <f t="shared" si="9"/>
        <v>0</v>
      </c>
    </row>
    <row r="108" spans="2:10" x14ac:dyDescent="0.2">
      <c r="B108" s="6"/>
      <c r="C108" s="7"/>
      <c r="D108" s="31"/>
      <c r="E108" s="31"/>
      <c r="F108" s="7"/>
      <c r="G108" s="7"/>
      <c r="H108" s="34"/>
      <c r="I108" s="34"/>
      <c r="J108" s="36">
        <f t="shared" si="9"/>
        <v>0</v>
      </c>
    </row>
    <row r="109" spans="2:10" x14ac:dyDescent="0.2">
      <c r="B109" s="6"/>
      <c r="C109" s="7"/>
      <c r="D109" s="31"/>
      <c r="E109" s="31"/>
      <c r="F109" s="7"/>
      <c r="G109" s="7"/>
      <c r="H109" s="34"/>
      <c r="I109" s="34"/>
      <c r="J109" s="36">
        <f t="shared" si="9"/>
        <v>0</v>
      </c>
    </row>
    <row r="110" spans="2:10" x14ac:dyDescent="0.2">
      <c r="B110" s="6"/>
      <c r="C110" s="7"/>
      <c r="D110" s="31"/>
      <c r="E110" s="31"/>
      <c r="F110" s="7"/>
      <c r="G110" s="7"/>
      <c r="H110" s="34"/>
      <c r="I110" s="34"/>
      <c r="J110" s="36">
        <f t="shared" si="9"/>
        <v>0</v>
      </c>
    </row>
    <row r="111" spans="2:10" x14ac:dyDescent="0.2">
      <c r="B111" s="6"/>
      <c r="C111" s="7"/>
      <c r="D111" s="31"/>
      <c r="E111" s="31"/>
      <c r="F111" s="7"/>
      <c r="G111" s="7"/>
      <c r="H111" s="34"/>
      <c r="I111" s="34"/>
      <c r="J111" s="36">
        <f t="shared" si="9"/>
        <v>0</v>
      </c>
    </row>
    <row r="112" spans="2:10" x14ac:dyDescent="0.2">
      <c r="B112" s="6"/>
      <c r="C112" s="7"/>
      <c r="D112" s="31"/>
      <c r="E112" s="31"/>
      <c r="F112" s="7"/>
      <c r="G112" s="7"/>
      <c r="H112" s="34"/>
      <c r="I112" s="34"/>
      <c r="J112" s="36">
        <f t="shared" si="9"/>
        <v>0</v>
      </c>
    </row>
    <row r="113" spans="2:10" x14ac:dyDescent="0.2">
      <c r="B113" s="6"/>
      <c r="C113" s="7"/>
      <c r="D113" s="31"/>
      <c r="E113" s="31"/>
      <c r="F113" s="7"/>
      <c r="G113" s="7"/>
      <c r="H113" s="34"/>
      <c r="I113" s="34"/>
      <c r="J113" s="36">
        <f t="shared" si="9"/>
        <v>0</v>
      </c>
    </row>
    <row r="114" spans="2:10" x14ac:dyDescent="0.2">
      <c r="B114" s="6"/>
      <c r="C114" s="7"/>
      <c r="D114" s="31"/>
      <c r="E114" s="31"/>
      <c r="F114" s="7"/>
      <c r="G114" s="7"/>
      <c r="H114" s="34"/>
      <c r="I114" s="34"/>
      <c r="J114" s="36">
        <f t="shared" si="9"/>
        <v>0</v>
      </c>
    </row>
    <row r="115" spans="2:10" x14ac:dyDescent="0.2">
      <c r="B115" s="6"/>
      <c r="C115" s="7"/>
      <c r="D115" s="31"/>
      <c r="E115" s="31"/>
      <c r="F115" s="7"/>
      <c r="G115" s="7"/>
      <c r="H115" s="34"/>
      <c r="I115" s="34"/>
      <c r="J115" s="36">
        <f t="shared" si="9"/>
        <v>0</v>
      </c>
    </row>
    <row r="116" spans="2:10" x14ac:dyDescent="0.2">
      <c r="B116" s="6"/>
      <c r="C116" s="7"/>
      <c r="D116" s="31"/>
      <c r="E116" s="31"/>
      <c r="F116" s="7"/>
      <c r="G116" s="7"/>
      <c r="H116" s="34"/>
      <c r="I116" s="34"/>
      <c r="J116" s="36">
        <f t="shared" si="9"/>
        <v>0</v>
      </c>
    </row>
    <row r="117" spans="2:10" x14ac:dyDescent="0.2">
      <c r="B117" s="6"/>
      <c r="C117" s="7"/>
      <c r="D117" s="31"/>
      <c r="E117" s="31"/>
      <c r="F117" s="7"/>
      <c r="G117" s="7"/>
      <c r="H117" s="34"/>
      <c r="I117" s="34"/>
      <c r="J117" s="36">
        <f t="shared" si="9"/>
        <v>0</v>
      </c>
    </row>
    <row r="118" spans="2:10" x14ac:dyDescent="0.2">
      <c r="B118" s="6"/>
      <c r="C118" s="7"/>
      <c r="D118" s="31"/>
      <c r="E118" s="31"/>
      <c r="F118" s="7"/>
      <c r="G118" s="7"/>
      <c r="H118" s="34"/>
      <c r="I118" s="34"/>
      <c r="J118" s="36">
        <f t="shared" si="9"/>
        <v>0</v>
      </c>
    </row>
    <row r="119" spans="2:10" x14ac:dyDescent="0.2">
      <c r="B119" s="6"/>
      <c r="C119" s="7"/>
      <c r="D119" s="31"/>
      <c r="E119" s="31"/>
      <c r="F119" s="7"/>
      <c r="G119" s="7"/>
      <c r="H119" s="34"/>
      <c r="I119" s="34"/>
      <c r="J119" s="36">
        <f t="shared" si="9"/>
        <v>0</v>
      </c>
    </row>
    <row r="120" spans="2:10" x14ac:dyDescent="0.2">
      <c r="B120" s="6"/>
      <c r="C120" s="7"/>
      <c r="D120" s="31"/>
      <c r="E120" s="31"/>
      <c r="F120" s="7"/>
      <c r="G120" s="7"/>
      <c r="H120" s="34"/>
      <c r="I120" s="34"/>
      <c r="J120" s="36">
        <f t="shared" si="9"/>
        <v>0</v>
      </c>
    </row>
    <row r="121" spans="2:10" x14ac:dyDescent="0.2">
      <c r="B121" s="6"/>
      <c r="C121" s="7"/>
      <c r="D121" s="31"/>
      <c r="E121" s="31"/>
      <c r="F121" s="7"/>
      <c r="G121" s="7"/>
      <c r="H121" s="34"/>
      <c r="I121" s="34"/>
      <c r="J121" s="36">
        <f t="shared" si="9"/>
        <v>0</v>
      </c>
    </row>
    <row r="122" spans="2:10" x14ac:dyDescent="0.2">
      <c r="B122" s="6"/>
      <c r="C122" s="7"/>
      <c r="D122" s="31"/>
      <c r="E122" s="31"/>
      <c r="F122" s="7"/>
      <c r="G122" s="7"/>
      <c r="H122" s="34"/>
      <c r="I122" s="34"/>
      <c r="J122" s="36">
        <f t="shared" si="9"/>
        <v>0</v>
      </c>
    </row>
    <row r="123" spans="2:10" x14ac:dyDescent="0.2">
      <c r="B123" s="6"/>
      <c r="C123" s="7"/>
      <c r="D123" s="31"/>
      <c r="E123" s="31"/>
      <c r="F123" s="7"/>
      <c r="G123" s="7"/>
      <c r="H123" s="34"/>
      <c r="I123" s="34"/>
      <c r="J123" s="36">
        <f t="shared" si="9"/>
        <v>0</v>
      </c>
    </row>
    <row r="124" spans="2:10" x14ac:dyDescent="0.2">
      <c r="B124" s="6"/>
      <c r="C124" s="7"/>
      <c r="D124" s="31"/>
      <c r="E124" s="31"/>
      <c r="F124" s="7"/>
      <c r="G124" s="7"/>
      <c r="H124" s="34"/>
      <c r="I124" s="34"/>
      <c r="J124" s="36">
        <f t="shared" si="9"/>
        <v>0</v>
      </c>
    </row>
    <row r="125" spans="2:10" x14ac:dyDescent="0.2">
      <c r="B125" s="6"/>
      <c r="C125" s="7"/>
      <c r="D125" s="31"/>
      <c r="E125" s="31"/>
      <c r="F125" s="7"/>
      <c r="G125" s="7"/>
      <c r="H125" s="34"/>
      <c r="I125" s="34"/>
      <c r="J125" s="36">
        <f t="shared" si="9"/>
        <v>0</v>
      </c>
    </row>
    <row r="126" spans="2:10" x14ac:dyDescent="0.2">
      <c r="B126" s="6"/>
      <c r="C126" s="7"/>
      <c r="D126" s="31"/>
      <c r="E126" s="31"/>
      <c r="F126" s="7"/>
      <c r="G126" s="7"/>
      <c r="H126" s="34"/>
      <c r="I126" s="34"/>
      <c r="J126" s="36">
        <f t="shared" si="9"/>
        <v>0</v>
      </c>
    </row>
    <row r="127" spans="2:10" x14ac:dyDescent="0.2">
      <c r="B127" s="6"/>
      <c r="C127" s="7"/>
      <c r="D127" s="31"/>
      <c r="E127" s="31"/>
      <c r="F127" s="7"/>
      <c r="G127" s="7"/>
      <c r="H127" s="34"/>
      <c r="I127" s="34"/>
      <c r="J127" s="36">
        <f t="shared" si="9"/>
        <v>0</v>
      </c>
    </row>
    <row r="128" spans="2:10" x14ac:dyDescent="0.2">
      <c r="B128" s="6"/>
      <c r="C128" s="7"/>
      <c r="D128" s="31"/>
      <c r="E128" s="31"/>
      <c r="F128" s="7"/>
      <c r="G128" s="7"/>
      <c r="H128" s="34"/>
      <c r="I128" s="34"/>
      <c r="J128" s="36">
        <f t="shared" si="9"/>
        <v>0</v>
      </c>
    </row>
    <row r="129" spans="2:10" x14ac:dyDescent="0.2">
      <c r="B129" s="6"/>
      <c r="C129" s="7"/>
      <c r="D129" s="31"/>
      <c r="E129" s="31"/>
      <c r="F129" s="7"/>
      <c r="G129" s="7"/>
      <c r="H129" s="34"/>
      <c r="I129" s="34"/>
      <c r="J129" s="36">
        <f t="shared" si="9"/>
        <v>0</v>
      </c>
    </row>
    <row r="130" spans="2:10" x14ac:dyDescent="0.2">
      <c r="B130" s="6"/>
      <c r="C130" s="7"/>
      <c r="D130" s="31"/>
      <c r="E130" s="31"/>
      <c r="F130" s="7"/>
      <c r="G130" s="7"/>
      <c r="H130" s="34"/>
      <c r="I130" s="34"/>
      <c r="J130" s="36">
        <f t="shared" si="9"/>
        <v>0</v>
      </c>
    </row>
    <row r="131" spans="2:10" x14ac:dyDescent="0.2">
      <c r="B131" s="6"/>
      <c r="C131" s="7"/>
      <c r="D131" s="31"/>
      <c r="E131" s="31"/>
      <c r="F131" s="7"/>
      <c r="G131" s="7"/>
      <c r="H131" s="34"/>
      <c r="I131" s="34"/>
      <c r="J131" s="36">
        <f t="shared" ref="J131:J194" si="10">I131-H131</f>
        <v>0</v>
      </c>
    </row>
    <row r="132" spans="2:10" x14ac:dyDescent="0.2">
      <c r="B132" s="6"/>
      <c r="C132" s="7"/>
      <c r="D132" s="31"/>
      <c r="E132" s="31"/>
      <c r="F132" s="7"/>
      <c r="G132" s="7"/>
      <c r="H132" s="34"/>
      <c r="I132" s="34"/>
      <c r="J132" s="36">
        <f t="shared" si="10"/>
        <v>0</v>
      </c>
    </row>
    <row r="133" spans="2:10" x14ac:dyDescent="0.2">
      <c r="B133" s="6"/>
      <c r="C133" s="7"/>
      <c r="D133" s="31"/>
      <c r="E133" s="31"/>
      <c r="F133" s="7"/>
      <c r="G133" s="7"/>
      <c r="H133" s="34"/>
      <c r="I133" s="34"/>
      <c r="J133" s="36">
        <f t="shared" si="10"/>
        <v>0</v>
      </c>
    </row>
    <row r="134" spans="2:10" x14ac:dyDescent="0.2">
      <c r="B134" s="6"/>
      <c r="C134" s="7"/>
      <c r="D134" s="31"/>
      <c r="E134" s="31"/>
      <c r="F134" s="7"/>
      <c r="G134" s="7"/>
      <c r="H134" s="34"/>
      <c r="I134" s="34"/>
      <c r="J134" s="36">
        <f t="shared" si="10"/>
        <v>0</v>
      </c>
    </row>
    <row r="135" spans="2:10" x14ac:dyDescent="0.2">
      <c r="B135" s="6"/>
      <c r="C135" s="7"/>
      <c r="D135" s="31"/>
      <c r="E135" s="31"/>
      <c r="F135" s="7"/>
      <c r="G135" s="7"/>
      <c r="H135" s="34"/>
      <c r="I135" s="34"/>
      <c r="J135" s="36">
        <f t="shared" si="10"/>
        <v>0</v>
      </c>
    </row>
    <row r="136" spans="2:10" x14ac:dyDescent="0.2">
      <c r="B136" s="6"/>
      <c r="C136" s="7"/>
      <c r="D136" s="31"/>
      <c r="E136" s="31"/>
      <c r="F136" s="7"/>
      <c r="G136" s="7"/>
      <c r="H136" s="34"/>
      <c r="I136" s="34"/>
      <c r="J136" s="36">
        <f t="shared" si="10"/>
        <v>0</v>
      </c>
    </row>
    <row r="137" spans="2:10" x14ac:dyDescent="0.2">
      <c r="B137" s="6"/>
      <c r="C137" s="7"/>
      <c r="D137" s="31"/>
      <c r="E137" s="31"/>
      <c r="F137" s="7"/>
      <c r="G137" s="7"/>
      <c r="H137" s="34"/>
      <c r="I137" s="34"/>
      <c r="J137" s="36">
        <f t="shared" si="10"/>
        <v>0</v>
      </c>
    </row>
    <row r="138" spans="2:10" x14ac:dyDescent="0.2">
      <c r="B138" s="6"/>
      <c r="C138" s="7"/>
      <c r="D138" s="31"/>
      <c r="E138" s="31"/>
      <c r="F138" s="7"/>
      <c r="G138" s="7"/>
      <c r="H138" s="34"/>
      <c r="I138" s="34"/>
      <c r="J138" s="36">
        <f t="shared" si="10"/>
        <v>0</v>
      </c>
    </row>
    <row r="139" spans="2:10" x14ac:dyDescent="0.2">
      <c r="B139" s="6"/>
      <c r="C139" s="7"/>
      <c r="D139" s="31"/>
      <c r="E139" s="31"/>
      <c r="F139" s="7"/>
      <c r="G139" s="7"/>
      <c r="H139" s="34"/>
      <c r="I139" s="34"/>
      <c r="J139" s="36">
        <f t="shared" si="10"/>
        <v>0</v>
      </c>
    </row>
    <row r="140" spans="2:10" x14ac:dyDescent="0.2">
      <c r="B140" s="6"/>
      <c r="C140" s="7"/>
      <c r="D140" s="31"/>
      <c r="E140" s="31"/>
      <c r="F140" s="7"/>
      <c r="G140" s="7"/>
      <c r="H140" s="34"/>
      <c r="I140" s="34"/>
      <c r="J140" s="36">
        <f t="shared" si="10"/>
        <v>0</v>
      </c>
    </row>
    <row r="141" spans="2:10" x14ac:dyDescent="0.2">
      <c r="B141" s="6"/>
      <c r="C141" s="7"/>
      <c r="D141" s="31"/>
      <c r="E141" s="31"/>
      <c r="F141" s="7"/>
      <c r="G141" s="7"/>
      <c r="H141" s="34"/>
      <c r="I141" s="34"/>
      <c r="J141" s="36">
        <f t="shared" si="10"/>
        <v>0</v>
      </c>
    </row>
    <row r="142" spans="2:10" x14ac:dyDescent="0.2">
      <c r="B142" s="6"/>
      <c r="C142" s="7"/>
      <c r="D142" s="31"/>
      <c r="E142" s="31"/>
      <c r="F142" s="7"/>
      <c r="G142" s="7"/>
      <c r="H142" s="34"/>
      <c r="I142" s="34"/>
      <c r="J142" s="36">
        <f t="shared" si="10"/>
        <v>0</v>
      </c>
    </row>
    <row r="143" spans="2:10" x14ac:dyDescent="0.2">
      <c r="B143" s="6"/>
      <c r="C143" s="7"/>
      <c r="D143" s="31"/>
      <c r="E143" s="31"/>
      <c r="F143" s="7"/>
      <c r="G143" s="7"/>
      <c r="H143" s="34"/>
      <c r="I143" s="34"/>
      <c r="J143" s="36">
        <f t="shared" si="10"/>
        <v>0</v>
      </c>
    </row>
    <row r="144" spans="2:10" x14ac:dyDescent="0.2">
      <c r="B144" s="3"/>
      <c r="H144" s="35"/>
      <c r="I144" s="35"/>
      <c r="J144" s="37">
        <f t="shared" si="10"/>
        <v>0</v>
      </c>
    </row>
    <row r="145" spans="2:10" x14ac:dyDescent="0.2">
      <c r="B145" s="3"/>
      <c r="H145" s="35"/>
      <c r="I145" s="35"/>
      <c r="J145" s="37">
        <f t="shared" si="10"/>
        <v>0</v>
      </c>
    </row>
    <row r="146" spans="2:10" x14ac:dyDescent="0.2">
      <c r="B146" s="3"/>
      <c r="H146" s="35"/>
      <c r="I146" s="35"/>
      <c r="J146" s="37">
        <f t="shared" si="10"/>
        <v>0</v>
      </c>
    </row>
    <row r="147" spans="2:10" x14ac:dyDescent="0.2">
      <c r="B147" s="3"/>
      <c r="H147" s="35"/>
      <c r="I147" s="35"/>
      <c r="J147" s="37">
        <f t="shared" si="10"/>
        <v>0</v>
      </c>
    </row>
    <row r="148" spans="2:10" x14ac:dyDescent="0.2">
      <c r="B148" s="3"/>
      <c r="H148" s="35"/>
      <c r="I148" s="35"/>
      <c r="J148" s="37">
        <f t="shared" si="10"/>
        <v>0</v>
      </c>
    </row>
    <row r="149" spans="2:10" x14ac:dyDescent="0.2">
      <c r="B149" s="3"/>
      <c r="H149" s="35"/>
      <c r="I149" s="35"/>
      <c r="J149" s="37">
        <f t="shared" si="10"/>
        <v>0</v>
      </c>
    </row>
    <row r="150" spans="2:10" x14ac:dyDescent="0.2">
      <c r="B150" s="3"/>
      <c r="H150" s="35"/>
      <c r="I150" s="35"/>
      <c r="J150" s="37">
        <f t="shared" si="10"/>
        <v>0</v>
      </c>
    </row>
    <row r="151" spans="2:10" x14ac:dyDescent="0.2">
      <c r="B151" s="3"/>
      <c r="H151" s="35"/>
      <c r="I151" s="35"/>
      <c r="J151" s="37">
        <f t="shared" si="10"/>
        <v>0</v>
      </c>
    </row>
    <row r="152" spans="2:10" x14ac:dyDescent="0.2">
      <c r="B152" s="3"/>
      <c r="H152" s="35"/>
      <c r="I152" s="35"/>
      <c r="J152" s="37">
        <f t="shared" si="10"/>
        <v>0</v>
      </c>
    </row>
    <row r="153" spans="2:10" x14ac:dyDescent="0.2">
      <c r="B153" s="3"/>
      <c r="H153" s="35"/>
      <c r="I153" s="35"/>
      <c r="J153" s="37">
        <f t="shared" si="10"/>
        <v>0</v>
      </c>
    </row>
    <row r="154" spans="2:10" x14ac:dyDescent="0.2">
      <c r="B154" s="3"/>
      <c r="H154" s="35"/>
      <c r="I154" s="35"/>
      <c r="J154" s="37">
        <f t="shared" si="10"/>
        <v>0</v>
      </c>
    </row>
    <row r="155" spans="2:10" x14ac:dyDescent="0.2">
      <c r="B155" s="3"/>
      <c r="H155" s="35"/>
      <c r="I155" s="35"/>
      <c r="J155" s="37">
        <f t="shared" si="10"/>
        <v>0</v>
      </c>
    </row>
    <row r="156" spans="2:10" x14ac:dyDescent="0.2">
      <c r="B156" s="3"/>
      <c r="H156" s="35"/>
      <c r="I156" s="35"/>
      <c r="J156" s="37">
        <f t="shared" si="10"/>
        <v>0</v>
      </c>
    </row>
    <row r="157" spans="2:10" x14ac:dyDescent="0.2">
      <c r="B157" s="3"/>
      <c r="H157" s="35"/>
      <c r="I157" s="35"/>
      <c r="J157" s="37">
        <f t="shared" si="10"/>
        <v>0</v>
      </c>
    </row>
    <row r="158" spans="2:10" x14ac:dyDescent="0.2">
      <c r="B158" s="3"/>
      <c r="H158" s="35"/>
      <c r="I158" s="35"/>
      <c r="J158" s="37">
        <f t="shared" si="10"/>
        <v>0</v>
      </c>
    </row>
    <row r="159" spans="2:10" x14ac:dyDescent="0.2">
      <c r="B159" s="3"/>
      <c r="H159" s="35"/>
      <c r="I159" s="35"/>
      <c r="J159" s="37">
        <f t="shared" si="10"/>
        <v>0</v>
      </c>
    </row>
    <row r="160" spans="2:10" x14ac:dyDescent="0.2">
      <c r="B160" s="3"/>
      <c r="H160" s="35"/>
      <c r="I160" s="35"/>
      <c r="J160" s="37">
        <f t="shared" si="10"/>
        <v>0</v>
      </c>
    </row>
    <row r="161" spans="2:10" x14ac:dyDescent="0.2">
      <c r="B161" s="3"/>
      <c r="H161" s="35"/>
      <c r="I161" s="35"/>
      <c r="J161" s="37">
        <f t="shared" si="10"/>
        <v>0</v>
      </c>
    </row>
    <row r="162" spans="2:10" x14ac:dyDescent="0.2">
      <c r="B162" s="3"/>
      <c r="H162" s="35"/>
      <c r="I162" s="35"/>
      <c r="J162" s="37">
        <f t="shared" si="10"/>
        <v>0</v>
      </c>
    </row>
    <row r="163" spans="2:10" x14ac:dyDescent="0.2">
      <c r="B163" s="3"/>
      <c r="H163" s="35"/>
      <c r="I163" s="35"/>
      <c r="J163" s="37">
        <f t="shared" si="10"/>
        <v>0</v>
      </c>
    </row>
    <row r="164" spans="2:10" x14ac:dyDescent="0.2">
      <c r="B164" s="3"/>
      <c r="H164" s="35"/>
      <c r="I164" s="35"/>
      <c r="J164" s="37">
        <f t="shared" si="10"/>
        <v>0</v>
      </c>
    </row>
    <row r="165" spans="2:10" x14ac:dyDescent="0.2">
      <c r="B165" s="3"/>
      <c r="H165" s="35"/>
      <c r="I165" s="35"/>
      <c r="J165" s="37">
        <f t="shared" si="10"/>
        <v>0</v>
      </c>
    </row>
    <row r="166" spans="2:10" x14ac:dyDescent="0.2">
      <c r="B166" s="3"/>
      <c r="H166" s="35"/>
      <c r="I166" s="35"/>
      <c r="J166" s="37">
        <f t="shared" si="10"/>
        <v>0</v>
      </c>
    </row>
    <row r="167" spans="2:10" x14ac:dyDescent="0.2">
      <c r="B167" s="3"/>
      <c r="H167" s="35"/>
      <c r="I167" s="35"/>
      <c r="J167" s="37">
        <f t="shared" si="10"/>
        <v>0</v>
      </c>
    </row>
    <row r="168" spans="2:10" x14ac:dyDescent="0.2">
      <c r="B168" s="3"/>
      <c r="H168" s="35"/>
      <c r="I168" s="35"/>
      <c r="J168" s="37">
        <f t="shared" si="10"/>
        <v>0</v>
      </c>
    </row>
    <row r="169" spans="2:10" x14ac:dyDescent="0.2">
      <c r="B169" s="3"/>
      <c r="H169" s="35"/>
      <c r="I169" s="35"/>
      <c r="J169" s="37">
        <f t="shared" si="10"/>
        <v>0</v>
      </c>
    </row>
    <row r="170" spans="2:10" x14ac:dyDescent="0.2">
      <c r="B170" s="3"/>
      <c r="H170" s="35"/>
      <c r="I170" s="35"/>
      <c r="J170" s="37">
        <f t="shared" si="10"/>
        <v>0</v>
      </c>
    </row>
    <row r="171" spans="2:10" x14ac:dyDescent="0.2">
      <c r="B171" s="3"/>
      <c r="H171" s="35"/>
      <c r="I171" s="35"/>
      <c r="J171" s="37">
        <f t="shared" si="10"/>
        <v>0</v>
      </c>
    </row>
    <row r="172" spans="2:10" x14ac:dyDescent="0.2">
      <c r="B172" s="3"/>
      <c r="H172" s="35"/>
      <c r="I172" s="35"/>
      <c r="J172" s="37">
        <f t="shared" si="10"/>
        <v>0</v>
      </c>
    </row>
    <row r="173" spans="2:10" x14ac:dyDescent="0.2">
      <c r="B173" s="3"/>
      <c r="H173" s="35"/>
      <c r="I173" s="35"/>
      <c r="J173" s="37">
        <f t="shared" si="10"/>
        <v>0</v>
      </c>
    </row>
    <row r="174" spans="2:10" x14ac:dyDescent="0.2">
      <c r="B174" s="3"/>
      <c r="H174" s="35"/>
      <c r="I174" s="35"/>
      <c r="J174" s="37">
        <f t="shared" si="10"/>
        <v>0</v>
      </c>
    </row>
    <row r="175" spans="2:10" x14ac:dyDescent="0.2">
      <c r="B175" s="3"/>
      <c r="H175" s="35"/>
      <c r="I175" s="35"/>
      <c r="J175" s="37">
        <f t="shared" si="10"/>
        <v>0</v>
      </c>
    </row>
    <row r="176" spans="2:10" x14ac:dyDescent="0.2">
      <c r="B176" s="3"/>
      <c r="H176" s="35"/>
      <c r="I176" s="35"/>
      <c r="J176" s="37">
        <f t="shared" si="10"/>
        <v>0</v>
      </c>
    </row>
    <row r="177" spans="2:10" x14ac:dyDescent="0.2">
      <c r="B177" s="3"/>
      <c r="H177" s="35"/>
      <c r="I177" s="35"/>
      <c r="J177" s="37">
        <f t="shared" si="10"/>
        <v>0</v>
      </c>
    </row>
    <row r="178" spans="2:10" x14ac:dyDescent="0.2">
      <c r="B178" s="3"/>
      <c r="H178" s="35"/>
      <c r="I178" s="35"/>
      <c r="J178" s="37">
        <f t="shared" si="10"/>
        <v>0</v>
      </c>
    </row>
    <row r="179" spans="2:10" x14ac:dyDescent="0.2">
      <c r="B179" s="3"/>
      <c r="H179" s="35"/>
      <c r="I179" s="35"/>
      <c r="J179" s="37">
        <f t="shared" si="10"/>
        <v>0</v>
      </c>
    </row>
    <row r="180" spans="2:10" x14ac:dyDescent="0.2">
      <c r="B180" s="3"/>
      <c r="H180" s="35"/>
      <c r="I180" s="35"/>
      <c r="J180" s="37">
        <f t="shared" si="10"/>
        <v>0</v>
      </c>
    </row>
    <row r="181" spans="2:10" x14ac:dyDescent="0.2">
      <c r="B181" s="3"/>
      <c r="H181" s="35"/>
      <c r="I181" s="35"/>
      <c r="J181" s="37">
        <f t="shared" si="10"/>
        <v>0</v>
      </c>
    </row>
    <row r="182" spans="2:10" x14ac:dyDescent="0.2">
      <c r="B182" s="3"/>
      <c r="H182" s="35"/>
      <c r="I182" s="35"/>
      <c r="J182" s="37">
        <f t="shared" si="10"/>
        <v>0</v>
      </c>
    </row>
    <row r="183" spans="2:10" x14ac:dyDescent="0.2">
      <c r="B183" s="3"/>
      <c r="H183" s="35"/>
      <c r="I183" s="35"/>
      <c r="J183" s="37">
        <f t="shared" si="10"/>
        <v>0</v>
      </c>
    </row>
    <row r="184" spans="2:10" x14ac:dyDescent="0.2">
      <c r="B184" s="3"/>
      <c r="H184" s="35"/>
      <c r="I184" s="35"/>
      <c r="J184" s="37">
        <f t="shared" si="10"/>
        <v>0</v>
      </c>
    </row>
    <row r="185" spans="2:10" x14ac:dyDescent="0.2">
      <c r="B185" s="3"/>
      <c r="H185" s="35"/>
      <c r="I185" s="35"/>
      <c r="J185" s="37">
        <f t="shared" si="10"/>
        <v>0</v>
      </c>
    </row>
    <row r="186" spans="2:10" x14ac:dyDescent="0.2">
      <c r="B186" s="3"/>
      <c r="H186" s="35"/>
      <c r="I186" s="35"/>
      <c r="J186" s="37">
        <f t="shared" si="10"/>
        <v>0</v>
      </c>
    </row>
    <row r="187" spans="2:10" x14ac:dyDescent="0.2">
      <c r="B187" s="3"/>
      <c r="H187" s="35"/>
      <c r="I187" s="35"/>
      <c r="J187" s="37">
        <f t="shared" si="10"/>
        <v>0</v>
      </c>
    </row>
    <row r="188" spans="2:10" x14ac:dyDescent="0.2">
      <c r="B188" s="3"/>
      <c r="H188" s="35"/>
      <c r="I188" s="35"/>
      <c r="J188" s="37">
        <f t="shared" si="10"/>
        <v>0</v>
      </c>
    </row>
    <row r="189" spans="2:10" x14ac:dyDescent="0.2">
      <c r="B189" s="3"/>
      <c r="H189" s="35"/>
      <c r="I189" s="35"/>
      <c r="J189" s="37">
        <f t="shared" si="10"/>
        <v>0</v>
      </c>
    </row>
    <row r="190" spans="2:10" x14ac:dyDescent="0.2">
      <c r="B190" s="3"/>
      <c r="H190" s="35"/>
      <c r="I190" s="35"/>
      <c r="J190" s="37">
        <f t="shared" si="10"/>
        <v>0</v>
      </c>
    </row>
    <row r="191" spans="2:10" x14ac:dyDescent="0.2">
      <c r="B191" s="3"/>
      <c r="H191" s="35"/>
      <c r="I191" s="35"/>
      <c r="J191" s="37">
        <f t="shared" si="10"/>
        <v>0</v>
      </c>
    </row>
    <row r="192" spans="2:10" x14ac:dyDescent="0.2">
      <c r="B192" s="3"/>
      <c r="H192" s="35"/>
      <c r="I192" s="35"/>
      <c r="J192" s="37">
        <f t="shared" si="10"/>
        <v>0</v>
      </c>
    </row>
    <row r="193" spans="2:10" x14ac:dyDescent="0.2">
      <c r="B193" s="3"/>
      <c r="H193" s="35"/>
      <c r="I193" s="35"/>
      <c r="J193" s="37">
        <f t="shared" si="10"/>
        <v>0</v>
      </c>
    </row>
    <row r="194" spans="2:10" x14ac:dyDescent="0.2">
      <c r="B194" s="3"/>
      <c r="H194" s="35"/>
      <c r="I194" s="35"/>
      <c r="J194" s="37">
        <f t="shared" si="10"/>
        <v>0</v>
      </c>
    </row>
    <row r="195" spans="2:10" x14ac:dyDescent="0.2">
      <c r="B195" s="3"/>
      <c r="H195" s="35"/>
      <c r="I195" s="35"/>
      <c r="J195" s="37">
        <f t="shared" ref="J195:J226" si="11">I195-H195</f>
        <v>0</v>
      </c>
    </row>
    <row r="196" spans="2:10" x14ac:dyDescent="0.2">
      <c r="B196" s="3"/>
      <c r="H196" s="35"/>
      <c r="I196" s="35"/>
      <c r="J196" s="37">
        <f t="shared" si="11"/>
        <v>0</v>
      </c>
    </row>
    <row r="197" spans="2:10" x14ac:dyDescent="0.2">
      <c r="B197" s="3"/>
      <c r="H197" s="35"/>
      <c r="I197" s="35"/>
      <c r="J197" s="37">
        <f t="shared" si="11"/>
        <v>0</v>
      </c>
    </row>
    <row r="198" spans="2:10" x14ac:dyDescent="0.2">
      <c r="B198" s="3"/>
      <c r="H198" s="35"/>
      <c r="I198" s="35"/>
      <c r="J198" s="37">
        <f t="shared" si="11"/>
        <v>0</v>
      </c>
    </row>
    <row r="199" spans="2:10" x14ac:dyDescent="0.2">
      <c r="B199" s="3"/>
      <c r="H199" s="35"/>
      <c r="I199" s="35"/>
      <c r="J199" s="37">
        <f t="shared" si="11"/>
        <v>0</v>
      </c>
    </row>
    <row r="200" spans="2:10" x14ac:dyDescent="0.2">
      <c r="B200" s="3"/>
      <c r="H200" s="35"/>
      <c r="I200" s="35"/>
      <c r="J200" s="37">
        <f t="shared" si="11"/>
        <v>0</v>
      </c>
    </row>
    <row r="201" spans="2:10" x14ac:dyDescent="0.2">
      <c r="B201" s="3"/>
      <c r="H201" s="35"/>
      <c r="I201" s="35"/>
      <c r="J201" s="37">
        <f t="shared" si="11"/>
        <v>0</v>
      </c>
    </row>
    <row r="202" spans="2:10" x14ac:dyDescent="0.2">
      <c r="B202" s="3"/>
      <c r="H202" s="35"/>
      <c r="I202" s="35"/>
      <c r="J202" s="37">
        <f t="shared" si="11"/>
        <v>0</v>
      </c>
    </row>
    <row r="203" spans="2:10" x14ac:dyDescent="0.2">
      <c r="B203" s="3"/>
      <c r="H203" s="35"/>
      <c r="I203" s="35"/>
      <c r="J203" s="37">
        <f t="shared" si="11"/>
        <v>0</v>
      </c>
    </row>
    <row r="204" spans="2:10" x14ac:dyDescent="0.2">
      <c r="B204" s="3"/>
      <c r="H204" s="35"/>
      <c r="I204" s="35"/>
      <c r="J204" s="37">
        <f t="shared" si="11"/>
        <v>0</v>
      </c>
    </row>
    <row r="205" spans="2:10" x14ac:dyDescent="0.2">
      <c r="B205" s="3"/>
      <c r="H205" s="35"/>
      <c r="I205" s="35"/>
      <c r="J205" s="37">
        <f t="shared" si="11"/>
        <v>0</v>
      </c>
    </row>
    <row r="206" spans="2:10" x14ac:dyDescent="0.2">
      <c r="B206" s="3"/>
      <c r="H206" s="35"/>
      <c r="I206" s="35"/>
      <c r="J206" s="37">
        <f t="shared" si="11"/>
        <v>0</v>
      </c>
    </row>
    <row r="207" spans="2:10" x14ac:dyDescent="0.2">
      <c r="B207" s="3"/>
      <c r="H207" s="35"/>
      <c r="I207" s="35"/>
      <c r="J207" s="37">
        <f t="shared" si="11"/>
        <v>0</v>
      </c>
    </row>
    <row r="208" spans="2:10" x14ac:dyDescent="0.2">
      <c r="B208" s="3"/>
      <c r="H208" s="35"/>
      <c r="I208" s="35"/>
      <c r="J208" s="37">
        <f t="shared" si="11"/>
        <v>0</v>
      </c>
    </row>
    <row r="209" spans="2:10" x14ac:dyDescent="0.2">
      <c r="B209" s="3"/>
      <c r="H209" s="35"/>
      <c r="I209" s="35"/>
      <c r="J209" s="37">
        <f t="shared" si="11"/>
        <v>0</v>
      </c>
    </row>
    <row r="210" spans="2:10" x14ac:dyDescent="0.2">
      <c r="B210" s="3"/>
      <c r="H210" s="35"/>
      <c r="I210" s="35"/>
      <c r="J210" s="37">
        <f t="shared" si="11"/>
        <v>0</v>
      </c>
    </row>
    <row r="211" spans="2:10" x14ac:dyDescent="0.2">
      <c r="B211" s="3"/>
      <c r="H211" s="35"/>
      <c r="I211" s="35"/>
      <c r="J211" s="37">
        <f t="shared" si="11"/>
        <v>0</v>
      </c>
    </row>
    <row r="212" spans="2:10" x14ac:dyDescent="0.2">
      <c r="B212" s="3"/>
      <c r="H212" s="35"/>
      <c r="I212" s="35"/>
      <c r="J212" s="37">
        <f t="shared" si="11"/>
        <v>0</v>
      </c>
    </row>
    <row r="213" spans="2:10" x14ac:dyDescent="0.2">
      <c r="B213" s="3"/>
      <c r="H213" s="35"/>
      <c r="I213" s="35"/>
      <c r="J213" s="37">
        <f t="shared" si="11"/>
        <v>0</v>
      </c>
    </row>
    <row r="214" spans="2:10" x14ac:dyDescent="0.2">
      <c r="B214" s="3"/>
      <c r="H214" s="35"/>
      <c r="I214" s="35"/>
      <c r="J214" s="37">
        <f t="shared" si="11"/>
        <v>0</v>
      </c>
    </row>
    <row r="215" spans="2:10" x14ac:dyDescent="0.2">
      <c r="B215" s="3"/>
      <c r="H215" s="35"/>
      <c r="I215" s="35"/>
      <c r="J215" s="37">
        <f t="shared" si="11"/>
        <v>0</v>
      </c>
    </row>
    <row r="216" spans="2:10" x14ac:dyDescent="0.2">
      <c r="B216" s="3"/>
      <c r="H216" s="35"/>
      <c r="I216" s="35"/>
      <c r="J216" s="37">
        <f t="shared" si="11"/>
        <v>0</v>
      </c>
    </row>
    <row r="217" spans="2:10" x14ac:dyDescent="0.2">
      <c r="H217" s="35"/>
      <c r="I217" s="35"/>
      <c r="J217" s="37">
        <f t="shared" si="11"/>
        <v>0</v>
      </c>
    </row>
    <row r="218" spans="2:10" x14ac:dyDescent="0.2">
      <c r="H218" s="35"/>
      <c r="I218" s="35"/>
      <c r="J218" s="37">
        <f t="shared" si="11"/>
        <v>0</v>
      </c>
    </row>
    <row r="219" spans="2:10" x14ac:dyDescent="0.2">
      <c r="H219" s="35"/>
      <c r="I219" s="35"/>
      <c r="J219" s="37">
        <f t="shared" si="11"/>
        <v>0</v>
      </c>
    </row>
    <row r="220" spans="2:10" x14ac:dyDescent="0.2">
      <c r="H220" s="35"/>
      <c r="I220" s="35"/>
      <c r="J220" s="37">
        <f t="shared" si="11"/>
        <v>0</v>
      </c>
    </row>
    <row r="221" spans="2:10" x14ac:dyDescent="0.2">
      <c r="H221" s="35"/>
      <c r="I221" s="35"/>
      <c r="J221" s="37">
        <f t="shared" si="11"/>
        <v>0</v>
      </c>
    </row>
    <row r="222" spans="2:10" x14ac:dyDescent="0.2">
      <c r="H222" s="35"/>
      <c r="I222" s="35"/>
      <c r="J222" s="37">
        <f t="shared" si="11"/>
        <v>0</v>
      </c>
    </row>
    <row r="223" spans="2:10" x14ac:dyDescent="0.2">
      <c r="H223" s="35"/>
      <c r="I223" s="35"/>
      <c r="J223" s="37">
        <f t="shared" si="11"/>
        <v>0</v>
      </c>
    </row>
    <row r="224" spans="2:10" x14ac:dyDescent="0.2">
      <c r="H224" s="35"/>
      <c r="I224" s="35"/>
      <c r="J224" s="37">
        <f t="shared" si="11"/>
        <v>0</v>
      </c>
    </row>
    <row r="225" spans="8:10" x14ac:dyDescent="0.2">
      <c r="H225" s="35"/>
      <c r="I225" s="35"/>
      <c r="J225" s="37">
        <f t="shared" si="11"/>
        <v>0</v>
      </c>
    </row>
    <row r="226" spans="8:10" x14ac:dyDescent="0.2">
      <c r="H226" s="35"/>
      <c r="I226" s="35"/>
      <c r="J226" s="37">
        <f t="shared" si="11"/>
        <v>0</v>
      </c>
    </row>
    <row r="227" spans="8:10" x14ac:dyDescent="0.2">
      <c r="H227" s="35"/>
      <c r="I227" s="35"/>
      <c r="J227" s="37">
        <f t="shared" ref="J227:J234" si="12">I227-H227</f>
        <v>0</v>
      </c>
    </row>
    <row r="228" spans="8:10" x14ac:dyDescent="0.2">
      <c r="H228" s="35"/>
      <c r="I228" s="35"/>
      <c r="J228" s="37">
        <f t="shared" si="12"/>
        <v>0</v>
      </c>
    </row>
    <row r="229" spans="8:10" x14ac:dyDescent="0.2">
      <c r="H229" s="35"/>
      <c r="I229" s="35"/>
      <c r="J229" s="37">
        <f t="shared" si="12"/>
        <v>0</v>
      </c>
    </row>
    <row r="230" spans="8:10" x14ac:dyDescent="0.2">
      <c r="H230" s="35"/>
      <c r="I230" s="35"/>
      <c r="J230" s="37">
        <f t="shared" si="12"/>
        <v>0</v>
      </c>
    </row>
    <row r="231" spans="8:10" x14ac:dyDescent="0.2">
      <c r="H231" s="35"/>
      <c r="I231" s="35"/>
      <c r="J231" s="37">
        <f t="shared" si="12"/>
        <v>0</v>
      </c>
    </row>
    <row r="232" spans="8:10" x14ac:dyDescent="0.2">
      <c r="H232" s="35"/>
      <c r="I232" s="35"/>
      <c r="J232" s="37">
        <f t="shared" si="12"/>
        <v>0</v>
      </c>
    </row>
    <row r="233" spans="8:10" x14ac:dyDescent="0.2">
      <c r="H233" s="35"/>
      <c r="I233" s="35"/>
      <c r="J233" s="37">
        <f t="shared" si="12"/>
        <v>0</v>
      </c>
    </row>
    <row r="234" spans="8:10" x14ac:dyDescent="0.2">
      <c r="H234" s="35"/>
      <c r="I234" s="35"/>
      <c r="J234" s="37">
        <f t="shared" si="12"/>
        <v>0</v>
      </c>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24997F0-5207-4FBF-A8F9-7991C5F522E6}">
          <x14:formula1>
            <xm:f>Sheet2!$A$1:$A$3</xm:f>
          </x14:formula1>
          <xm:sqref>G2:G143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66A80-FBF2-49AE-986A-6C173CBBA53D}">
  <dimension ref="A1:N237"/>
  <sheetViews>
    <sheetView rightToLeft="1" zoomScale="122" zoomScaleNormal="122" workbookViewId="0">
      <pane ySplit="1" topLeftCell="A2" activePane="bottomLeft" state="frozen"/>
      <selection activeCell="B1" sqref="B1"/>
      <selection pane="bottomLeft" activeCell="A2" sqref="A2:J13"/>
    </sheetView>
  </sheetViews>
  <sheetFormatPr defaultRowHeight="15" x14ac:dyDescent="0.2"/>
  <cols>
    <col min="1" max="1" width="4.625" bestFit="1" customWidth="1"/>
    <col min="2" max="2" width="9.625" bestFit="1" customWidth="1"/>
    <col min="3" max="3" width="6.375" customWidth="1"/>
    <col min="4" max="4" width="9.375" customWidth="1"/>
    <col min="5" max="5" width="13.625" customWidth="1"/>
    <col min="6" max="6" width="14.875" customWidth="1"/>
    <col min="7" max="7" width="8.375" style="21" customWidth="1"/>
    <col min="8" max="8" width="10.5" style="33" bestFit="1" customWidth="1"/>
    <col min="9" max="9" width="9.625" style="33" bestFit="1" customWidth="1"/>
    <col min="10" max="10" width="14.5" style="37" bestFit="1" customWidth="1"/>
    <col min="14" max="14" width="11.375" bestFit="1" customWidth="1"/>
  </cols>
  <sheetData>
    <row r="1" spans="1:14" ht="26.1" customHeight="1" x14ac:dyDescent="0.2">
      <c r="A1" s="4" t="s">
        <v>69</v>
      </c>
      <c r="B1" s="4" t="s">
        <v>3</v>
      </c>
      <c r="C1" s="4" t="s">
        <v>4</v>
      </c>
      <c r="D1" s="4" t="s">
        <v>6</v>
      </c>
      <c r="E1" s="4" t="s">
        <v>293</v>
      </c>
      <c r="F1" s="4" t="s">
        <v>128</v>
      </c>
      <c r="G1" s="20" t="s">
        <v>144</v>
      </c>
      <c r="H1" s="32" t="s">
        <v>0</v>
      </c>
      <c r="I1" s="32" t="s">
        <v>1</v>
      </c>
      <c r="J1" s="32" t="s">
        <v>2</v>
      </c>
      <c r="M1" s="9" t="s">
        <v>67</v>
      </c>
      <c r="N1" s="9" t="s">
        <v>68</v>
      </c>
    </row>
    <row r="2" spans="1:14" x14ac:dyDescent="0.2">
      <c r="A2">
        <v>1</v>
      </c>
      <c r="B2" s="8" t="s">
        <v>83</v>
      </c>
      <c r="C2" t="s">
        <v>12</v>
      </c>
      <c r="D2" t="s">
        <v>84</v>
      </c>
      <c r="F2" t="s">
        <v>200</v>
      </c>
      <c r="G2" s="21" t="s">
        <v>142</v>
      </c>
      <c r="H2" s="34">
        <v>0.45833333333333331</v>
      </c>
      <c r="I2" s="34">
        <v>0.64583333333333337</v>
      </c>
      <c r="J2" s="36">
        <f t="shared" ref="J2" si="0">I2-H2</f>
        <v>0.18750000000000006</v>
      </c>
      <c r="M2" s="10">
        <v>12</v>
      </c>
      <c r="N2" s="11">
        <f t="shared" ref="N2:N13" si="1">SUMIF(A:A,M2,J:J)</f>
        <v>0</v>
      </c>
    </row>
    <row r="3" spans="1:14" x14ac:dyDescent="0.2">
      <c r="A3">
        <v>3</v>
      </c>
      <c r="B3" s="8">
        <v>44929</v>
      </c>
      <c r="C3" t="s">
        <v>52</v>
      </c>
      <c r="D3" t="s">
        <v>85</v>
      </c>
      <c r="F3" t="s">
        <v>168</v>
      </c>
      <c r="G3" s="21" t="s">
        <v>142</v>
      </c>
      <c r="H3" s="34">
        <v>0.45833333333333331</v>
      </c>
      <c r="I3" s="34">
        <v>0.72916666666666663</v>
      </c>
      <c r="J3" s="36">
        <f t="shared" ref="J3" si="2">I3-H3</f>
        <v>0.27083333333333331</v>
      </c>
      <c r="M3" s="10">
        <v>11</v>
      </c>
      <c r="N3" s="11">
        <f t="shared" si="1"/>
        <v>0</v>
      </c>
    </row>
    <row r="4" spans="1:14" x14ac:dyDescent="0.2">
      <c r="A4">
        <v>7</v>
      </c>
      <c r="B4" s="8">
        <v>45023</v>
      </c>
      <c r="C4" t="s">
        <v>106</v>
      </c>
      <c r="D4" t="s">
        <v>122</v>
      </c>
      <c r="F4" t="s">
        <v>170</v>
      </c>
      <c r="G4" s="21" t="s">
        <v>142</v>
      </c>
      <c r="H4" s="34">
        <v>0.39583333333333331</v>
      </c>
      <c r="I4" s="34">
        <v>0.70833333333333337</v>
      </c>
      <c r="J4" s="36">
        <f t="shared" ref="J4:J70" si="3">I4-H4</f>
        <v>0.31250000000000006</v>
      </c>
      <c r="M4" s="10">
        <v>1</v>
      </c>
      <c r="N4" s="11">
        <f t="shared" si="1"/>
        <v>0.18750000000000006</v>
      </c>
    </row>
    <row r="5" spans="1:14" x14ac:dyDescent="0.2">
      <c r="A5">
        <v>7</v>
      </c>
      <c r="B5" s="8">
        <v>45084</v>
      </c>
      <c r="C5" t="s">
        <v>124</v>
      </c>
      <c r="D5" t="s">
        <v>122</v>
      </c>
      <c r="F5" t="s">
        <v>169</v>
      </c>
      <c r="G5" s="21" t="s">
        <v>142</v>
      </c>
      <c r="H5" s="34">
        <v>0.54166666666666663</v>
      </c>
      <c r="I5" s="34">
        <v>0.58333333333333337</v>
      </c>
      <c r="J5" s="36">
        <f t="shared" ref="J5" si="4">I5-H5</f>
        <v>4.1666666666666741E-2</v>
      </c>
      <c r="M5" s="10">
        <v>2</v>
      </c>
      <c r="N5" s="11">
        <f t="shared" si="1"/>
        <v>0</v>
      </c>
    </row>
    <row r="6" spans="1:14" x14ac:dyDescent="0.2">
      <c r="A6">
        <v>7</v>
      </c>
      <c r="B6" s="8">
        <v>45145</v>
      </c>
      <c r="C6" t="s">
        <v>34</v>
      </c>
      <c r="D6" t="s">
        <v>122</v>
      </c>
      <c r="F6" t="s">
        <v>169</v>
      </c>
      <c r="G6" s="21" t="s">
        <v>142</v>
      </c>
      <c r="H6" s="34">
        <v>0.41666666666666669</v>
      </c>
      <c r="I6" s="34">
        <v>0.85416666666666663</v>
      </c>
      <c r="J6" s="36">
        <f t="shared" ref="J6:J8" si="5">I6-H6</f>
        <v>0.43749999999999994</v>
      </c>
      <c r="M6" s="10">
        <v>3</v>
      </c>
      <c r="N6" s="11">
        <f t="shared" si="1"/>
        <v>0.27083333333333331</v>
      </c>
    </row>
    <row r="7" spans="1:14" x14ac:dyDescent="0.2">
      <c r="A7">
        <v>7</v>
      </c>
      <c r="B7" s="8">
        <v>45206</v>
      </c>
      <c r="C7" t="s">
        <v>125</v>
      </c>
      <c r="D7" t="s">
        <v>122</v>
      </c>
      <c r="F7" t="s">
        <v>168</v>
      </c>
      <c r="G7" s="21" t="s">
        <v>142</v>
      </c>
      <c r="H7" s="34">
        <v>0.52083333333333337</v>
      </c>
      <c r="I7" s="34">
        <v>0.70833333333333337</v>
      </c>
      <c r="J7" s="36">
        <f t="shared" si="5"/>
        <v>0.1875</v>
      </c>
      <c r="M7" s="10">
        <v>4</v>
      </c>
      <c r="N7" s="11">
        <f t="shared" si="1"/>
        <v>0</v>
      </c>
    </row>
    <row r="8" spans="1:14" x14ac:dyDescent="0.2">
      <c r="A8">
        <v>7</v>
      </c>
      <c r="B8" s="8">
        <v>45237</v>
      </c>
      <c r="C8" t="s">
        <v>106</v>
      </c>
      <c r="D8" t="s">
        <v>122</v>
      </c>
      <c r="F8" t="s">
        <v>167</v>
      </c>
      <c r="G8" s="21" t="s">
        <v>142</v>
      </c>
      <c r="H8" s="34">
        <v>0.52083333333333337</v>
      </c>
      <c r="I8" s="34">
        <v>0.6875</v>
      </c>
      <c r="J8" s="36">
        <f t="shared" si="5"/>
        <v>0.16666666666666663</v>
      </c>
      <c r="M8" s="10">
        <v>5</v>
      </c>
      <c r="N8" s="11">
        <f t="shared" si="1"/>
        <v>0</v>
      </c>
    </row>
    <row r="9" spans="1:14" x14ac:dyDescent="0.2">
      <c r="A9">
        <v>7</v>
      </c>
      <c r="B9" s="8">
        <v>45267</v>
      </c>
      <c r="C9" t="s">
        <v>52</v>
      </c>
      <c r="D9" t="s">
        <v>122</v>
      </c>
      <c r="F9" t="s">
        <v>129</v>
      </c>
      <c r="G9" s="21" t="s">
        <v>142</v>
      </c>
      <c r="H9" s="34">
        <v>0.45833333333333331</v>
      </c>
      <c r="I9" s="34">
        <v>0.72916666666666663</v>
      </c>
      <c r="J9" s="36">
        <f t="shared" ref="J9" si="6">I9-H9</f>
        <v>0.27083333333333331</v>
      </c>
      <c r="M9" s="10">
        <v>6</v>
      </c>
      <c r="N9" s="11">
        <f t="shared" si="1"/>
        <v>0</v>
      </c>
    </row>
    <row r="10" spans="1:14" x14ac:dyDescent="0.2">
      <c r="A10">
        <v>7</v>
      </c>
      <c r="B10" s="8" t="s">
        <v>132</v>
      </c>
      <c r="C10" t="s">
        <v>33</v>
      </c>
      <c r="D10" t="s">
        <v>122</v>
      </c>
      <c r="F10" t="s">
        <v>133</v>
      </c>
      <c r="G10" s="21" t="s">
        <v>142</v>
      </c>
      <c r="H10" s="34">
        <v>0.39583333333333331</v>
      </c>
      <c r="I10" s="34">
        <v>0.60416666666666663</v>
      </c>
      <c r="J10" s="36">
        <f t="shared" ref="J10" si="7">I10-H10</f>
        <v>0.20833333333333331</v>
      </c>
      <c r="M10" s="10">
        <v>7</v>
      </c>
      <c r="N10" s="11">
        <f t="shared" si="1"/>
        <v>1.6666666666666667</v>
      </c>
    </row>
    <row r="11" spans="1:14" x14ac:dyDescent="0.2">
      <c r="A11">
        <v>7</v>
      </c>
      <c r="B11" s="8" t="s">
        <v>139</v>
      </c>
      <c r="C11" t="s">
        <v>125</v>
      </c>
      <c r="D11" t="s">
        <v>122</v>
      </c>
      <c r="F11" t="s">
        <v>166</v>
      </c>
      <c r="G11" s="21" t="s">
        <v>142</v>
      </c>
      <c r="H11" s="34">
        <v>0.54166666666666663</v>
      </c>
      <c r="I11" s="34">
        <v>0.58333333333333337</v>
      </c>
      <c r="J11" s="36">
        <f t="shared" ref="J11:J12" si="8">I11-H11</f>
        <v>4.1666666666666741E-2</v>
      </c>
      <c r="M11" s="10">
        <v>8</v>
      </c>
      <c r="N11" s="11">
        <f t="shared" si="1"/>
        <v>0.12499999999999994</v>
      </c>
    </row>
    <row r="12" spans="1:14" x14ac:dyDescent="0.2">
      <c r="A12">
        <v>8</v>
      </c>
      <c r="B12" s="8">
        <v>44965</v>
      </c>
      <c r="C12" t="s">
        <v>52</v>
      </c>
      <c r="D12" t="s">
        <v>122</v>
      </c>
      <c r="F12" t="s">
        <v>270</v>
      </c>
      <c r="G12" s="21" t="s">
        <v>142</v>
      </c>
      <c r="H12" s="34">
        <v>0.6875</v>
      </c>
      <c r="I12" s="34">
        <v>0.72916666666666663</v>
      </c>
      <c r="J12" s="36">
        <f t="shared" si="8"/>
        <v>4.166666666666663E-2</v>
      </c>
      <c r="M12" s="10">
        <v>9</v>
      </c>
      <c r="N12" s="11">
        <f t="shared" si="1"/>
        <v>0</v>
      </c>
    </row>
    <row r="13" spans="1:14" x14ac:dyDescent="0.2">
      <c r="A13">
        <v>8</v>
      </c>
      <c r="B13" s="8">
        <v>45085</v>
      </c>
      <c r="C13" t="s">
        <v>12</v>
      </c>
      <c r="D13" t="s">
        <v>122</v>
      </c>
      <c r="F13" t="s">
        <v>274</v>
      </c>
      <c r="G13" s="21" t="s">
        <v>142</v>
      </c>
      <c r="H13" s="34">
        <v>0.45833333333333331</v>
      </c>
      <c r="I13" s="34">
        <v>0.54166666666666663</v>
      </c>
      <c r="J13" s="36">
        <f t="shared" ref="J13" si="9">I13-H13</f>
        <v>8.3333333333333315E-2</v>
      </c>
      <c r="M13" s="10">
        <v>10</v>
      </c>
      <c r="N13" s="11">
        <f t="shared" si="1"/>
        <v>0</v>
      </c>
    </row>
    <row r="14" spans="1:14" x14ac:dyDescent="0.2">
      <c r="A14">
        <v>8</v>
      </c>
      <c r="B14" s="8"/>
      <c r="H14" s="34"/>
      <c r="I14" s="34"/>
      <c r="J14" s="36">
        <f t="shared" si="3"/>
        <v>0</v>
      </c>
      <c r="M14" s="12" t="s">
        <v>70</v>
      </c>
      <c r="N14" s="13">
        <f>SUM(N2:N13)</f>
        <v>2.25</v>
      </c>
    </row>
    <row r="15" spans="1:14" x14ac:dyDescent="0.2">
      <c r="A15">
        <v>8</v>
      </c>
      <c r="B15" s="8"/>
      <c r="H15" s="34"/>
      <c r="I15" s="34"/>
      <c r="J15" s="36">
        <f t="shared" si="3"/>
        <v>0</v>
      </c>
    </row>
    <row r="16" spans="1:14" x14ac:dyDescent="0.2">
      <c r="A16">
        <v>8</v>
      </c>
      <c r="B16" s="8"/>
      <c r="H16" s="34"/>
      <c r="I16" s="34"/>
      <c r="J16" s="36">
        <f t="shared" si="3"/>
        <v>0</v>
      </c>
    </row>
    <row r="17" spans="1:10" x14ac:dyDescent="0.2">
      <c r="A17">
        <v>8</v>
      </c>
      <c r="B17" s="8"/>
      <c r="H17" s="34"/>
      <c r="I17" s="34"/>
      <c r="J17" s="36">
        <f t="shared" si="3"/>
        <v>0</v>
      </c>
    </row>
    <row r="18" spans="1:10" x14ac:dyDescent="0.2">
      <c r="A18">
        <v>8</v>
      </c>
      <c r="B18" s="8"/>
      <c r="H18" s="34"/>
      <c r="I18" s="34"/>
      <c r="J18" s="36">
        <f t="shared" si="3"/>
        <v>0</v>
      </c>
    </row>
    <row r="19" spans="1:10" x14ac:dyDescent="0.2">
      <c r="A19">
        <v>8</v>
      </c>
      <c r="B19" s="8"/>
      <c r="H19" s="34"/>
      <c r="I19" s="34"/>
      <c r="J19" s="36">
        <f t="shared" si="3"/>
        <v>0</v>
      </c>
    </row>
    <row r="20" spans="1:10" x14ac:dyDescent="0.2">
      <c r="A20">
        <v>8</v>
      </c>
      <c r="H20" s="34"/>
      <c r="I20" s="34"/>
      <c r="J20" s="36">
        <f t="shared" si="3"/>
        <v>0</v>
      </c>
    </row>
    <row r="21" spans="1:10" x14ac:dyDescent="0.2">
      <c r="A21">
        <v>8</v>
      </c>
      <c r="H21" s="34"/>
      <c r="I21" s="34"/>
      <c r="J21" s="36">
        <f t="shared" si="3"/>
        <v>0</v>
      </c>
    </row>
    <row r="22" spans="1:10" x14ac:dyDescent="0.2">
      <c r="A22">
        <v>8</v>
      </c>
      <c r="H22" s="34"/>
      <c r="I22" s="34"/>
      <c r="J22" s="36">
        <f t="shared" si="3"/>
        <v>0</v>
      </c>
    </row>
    <row r="23" spans="1:10" x14ac:dyDescent="0.2">
      <c r="A23">
        <v>8</v>
      </c>
      <c r="H23" s="34"/>
      <c r="I23" s="34"/>
      <c r="J23" s="36">
        <f t="shared" si="3"/>
        <v>0</v>
      </c>
    </row>
    <row r="24" spans="1:10" x14ac:dyDescent="0.2">
      <c r="H24" s="34"/>
      <c r="I24" s="34"/>
      <c r="J24" s="36">
        <f t="shared" si="3"/>
        <v>0</v>
      </c>
    </row>
    <row r="25" spans="1:10" x14ac:dyDescent="0.2">
      <c r="H25" s="34"/>
      <c r="I25" s="34"/>
      <c r="J25" s="36">
        <f t="shared" si="3"/>
        <v>0</v>
      </c>
    </row>
    <row r="26" spans="1:10" x14ac:dyDescent="0.2">
      <c r="H26" s="34"/>
      <c r="I26" s="34"/>
      <c r="J26" s="36">
        <f t="shared" si="3"/>
        <v>0</v>
      </c>
    </row>
    <row r="27" spans="1:10" x14ac:dyDescent="0.2">
      <c r="H27" s="34"/>
      <c r="I27" s="34"/>
      <c r="J27" s="36">
        <f t="shared" si="3"/>
        <v>0</v>
      </c>
    </row>
    <row r="28" spans="1:10" x14ac:dyDescent="0.2">
      <c r="H28" s="34"/>
      <c r="I28" s="34"/>
      <c r="J28" s="36">
        <f t="shared" si="3"/>
        <v>0</v>
      </c>
    </row>
    <row r="29" spans="1:10" x14ac:dyDescent="0.2">
      <c r="H29" s="34"/>
      <c r="I29" s="34"/>
      <c r="J29" s="36">
        <f t="shared" si="3"/>
        <v>0</v>
      </c>
    </row>
    <row r="30" spans="1:10" x14ac:dyDescent="0.2">
      <c r="H30" s="34"/>
      <c r="I30" s="34"/>
      <c r="J30" s="36">
        <f t="shared" si="3"/>
        <v>0</v>
      </c>
    </row>
    <row r="31" spans="1:10" x14ac:dyDescent="0.2">
      <c r="H31" s="34"/>
      <c r="I31" s="34"/>
      <c r="J31" s="36">
        <f t="shared" si="3"/>
        <v>0</v>
      </c>
    </row>
    <row r="32" spans="1:10" x14ac:dyDescent="0.2">
      <c r="H32" s="34"/>
      <c r="I32" s="34"/>
      <c r="J32" s="36">
        <f t="shared" si="3"/>
        <v>0</v>
      </c>
    </row>
    <row r="33" spans="8:10" x14ac:dyDescent="0.2">
      <c r="H33" s="34"/>
      <c r="I33" s="34"/>
      <c r="J33" s="36">
        <f t="shared" si="3"/>
        <v>0</v>
      </c>
    </row>
    <row r="34" spans="8:10" x14ac:dyDescent="0.2">
      <c r="H34" s="34"/>
      <c r="I34" s="34"/>
      <c r="J34" s="36">
        <f t="shared" si="3"/>
        <v>0</v>
      </c>
    </row>
    <row r="35" spans="8:10" x14ac:dyDescent="0.2">
      <c r="H35" s="34"/>
      <c r="I35" s="34"/>
      <c r="J35" s="36">
        <f t="shared" si="3"/>
        <v>0</v>
      </c>
    </row>
    <row r="36" spans="8:10" x14ac:dyDescent="0.2">
      <c r="H36" s="34"/>
      <c r="I36" s="34"/>
      <c r="J36" s="36">
        <f t="shared" si="3"/>
        <v>0</v>
      </c>
    </row>
    <row r="37" spans="8:10" x14ac:dyDescent="0.2">
      <c r="H37" s="34"/>
      <c r="I37" s="34"/>
      <c r="J37" s="36">
        <f t="shared" si="3"/>
        <v>0</v>
      </c>
    </row>
    <row r="38" spans="8:10" x14ac:dyDescent="0.2">
      <c r="H38" s="34"/>
      <c r="I38" s="34"/>
      <c r="J38" s="36">
        <f t="shared" si="3"/>
        <v>0</v>
      </c>
    </row>
    <row r="39" spans="8:10" x14ac:dyDescent="0.2">
      <c r="H39" s="34"/>
      <c r="I39" s="34"/>
      <c r="J39" s="36">
        <f t="shared" si="3"/>
        <v>0</v>
      </c>
    </row>
    <row r="40" spans="8:10" x14ac:dyDescent="0.2">
      <c r="H40" s="34"/>
      <c r="I40" s="34"/>
      <c r="J40" s="36">
        <f t="shared" si="3"/>
        <v>0</v>
      </c>
    </row>
    <row r="41" spans="8:10" x14ac:dyDescent="0.2">
      <c r="H41" s="34"/>
      <c r="I41" s="34"/>
      <c r="J41" s="36">
        <f t="shared" si="3"/>
        <v>0</v>
      </c>
    </row>
    <row r="42" spans="8:10" x14ac:dyDescent="0.2">
      <c r="H42" s="34"/>
      <c r="I42" s="34"/>
      <c r="J42" s="36">
        <f t="shared" si="3"/>
        <v>0</v>
      </c>
    </row>
    <row r="43" spans="8:10" x14ac:dyDescent="0.2">
      <c r="H43" s="34"/>
      <c r="I43" s="34"/>
      <c r="J43" s="36">
        <f t="shared" si="3"/>
        <v>0</v>
      </c>
    </row>
    <row r="44" spans="8:10" x14ac:dyDescent="0.2">
      <c r="H44" s="34"/>
      <c r="I44" s="34"/>
      <c r="J44" s="36">
        <f t="shared" si="3"/>
        <v>0</v>
      </c>
    </row>
    <row r="45" spans="8:10" x14ac:dyDescent="0.2">
      <c r="H45" s="34"/>
      <c r="I45" s="34"/>
      <c r="J45" s="36">
        <f t="shared" si="3"/>
        <v>0</v>
      </c>
    </row>
    <row r="46" spans="8:10" x14ac:dyDescent="0.2">
      <c r="H46" s="34"/>
      <c r="I46" s="34"/>
      <c r="J46" s="36">
        <f t="shared" si="3"/>
        <v>0</v>
      </c>
    </row>
    <row r="47" spans="8:10" x14ac:dyDescent="0.2">
      <c r="H47" s="34"/>
      <c r="I47" s="34"/>
      <c r="J47" s="36">
        <f t="shared" si="3"/>
        <v>0</v>
      </c>
    </row>
    <row r="48" spans="8:10" x14ac:dyDescent="0.2">
      <c r="H48" s="34"/>
      <c r="I48" s="34"/>
      <c r="J48" s="36">
        <f t="shared" si="3"/>
        <v>0</v>
      </c>
    </row>
    <row r="49" spans="8:10" x14ac:dyDescent="0.2">
      <c r="H49" s="34"/>
      <c r="I49" s="34"/>
      <c r="J49" s="36">
        <f t="shared" si="3"/>
        <v>0</v>
      </c>
    </row>
    <row r="50" spans="8:10" x14ac:dyDescent="0.2">
      <c r="H50" s="34"/>
      <c r="I50" s="34"/>
      <c r="J50" s="36">
        <f t="shared" si="3"/>
        <v>0</v>
      </c>
    </row>
    <row r="51" spans="8:10" x14ac:dyDescent="0.2">
      <c r="H51" s="34"/>
      <c r="I51" s="34"/>
      <c r="J51" s="36">
        <f t="shared" si="3"/>
        <v>0</v>
      </c>
    </row>
    <row r="52" spans="8:10" x14ac:dyDescent="0.2">
      <c r="H52" s="34"/>
      <c r="I52" s="34"/>
      <c r="J52" s="36">
        <f t="shared" si="3"/>
        <v>0</v>
      </c>
    </row>
    <row r="53" spans="8:10" x14ac:dyDescent="0.2">
      <c r="H53" s="34"/>
      <c r="I53" s="34"/>
      <c r="J53" s="36">
        <f t="shared" si="3"/>
        <v>0</v>
      </c>
    </row>
    <row r="54" spans="8:10" x14ac:dyDescent="0.2">
      <c r="H54" s="34"/>
      <c r="I54" s="34"/>
      <c r="J54" s="36">
        <f t="shared" si="3"/>
        <v>0</v>
      </c>
    </row>
    <row r="55" spans="8:10" x14ac:dyDescent="0.2">
      <c r="H55" s="34"/>
      <c r="I55" s="34"/>
      <c r="J55" s="36">
        <f t="shared" si="3"/>
        <v>0</v>
      </c>
    </row>
    <row r="56" spans="8:10" x14ac:dyDescent="0.2">
      <c r="H56" s="34"/>
      <c r="I56" s="34"/>
      <c r="J56" s="36">
        <f t="shared" si="3"/>
        <v>0</v>
      </c>
    </row>
    <row r="57" spans="8:10" x14ac:dyDescent="0.2">
      <c r="H57" s="34"/>
      <c r="I57" s="34"/>
      <c r="J57" s="36">
        <f t="shared" si="3"/>
        <v>0</v>
      </c>
    </row>
    <row r="58" spans="8:10" x14ac:dyDescent="0.2">
      <c r="H58" s="34"/>
      <c r="I58" s="34"/>
      <c r="J58" s="36">
        <f t="shared" si="3"/>
        <v>0</v>
      </c>
    </row>
    <row r="59" spans="8:10" x14ac:dyDescent="0.2">
      <c r="H59" s="34"/>
      <c r="I59" s="34"/>
      <c r="J59" s="36">
        <f t="shared" si="3"/>
        <v>0</v>
      </c>
    </row>
    <row r="60" spans="8:10" x14ac:dyDescent="0.2">
      <c r="H60" s="34"/>
      <c r="I60" s="34"/>
      <c r="J60" s="36">
        <f t="shared" si="3"/>
        <v>0</v>
      </c>
    </row>
    <row r="61" spans="8:10" x14ac:dyDescent="0.2">
      <c r="H61" s="34"/>
      <c r="I61" s="34"/>
      <c r="J61" s="36">
        <f t="shared" si="3"/>
        <v>0</v>
      </c>
    </row>
    <row r="62" spans="8:10" x14ac:dyDescent="0.2">
      <c r="H62" s="34"/>
      <c r="I62" s="34"/>
      <c r="J62" s="36">
        <f t="shared" si="3"/>
        <v>0</v>
      </c>
    </row>
    <row r="63" spans="8:10" x14ac:dyDescent="0.2">
      <c r="H63" s="34"/>
      <c r="I63" s="34"/>
      <c r="J63" s="36">
        <f t="shared" si="3"/>
        <v>0</v>
      </c>
    </row>
    <row r="64" spans="8:10" x14ac:dyDescent="0.2">
      <c r="H64" s="34"/>
      <c r="I64" s="34"/>
      <c r="J64" s="36">
        <f t="shared" si="3"/>
        <v>0</v>
      </c>
    </row>
    <row r="65" spans="8:10" x14ac:dyDescent="0.2">
      <c r="H65" s="34"/>
      <c r="I65" s="34"/>
      <c r="J65" s="36">
        <f t="shared" si="3"/>
        <v>0</v>
      </c>
    </row>
    <row r="66" spans="8:10" x14ac:dyDescent="0.2">
      <c r="H66" s="34"/>
      <c r="I66" s="34"/>
      <c r="J66" s="36">
        <f t="shared" si="3"/>
        <v>0</v>
      </c>
    </row>
    <row r="67" spans="8:10" x14ac:dyDescent="0.2">
      <c r="H67" s="34"/>
      <c r="I67" s="34"/>
      <c r="J67" s="36">
        <f t="shared" si="3"/>
        <v>0</v>
      </c>
    </row>
    <row r="68" spans="8:10" x14ac:dyDescent="0.2">
      <c r="H68" s="34"/>
      <c r="I68" s="34"/>
      <c r="J68" s="36">
        <f t="shared" si="3"/>
        <v>0</v>
      </c>
    </row>
    <row r="69" spans="8:10" x14ac:dyDescent="0.2">
      <c r="H69" s="34"/>
      <c r="I69" s="34"/>
      <c r="J69" s="36">
        <f t="shared" si="3"/>
        <v>0</v>
      </c>
    </row>
    <row r="70" spans="8:10" x14ac:dyDescent="0.2">
      <c r="H70" s="34"/>
      <c r="I70" s="34"/>
      <c r="J70" s="36">
        <f t="shared" si="3"/>
        <v>0</v>
      </c>
    </row>
    <row r="71" spans="8:10" x14ac:dyDescent="0.2">
      <c r="H71" s="34"/>
      <c r="I71" s="34"/>
      <c r="J71" s="36">
        <f t="shared" ref="J71:J134" si="10">I71-H71</f>
        <v>0</v>
      </c>
    </row>
    <row r="72" spans="8:10" x14ac:dyDescent="0.2">
      <c r="H72" s="34"/>
      <c r="I72" s="34"/>
      <c r="J72" s="36">
        <f t="shared" si="10"/>
        <v>0</v>
      </c>
    </row>
    <row r="73" spans="8:10" x14ac:dyDescent="0.2">
      <c r="H73" s="34"/>
      <c r="I73" s="34"/>
      <c r="J73" s="36">
        <f t="shared" si="10"/>
        <v>0</v>
      </c>
    </row>
    <row r="74" spans="8:10" x14ac:dyDescent="0.2">
      <c r="H74" s="34"/>
      <c r="I74" s="34"/>
      <c r="J74" s="36">
        <f t="shared" si="10"/>
        <v>0</v>
      </c>
    </row>
    <row r="75" spans="8:10" x14ac:dyDescent="0.2">
      <c r="H75" s="34"/>
      <c r="I75" s="34"/>
      <c r="J75" s="36">
        <f t="shared" si="10"/>
        <v>0</v>
      </c>
    </row>
    <row r="76" spans="8:10" x14ac:dyDescent="0.2">
      <c r="H76" s="34"/>
      <c r="I76" s="34"/>
      <c r="J76" s="36">
        <f t="shared" si="10"/>
        <v>0</v>
      </c>
    </row>
    <row r="77" spans="8:10" x14ac:dyDescent="0.2">
      <c r="H77" s="34"/>
      <c r="I77" s="34"/>
      <c r="J77" s="36">
        <f t="shared" si="10"/>
        <v>0</v>
      </c>
    </row>
    <row r="78" spans="8:10" x14ac:dyDescent="0.2">
      <c r="H78" s="34"/>
      <c r="I78" s="34"/>
      <c r="J78" s="36">
        <f t="shared" si="10"/>
        <v>0</v>
      </c>
    </row>
    <row r="79" spans="8:10" x14ac:dyDescent="0.2">
      <c r="H79" s="34"/>
      <c r="I79" s="34"/>
      <c r="J79" s="36">
        <f t="shared" si="10"/>
        <v>0</v>
      </c>
    </row>
    <row r="80" spans="8:10" x14ac:dyDescent="0.2">
      <c r="H80" s="34"/>
      <c r="I80" s="34"/>
      <c r="J80" s="36">
        <f t="shared" si="10"/>
        <v>0</v>
      </c>
    </row>
    <row r="81" spans="8:10" x14ac:dyDescent="0.2">
      <c r="H81" s="34"/>
      <c r="I81" s="34"/>
      <c r="J81" s="36">
        <f t="shared" si="10"/>
        <v>0</v>
      </c>
    </row>
    <row r="82" spans="8:10" x14ac:dyDescent="0.2">
      <c r="H82" s="34"/>
      <c r="I82" s="34"/>
      <c r="J82" s="36">
        <f t="shared" si="10"/>
        <v>0</v>
      </c>
    </row>
    <row r="83" spans="8:10" x14ac:dyDescent="0.2">
      <c r="H83" s="34"/>
      <c r="I83" s="34"/>
      <c r="J83" s="36">
        <f t="shared" si="10"/>
        <v>0</v>
      </c>
    </row>
    <row r="84" spans="8:10" x14ac:dyDescent="0.2">
      <c r="H84" s="34"/>
      <c r="I84" s="34"/>
      <c r="J84" s="36">
        <f t="shared" si="10"/>
        <v>0</v>
      </c>
    </row>
    <row r="85" spans="8:10" x14ac:dyDescent="0.2">
      <c r="H85" s="34"/>
      <c r="I85" s="34"/>
      <c r="J85" s="36">
        <f t="shared" si="10"/>
        <v>0</v>
      </c>
    </row>
    <row r="86" spans="8:10" x14ac:dyDescent="0.2">
      <c r="H86" s="34"/>
      <c r="I86" s="34"/>
      <c r="J86" s="36">
        <f t="shared" si="10"/>
        <v>0</v>
      </c>
    </row>
    <row r="87" spans="8:10" x14ac:dyDescent="0.2">
      <c r="H87" s="34"/>
      <c r="I87" s="34"/>
      <c r="J87" s="36">
        <f t="shared" si="10"/>
        <v>0</v>
      </c>
    </row>
    <row r="88" spans="8:10" x14ac:dyDescent="0.2">
      <c r="H88" s="34"/>
      <c r="I88" s="34"/>
      <c r="J88" s="36">
        <f t="shared" si="10"/>
        <v>0</v>
      </c>
    </row>
    <row r="89" spans="8:10" x14ac:dyDescent="0.2">
      <c r="H89" s="34"/>
      <c r="I89" s="34"/>
      <c r="J89" s="36">
        <f t="shared" si="10"/>
        <v>0</v>
      </c>
    </row>
    <row r="90" spans="8:10" x14ac:dyDescent="0.2">
      <c r="H90" s="34"/>
      <c r="I90" s="34"/>
      <c r="J90" s="36">
        <f t="shared" si="10"/>
        <v>0</v>
      </c>
    </row>
    <row r="91" spans="8:10" x14ac:dyDescent="0.2">
      <c r="H91" s="34"/>
      <c r="I91" s="34"/>
      <c r="J91" s="36">
        <f t="shared" si="10"/>
        <v>0</v>
      </c>
    </row>
    <row r="92" spans="8:10" x14ac:dyDescent="0.2">
      <c r="H92" s="34"/>
      <c r="I92" s="34"/>
      <c r="J92" s="36">
        <f t="shared" si="10"/>
        <v>0</v>
      </c>
    </row>
    <row r="93" spans="8:10" x14ac:dyDescent="0.2">
      <c r="H93" s="34"/>
      <c r="I93" s="34"/>
      <c r="J93" s="36">
        <f t="shared" si="10"/>
        <v>0</v>
      </c>
    </row>
    <row r="94" spans="8:10" x14ac:dyDescent="0.2">
      <c r="H94" s="34"/>
      <c r="I94" s="34"/>
      <c r="J94" s="36">
        <f t="shared" si="10"/>
        <v>0</v>
      </c>
    </row>
    <row r="95" spans="8:10" x14ac:dyDescent="0.2">
      <c r="H95" s="34"/>
      <c r="I95" s="34"/>
      <c r="J95" s="36">
        <f t="shared" si="10"/>
        <v>0</v>
      </c>
    </row>
    <row r="96" spans="8:10" x14ac:dyDescent="0.2">
      <c r="H96" s="34"/>
      <c r="I96" s="34"/>
      <c r="J96" s="36">
        <f t="shared" si="10"/>
        <v>0</v>
      </c>
    </row>
    <row r="97" spans="8:10" x14ac:dyDescent="0.2">
      <c r="H97" s="34"/>
      <c r="I97" s="34"/>
      <c r="J97" s="36">
        <f t="shared" si="10"/>
        <v>0</v>
      </c>
    </row>
    <row r="98" spans="8:10" x14ac:dyDescent="0.2">
      <c r="H98" s="34"/>
      <c r="I98" s="34"/>
      <c r="J98" s="36">
        <f t="shared" si="10"/>
        <v>0</v>
      </c>
    </row>
    <row r="99" spans="8:10" x14ac:dyDescent="0.2">
      <c r="H99" s="34"/>
      <c r="I99" s="34"/>
      <c r="J99" s="36">
        <f t="shared" si="10"/>
        <v>0</v>
      </c>
    </row>
    <row r="100" spans="8:10" x14ac:dyDescent="0.2">
      <c r="H100" s="34"/>
      <c r="I100" s="34"/>
      <c r="J100" s="36">
        <f t="shared" si="10"/>
        <v>0</v>
      </c>
    </row>
    <row r="101" spans="8:10" x14ac:dyDescent="0.2">
      <c r="H101" s="34"/>
      <c r="I101" s="34"/>
      <c r="J101" s="36">
        <f t="shared" si="10"/>
        <v>0</v>
      </c>
    </row>
    <row r="102" spans="8:10" x14ac:dyDescent="0.2">
      <c r="H102" s="34"/>
      <c r="I102" s="34"/>
      <c r="J102" s="36">
        <f t="shared" si="10"/>
        <v>0</v>
      </c>
    </row>
    <row r="103" spans="8:10" x14ac:dyDescent="0.2">
      <c r="H103" s="34"/>
      <c r="I103" s="34"/>
      <c r="J103" s="36">
        <f t="shared" si="10"/>
        <v>0</v>
      </c>
    </row>
    <row r="104" spans="8:10" x14ac:dyDescent="0.2">
      <c r="H104" s="34"/>
      <c r="I104" s="34"/>
      <c r="J104" s="36">
        <f t="shared" si="10"/>
        <v>0</v>
      </c>
    </row>
    <row r="105" spans="8:10" x14ac:dyDescent="0.2">
      <c r="H105" s="34"/>
      <c r="I105" s="34"/>
      <c r="J105" s="36">
        <f t="shared" si="10"/>
        <v>0</v>
      </c>
    </row>
    <row r="106" spans="8:10" x14ac:dyDescent="0.2">
      <c r="H106" s="34"/>
      <c r="I106" s="34"/>
      <c r="J106" s="36">
        <f t="shared" si="10"/>
        <v>0</v>
      </c>
    </row>
    <row r="107" spans="8:10" x14ac:dyDescent="0.2">
      <c r="H107" s="34"/>
      <c r="I107" s="34"/>
      <c r="J107" s="36">
        <f t="shared" si="10"/>
        <v>0</v>
      </c>
    </row>
    <row r="108" spans="8:10" x14ac:dyDescent="0.2">
      <c r="H108" s="34"/>
      <c r="I108" s="34"/>
      <c r="J108" s="36">
        <f t="shared" si="10"/>
        <v>0</v>
      </c>
    </row>
    <row r="109" spans="8:10" x14ac:dyDescent="0.2">
      <c r="H109" s="34"/>
      <c r="I109" s="34"/>
      <c r="J109" s="36">
        <f t="shared" si="10"/>
        <v>0</v>
      </c>
    </row>
    <row r="110" spans="8:10" x14ac:dyDescent="0.2">
      <c r="H110" s="34"/>
      <c r="I110" s="34"/>
      <c r="J110" s="36">
        <f t="shared" si="10"/>
        <v>0</v>
      </c>
    </row>
    <row r="111" spans="8:10" x14ac:dyDescent="0.2">
      <c r="H111" s="34"/>
      <c r="I111" s="34"/>
      <c r="J111" s="36">
        <f t="shared" si="10"/>
        <v>0</v>
      </c>
    </row>
    <row r="112" spans="8:10" x14ac:dyDescent="0.2">
      <c r="H112" s="34"/>
      <c r="I112" s="34"/>
      <c r="J112" s="36">
        <f t="shared" si="10"/>
        <v>0</v>
      </c>
    </row>
    <row r="113" spans="8:10" x14ac:dyDescent="0.2">
      <c r="H113" s="34"/>
      <c r="I113" s="34"/>
      <c r="J113" s="36">
        <f t="shared" si="10"/>
        <v>0</v>
      </c>
    </row>
    <row r="114" spans="8:10" x14ac:dyDescent="0.2">
      <c r="H114" s="34"/>
      <c r="I114" s="34"/>
      <c r="J114" s="36">
        <f t="shared" si="10"/>
        <v>0</v>
      </c>
    </row>
    <row r="115" spans="8:10" x14ac:dyDescent="0.2">
      <c r="H115" s="34"/>
      <c r="I115" s="34"/>
      <c r="J115" s="36">
        <f t="shared" si="10"/>
        <v>0</v>
      </c>
    </row>
    <row r="116" spans="8:10" x14ac:dyDescent="0.2">
      <c r="H116" s="34"/>
      <c r="I116" s="34"/>
      <c r="J116" s="36">
        <f t="shared" si="10"/>
        <v>0</v>
      </c>
    </row>
    <row r="117" spans="8:10" x14ac:dyDescent="0.2">
      <c r="H117" s="34"/>
      <c r="I117" s="34"/>
      <c r="J117" s="36">
        <f t="shared" si="10"/>
        <v>0</v>
      </c>
    </row>
    <row r="118" spans="8:10" x14ac:dyDescent="0.2">
      <c r="H118" s="34"/>
      <c r="I118" s="34"/>
      <c r="J118" s="36">
        <f t="shared" si="10"/>
        <v>0</v>
      </c>
    </row>
    <row r="119" spans="8:10" x14ac:dyDescent="0.2">
      <c r="H119" s="34"/>
      <c r="I119" s="34"/>
      <c r="J119" s="36">
        <f t="shared" si="10"/>
        <v>0</v>
      </c>
    </row>
    <row r="120" spans="8:10" x14ac:dyDescent="0.2">
      <c r="H120" s="34"/>
      <c r="I120" s="34"/>
      <c r="J120" s="36">
        <f t="shared" si="10"/>
        <v>0</v>
      </c>
    </row>
    <row r="121" spans="8:10" x14ac:dyDescent="0.2">
      <c r="H121" s="34"/>
      <c r="I121" s="34"/>
      <c r="J121" s="36">
        <f t="shared" si="10"/>
        <v>0</v>
      </c>
    </row>
    <row r="122" spans="8:10" x14ac:dyDescent="0.2">
      <c r="H122" s="34"/>
      <c r="I122" s="34"/>
      <c r="J122" s="36">
        <f t="shared" si="10"/>
        <v>0</v>
      </c>
    </row>
    <row r="123" spans="8:10" x14ac:dyDescent="0.2">
      <c r="H123" s="34"/>
      <c r="I123" s="34"/>
      <c r="J123" s="36">
        <f t="shared" si="10"/>
        <v>0</v>
      </c>
    </row>
    <row r="124" spans="8:10" x14ac:dyDescent="0.2">
      <c r="H124" s="34"/>
      <c r="I124" s="34"/>
      <c r="J124" s="36">
        <f t="shared" si="10"/>
        <v>0</v>
      </c>
    </row>
    <row r="125" spans="8:10" x14ac:dyDescent="0.2">
      <c r="H125" s="34"/>
      <c r="I125" s="34"/>
      <c r="J125" s="36">
        <f t="shared" si="10"/>
        <v>0</v>
      </c>
    </row>
    <row r="126" spans="8:10" x14ac:dyDescent="0.2">
      <c r="H126" s="34"/>
      <c r="I126" s="34"/>
      <c r="J126" s="36">
        <f t="shared" si="10"/>
        <v>0</v>
      </c>
    </row>
    <row r="127" spans="8:10" x14ac:dyDescent="0.2">
      <c r="H127" s="34"/>
      <c r="I127" s="34"/>
      <c r="J127" s="36">
        <f t="shared" si="10"/>
        <v>0</v>
      </c>
    </row>
    <row r="128" spans="8:10" x14ac:dyDescent="0.2">
      <c r="H128" s="34"/>
      <c r="I128" s="34"/>
      <c r="J128" s="36">
        <f t="shared" si="10"/>
        <v>0</v>
      </c>
    </row>
    <row r="129" spans="8:10" x14ac:dyDescent="0.2">
      <c r="H129" s="34"/>
      <c r="I129" s="34"/>
      <c r="J129" s="36">
        <f t="shared" si="10"/>
        <v>0</v>
      </c>
    </row>
    <row r="130" spans="8:10" x14ac:dyDescent="0.2">
      <c r="H130" s="34"/>
      <c r="I130" s="34"/>
      <c r="J130" s="36">
        <f t="shared" si="10"/>
        <v>0</v>
      </c>
    </row>
    <row r="131" spans="8:10" x14ac:dyDescent="0.2">
      <c r="H131" s="34"/>
      <c r="I131" s="34"/>
      <c r="J131" s="36">
        <f t="shared" si="10"/>
        <v>0</v>
      </c>
    </row>
    <row r="132" spans="8:10" x14ac:dyDescent="0.2">
      <c r="H132" s="34"/>
      <c r="I132" s="34"/>
      <c r="J132" s="36">
        <f t="shared" si="10"/>
        <v>0</v>
      </c>
    </row>
    <row r="133" spans="8:10" x14ac:dyDescent="0.2">
      <c r="H133" s="34"/>
      <c r="I133" s="34"/>
      <c r="J133" s="36">
        <f t="shared" si="10"/>
        <v>0</v>
      </c>
    </row>
    <row r="134" spans="8:10" x14ac:dyDescent="0.2">
      <c r="H134" s="34"/>
      <c r="I134" s="34"/>
      <c r="J134" s="36">
        <f t="shared" si="10"/>
        <v>0</v>
      </c>
    </row>
    <row r="135" spans="8:10" x14ac:dyDescent="0.2">
      <c r="H135" s="34"/>
      <c r="I135" s="34"/>
      <c r="J135" s="36">
        <f t="shared" ref="J135:J198" si="11">I135-H135</f>
        <v>0</v>
      </c>
    </row>
    <row r="136" spans="8:10" x14ac:dyDescent="0.2">
      <c r="H136" s="34"/>
      <c r="I136" s="34"/>
      <c r="J136" s="36">
        <f t="shared" si="11"/>
        <v>0</v>
      </c>
    </row>
    <row r="137" spans="8:10" x14ac:dyDescent="0.2">
      <c r="H137" s="34"/>
      <c r="I137" s="34"/>
      <c r="J137" s="36">
        <f t="shared" si="11"/>
        <v>0</v>
      </c>
    </row>
    <row r="138" spans="8:10" x14ac:dyDescent="0.2">
      <c r="H138" s="34"/>
      <c r="I138" s="34"/>
      <c r="J138" s="36">
        <f t="shared" si="11"/>
        <v>0</v>
      </c>
    </row>
    <row r="139" spans="8:10" x14ac:dyDescent="0.2">
      <c r="H139" s="34"/>
      <c r="I139" s="34"/>
      <c r="J139" s="36">
        <f t="shared" si="11"/>
        <v>0</v>
      </c>
    </row>
    <row r="140" spans="8:10" x14ac:dyDescent="0.2">
      <c r="H140" s="34"/>
      <c r="I140" s="34"/>
      <c r="J140" s="36">
        <f t="shared" si="11"/>
        <v>0</v>
      </c>
    </row>
    <row r="141" spans="8:10" x14ac:dyDescent="0.2">
      <c r="H141" s="34"/>
      <c r="I141" s="34"/>
      <c r="J141" s="36">
        <f t="shared" si="11"/>
        <v>0</v>
      </c>
    </row>
    <row r="142" spans="8:10" x14ac:dyDescent="0.2">
      <c r="H142" s="34"/>
      <c r="I142" s="34"/>
      <c r="J142" s="36">
        <f t="shared" si="11"/>
        <v>0</v>
      </c>
    </row>
    <row r="143" spans="8:10" x14ac:dyDescent="0.2">
      <c r="H143" s="34"/>
      <c r="I143" s="34"/>
      <c r="J143" s="36">
        <f t="shared" si="11"/>
        <v>0</v>
      </c>
    </row>
    <row r="144" spans="8:10" x14ac:dyDescent="0.2">
      <c r="H144" s="35"/>
      <c r="I144" s="35"/>
      <c r="J144" s="37">
        <f t="shared" si="11"/>
        <v>0</v>
      </c>
    </row>
    <row r="145" spans="8:10" x14ac:dyDescent="0.2">
      <c r="H145" s="35"/>
      <c r="I145" s="35"/>
      <c r="J145" s="37">
        <f t="shared" si="11"/>
        <v>0</v>
      </c>
    </row>
    <row r="146" spans="8:10" x14ac:dyDescent="0.2">
      <c r="H146" s="35"/>
      <c r="I146" s="35"/>
      <c r="J146" s="37">
        <f t="shared" si="11"/>
        <v>0</v>
      </c>
    </row>
    <row r="147" spans="8:10" x14ac:dyDescent="0.2">
      <c r="H147" s="35"/>
      <c r="I147" s="35"/>
      <c r="J147" s="37">
        <f t="shared" si="11"/>
        <v>0</v>
      </c>
    </row>
    <row r="148" spans="8:10" x14ac:dyDescent="0.2">
      <c r="H148" s="35"/>
      <c r="I148" s="35"/>
      <c r="J148" s="37">
        <f t="shared" si="11"/>
        <v>0</v>
      </c>
    </row>
    <row r="149" spans="8:10" x14ac:dyDescent="0.2">
      <c r="H149" s="35"/>
      <c r="I149" s="35"/>
      <c r="J149" s="37">
        <f t="shared" si="11"/>
        <v>0</v>
      </c>
    </row>
    <row r="150" spans="8:10" x14ac:dyDescent="0.2">
      <c r="H150" s="35"/>
      <c r="I150" s="35"/>
      <c r="J150" s="37">
        <f t="shared" si="11"/>
        <v>0</v>
      </c>
    </row>
    <row r="151" spans="8:10" x14ac:dyDescent="0.2">
      <c r="H151" s="35"/>
      <c r="I151" s="35"/>
      <c r="J151" s="37">
        <f t="shared" si="11"/>
        <v>0</v>
      </c>
    </row>
    <row r="152" spans="8:10" x14ac:dyDescent="0.2">
      <c r="H152" s="35"/>
      <c r="I152" s="35"/>
      <c r="J152" s="37">
        <f t="shared" si="11"/>
        <v>0</v>
      </c>
    </row>
    <row r="153" spans="8:10" x14ac:dyDescent="0.2">
      <c r="H153" s="35"/>
      <c r="I153" s="35"/>
      <c r="J153" s="37">
        <f t="shared" si="11"/>
        <v>0</v>
      </c>
    </row>
    <row r="154" spans="8:10" x14ac:dyDescent="0.2">
      <c r="H154" s="35"/>
      <c r="I154" s="35"/>
      <c r="J154" s="37">
        <f t="shared" si="11"/>
        <v>0</v>
      </c>
    </row>
    <row r="155" spans="8:10" x14ac:dyDescent="0.2">
      <c r="H155" s="35"/>
      <c r="I155" s="35"/>
      <c r="J155" s="37">
        <f t="shared" si="11"/>
        <v>0</v>
      </c>
    </row>
    <row r="156" spans="8:10" x14ac:dyDescent="0.2">
      <c r="H156" s="35"/>
      <c r="I156" s="35"/>
      <c r="J156" s="37">
        <f t="shared" si="11"/>
        <v>0</v>
      </c>
    </row>
    <row r="157" spans="8:10" x14ac:dyDescent="0.2">
      <c r="H157" s="35"/>
      <c r="I157" s="35"/>
      <c r="J157" s="37">
        <f t="shared" si="11"/>
        <v>0</v>
      </c>
    </row>
    <row r="158" spans="8:10" x14ac:dyDescent="0.2">
      <c r="H158" s="35"/>
      <c r="I158" s="35"/>
      <c r="J158" s="37">
        <f t="shared" si="11"/>
        <v>0</v>
      </c>
    </row>
    <row r="159" spans="8:10" x14ac:dyDescent="0.2">
      <c r="H159" s="35"/>
      <c r="I159" s="35"/>
      <c r="J159" s="37">
        <f t="shared" si="11"/>
        <v>0</v>
      </c>
    </row>
    <row r="160" spans="8:10" x14ac:dyDescent="0.2">
      <c r="H160" s="35"/>
      <c r="I160" s="35"/>
      <c r="J160" s="37">
        <f t="shared" si="11"/>
        <v>0</v>
      </c>
    </row>
    <row r="161" spans="8:10" x14ac:dyDescent="0.2">
      <c r="H161" s="35"/>
      <c r="I161" s="35"/>
      <c r="J161" s="37">
        <f t="shared" si="11"/>
        <v>0</v>
      </c>
    </row>
    <row r="162" spans="8:10" x14ac:dyDescent="0.2">
      <c r="H162" s="35"/>
      <c r="I162" s="35"/>
      <c r="J162" s="37">
        <f t="shared" si="11"/>
        <v>0</v>
      </c>
    </row>
    <row r="163" spans="8:10" x14ac:dyDescent="0.2">
      <c r="H163" s="35"/>
      <c r="I163" s="35"/>
      <c r="J163" s="37">
        <f t="shared" si="11"/>
        <v>0</v>
      </c>
    </row>
    <row r="164" spans="8:10" x14ac:dyDescent="0.2">
      <c r="H164" s="35"/>
      <c r="I164" s="35"/>
      <c r="J164" s="37">
        <f t="shared" si="11"/>
        <v>0</v>
      </c>
    </row>
    <row r="165" spans="8:10" x14ac:dyDescent="0.2">
      <c r="H165" s="35"/>
      <c r="I165" s="35"/>
      <c r="J165" s="37">
        <f t="shared" si="11"/>
        <v>0</v>
      </c>
    </row>
    <row r="166" spans="8:10" x14ac:dyDescent="0.2">
      <c r="H166" s="35"/>
      <c r="I166" s="35"/>
      <c r="J166" s="37">
        <f t="shared" si="11"/>
        <v>0</v>
      </c>
    </row>
    <row r="167" spans="8:10" x14ac:dyDescent="0.2">
      <c r="H167" s="35"/>
      <c r="I167" s="35"/>
      <c r="J167" s="37">
        <f t="shared" si="11"/>
        <v>0</v>
      </c>
    </row>
    <row r="168" spans="8:10" x14ac:dyDescent="0.2">
      <c r="H168" s="35"/>
      <c r="I168" s="35"/>
      <c r="J168" s="37">
        <f t="shared" si="11"/>
        <v>0</v>
      </c>
    </row>
    <row r="169" spans="8:10" x14ac:dyDescent="0.2">
      <c r="H169" s="35"/>
      <c r="I169" s="35"/>
      <c r="J169" s="37">
        <f t="shared" si="11"/>
        <v>0</v>
      </c>
    </row>
    <row r="170" spans="8:10" x14ac:dyDescent="0.2">
      <c r="H170" s="35"/>
      <c r="I170" s="35"/>
      <c r="J170" s="37">
        <f t="shared" si="11"/>
        <v>0</v>
      </c>
    </row>
    <row r="171" spans="8:10" x14ac:dyDescent="0.2">
      <c r="H171" s="35"/>
      <c r="I171" s="35"/>
      <c r="J171" s="37">
        <f t="shared" si="11"/>
        <v>0</v>
      </c>
    </row>
    <row r="172" spans="8:10" x14ac:dyDescent="0.2">
      <c r="H172" s="35"/>
      <c r="I172" s="35"/>
      <c r="J172" s="37">
        <f t="shared" si="11"/>
        <v>0</v>
      </c>
    </row>
    <row r="173" spans="8:10" x14ac:dyDescent="0.2">
      <c r="H173" s="35"/>
      <c r="I173" s="35"/>
      <c r="J173" s="37">
        <f t="shared" si="11"/>
        <v>0</v>
      </c>
    </row>
    <row r="174" spans="8:10" x14ac:dyDescent="0.2">
      <c r="H174" s="35"/>
      <c r="I174" s="35"/>
      <c r="J174" s="37">
        <f t="shared" si="11"/>
        <v>0</v>
      </c>
    </row>
    <row r="175" spans="8:10" x14ac:dyDescent="0.2">
      <c r="H175" s="35"/>
      <c r="I175" s="35"/>
      <c r="J175" s="37">
        <f t="shared" si="11"/>
        <v>0</v>
      </c>
    </row>
    <row r="176" spans="8:10" x14ac:dyDescent="0.2">
      <c r="H176" s="35"/>
      <c r="I176" s="35"/>
      <c r="J176" s="37">
        <f t="shared" si="11"/>
        <v>0</v>
      </c>
    </row>
    <row r="177" spans="8:10" x14ac:dyDescent="0.2">
      <c r="H177" s="35"/>
      <c r="I177" s="35"/>
      <c r="J177" s="37">
        <f t="shared" si="11"/>
        <v>0</v>
      </c>
    </row>
    <row r="178" spans="8:10" x14ac:dyDescent="0.2">
      <c r="H178" s="35"/>
      <c r="I178" s="35"/>
      <c r="J178" s="37">
        <f t="shared" si="11"/>
        <v>0</v>
      </c>
    </row>
    <row r="179" spans="8:10" x14ac:dyDescent="0.2">
      <c r="H179" s="35"/>
      <c r="I179" s="35"/>
      <c r="J179" s="37">
        <f t="shared" si="11"/>
        <v>0</v>
      </c>
    </row>
    <row r="180" spans="8:10" x14ac:dyDescent="0.2">
      <c r="H180" s="35"/>
      <c r="I180" s="35"/>
      <c r="J180" s="37">
        <f t="shared" si="11"/>
        <v>0</v>
      </c>
    </row>
    <row r="181" spans="8:10" x14ac:dyDescent="0.2">
      <c r="H181" s="35"/>
      <c r="I181" s="35"/>
      <c r="J181" s="37">
        <f t="shared" si="11"/>
        <v>0</v>
      </c>
    </row>
    <row r="182" spans="8:10" x14ac:dyDescent="0.2">
      <c r="H182" s="35"/>
      <c r="I182" s="35"/>
      <c r="J182" s="37">
        <f t="shared" si="11"/>
        <v>0</v>
      </c>
    </row>
    <row r="183" spans="8:10" x14ac:dyDescent="0.2">
      <c r="H183" s="35"/>
      <c r="I183" s="35"/>
      <c r="J183" s="37">
        <f t="shared" si="11"/>
        <v>0</v>
      </c>
    </row>
    <row r="184" spans="8:10" x14ac:dyDescent="0.2">
      <c r="H184" s="35"/>
      <c r="I184" s="35"/>
      <c r="J184" s="37">
        <f t="shared" si="11"/>
        <v>0</v>
      </c>
    </row>
    <row r="185" spans="8:10" x14ac:dyDescent="0.2">
      <c r="H185" s="35"/>
      <c r="I185" s="35"/>
      <c r="J185" s="37">
        <f t="shared" si="11"/>
        <v>0</v>
      </c>
    </row>
    <row r="186" spans="8:10" x14ac:dyDescent="0.2">
      <c r="H186" s="35"/>
      <c r="I186" s="35"/>
      <c r="J186" s="37">
        <f t="shared" si="11"/>
        <v>0</v>
      </c>
    </row>
    <row r="187" spans="8:10" x14ac:dyDescent="0.2">
      <c r="H187" s="35"/>
      <c r="I187" s="35"/>
      <c r="J187" s="37">
        <f t="shared" si="11"/>
        <v>0</v>
      </c>
    </row>
    <row r="188" spans="8:10" x14ac:dyDescent="0.2">
      <c r="H188" s="35"/>
      <c r="I188" s="35"/>
      <c r="J188" s="37">
        <f t="shared" si="11"/>
        <v>0</v>
      </c>
    </row>
    <row r="189" spans="8:10" x14ac:dyDescent="0.2">
      <c r="H189" s="35"/>
      <c r="I189" s="35"/>
      <c r="J189" s="37">
        <f t="shared" si="11"/>
        <v>0</v>
      </c>
    </row>
    <row r="190" spans="8:10" x14ac:dyDescent="0.2">
      <c r="H190" s="35"/>
      <c r="I190" s="35"/>
      <c r="J190" s="37">
        <f t="shared" si="11"/>
        <v>0</v>
      </c>
    </row>
    <row r="191" spans="8:10" x14ac:dyDescent="0.2">
      <c r="H191" s="35"/>
      <c r="I191" s="35"/>
      <c r="J191" s="37">
        <f t="shared" si="11"/>
        <v>0</v>
      </c>
    </row>
    <row r="192" spans="8:10" x14ac:dyDescent="0.2">
      <c r="H192" s="35"/>
      <c r="I192" s="35"/>
      <c r="J192" s="37">
        <f t="shared" si="11"/>
        <v>0</v>
      </c>
    </row>
    <row r="193" spans="8:10" x14ac:dyDescent="0.2">
      <c r="H193" s="35"/>
      <c r="I193" s="35"/>
      <c r="J193" s="37">
        <f t="shared" si="11"/>
        <v>0</v>
      </c>
    </row>
    <row r="194" spans="8:10" x14ac:dyDescent="0.2">
      <c r="H194" s="35"/>
      <c r="I194" s="35"/>
      <c r="J194" s="37">
        <f t="shared" si="11"/>
        <v>0</v>
      </c>
    </row>
    <row r="195" spans="8:10" x14ac:dyDescent="0.2">
      <c r="H195" s="35"/>
      <c r="I195" s="35"/>
      <c r="J195" s="37">
        <f t="shared" si="11"/>
        <v>0</v>
      </c>
    </row>
    <row r="196" spans="8:10" x14ac:dyDescent="0.2">
      <c r="H196" s="35"/>
      <c r="I196" s="35"/>
      <c r="J196" s="37">
        <f t="shared" si="11"/>
        <v>0</v>
      </c>
    </row>
    <row r="197" spans="8:10" x14ac:dyDescent="0.2">
      <c r="H197" s="35"/>
      <c r="I197" s="35"/>
      <c r="J197" s="37">
        <f t="shared" si="11"/>
        <v>0</v>
      </c>
    </row>
    <row r="198" spans="8:10" x14ac:dyDescent="0.2">
      <c r="H198" s="35"/>
      <c r="I198" s="35"/>
      <c r="J198" s="37">
        <f t="shared" si="11"/>
        <v>0</v>
      </c>
    </row>
    <row r="199" spans="8:10" x14ac:dyDescent="0.2">
      <c r="H199" s="35"/>
      <c r="I199" s="35"/>
      <c r="J199" s="37">
        <f t="shared" ref="J199:J237" si="12">I199-H199</f>
        <v>0</v>
      </c>
    </row>
    <row r="200" spans="8:10" x14ac:dyDescent="0.2">
      <c r="H200" s="35"/>
      <c r="I200" s="35"/>
      <c r="J200" s="37">
        <f t="shared" si="12"/>
        <v>0</v>
      </c>
    </row>
    <row r="201" spans="8:10" x14ac:dyDescent="0.2">
      <c r="H201" s="35"/>
      <c r="I201" s="35"/>
      <c r="J201" s="37">
        <f t="shared" si="12"/>
        <v>0</v>
      </c>
    </row>
    <row r="202" spans="8:10" x14ac:dyDescent="0.2">
      <c r="H202" s="35"/>
      <c r="I202" s="35"/>
      <c r="J202" s="37">
        <f t="shared" si="12"/>
        <v>0</v>
      </c>
    </row>
    <row r="203" spans="8:10" x14ac:dyDescent="0.2">
      <c r="H203" s="35"/>
      <c r="I203" s="35"/>
      <c r="J203" s="37">
        <f t="shared" si="12"/>
        <v>0</v>
      </c>
    </row>
    <row r="204" spans="8:10" x14ac:dyDescent="0.2">
      <c r="H204" s="35"/>
      <c r="I204" s="35"/>
      <c r="J204" s="37">
        <f t="shared" si="12"/>
        <v>0</v>
      </c>
    </row>
    <row r="205" spans="8:10" x14ac:dyDescent="0.2">
      <c r="H205" s="35"/>
      <c r="I205" s="35"/>
      <c r="J205" s="37">
        <f t="shared" si="12"/>
        <v>0</v>
      </c>
    </row>
    <row r="206" spans="8:10" x14ac:dyDescent="0.2">
      <c r="H206" s="35"/>
      <c r="I206" s="35"/>
      <c r="J206" s="37">
        <f t="shared" si="12"/>
        <v>0</v>
      </c>
    </row>
    <row r="207" spans="8:10" x14ac:dyDescent="0.2">
      <c r="H207" s="35"/>
      <c r="I207" s="35"/>
      <c r="J207" s="37">
        <f t="shared" si="12"/>
        <v>0</v>
      </c>
    </row>
    <row r="208" spans="8:10" x14ac:dyDescent="0.2">
      <c r="H208" s="35"/>
      <c r="I208" s="35"/>
      <c r="J208" s="37">
        <f t="shared" si="12"/>
        <v>0</v>
      </c>
    </row>
    <row r="209" spans="8:10" x14ac:dyDescent="0.2">
      <c r="H209" s="35"/>
      <c r="I209" s="35"/>
      <c r="J209" s="37">
        <f t="shared" si="12"/>
        <v>0</v>
      </c>
    </row>
    <row r="210" spans="8:10" x14ac:dyDescent="0.2">
      <c r="H210" s="35"/>
      <c r="I210" s="35"/>
      <c r="J210" s="37">
        <f t="shared" si="12"/>
        <v>0</v>
      </c>
    </row>
    <row r="211" spans="8:10" x14ac:dyDescent="0.2">
      <c r="H211" s="35"/>
      <c r="I211" s="35"/>
      <c r="J211" s="37">
        <f t="shared" si="12"/>
        <v>0</v>
      </c>
    </row>
    <row r="212" spans="8:10" x14ac:dyDescent="0.2">
      <c r="H212" s="35"/>
      <c r="I212" s="35"/>
      <c r="J212" s="37">
        <f t="shared" si="12"/>
        <v>0</v>
      </c>
    </row>
    <row r="213" spans="8:10" x14ac:dyDescent="0.2">
      <c r="H213" s="35"/>
      <c r="I213" s="35"/>
      <c r="J213" s="37">
        <f t="shared" si="12"/>
        <v>0</v>
      </c>
    </row>
    <row r="214" spans="8:10" x14ac:dyDescent="0.2">
      <c r="H214" s="35"/>
      <c r="I214" s="35"/>
      <c r="J214" s="37">
        <f t="shared" si="12"/>
        <v>0</v>
      </c>
    </row>
    <row r="215" spans="8:10" x14ac:dyDescent="0.2">
      <c r="H215" s="35"/>
      <c r="I215" s="35"/>
      <c r="J215" s="37">
        <f t="shared" si="12"/>
        <v>0</v>
      </c>
    </row>
    <row r="216" spans="8:10" x14ac:dyDescent="0.2">
      <c r="H216" s="35"/>
      <c r="I216" s="35"/>
      <c r="J216" s="37">
        <f t="shared" si="12"/>
        <v>0</v>
      </c>
    </row>
    <row r="217" spans="8:10" x14ac:dyDescent="0.2">
      <c r="H217" s="35"/>
      <c r="I217" s="35"/>
      <c r="J217" s="37">
        <f t="shared" si="12"/>
        <v>0</v>
      </c>
    </row>
    <row r="218" spans="8:10" x14ac:dyDescent="0.2">
      <c r="H218" s="35"/>
      <c r="I218" s="35"/>
      <c r="J218" s="37">
        <f t="shared" si="12"/>
        <v>0</v>
      </c>
    </row>
    <row r="219" spans="8:10" x14ac:dyDescent="0.2">
      <c r="H219" s="35"/>
      <c r="I219" s="35"/>
      <c r="J219" s="37">
        <f t="shared" si="12"/>
        <v>0</v>
      </c>
    </row>
    <row r="220" spans="8:10" x14ac:dyDescent="0.2">
      <c r="H220" s="35"/>
      <c r="I220" s="35"/>
      <c r="J220" s="37">
        <f t="shared" si="12"/>
        <v>0</v>
      </c>
    </row>
    <row r="221" spans="8:10" x14ac:dyDescent="0.2">
      <c r="H221" s="35"/>
      <c r="I221" s="35"/>
      <c r="J221" s="37">
        <f t="shared" si="12"/>
        <v>0</v>
      </c>
    </row>
    <row r="222" spans="8:10" x14ac:dyDescent="0.2">
      <c r="H222" s="35"/>
      <c r="I222" s="35"/>
      <c r="J222" s="37">
        <f t="shared" si="12"/>
        <v>0</v>
      </c>
    </row>
    <row r="223" spans="8:10" x14ac:dyDescent="0.2">
      <c r="H223" s="35"/>
      <c r="I223" s="35"/>
      <c r="J223" s="37">
        <f t="shared" si="12"/>
        <v>0</v>
      </c>
    </row>
    <row r="224" spans="8:10" x14ac:dyDescent="0.2">
      <c r="H224" s="35"/>
      <c r="I224" s="35"/>
      <c r="J224" s="37">
        <f t="shared" si="12"/>
        <v>0</v>
      </c>
    </row>
    <row r="225" spans="8:10" x14ac:dyDescent="0.2">
      <c r="H225" s="35"/>
      <c r="I225" s="35"/>
      <c r="J225" s="37">
        <f t="shared" si="12"/>
        <v>0</v>
      </c>
    </row>
    <row r="226" spans="8:10" x14ac:dyDescent="0.2">
      <c r="H226" s="35"/>
      <c r="I226" s="35"/>
      <c r="J226" s="37">
        <f t="shared" si="12"/>
        <v>0</v>
      </c>
    </row>
    <row r="227" spans="8:10" x14ac:dyDescent="0.2">
      <c r="H227" s="35"/>
      <c r="I227" s="35"/>
      <c r="J227" s="37">
        <f t="shared" si="12"/>
        <v>0</v>
      </c>
    </row>
    <row r="228" spans="8:10" x14ac:dyDescent="0.2">
      <c r="H228" s="35"/>
      <c r="I228" s="35"/>
      <c r="J228" s="37">
        <f t="shared" si="12"/>
        <v>0</v>
      </c>
    </row>
    <row r="229" spans="8:10" x14ac:dyDescent="0.2">
      <c r="H229" s="35"/>
      <c r="I229" s="35"/>
      <c r="J229" s="37">
        <f t="shared" si="12"/>
        <v>0</v>
      </c>
    </row>
    <row r="230" spans="8:10" x14ac:dyDescent="0.2">
      <c r="H230" s="35"/>
      <c r="I230" s="35"/>
      <c r="J230" s="37">
        <f t="shared" si="12"/>
        <v>0</v>
      </c>
    </row>
    <row r="231" spans="8:10" x14ac:dyDescent="0.2">
      <c r="H231" s="35"/>
      <c r="I231" s="35"/>
      <c r="J231" s="37">
        <f t="shared" si="12"/>
        <v>0</v>
      </c>
    </row>
    <row r="232" spans="8:10" x14ac:dyDescent="0.2">
      <c r="H232" s="35"/>
      <c r="I232" s="35"/>
      <c r="J232" s="37">
        <f t="shared" si="12"/>
        <v>0</v>
      </c>
    </row>
    <row r="233" spans="8:10" x14ac:dyDescent="0.2">
      <c r="H233" s="35"/>
      <c r="I233" s="35"/>
      <c r="J233" s="37">
        <f t="shared" si="12"/>
        <v>0</v>
      </c>
    </row>
    <row r="234" spans="8:10" x14ac:dyDescent="0.2">
      <c r="H234" s="35"/>
      <c r="I234" s="35"/>
      <c r="J234" s="37">
        <f t="shared" si="12"/>
        <v>0</v>
      </c>
    </row>
    <row r="235" spans="8:10" x14ac:dyDescent="0.2">
      <c r="J235" s="37">
        <f t="shared" si="12"/>
        <v>0</v>
      </c>
    </row>
    <row r="236" spans="8:10" x14ac:dyDescent="0.2">
      <c r="J236" s="37">
        <f t="shared" si="12"/>
        <v>0</v>
      </c>
    </row>
    <row r="237" spans="8:10" x14ac:dyDescent="0.2">
      <c r="J237" s="37">
        <f t="shared" si="12"/>
        <v>0</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B85C1EC-F1C4-4EFD-B4D4-F5CE27DF6EC8}">
          <x14:formula1>
            <xm:f>Sheet2!$A$1:$A$3</xm:f>
          </x14:formula1>
          <xm:sqref>G2:G143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16</vt:i4>
      </vt:variant>
      <vt:variant>
        <vt:lpstr>النطاقات المسماة</vt:lpstr>
      </vt:variant>
      <vt:variant>
        <vt:i4>2</vt:i4>
      </vt:variant>
    </vt:vector>
  </HeadingPairs>
  <TitlesOfParts>
    <vt:vector size="18" baseType="lpstr">
      <vt:lpstr>إجمالي الساعات لكل موقع </vt:lpstr>
      <vt:lpstr>Sheet1</vt:lpstr>
      <vt:lpstr>مخزن الجديد</vt:lpstr>
      <vt:lpstr>Sheet2</vt:lpstr>
      <vt:lpstr>Monthly (2)</vt:lpstr>
      <vt:lpstr>Contractors (2)</vt:lpstr>
      <vt:lpstr>Contractors</vt:lpstr>
      <vt:lpstr>Monthly</vt:lpstr>
      <vt:lpstr>المواقع</vt:lpstr>
      <vt:lpstr>Sheet3</vt:lpstr>
      <vt:lpstr>TEAM</vt:lpstr>
      <vt:lpstr>الفجاله</vt:lpstr>
      <vt:lpstr>البرج</vt:lpstr>
      <vt:lpstr>دويتش</vt:lpstr>
      <vt:lpstr>مخزن قديم</vt:lpstr>
      <vt:lpstr>مخزن الوزاره</vt:lpstr>
      <vt:lpstr>المواقع!Print_Area</vt:lpstr>
      <vt:lpstr>'مخزن الجديد'!Print_Area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Fouad</dc:creator>
  <cp:lastModifiedBy>Hesham Sadek</cp:lastModifiedBy>
  <dcterms:created xsi:type="dcterms:W3CDTF">2015-06-05T18:17:20Z</dcterms:created>
  <dcterms:modified xsi:type="dcterms:W3CDTF">2025-09-10T11:10:15Z</dcterms:modified>
</cp:coreProperties>
</file>